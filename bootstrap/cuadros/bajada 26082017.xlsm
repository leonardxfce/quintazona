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2.xml" ContentType="application/vnd.openxmlformats-officedocument.spreadsheetml.worksheet+xml"/>
  <Override PartName="/xl/drawings/drawing26.xml" ContentType="application/vnd.openxmlformats-officedocument.drawing+xml"/>
  <Override PartName="/xl/drawings/drawing25.xml" ContentType="application/vnd.openxmlformats-officedocument.drawing+xml"/>
  <Override PartName="/xl/drawings/drawing24.xml" ContentType="application/vnd.openxmlformats-officedocument.drawing+xml"/>
  <Override PartName="/xl/drawings/drawing23.xml" ContentType="application/vnd.openxmlformats-officedocument.drawing+xml"/>
  <Override PartName="/xl/drawings/drawing27.xml" ContentType="application/vnd.openxmlformats-officedocument.drawing+xml"/>
  <Override PartName="/xl/drawings/drawing31.xml" ContentType="application/vnd.openxmlformats-officedocument.drawing+xml"/>
  <Override PartName="/xl/drawings/drawing30.xml" ContentType="application/vnd.openxmlformats-officedocument.drawing+xml"/>
  <Override PartName="/xl/drawings/drawing29.xml" ContentType="application/vnd.openxmlformats-officedocument.drawing+xml"/>
  <Override PartName="/xl/drawings/drawing28.xml" ContentType="application/vnd.openxmlformats-officedocument.drawing+xml"/>
  <Override PartName="/xl/drawings/drawing22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21.xml" ContentType="application/vnd.openxmlformats-officedocument.drawing+xml"/>
  <Override PartName="/xl/drawings/drawing20.xml" ContentType="application/vnd.openxmlformats-officedocument.drawing+xml"/>
  <Override PartName="/xl/drawings/drawing19.xml" ContentType="application/vnd.openxmlformats-officedocument.drawing+xml"/>
  <Override PartName="/xl/worksheets/sheet1.xml" ContentType="application/vnd.openxmlformats-officedocument.spreadsheetml.worksheet+xml"/>
  <Override PartName="/xl/drawings/drawing35.xml" ContentType="application/vnd.openxmlformats-officedocument.drawing+xml"/>
  <Override PartName="/xl/drawings/drawing34.xml" ContentType="application/vnd.openxmlformats-officedocument.drawing+xml"/>
  <Override PartName="/xl/drawings/drawing33.xml" ContentType="application/vnd.openxmlformats-officedocument.drawing+xml"/>
  <Override PartName="/xl/drawings/drawing32.xml" ContentType="application/vnd.openxmlformats-officedocument.drawing+xml"/>
  <Override PartName="/xl/drawings/drawing36.xml" ContentType="application/vnd.openxmlformats-officedocument.drawing+xml"/>
  <Override PartName="/xl/drawings/drawing40.xml" ContentType="application/vnd.openxmlformats-officedocument.drawing+xml"/>
  <Override PartName="/xl/drawings/drawing39.xml" ContentType="application/vnd.openxmlformats-officedocument.drawing+xml"/>
  <Override PartName="/xl/drawings/drawing38.xml" ContentType="application/vnd.openxmlformats-officedocument.drawing+xml"/>
  <Override PartName="/xl/drawings/drawing37.xml" ContentType="application/vnd.openxmlformats-officedocument.drawing+xml"/>
  <Override PartName="/xl/drawings/drawing13.xml" ContentType="application/vnd.openxmlformats-officedocument.drawing+xml"/>
  <Override PartName="/xl/worksheets/sheet30.xml" ContentType="application/vnd.openxmlformats-officedocument.spreadsheetml.worksheet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0.xml" ContentType="application/vnd.openxmlformats-officedocument.spreadsheetml.worksheet+xml"/>
  <Override PartName="/xl/worksheets/sheet3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5.xml" ContentType="application/vnd.openxmlformats-officedocument.spreadsheetml.worksheet+xml"/>
  <Override PartName="/xl/worksheets/sheet3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drawings/drawing5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2.xml" ContentType="application/vnd.openxmlformats-officedocument.drawing+xml"/>
  <Override PartName="/xl/drawings/drawing11.xml" ContentType="application/vnd.openxmlformats-officedocument.drawing+xml"/>
  <Override PartName="/xl/drawings/drawing10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45.xml" ContentType="application/vnd.openxmlformats-officedocument.spreadsheetml.worksheet+xml"/>
  <Override PartName="/xl/worksheets/sheet44.xml" ContentType="application/vnd.openxmlformats-officedocument.spreadsheetml.worksheet+xml"/>
  <Override PartName="/xl/drawings/drawing1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comments3.xml" ContentType="application/vnd.openxmlformats-officedocument.spreadsheetml.comment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8522" codeName="{00000000-0000-0000-0000-000000000000}"/>
  <workbookPr codeName="ThisWorkbook"/>
  <xr:revisionPtr revIDLastSave="3" documentId="5DC6DD47E012AC269F66388E29D713D86475D48B" xr6:coauthVersionLast="23" xr6:coauthVersionMax="23" xr10:uidLastSave="{B95A5047-68E6-4085-B9E9-3AF061633BD4}"/>
  <bookViews>
    <workbookView xWindow="-15" yWindow="0" windowWidth="9555" windowHeight="1845" tabRatio="596" firstSheet="1" activeTab="5" xr2:uid="{00000000-000D-0000-FFFF-FFFF00000000}"/>
  </bookViews>
  <sheets>
    <sheet name="tablas caudales" sheetId="1" r:id="rId1"/>
    <sheet name="planilla caudales" sheetId="2" r:id="rId2"/>
    <sheet name="deuda" sheetId="3" r:id="rId3"/>
    <sheet name="Mensajes" sheetId="4" r:id="rId4"/>
    <sheet name="Gráficos" sheetId="5" r:id="rId5"/>
    <sheet name="Hijuelas" sheetId="6" r:id="rId6"/>
    <sheet name="1_1" sheetId="7" r:id="rId7"/>
    <sheet name="1_2" sheetId="8" r:id="rId8"/>
    <sheet name="2_1" sheetId="9" r:id="rId9"/>
    <sheet name="2_2" sheetId="10" r:id="rId10"/>
    <sheet name="3_1" sheetId="11" r:id="rId11"/>
    <sheet name="3_2" sheetId="12" r:id="rId12"/>
    <sheet name="4_1" sheetId="13" r:id="rId13"/>
    <sheet name="4_2" sheetId="14" r:id="rId14"/>
    <sheet name="5_1" sheetId="15" r:id="rId15"/>
    <sheet name="5_2" sheetId="16" r:id="rId16"/>
    <sheet name="6_1" sheetId="17" r:id="rId17"/>
    <sheet name="6_2" sheetId="18" r:id="rId18"/>
    <sheet name="7_1" sheetId="19" r:id="rId19"/>
    <sheet name="7_2" sheetId="20" r:id="rId20"/>
    <sheet name="8_1" sheetId="21" r:id="rId21"/>
    <sheet name="8_2" sheetId="22" r:id="rId22"/>
    <sheet name="9_1" sheetId="23" r:id="rId23"/>
    <sheet name="9_2" sheetId="24" r:id="rId24"/>
    <sheet name="10_1" sheetId="25" r:id="rId25"/>
    <sheet name="10_2" sheetId="26" r:id="rId26"/>
    <sheet name="11_1" sheetId="27" r:id="rId27"/>
    <sheet name="11_2" sheetId="28" r:id="rId28"/>
    <sheet name="12_1" sheetId="29" r:id="rId29"/>
    <sheet name="12_2" sheetId="30" r:id="rId30"/>
    <sheet name="13_1" sheetId="31" r:id="rId31"/>
    <sheet name="13_2" sheetId="32" r:id="rId32"/>
    <sheet name="14_1" sheetId="33" r:id="rId33"/>
    <sheet name="14_2" sheetId="34" r:id="rId34"/>
    <sheet name="15_1" sheetId="35" r:id="rId35"/>
    <sheet name="15_2" sheetId="36" r:id="rId36"/>
    <sheet name="16_1" sheetId="37" r:id="rId37"/>
    <sheet name="16_2" sheetId="38" r:id="rId38"/>
    <sheet name="17_1" sheetId="39" r:id="rId39"/>
    <sheet name="17_2" sheetId="40" r:id="rId40"/>
    <sheet name="18_1" sheetId="41" r:id="rId41"/>
    <sheet name="18_2" sheetId="42" r:id="rId42"/>
    <sheet name="planilla notificacion" sheetId="43" r:id="rId43"/>
    <sheet name="mts p&quot; cupos" sheetId="44" r:id="rId44"/>
    <sheet name="Hoja2" sheetId="45" r:id="rId45"/>
  </sheets>
  <definedNames>
    <definedName name="_xlnm._FilterDatabase" localSheetId="38" hidden="1">'17_1'!$A$26:$O$280</definedName>
    <definedName name="_xlnm._FilterDatabase" localSheetId="2" hidden="1">deuda!$A$1:$X$1221</definedName>
    <definedName name="_xlnm.Print_Area" localSheetId="6">'1_1'!$A$1:$M$28</definedName>
    <definedName name="_xlnm.Print_Area" localSheetId="7">'1_2'!$A$1:$G$203</definedName>
    <definedName name="_xlnm.Print_Area" localSheetId="24">'10_1'!$A$1:$N$22</definedName>
    <definedName name="_xlnm.Print_Area" localSheetId="25">'10_2'!$A$1:$F$153</definedName>
    <definedName name="_xlnm.Print_Area" localSheetId="26">'11_1'!$A$1:$N$18</definedName>
    <definedName name="_xlnm.Print_Area" localSheetId="27">'11_2'!$A$1:$F$68</definedName>
    <definedName name="_xlnm.Print_Area" localSheetId="28">'12_1'!$A$1:$N$23</definedName>
    <definedName name="_xlnm.Print_Area" localSheetId="29">'12_2'!$A$1:$F$34</definedName>
    <definedName name="_xlnm.Print_Area" localSheetId="30">'13_1'!$A$1:$N$34</definedName>
    <definedName name="_xlnm.Print_Area" localSheetId="31">'13_2'!$A$1:$F$221</definedName>
    <definedName name="_xlnm.Print_Area" localSheetId="32">'14_1'!$A$1:$M$43</definedName>
    <definedName name="_xlnm.Print_Area" localSheetId="33">'14_2'!$A$1:$F$374</definedName>
    <definedName name="_xlnm.Print_Area" localSheetId="34">'15_1'!$A$1:$N$33</definedName>
    <definedName name="_xlnm.Print_Area" localSheetId="35">'15_2'!$A$1:$F$289</definedName>
    <definedName name="_xlnm.Print_Area" localSheetId="36">'16_1'!$A$1:$N$23</definedName>
    <definedName name="_xlnm.Print_Area" localSheetId="37">'16_2'!$A$1:$G$102</definedName>
    <definedName name="_xlnm.Print_Area" localSheetId="38">'17_1'!$A$1:$M$280</definedName>
    <definedName name="_xlnm.Print_Area" localSheetId="39">'17_2'!$A$1:$H$2090</definedName>
    <definedName name="_xlnm.Print_Area" localSheetId="40">'18_1'!$A$1:$L$289</definedName>
    <definedName name="_xlnm.Print_Area" localSheetId="41">'18_2'!$A$1:$H$1767</definedName>
    <definedName name="_xlnm.Print_Area" localSheetId="8">'2_1'!$A$1:$N$36</definedName>
    <definedName name="_xlnm.Print_Area" localSheetId="9">'2_2'!$A$1:$F$255</definedName>
    <definedName name="_xlnm.Print_Area" localSheetId="10">'3_1'!$A$1:$N$22</definedName>
    <definedName name="_xlnm.Print_Area" localSheetId="11">'3_2'!$A$1:$F$132</definedName>
    <definedName name="_xlnm.Print_Area" localSheetId="12">'4_1'!$A$1:$N$20</definedName>
    <definedName name="_xlnm.Print_Area" localSheetId="13">'4_2'!$A$1:$F$102</definedName>
    <definedName name="_xlnm.Print_Area" localSheetId="14">'5_1'!$A$1:$N$22</definedName>
    <definedName name="_xlnm.Print_Area" localSheetId="15">'5_2'!$A$1:$F$136</definedName>
    <definedName name="_xlnm.Print_Area" localSheetId="16">'6_1'!$A$1:$N$30</definedName>
    <definedName name="_xlnm.Print_Area" localSheetId="17">'6_2'!$A$1:$F$255</definedName>
    <definedName name="_xlnm.Print_Area" localSheetId="18">'7_1'!$A$1:$N$39</definedName>
    <definedName name="_xlnm.Print_Area" localSheetId="19">'7_2'!$A$1:$G$272</definedName>
    <definedName name="_xlnm.Print_Area" localSheetId="20">'8_1'!$A$1:$N$16</definedName>
    <definedName name="_xlnm.Print_Area" localSheetId="21">'8_2'!$A$1:$F$34</definedName>
    <definedName name="_xlnm.Print_Area" localSheetId="22">'9_1'!$A$1:$N$38</definedName>
    <definedName name="_xlnm.Print_Area" localSheetId="23">'9_2'!$A$1:$F$357</definedName>
    <definedName name="_xlnm.Print_Area" localSheetId="5">Hijuelas!$B$10:$L$27</definedName>
    <definedName name="_xlnm.Print_Area" localSheetId="43">'mts p" cupos'!$A$1:$O$367</definedName>
    <definedName name="_xlnm.Print_Area" localSheetId="1">'planilla caudales'!$B$13:$K$23</definedName>
    <definedName name="_xlnm.Print_Area" localSheetId="42">'planilla notificacion'!$A$1:$O$1044</definedName>
  </definedNames>
  <calcPr calcId="171026"/>
</workbook>
</file>

<file path=xl/calcChain.xml><?xml version="1.0" encoding="utf-8"?>
<calcChain xmlns="http://schemas.openxmlformats.org/spreadsheetml/2006/main">
  <c r="P13" i="23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Q13" i="23"/>
  <c r="F13" i="23"/>
  <c r="H13" i="23"/>
  <c r="P14" i="23"/>
  <c r="Q14" i="23"/>
  <c r="F14" i="23"/>
  <c r="H14" i="23"/>
  <c r="P15" i="23"/>
  <c r="Q15" i="23"/>
  <c r="F15" i="23"/>
  <c r="H15" i="23"/>
  <c r="P16" i="23"/>
  <c r="Q16" i="23"/>
  <c r="F16" i="23"/>
  <c r="H16" i="23"/>
  <c r="P17" i="23"/>
  <c r="Q17" i="23"/>
  <c r="F17" i="23"/>
  <c r="H17" i="23"/>
  <c r="P18" i="23"/>
  <c r="Q18" i="23"/>
  <c r="F18" i="23"/>
  <c r="H18" i="23"/>
  <c r="P19" i="23"/>
  <c r="Q19" i="23"/>
  <c r="F19" i="23"/>
  <c r="H19" i="23"/>
  <c r="P20" i="23"/>
  <c r="Q20" i="23"/>
  <c r="F20" i="23"/>
  <c r="H20" i="23"/>
  <c r="P21" i="23"/>
  <c r="Q21" i="23"/>
  <c r="F21" i="23"/>
  <c r="H21" i="23"/>
  <c r="P22" i="23"/>
  <c r="Q22" i="23"/>
  <c r="F22" i="23"/>
  <c r="H22" i="23"/>
  <c r="P23" i="23"/>
  <c r="Q23" i="23"/>
  <c r="F23" i="23"/>
  <c r="H23" i="23"/>
  <c r="P24" i="23"/>
  <c r="Q24" i="23"/>
  <c r="F24" i="23"/>
  <c r="H24" i="23"/>
  <c r="P25" i="23"/>
  <c r="Q25" i="23"/>
  <c r="F25" i="23"/>
  <c r="H25" i="23"/>
  <c r="P26" i="23"/>
  <c r="Q26" i="23"/>
  <c r="F26" i="23"/>
  <c r="H26" i="23"/>
  <c r="P27" i="23"/>
  <c r="Q27" i="23"/>
  <c r="F27" i="23"/>
  <c r="H27" i="23"/>
  <c r="P28" i="23"/>
  <c r="Q28" i="23"/>
  <c r="F28" i="23"/>
  <c r="H28" i="23"/>
  <c r="P29" i="23"/>
  <c r="Q29" i="23"/>
  <c r="F29" i="23"/>
  <c r="H29" i="23"/>
  <c r="P30" i="23"/>
  <c r="Q30" i="23"/>
  <c r="F30" i="23"/>
  <c r="H30" i="23"/>
  <c r="P31" i="23"/>
  <c r="Q31" i="23"/>
  <c r="F31" i="23"/>
  <c r="H31" i="23"/>
  <c r="P32" i="23"/>
  <c r="Q32" i="23"/>
  <c r="F32" i="23"/>
  <c r="H32" i="23"/>
  <c r="P33" i="23"/>
  <c r="Q33" i="23"/>
  <c r="F33" i="23"/>
  <c r="H33" i="23"/>
  <c r="P34" i="23"/>
  <c r="Q34" i="23"/>
  <c r="F34" i="23"/>
  <c r="H34" i="23"/>
  <c r="P35" i="23"/>
  <c r="Q35" i="23"/>
  <c r="F35" i="23"/>
  <c r="H35" i="23"/>
  <c r="P36" i="23"/>
  <c r="Q36" i="23"/>
  <c r="F36" i="23"/>
  <c r="H36" i="23"/>
  <c r="P37" i="23"/>
  <c r="Q37" i="23"/>
  <c r="F37" i="23"/>
  <c r="H37" i="23"/>
  <c r="H38" i="23"/>
  <c r="D17" i="6"/>
  <c r="C5" i="19"/>
  <c r="K38" i="19"/>
  <c r="P38" i="19"/>
  <c r="Q38" i="19"/>
  <c r="F38" i="19"/>
  <c r="H38" i="19"/>
  <c r="P13" i="19"/>
  <c r="Q13" i="19"/>
  <c r="F13" i="19"/>
  <c r="H13" i="19"/>
  <c r="F14" i="19"/>
  <c r="H14" i="19"/>
  <c r="F15" i="19"/>
  <c r="H15" i="19"/>
  <c r="F16" i="19"/>
  <c r="H16" i="19"/>
  <c r="F17" i="19"/>
  <c r="H17" i="19"/>
  <c r="P18" i="19"/>
  <c r="Q18" i="19"/>
  <c r="F18" i="19"/>
  <c r="H18" i="19"/>
  <c r="P19" i="19"/>
  <c r="Q19" i="19"/>
  <c r="F19" i="19"/>
  <c r="H19" i="19"/>
  <c r="P20" i="19"/>
  <c r="Q20" i="19"/>
  <c r="F20" i="19"/>
  <c r="H20" i="19"/>
  <c r="P21" i="19"/>
  <c r="Q21" i="19"/>
  <c r="F21" i="19"/>
  <c r="H21" i="19"/>
  <c r="P22" i="19"/>
  <c r="Q22" i="19"/>
  <c r="F22" i="19"/>
  <c r="H22" i="19"/>
  <c r="H23" i="19"/>
  <c r="P24" i="19"/>
  <c r="Q24" i="19"/>
  <c r="F24" i="19"/>
  <c r="H24" i="19"/>
  <c r="P25" i="19"/>
  <c r="Q25" i="19"/>
  <c r="F25" i="19"/>
  <c r="H25" i="19"/>
  <c r="P26" i="19"/>
  <c r="Q26" i="19"/>
  <c r="F26" i="19"/>
  <c r="H26" i="19"/>
  <c r="P27" i="19"/>
  <c r="Q27" i="19"/>
  <c r="F27" i="19"/>
  <c r="H27" i="19"/>
  <c r="P28" i="19"/>
  <c r="Q28" i="19"/>
  <c r="F28" i="19"/>
  <c r="H28" i="19"/>
  <c r="P29" i="19"/>
  <c r="Q29" i="19"/>
  <c r="F29" i="19"/>
  <c r="H29" i="19"/>
  <c r="P30" i="19"/>
  <c r="Q30" i="19"/>
  <c r="F30" i="19"/>
  <c r="H30" i="19"/>
  <c r="P31" i="19"/>
  <c r="Q31" i="19"/>
  <c r="F31" i="19"/>
  <c r="H31" i="19"/>
  <c r="P32" i="19"/>
  <c r="Q32" i="19"/>
  <c r="F32" i="19"/>
  <c r="H32" i="19"/>
  <c r="P33" i="19"/>
  <c r="Q33" i="19"/>
  <c r="F33" i="19"/>
  <c r="H33" i="19"/>
  <c r="P34" i="19"/>
  <c r="Q34" i="19"/>
  <c r="F34" i="19"/>
  <c r="H34" i="19"/>
  <c r="P35" i="19"/>
  <c r="Q35" i="19"/>
  <c r="F35" i="19"/>
  <c r="H35" i="19"/>
  <c r="P36" i="19"/>
  <c r="Q36" i="19"/>
  <c r="F36" i="19"/>
  <c r="H36" i="19"/>
  <c r="P37" i="19"/>
  <c r="Q37" i="19"/>
  <c r="F37" i="19"/>
  <c r="H37" i="19"/>
  <c r="H39" i="19"/>
  <c r="H9" i="19"/>
  <c r="I5" i="19"/>
  <c r="I39" i="19"/>
  <c r="I7" i="19"/>
  <c r="C9" i="19"/>
  <c r="F9" i="19"/>
  <c r="J9" i="19"/>
  <c r="J38" i="19"/>
  <c r="L38" i="19"/>
  <c r="K37" i="19"/>
  <c r="J37" i="19"/>
  <c r="L37" i="19"/>
  <c r="K36" i="19"/>
  <c r="J36" i="19"/>
  <c r="L36" i="19"/>
  <c r="K35" i="19"/>
  <c r="J35" i="19"/>
  <c r="L35" i="19"/>
  <c r="K34" i="19"/>
  <c r="J34" i="19"/>
  <c r="L34" i="19"/>
  <c r="K33" i="19"/>
  <c r="J33" i="19"/>
  <c r="L33" i="19"/>
  <c r="K32" i="19"/>
  <c r="J32" i="19"/>
  <c r="L32" i="19"/>
  <c r="K31" i="19"/>
  <c r="J31" i="19"/>
  <c r="L31" i="19"/>
  <c r="K30" i="19"/>
  <c r="J30" i="19"/>
  <c r="L30" i="19"/>
  <c r="K29" i="19"/>
  <c r="J29" i="19"/>
  <c r="L29" i="19"/>
  <c r="K28" i="19"/>
  <c r="J28" i="19"/>
  <c r="L28" i="19"/>
  <c r="K27" i="19"/>
  <c r="J27" i="19"/>
  <c r="L27" i="19"/>
  <c r="K26" i="19"/>
  <c r="J26" i="19"/>
  <c r="L26" i="19"/>
  <c r="K25" i="19"/>
  <c r="J25" i="19"/>
  <c r="L25" i="19"/>
  <c r="K24" i="19"/>
  <c r="J24" i="19"/>
  <c r="L24" i="19"/>
  <c r="K23" i="19"/>
  <c r="J23" i="19"/>
  <c r="L23" i="19"/>
  <c r="K22" i="19"/>
  <c r="J22" i="19"/>
  <c r="L22" i="19"/>
  <c r="K21" i="19"/>
  <c r="J21" i="19"/>
  <c r="L21" i="19"/>
  <c r="K20" i="19"/>
  <c r="J20" i="19"/>
  <c r="L20" i="19"/>
  <c r="K19" i="19"/>
  <c r="J19" i="19"/>
  <c r="L19" i="19"/>
  <c r="K18" i="19"/>
  <c r="J18" i="19"/>
  <c r="L18" i="19"/>
  <c r="K17" i="19"/>
  <c r="J17" i="19"/>
  <c r="L17" i="19"/>
  <c r="K16" i="19"/>
  <c r="J16" i="19"/>
  <c r="L16" i="19"/>
  <c r="K15" i="19"/>
  <c r="J15" i="19"/>
  <c r="L15" i="19"/>
  <c r="K14" i="19"/>
  <c r="J14" i="19"/>
  <c r="L14" i="19"/>
  <c r="K13" i="19"/>
  <c r="J13" i="19"/>
  <c r="L13" i="19"/>
  <c r="D15" i="6"/>
  <c r="C5" i="15"/>
  <c r="K21" i="15"/>
  <c r="P13" i="15"/>
  <c r="Q13" i="15"/>
  <c r="F13" i="15"/>
  <c r="H13" i="15"/>
  <c r="P14" i="15"/>
  <c r="Q14" i="15"/>
  <c r="F14" i="15"/>
  <c r="H14" i="15"/>
  <c r="P15" i="15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Q15" i="15"/>
  <c r="F15" i="15"/>
  <c r="H15" i="15"/>
  <c r="P16" i="15"/>
  <c r="Q16" i="15"/>
  <c r="F16" i="15"/>
  <c r="H16" i="15"/>
  <c r="P17" i="15"/>
  <c r="Q17" i="15"/>
  <c r="F17" i="15"/>
  <c r="H17" i="15"/>
  <c r="P18" i="15"/>
  <c r="Q18" i="15"/>
  <c r="F18" i="15"/>
  <c r="H18" i="15"/>
  <c r="P19" i="15"/>
  <c r="Q19" i="15"/>
  <c r="F19" i="15"/>
  <c r="H19" i="15"/>
  <c r="P20" i="15"/>
  <c r="Q20" i="15"/>
  <c r="F20" i="15"/>
  <c r="H20" i="15"/>
  <c r="P21" i="15"/>
  <c r="Q21" i="15"/>
  <c r="F21" i="15"/>
  <c r="H21" i="15"/>
  <c r="H22" i="15"/>
  <c r="H9" i="15"/>
  <c r="I5" i="15"/>
  <c r="I22" i="15"/>
  <c r="I7" i="15"/>
  <c r="C9" i="15"/>
  <c r="F9" i="15"/>
  <c r="J9" i="15"/>
  <c r="J21" i="15"/>
  <c r="L21" i="15"/>
  <c r="K20" i="15"/>
  <c r="J20" i="15"/>
  <c r="L20" i="15"/>
  <c r="K19" i="15"/>
  <c r="J19" i="15"/>
  <c r="L19" i="15"/>
  <c r="K18" i="15"/>
  <c r="J18" i="15"/>
  <c r="L18" i="15"/>
  <c r="K17" i="15"/>
  <c r="J17" i="15"/>
  <c r="L17" i="15"/>
  <c r="K16" i="15"/>
  <c r="J16" i="15"/>
  <c r="L16" i="15"/>
  <c r="K15" i="15"/>
  <c r="J15" i="15"/>
  <c r="L15" i="15"/>
  <c r="K14" i="15"/>
  <c r="J14" i="15"/>
  <c r="L14" i="15"/>
  <c r="K13" i="15"/>
  <c r="J13" i="15"/>
  <c r="L13" i="15"/>
  <c r="C6" i="15"/>
  <c r="D25" i="6"/>
  <c r="C5" i="35"/>
  <c r="K32" i="35"/>
  <c r="I5" i="35"/>
  <c r="I33" i="35"/>
  <c r="I8" i="35"/>
  <c r="C9" i="35"/>
  <c r="F9" i="35"/>
  <c r="P13" i="35"/>
  <c r="Q13" i="35"/>
  <c r="F13" i="35"/>
  <c r="H13" i="35"/>
  <c r="P14" i="35"/>
  <c r="Q14" i="35"/>
  <c r="F14" i="35"/>
  <c r="H14" i="35"/>
  <c r="P15" i="35"/>
  <c r="Q15" i="35"/>
  <c r="F15" i="35"/>
  <c r="H15" i="35"/>
  <c r="P16" i="35"/>
  <c r="Q16" i="35"/>
  <c r="F16" i="35"/>
  <c r="H16" i="35"/>
  <c r="P17" i="35"/>
  <c r="Q17" i="35"/>
  <c r="F17" i="35"/>
  <c r="H17" i="35"/>
  <c r="P18" i="35"/>
  <c r="Q18" i="35"/>
  <c r="F18" i="35"/>
  <c r="H18" i="35"/>
  <c r="P19" i="35"/>
  <c r="Q19" i="35"/>
  <c r="F19" i="35"/>
  <c r="H19" i="35"/>
  <c r="P20" i="35"/>
  <c r="Q20" i="35"/>
  <c r="F20" i="35"/>
  <c r="H20" i="35"/>
  <c r="P21" i="35"/>
  <c r="Q21" i="35"/>
  <c r="F21" i="35"/>
  <c r="H21" i="35"/>
  <c r="P22" i="35"/>
  <c r="Q22" i="35"/>
  <c r="F22" i="35"/>
  <c r="H22" i="35"/>
  <c r="P23" i="35"/>
  <c r="Q23" i="35"/>
  <c r="F23" i="35"/>
  <c r="H23" i="35"/>
  <c r="P24" i="35"/>
  <c r="Q24" i="35"/>
  <c r="F24" i="35"/>
  <c r="H24" i="35"/>
  <c r="P25" i="35"/>
  <c r="Q25" i="35"/>
  <c r="F25" i="35"/>
  <c r="H25" i="35"/>
  <c r="P26" i="35"/>
  <c r="Q26" i="35"/>
  <c r="F26" i="35"/>
  <c r="H26" i="35"/>
  <c r="P27" i="35"/>
  <c r="Q27" i="35"/>
  <c r="F27" i="35"/>
  <c r="H27" i="35"/>
  <c r="P28" i="35"/>
  <c r="Q28" i="35"/>
  <c r="F28" i="35"/>
  <c r="H28" i="35"/>
  <c r="P29" i="35"/>
  <c r="Q29" i="35"/>
  <c r="F29" i="35"/>
  <c r="H29" i="35"/>
  <c r="P30" i="35"/>
  <c r="Q30" i="35"/>
  <c r="F30" i="35"/>
  <c r="H30" i="35"/>
  <c r="P31" i="35"/>
  <c r="Q31" i="35"/>
  <c r="F31" i="35"/>
  <c r="H31" i="35"/>
  <c r="P32" i="35"/>
  <c r="Q32" i="35"/>
  <c r="F32" i="35"/>
  <c r="H32" i="35"/>
  <c r="H33" i="35"/>
  <c r="H9" i="35"/>
  <c r="J9" i="35"/>
  <c r="J32" i="35"/>
  <c r="L32" i="35"/>
  <c r="K31" i="35"/>
  <c r="J31" i="35"/>
  <c r="L31" i="35"/>
  <c r="K30" i="35"/>
  <c r="J30" i="35"/>
  <c r="L30" i="35"/>
  <c r="K29" i="35"/>
  <c r="J29" i="35"/>
  <c r="L29" i="35"/>
  <c r="K28" i="35"/>
  <c r="J28" i="35"/>
  <c r="L28" i="35"/>
  <c r="K27" i="35"/>
  <c r="J27" i="35"/>
  <c r="L27" i="35"/>
  <c r="K26" i="35"/>
  <c r="J26" i="35"/>
  <c r="L26" i="35"/>
  <c r="K25" i="35"/>
  <c r="J25" i="35"/>
  <c r="L25" i="35"/>
  <c r="K24" i="35"/>
  <c r="J24" i="35"/>
  <c r="L24" i="35"/>
  <c r="K23" i="35"/>
  <c r="J23" i="35"/>
  <c r="L23" i="35"/>
  <c r="K22" i="35"/>
  <c r="J22" i="35"/>
  <c r="L22" i="35"/>
  <c r="K21" i="35"/>
  <c r="J21" i="35"/>
  <c r="L21" i="35"/>
  <c r="K20" i="35"/>
  <c r="J20" i="35"/>
  <c r="L20" i="35"/>
  <c r="K19" i="35"/>
  <c r="J19" i="35"/>
  <c r="L19" i="35"/>
  <c r="K18" i="35"/>
  <c r="J18" i="35"/>
  <c r="L18" i="35"/>
  <c r="K17" i="35"/>
  <c r="J17" i="35"/>
  <c r="L17" i="35"/>
  <c r="K16" i="35"/>
  <c r="J16" i="35"/>
  <c r="L16" i="35"/>
  <c r="K15" i="35"/>
  <c r="J15" i="35"/>
  <c r="L15" i="35"/>
  <c r="K14" i="35"/>
  <c r="J14" i="35"/>
  <c r="L14" i="35"/>
  <c r="K13" i="35"/>
  <c r="J13" i="35"/>
  <c r="L13" i="35"/>
  <c r="T34" i="19"/>
  <c r="R34" i="19"/>
  <c r="U34" i="19"/>
  <c r="S34" i="19"/>
  <c r="I22" i="11"/>
  <c r="I7" i="11"/>
  <c r="K17" i="27"/>
  <c r="I34" i="31"/>
  <c r="I30" i="17"/>
  <c r="E34" i="31"/>
  <c r="B21" i="10"/>
  <c r="B22" i="10"/>
  <c r="B24" i="10"/>
  <c r="E25" i="10"/>
  <c r="E26" i="10"/>
  <c r="A29" i="10"/>
  <c r="B29" i="10"/>
  <c r="A31" i="10"/>
  <c r="A32" i="10"/>
  <c r="B38" i="10"/>
  <c r="B39" i="10"/>
  <c r="B41" i="10"/>
  <c r="E42" i="10"/>
  <c r="E43" i="10"/>
  <c r="A46" i="10"/>
  <c r="B46" i="10"/>
  <c r="A48" i="10"/>
  <c r="A49" i="10"/>
  <c r="B55" i="10"/>
  <c r="B56" i="10"/>
  <c r="B58" i="10"/>
  <c r="E59" i="10"/>
  <c r="E60" i="10"/>
  <c r="A63" i="10"/>
  <c r="B63" i="10"/>
  <c r="A65" i="10"/>
  <c r="A66" i="10"/>
  <c r="B72" i="10"/>
  <c r="B73" i="10"/>
  <c r="B75" i="10"/>
  <c r="E76" i="10"/>
  <c r="E77" i="10"/>
  <c r="A80" i="10"/>
  <c r="B80" i="10"/>
  <c r="A82" i="10"/>
  <c r="A83" i="10"/>
  <c r="B89" i="10"/>
  <c r="B90" i="10"/>
  <c r="B92" i="10"/>
  <c r="E93" i="10"/>
  <c r="E94" i="10"/>
  <c r="A97" i="10"/>
  <c r="B97" i="10"/>
  <c r="A99" i="10"/>
  <c r="A100" i="10"/>
  <c r="B106" i="10"/>
  <c r="B107" i="10"/>
  <c r="B109" i="10"/>
  <c r="E110" i="10"/>
  <c r="E111" i="10"/>
  <c r="A114" i="10"/>
  <c r="B114" i="10"/>
  <c r="A116" i="10"/>
  <c r="A117" i="10"/>
  <c r="B123" i="10"/>
  <c r="B124" i="10"/>
  <c r="B126" i="10"/>
  <c r="E127" i="10"/>
  <c r="E128" i="10"/>
  <c r="A131" i="10"/>
  <c r="B131" i="10"/>
  <c r="A133" i="10"/>
  <c r="A134" i="10"/>
  <c r="B140" i="10"/>
  <c r="B141" i="10"/>
  <c r="B143" i="10"/>
  <c r="E144" i="10"/>
  <c r="E145" i="10"/>
  <c r="A148" i="10"/>
  <c r="B148" i="10"/>
  <c r="A150" i="10"/>
  <c r="A151" i="10"/>
  <c r="B157" i="10"/>
  <c r="B158" i="10"/>
  <c r="B160" i="10"/>
  <c r="E161" i="10"/>
  <c r="E162" i="10"/>
  <c r="A165" i="10"/>
  <c r="B165" i="10"/>
  <c r="A167" i="10"/>
  <c r="A168" i="10"/>
  <c r="B174" i="10"/>
  <c r="B175" i="10"/>
  <c r="B177" i="10"/>
  <c r="E178" i="10"/>
  <c r="E179" i="10"/>
  <c r="A182" i="10"/>
  <c r="B182" i="10"/>
  <c r="A184" i="10"/>
  <c r="A185" i="10"/>
  <c r="B191" i="10"/>
  <c r="B192" i="10"/>
  <c r="B194" i="10"/>
  <c r="E195" i="10"/>
  <c r="E196" i="10"/>
  <c r="A199" i="10"/>
  <c r="B199" i="10"/>
  <c r="A201" i="10"/>
  <c r="A202" i="10"/>
  <c r="B208" i="10"/>
  <c r="B209" i="10"/>
  <c r="B211" i="10"/>
  <c r="E212" i="10"/>
  <c r="E213" i="10"/>
  <c r="A216" i="10"/>
  <c r="B216" i="10"/>
  <c r="A218" i="10"/>
  <c r="A219" i="10"/>
  <c r="B225" i="10"/>
  <c r="B226" i="10"/>
  <c r="B228" i="10"/>
  <c r="E229" i="10"/>
  <c r="E230" i="10"/>
  <c r="A233" i="10"/>
  <c r="B233" i="10"/>
  <c r="A235" i="10"/>
  <c r="A236" i="10"/>
  <c r="B242" i="10"/>
  <c r="B243" i="10"/>
  <c r="B245" i="10"/>
  <c r="E246" i="10"/>
  <c r="E247" i="10"/>
  <c r="A250" i="10"/>
  <c r="B250" i="10"/>
  <c r="A252" i="10"/>
  <c r="A253" i="10"/>
  <c r="H14" i="10"/>
  <c r="K42" i="33"/>
  <c r="P13" i="31"/>
  <c r="P14" i="31"/>
  <c r="P15" i="31"/>
  <c r="P16" i="31"/>
  <c r="P17" i="31"/>
  <c r="P18" i="31"/>
  <c r="P19" i="31"/>
  <c r="I43" i="33"/>
  <c r="I7" i="33"/>
  <c r="E33" i="35"/>
  <c r="I5" i="37"/>
  <c r="C9" i="37"/>
  <c r="F9" i="37"/>
  <c r="O21" i="33"/>
  <c r="H30" i="33"/>
  <c r="H12" i="33"/>
  <c r="O13" i="33"/>
  <c r="O14" i="33"/>
  <c r="O15" i="33"/>
  <c r="O16" i="33"/>
  <c r="O17" i="33"/>
  <c r="O18" i="33"/>
  <c r="O19" i="33"/>
  <c r="O20" i="33"/>
  <c r="O22" i="33"/>
  <c r="O23" i="33"/>
  <c r="O24" i="33"/>
  <c r="O25" i="33"/>
  <c r="O26" i="33"/>
  <c r="O27" i="33"/>
  <c r="O28" i="33"/>
  <c r="F29" i="33"/>
  <c r="H29" i="33"/>
  <c r="B230" i="34"/>
  <c r="O31" i="33"/>
  <c r="O32" i="33"/>
  <c r="O33" i="33"/>
  <c r="O34" i="33"/>
  <c r="O35" i="33"/>
  <c r="O36" i="33"/>
  <c r="O37" i="33"/>
  <c r="O38" i="33"/>
  <c r="O39" i="33"/>
  <c r="O40" i="33"/>
  <c r="O41" i="33"/>
  <c r="O42" i="33"/>
  <c r="C9" i="33"/>
  <c r="F9" i="33"/>
  <c r="D16" i="6"/>
  <c r="C5" i="17"/>
  <c r="K29" i="17"/>
  <c r="G24" i="13"/>
  <c r="G25" i="13"/>
  <c r="D13" i="6"/>
  <c r="C5" i="11"/>
  <c r="K21" i="11"/>
  <c r="I5" i="11"/>
  <c r="C9" i="11"/>
  <c r="I5" i="21"/>
  <c r="C9" i="21"/>
  <c r="F9" i="21"/>
  <c r="D18" i="6"/>
  <c r="C5" i="21"/>
  <c r="K13" i="21"/>
  <c r="C9" i="27"/>
  <c r="F9" i="27"/>
  <c r="H5" i="25"/>
  <c r="C9" i="25"/>
  <c r="F9" i="25"/>
  <c r="D20" i="6"/>
  <c r="D21" i="6"/>
  <c r="P32" i="9"/>
  <c r="Q32" i="9"/>
  <c r="I36" i="9"/>
  <c r="H8" i="9"/>
  <c r="P14" i="9"/>
  <c r="P30" i="9"/>
  <c r="P31" i="9"/>
  <c r="P13" i="9"/>
  <c r="P17" i="9"/>
  <c r="P15" i="9"/>
  <c r="Q15" i="9"/>
  <c r="E33" i="10"/>
  <c r="P16" i="9"/>
  <c r="P18" i="9"/>
  <c r="P19" i="9"/>
  <c r="P20" i="9"/>
  <c r="Q20" i="9"/>
  <c r="P21" i="9"/>
  <c r="P22" i="9"/>
  <c r="S22" i="9"/>
  <c r="P23" i="9"/>
  <c r="P24" i="9"/>
  <c r="Q24" i="9"/>
  <c r="P25" i="9"/>
  <c r="P26" i="9"/>
  <c r="S26" i="9"/>
  <c r="P27" i="9"/>
  <c r="P29" i="9"/>
  <c r="R29" i="9"/>
  <c r="D11" i="6"/>
  <c r="C5" i="7"/>
  <c r="J13" i="7"/>
  <c r="C10" i="8"/>
  <c r="E10" i="8"/>
  <c r="D10" i="8"/>
  <c r="H5" i="7"/>
  <c r="C9" i="7"/>
  <c r="F9" i="7"/>
  <c r="D23" i="6"/>
  <c r="C5" i="31"/>
  <c r="K12" i="31"/>
  <c r="I5" i="31"/>
  <c r="C9" i="31"/>
  <c r="F9" i="31"/>
  <c r="P13" i="17"/>
  <c r="Q13" i="17"/>
  <c r="P14" i="17"/>
  <c r="P15" i="17"/>
  <c r="Q15" i="17"/>
  <c r="P16" i="17"/>
  <c r="P27" i="17"/>
  <c r="P18" i="17"/>
  <c r="P17" i="17"/>
  <c r="Q17" i="17"/>
  <c r="F17" i="17"/>
  <c r="H17" i="17"/>
  <c r="P19" i="17"/>
  <c r="P20" i="17"/>
  <c r="P22" i="17"/>
  <c r="P23" i="17"/>
  <c r="P25" i="17"/>
  <c r="P26" i="17"/>
  <c r="P28" i="17"/>
  <c r="P29" i="17"/>
  <c r="I20" i="13"/>
  <c r="I7" i="13"/>
  <c r="D172" i="45"/>
  <c r="F5" i="45"/>
  <c r="H5" i="45"/>
  <c r="G82" i="45"/>
  <c r="G86" i="45"/>
  <c r="G90" i="45"/>
  <c r="G94" i="45"/>
  <c r="G98" i="45"/>
  <c r="G102" i="45"/>
  <c r="G106" i="45"/>
  <c r="G110" i="45"/>
  <c r="G113" i="45"/>
  <c r="G115" i="45"/>
  <c r="G117" i="45"/>
  <c r="G119" i="45"/>
  <c r="G121" i="45"/>
  <c r="G123" i="45"/>
  <c r="G125" i="45"/>
  <c r="G127" i="45"/>
  <c r="G129" i="45"/>
  <c r="G131" i="45"/>
  <c r="G133" i="45"/>
  <c r="G135" i="45"/>
  <c r="G137" i="45"/>
  <c r="G139" i="45"/>
  <c r="G141" i="45"/>
  <c r="G143" i="45"/>
  <c r="G146" i="45"/>
  <c r="G151" i="45"/>
  <c r="G153" i="45"/>
  <c r="G155" i="45"/>
  <c r="G157" i="45"/>
  <c r="G159" i="45"/>
  <c r="G161" i="45"/>
  <c r="G163" i="45"/>
  <c r="G165" i="45"/>
  <c r="G167" i="45"/>
  <c r="G169" i="45"/>
  <c r="G171" i="45"/>
  <c r="G172" i="45"/>
  <c r="D173" i="45"/>
  <c r="B174" i="45"/>
  <c r="F174" i="45"/>
  <c r="G174" i="45"/>
  <c r="D178" i="45"/>
  <c r="G178" i="45"/>
  <c r="D179" i="45"/>
  <c r="G179" i="45"/>
  <c r="D180" i="45"/>
  <c r="G180" i="45"/>
  <c r="D181" i="45"/>
  <c r="G181" i="45"/>
  <c r="D182" i="45"/>
  <c r="G182" i="45"/>
  <c r="D183" i="45"/>
  <c r="G183" i="45"/>
  <c r="D184" i="45"/>
  <c r="G184" i="45"/>
  <c r="D25" i="44"/>
  <c r="D6" i="44"/>
  <c r="F6" i="44"/>
  <c r="D95" i="44"/>
  <c r="F57" i="44"/>
  <c r="H57" i="44"/>
  <c r="D165" i="44"/>
  <c r="F123" i="44"/>
  <c r="H123" i="44"/>
  <c r="D205" i="44"/>
  <c r="F185" i="44"/>
  <c r="H185" i="44"/>
  <c r="D227" i="44"/>
  <c r="F217" i="44"/>
  <c r="H217" i="44"/>
  <c r="D284" i="44"/>
  <c r="F246" i="44"/>
  <c r="H246" i="44"/>
  <c r="D341" i="44"/>
  <c r="F310" i="44"/>
  <c r="H310" i="44"/>
  <c r="B356" i="44"/>
  <c r="F356" i="44"/>
  <c r="G356" i="44"/>
  <c r="D360" i="44"/>
  <c r="D361" i="44"/>
  <c r="D362" i="44"/>
  <c r="D363" i="44"/>
  <c r="D364" i="44"/>
  <c r="D365" i="44"/>
  <c r="D366" i="44"/>
  <c r="D1007" i="43"/>
  <c r="D1008" i="43"/>
  <c r="D1009" i="43"/>
  <c r="D1010" i="43"/>
  <c r="D1011" i="43"/>
  <c r="D1013" i="43"/>
  <c r="D1014" i="43"/>
  <c r="D1015" i="43"/>
  <c r="D1016" i="43"/>
  <c r="D1017" i="43"/>
  <c r="D1025" i="43"/>
  <c r="C4" i="42"/>
  <c r="C5" i="42"/>
  <c r="C7" i="42"/>
  <c r="C5" i="41"/>
  <c r="C31" i="41"/>
  <c r="J52" i="41"/>
  <c r="B13" i="42"/>
  <c r="B14" i="42"/>
  <c r="B15" i="42"/>
  <c r="C21" i="42"/>
  <c r="C22" i="42"/>
  <c r="C24" i="42"/>
  <c r="B30" i="42"/>
  <c r="B31" i="42"/>
  <c r="B32" i="42"/>
  <c r="C38" i="42"/>
  <c r="C39" i="42"/>
  <c r="C41" i="42"/>
  <c r="B47" i="42"/>
  <c r="B48" i="42"/>
  <c r="B49" i="42"/>
  <c r="C55" i="42"/>
  <c r="C56" i="42"/>
  <c r="C58" i="42"/>
  <c r="B64" i="42"/>
  <c r="B65" i="42"/>
  <c r="B66" i="42"/>
  <c r="C72" i="42"/>
  <c r="C73" i="42"/>
  <c r="C75" i="42"/>
  <c r="B81" i="42"/>
  <c r="B82" i="42"/>
  <c r="B83" i="42"/>
  <c r="C89" i="42"/>
  <c r="C90" i="42"/>
  <c r="C92" i="42"/>
  <c r="B98" i="42"/>
  <c r="B99" i="42"/>
  <c r="B100" i="42"/>
  <c r="C106" i="42"/>
  <c r="C107" i="42"/>
  <c r="C109" i="42"/>
  <c r="B115" i="42"/>
  <c r="B116" i="42"/>
  <c r="B117" i="42"/>
  <c r="C123" i="42"/>
  <c r="C124" i="42"/>
  <c r="C126" i="42"/>
  <c r="F126" i="42"/>
  <c r="C128" i="42"/>
  <c r="D129" i="42"/>
  <c r="F129" i="42"/>
  <c r="E129" i="42"/>
  <c r="D130" i="42"/>
  <c r="F130" i="42"/>
  <c r="E130" i="42"/>
  <c r="B132" i="42"/>
  <c r="B133" i="42"/>
  <c r="B134" i="42"/>
  <c r="B135" i="42"/>
  <c r="C140" i="42"/>
  <c r="C141" i="42"/>
  <c r="C143" i="42"/>
  <c r="F143" i="42"/>
  <c r="C145" i="42"/>
  <c r="D146" i="42"/>
  <c r="F146" i="42"/>
  <c r="E146" i="42"/>
  <c r="D147" i="42"/>
  <c r="F147" i="42"/>
  <c r="E147" i="42"/>
  <c r="B149" i="42"/>
  <c r="B150" i="42"/>
  <c r="B151" i="42"/>
  <c r="B152" i="42"/>
  <c r="C157" i="42"/>
  <c r="C158" i="42"/>
  <c r="C160" i="42"/>
  <c r="F160" i="42"/>
  <c r="C162" i="42"/>
  <c r="D163" i="42"/>
  <c r="F163" i="42"/>
  <c r="E163" i="42"/>
  <c r="D164" i="42"/>
  <c r="F164" i="42"/>
  <c r="E164" i="42"/>
  <c r="B166" i="42"/>
  <c r="B167" i="42"/>
  <c r="B168" i="42"/>
  <c r="B169" i="42"/>
  <c r="C174" i="42"/>
  <c r="C175" i="42"/>
  <c r="C177" i="42"/>
  <c r="F177" i="42"/>
  <c r="C179" i="42"/>
  <c r="D180" i="42"/>
  <c r="F180" i="42"/>
  <c r="E180" i="42"/>
  <c r="D181" i="42"/>
  <c r="F181" i="42"/>
  <c r="E181" i="42"/>
  <c r="B183" i="42"/>
  <c r="B184" i="42"/>
  <c r="B185" i="42"/>
  <c r="B186" i="42"/>
  <c r="C191" i="42"/>
  <c r="C192" i="42"/>
  <c r="C194" i="42"/>
  <c r="F194" i="42"/>
  <c r="C196" i="42"/>
  <c r="D197" i="42"/>
  <c r="F197" i="42"/>
  <c r="E197" i="42"/>
  <c r="D198" i="42"/>
  <c r="F198" i="42"/>
  <c r="E198" i="42"/>
  <c r="B200" i="42"/>
  <c r="B201" i="42"/>
  <c r="B202" i="42"/>
  <c r="B203" i="42"/>
  <c r="C208" i="42"/>
  <c r="C209" i="42"/>
  <c r="C211" i="42"/>
  <c r="F211" i="42"/>
  <c r="C213" i="42"/>
  <c r="D214" i="42"/>
  <c r="F214" i="42"/>
  <c r="E214" i="42"/>
  <c r="D215" i="42"/>
  <c r="F215" i="42"/>
  <c r="E215" i="42"/>
  <c r="B217" i="42"/>
  <c r="B218" i="42"/>
  <c r="B219" i="42"/>
  <c r="B220" i="42"/>
  <c r="C225" i="42"/>
  <c r="C226" i="42"/>
  <c r="C228" i="42"/>
  <c r="F228" i="42"/>
  <c r="C230" i="42"/>
  <c r="D231" i="42"/>
  <c r="F231" i="42"/>
  <c r="E231" i="42"/>
  <c r="D232" i="42"/>
  <c r="F232" i="42"/>
  <c r="E232" i="42"/>
  <c r="B234" i="42"/>
  <c r="B235" i="42"/>
  <c r="B236" i="42"/>
  <c r="B237" i="42"/>
  <c r="C242" i="42"/>
  <c r="C243" i="42"/>
  <c r="C245" i="42"/>
  <c r="F245" i="42"/>
  <c r="C247" i="42"/>
  <c r="D248" i="42"/>
  <c r="F248" i="42"/>
  <c r="E248" i="42"/>
  <c r="D249" i="42"/>
  <c r="F249" i="42"/>
  <c r="E249" i="42"/>
  <c r="B251" i="42"/>
  <c r="B252" i="42"/>
  <c r="B253" i="42"/>
  <c r="B254" i="42"/>
  <c r="C259" i="42"/>
  <c r="C260" i="42"/>
  <c r="C262" i="42"/>
  <c r="F262" i="42"/>
  <c r="C264" i="42"/>
  <c r="D265" i="42"/>
  <c r="F265" i="42"/>
  <c r="E265" i="42"/>
  <c r="D266" i="42"/>
  <c r="F266" i="42"/>
  <c r="E266" i="42"/>
  <c r="B268" i="42"/>
  <c r="B269" i="42"/>
  <c r="B270" i="42"/>
  <c r="B271" i="42"/>
  <c r="C276" i="42"/>
  <c r="C277" i="42"/>
  <c r="C279" i="42"/>
  <c r="F279" i="42"/>
  <c r="C281" i="42"/>
  <c r="D282" i="42"/>
  <c r="F282" i="42"/>
  <c r="E282" i="42"/>
  <c r="D283" i="42"/>
  <c r="F283" i="42"/>
  <c r="E283" i="42"/>
  <c r="B285" i="42"/>
  <c r="B286" i="42"/>
  <c r="B287" i="42"/>
  <c r="B288" i="42"/>
  <c r="C293" i="42"/>
  <c r="C294" i="42"/>
  <c r="C296" i="42"/>
  <c r="J13" i="41"/>
  <c r="J14" i="41"/>
  <c r="C126" i="41"/>
  <c r="B302" i="42"/>
  <c r="B303" i="42"/>
  <c r="B304" i="42"/>
  <c r="C310" i="42"/>
  <c r="C311" i="42"/>
  <c r="C313" i="42"/>
  <c r="B319" i="42"/>
  <c r="B320" i="42"/>
  <c r="B321" i="42"/>
  <c r="C327" i="42"/>
  <c r="C328" i="42"/>
  <c r="C330" i="42"/>
  <c r="B336" i="42"/>
  <c r="B337" i="42"/>
  <c r="B338" i="42"/>
  <c r="C344" i="42"/>
  <c r="C345" i="42"/>
  <c r="C347" i="42"/>
  <c r="B353" i="42"/>
  <c r="B354" i="42"/>
  <c r="B355" i="42"/>
  <c r="C361" i="42"/>
  <c r="C362" i="42"/>
  <c r="C364" i="42"/>
  <c r="B370" i="42"/>
  <c r="B371" i="42"/>
  <c r="B372" i="42"/>
  <c r="C378" i="42"/>
  <c r="C379" i="42"/>
  <c r="C381" i="42"/>
  <c r="B387" i="42"/>
  <c r="B388" i="42"/>
  <c r="B389" i="42"/>
  <c r="C395" i="42"/>
  <c r="C396" i="42"/>
  <c r="C398" i="42"/>
  <c r="B404" i="42"/>
  <c r="B405" i="42"/>
  <c r="B406" i="42"/>
  <c r="C412" i="42"/>
  <c r="C413" i="42"/>
  <c r="C415" i="42"/>
  <c r="B421" i="42"/>
  <c r="B422" i="42"/>
  <c r="B423" i="42"/>
  <c r="C429" i="42"/>
  <c r="C430" i="42"/>
  <c r="C432" i="42"/>
  <c r="B438" i="42"/>
  <c r="B439" i="42"/>
  <c r="B440" i="42"/>
  <c r="C446" i="42"/>
  <c r="C447" i="42"/>
  <c r="C449" i="42"/>
  <c r="B455" i="42"/>
  <c r="B456" i="42"/>
  <c r="B457" i="42"/>
  <c r="C463" i="42"/>
  <c r="C464" i="42"/>
  <c r="C466" i="42"/>
  <c r="B472" i="42"/>
  <c r="B473" i="42"/>
  <c r="B474" i="42"/>
  <c r="C480" i="42"/>
  <c r="C481" i="42"/>
  <c r="C483" i="42"/>
  <c r="B489" i="42"/>
  <c r="B490" i="42"/>
  <c r="B491" i="42"/>
  <c r="C497" i="42"/>
  <c r="C498" i="42"/>
  <c r="C500" i="42"/>
  <c r="B506" i="42"/>
  <c r="B507" i="42"/>
  <c r="B508" i="42"/>
  <c r="C514" i="42"/>
  <c r="C515" i="42"/>
  <c r="C517" i="42"/>
  <c r="B523" i="42"/>
  <c r="B524" i="42"/>
  <c r="B525" i="42"/>
  <c r="C531" i="42"/>
  <c r="C532" i="42"/>
  <c r="C534" i="42"/>
  <c r="B540" i="42"/>
  <c r="B541" i="42"/>
  <c r="B542" i="42"/>
  <c r="C548" i="42"/>
  <c r="C549" i="42"/>
  <c r="C551" i="42"/>
  <c r="B557" i="42"/>
  <c r="B558" i="42"/>
  <c r="B559" i="42"/>
  <c r="C565" i="42"/>
  <c r="C566" i="42"/>
  <c r="C568" i="42"/>
  <c r="J15" i="41"/>
  <c r="C166" i="41"/>
  <c r="B574" i="42"/>
  <c r="B575" i="42"/>
  <c r="B576" i="42"/>
  <c r="C582" i="42"/>
  <c r="C583" i="42"/>
  <c r="C585" i="42"/>
  <c r="B591" i="42"/>
  <c r="B592" i="42"/>
  <c r="B593" i="42"/>
  <c r="C599" i="42"/>
  <c r="C600" i="42"/>
  <c r="C602" i="42"/>
  <c r="B608" i="42"/>
  <c r="B609" i="42"/>
  <c r="B610" i="42"/>
  <c r="C616" i="42"/>
  <c r="C617" i="42"/>
  <c r="C619" i="42"/>
  <c r="B625" i="42"/>
  <c r="B626" i="42"/>
  <c r="B627" i="42"/>
  <c r="C633" i="42"/>
  <c r="C634" i="42"/>
  <c r="C636" i="42"/>
  <c r="B642" i="42"/>
  <c r="B643" i="42"/>
  <c r="B644" i="42"/>
  <c r="C650" i="42"/>
  <c r="C651" i="42"/>
  <c r="C653" i="42"/>
  <c r="B659" i="42"/>
  <c r="B660" i="42"/>
  <c r="B661" i="42"/>
  <c r="C667" i="42"/>
  <c r="C668" i="42"/>
  <c r="C670" i="42"/>
  <c r="B676" i="42"/>
  <c r="B677" i="42"/>
  <c r="B678" i="42"/>
  <c r="C684" i="42"/>
  <c r="C685" i="42"/>
  <c r="C687" i="42"/>
  <c r="B693" i="42"/>
  <c r="B694" i="42"/>
  <c r="B695" i="42"/>
  <c r="C701" i="42"/>
  <c r="C702" i="42"/>
  <c r="C704" i="42"/>
  <c r="B710" i="42"/>
  <c r="B711" i="42"/>
  <c r="B712" i="42"/>
  <c r="C718" i="42"/>
  <c r="C719" i="42"/>
  <c r="C721" i="42"/>
  <c r="B727" i="42"/>
  <c r="B728" i="42"/>
  <c r="B729" i="42"/>
  <c r="C735" i="42"/>
  <c r="C736" i="42"/>
  <c r="C738" i="42"/>
  <c r="J16" i="41"/>
  <c r="C196" i="41"/>
  <c r="B744" i="42"/>
  <c r="B745" i="42"/>
  <c r="B746" i="42"/>
  <c r="C752" i="42"/>
  <c r="C753" i="42"/>
  <c r="C755" i="42"/>
  <c r="B761" i="42"/>
  <c r="B762" i="42"/>
  <c r="B763" i="42"/>
  <c r="C769" i="42"/>
  <c r="C770" i="42"/>
  <c r="C772" i="42"/>
  <c r="B778" i="42"/>
  <c r="B779" i="42"/>
  <c r="B780" i="42"/>
  <c r="C786" i="42"/>
  <c r="C787" i="42"/>
  <c r="C789" i="42"/>
  <c r="B795" i="42"/>
  <c r="B796" i="42"/>
  <c r="B797" i="42"/>
  <c r="C803" i="42"/>
  <c r="C804" i="42"/>
  <c r="C806" i="42"/>
  <c r="B812" i="42"/>
  <c r="B813" i="42"/>
  <c r="B814" i="42"/>
  <c r="C820" i="42"/>
  <c r="C821" i="42"/>
  <c r="C823" i="42"/>
  <c r="B829" i="42"/>
  <c r="B830" i="42"/>
  <c r="B831" i="42"/>
  <c r="C837" i="42"/>
  <c r="C838" i="42"/>
  <c r="C840" i="42"/>
  <c r="B846" i="42"/>
  <c r="B847" i="42"/>
  <c r="B848" i="42"/>
  <c r="C854" i="42"/>
  <c r="C855" i="42"/>
  <c r="C857" i="42"/>
  <c r="B863" i="42"/>
  <c r="B864" i="42"/>
  <c r="B865" i="42"/>
  <c r="C871" i="42"/>
  <c r="C872" i="42"/>
  <c r="C874" i="42"/>
  <c r="B880" i="42"/>
  <c r="B881" i="42"/>
  <c r="B882" i="42"/>
  <c r="C888" i="42"/>
  <c r="C889" i="42"/>
  <c r="C891" i="42"/>
  <c r="B897" i="42"/>
  <c r="B898" i="42"/>
  <c r="B899" i="42"/>
  <c r="C905" i="42"/>
  <c r="C906" i="42"/>
  <c r="C908" i="42"/>
  <c r="B914" i="42"/>
  <c r="B915" i="42"/>
  <c r="B916" i="42"/>
  <c r="C922" i="42"/>
  <c r="C923" i="42"/>
  <c r="C925" i="42"/>
  <c r="B931" i="42"/>
  <c r="B932" i="42"/>
  <c r="B933" i="42"/>
  <c r="C939" i="42"/>
  <c r="C940" i="42"/>
  <c r="C942" i="42"/>
  <c r="B948" i="42"/>
  <c r="B949" i="42"/>
  <c r="B950" i="42"/>
  <c r="C956" i="42"/>
  <c r="C957" i="42"/>
  <c r="C959" i="42"/>
  <c r="B965" i="42"/>
  <c r="B966" i="42"/>
  <c r="B967" i="42"/>
  <c r="C973" i="42"/>
  <c r="C974" i="42"/>
  <c r="C976" i="42"/>
  <c r="J17" i="41"/>
  <c r="C232" i="41"/>
  <c r="B982" i="42"/>
  <c r="B983" i="42"/>
  <c r="B984" i="42"/>
  <c r="C990" i="42"/>
  <c r="C991" i="42"/>
  <c r="C993" i="42"/>
  <c r="B999" i="42"/>
  <c r="B1000" i="42"/>
  <c r="B1001" i="42"/>
  <c r="C1007" i="42"/>
  <c r="C1008" i="42"/>
  <c r="C1010" i="42"/>
  <c r="B1016" i="42"/>
  <c r="B1017" i="42"/>
  <c r="B1018" i="42"/>
  <c r="C1024" i="42"/>
  <c r="C1025" i="42"/>
  <c r="C1027" i="42"/>
  <c r="B1033" i="42"/>
  <c r="B1034" i="42"/>
  <c r="B1035" i="42"/>
  <c r="C1041" i="42"/>
  <c r="C1042" i="42"/>
  <c r="C1044" i="42"/>
  <c r="B1050" i="42"/>
  <c r="B1051" i="42"/>
  <c r="B1052" i="42"/>
  <c r="C1058" i="42"/>
  <c r="C1059" i="42"/>
  <c r="C1061" i="42"/>
  <c r="B1067" i="42"/>
  <c r="B1068" i="42"/>
  <c r="B1069" i="42"/>
  <c r="C1075" i="42"/>
  <c r="C1076" i="42"/>
  <c r="C1078" i="42"/>
  <c r="B1084" i="42"/>
  <c r="B1085" i="42"/>
  <c r="B1086" i="42"/>
  <c r="C1092" i="42"/>
  <c r="C1093" i="42"/>
  <c r="C1095" i="42"/>
  <c r="B1101" i="42"/>
  <c r="B1102" i="42"/>
  <c r="B1103" i="42"/>
  <c r="C1109" i="42"/>
  <c r="C1110" i="42"/>
  <c r="C1112" i="42"/>
  <c r="B1118" i="42"/>
  <c r="B1119" i="42"/>
  <c r="B1120" i="42"/>
  <c r="C1126" i="42"/>
  <c r="C1127" i="42"/>
  <c r="C1129" i="42"/>
  <c r="B1135" i="42"/>
  <c r="B1136" i="42"/>
  <c r="B1137" i="42"/>
  <c r="C1143" i="42"/>
  <c r="C1144" i="42"/>
  <c r="C1146" i="42"/>
  <c r="B1152" i="42"/>
  <c r="B1153" i="42"/>
  <c r="B1154" i="42"/>
  <c r="C1160" i="42"/>
  <c r="C1161" i="42"/>
  <c r="C1163" i="42"/>
  <c r="B1169" i="42"/>
  <c r="B1170" i="42"/>
  <c r="B1171" i="42"/>
  <c r="C1177" i="42"/>
  <c r="C1178" i="42"/>
  <c r="C1180" i="42"/>
  <c r="B1186" i="42"/>
  <c r="B1187" i="42"/>
  <c r="B1188" i="42"/>
  <c r="C1194" i="42"/>
  <c r="C1195" i="42"/>
  <c r="C1197" i="42"/>
  <c r="J18" i="41"/>
  <c r="C267" i="41"/>
  <c r="B1203" i="42"/>
  <c r="B1204" i="42"/>
  <c r="B1205" i="42"/>
  <c r="C1211" i="42"/>
  <c r="C1212" i="42"/>
  <c r="C1214" i="42"/>
  <c r="B1220" i="42"/>
  <c r="B1221" i="42"/>
  <c r="B1222" i="42"/>
  <c r="C1228" i="42"/>
  <c r="C1229" i="42"/>
  <c r="C1231" i="42"/>
  <c r="B1237" i="42"/>
  <c r="B1238" i="42"/>
  <c r="B1239" i="42"/>
  <c r="C1245" i="42"/>
  <c r="C1246" i="42"/>
  <c r="C1248" i="42"/>
  <c r="B1254" i="42"/>
  <c r="B1255" i="42"/>
  <c r="B1256" i="42"/>
  <c r="C1262" i="42"/>
  <c r="C1263" i="42"/>
  <c r="C1265" i="42"/>
  <c r="B1271" i="42"/>
  <c r="B1272" i="42"/>
  <c r="B1273" i="42"/>
  <c r="C1279" i="42"/>
  <c r="C1280" i="42"/>
  <c r="C1282" i="42"/>
  <c r="B1288" i="42"/>
  <c r="B1289" i="42"/>
  <c r="B1290" i="42"/>
  <c r="C1296" i="42"/>
  <c r="C1297" i="42"/>
  <c r="C1299" i="42"/>
  <c r="B1305" i="42"/>
  <c r="B1306" i="42"/>
  <c r="B1307" i="42"/>
  <c r="C1313" i="42"/>
  <c r="C1314" i="42"/>
  <c r="C1316" i="42"/>
  <c r="B1322" i="42"/>
  <c r="B1323" i="42"/>
  <c r="B1324" i="42"/>
  <c r="C1330" i="42"/>
  <c r="C1331" i="42"/>
  <c r="C1333" i="42"/>
  <c r="B1339" i="42"/>
  <c r="B1340" i="42"/>
  <c r="B1341" i="42"/>
  <c r="C1347" i="42"/>
  <c r="C1348" i="42"/>
  <c r="C1350" i="42"/>
  <c r="B1356" i="42"/>
  <c r="B1357" i="42"/>
  <c r="B1358" i="42"/>
  <c r="C1364" i="42"/>
  <c r="C1365" i="42"/>
  <c r="C1367" i="42"/>
  <c r="B1373" i="42"/>
  <c r="B1374" i="42"/>
  <c r="B1375" i="42"/>
  <c r="C1381" i="42"/>
  <c r="C1382" i="42"/>
  <c r="C1384" i="42"/>
  <c r="B1390" i="42"/>
  <c r="B1391" i="42"/>
  <c r="B1392" i="42"/>
  <c r="C1398" i="42"/>
  <c r="C1399" i="42"/>
  <c r="C1401" i="42"/>
  <c r="B1407" i="42"/>
  <c r="B1408" i="42"/>
  <c r="B1409" i="42"/>
  <c r="C1415" i="42"/>
  <c r="C1416" i="42"/>
  <c r="C1418" i="42"/>
  <c r="B1424" i="42"/>
  <c r="B1425" i="42"/>
  <c r="B1426" i="42"/>
  <c r="C1432" i="42"/>
  <c r="C1433" i="42"/>
  <c r="C1435" i="42"/>
  <c r="B1441" i="42"/>
  <c r="B1442" i="42"/>
  <c r="B1443" i="42"/>
  <c r="C1449" i="42"/>
  <c r="C1450" i="42"/>
  <c r="C1452" i="42"/>
  <c r="B1458" i="42"/>
  <c r="B1459" i="42"/>
  <c r="B1460" i="42"/>
  <c r="C1466" i="42"/>
  <c r="C1467" i="42"/>
  <c r="C1469" i="42"/>
  <c r="B1475" i="42"/>
  <c r="B1476" i="42"/>
  <c r="B1477" i="42"/>
  <c r="C1483" i="42"/>
  <c r="C1484" i="42"/>
  <c r="C1486" i="42"/>
  <c r="B1492" i="42"/>
  <c r="B1493" i="42"/>
  <c r="B1494" i="42"/>
  <c r="C1500" i="42"/>
  <c r="C1501" i="42"/>
  <c r="C1503" i="42"/>
  <c r="B1509" i="42"/>
  <c r="B1510" i="42"/>
  <c r="B1511" i="42"/>
  <c r="C1517" i="42"/>
  <c r="C1518" i="42"/>
  <c r="C1520" i="42"/>
  <c r="B1526" i="42"/>
  <c r="B1527" i="42"/>
  <c r="B1528" i="42"/>
  <c r="C1534" i="42"/>
  <c r="C1535" i="42"/>
  <c r="C1537" i="42"/>
  <c r="B1543" i="42"/>
  <c r="B1544" i="42"/>
  <c r="B1545" i="42"/>
  <c r="C1551" i="42"/>
  <c r="C1552" i="42"/>
  <c r="C1554" i="42"/>
  <c r="F1554" i="42"/>
  <c r="C1556" i="42"/>
  <c r="D1557" i="42"/>
  <c r="F1557" i="42"/>
  <c r="E1557" i="42"/>
  <c r="D1558" i="42"/>
  <c r="F1558" i="42"/>
  <c r="E1558" i="42"/>
  <c r="B1560" i="42"/>
  <c r="B1561" i="42"/>
  <c r="B1562" i="42"/>
  <c r="B1563" i="42"/>
  <c r="C1568" i="42"/>
  <c r="C1569" i="42"/>
  <c r="C1571" i="42"/>
  <c r="B1577" i="42"/>
  <c r="B1578" i="42"/>
  <c r="B1579" i="42"/>
  <c r="C1585" i="42"/>
  <c r="C1586" i="42"/>
  <c r="C1588" i="42"/>
  <c r="B1594" i="42"/>
  <c r="B1595" i="42"/>
  <c r="B1596" i="42"/>
  <c r="C1602" i="42"/>
  <c r="C1603" i="42"/>
  <c r="C1605" i="42"/>
  <c r="B1611" i="42"/>
  <c r="B1612" i="42"/>
  <c r="B1613" i="42"/>
  <c r="C1619" i="42"/>
  <c r="C1620" i="42"/>
  <c r="C1622" i="42"/>
  <c r="B1628" i="42"/>
  <c r="B1629" i="42"/>
  <c r="B1630" i="42"/>
  <c r="C1636" i="42"/>
  <c r="C1637" i="42"/>
  <c r="C1639" i="42"/>
  <c r="B1645" i="42"/>
  <c r="B1646" i="42"/>
  <c r="B1647" i="42"/>
  <c r="C1653" i="42"/>
  <c r="C1654" i="42"/>
  <c r="C1656" i="42"/>
  <c r="B1662" i="42"/>
  <c r="B1663" i="42"/>
  <c r="B1664" i="42"/>
  <c r="C1670" i="42"/>
  <c r="C1671" i="42"/>
  <c r="C1673" i="42"/>
  <c r="B1679" i="42"/>
  <c r="B1680" i="42"/>
  <c r="B1681" i="42"/>
  <c r="C1687" i="42"/>
  <c r="C1688" i="42"/>
  <c r="C1690" i="42"/>
  <c r="B1696" i="42"/>
  <c r="B1697" i="42"/>
  <c r="B1698" i="42"/>
  <c r="C1704" i="42"/>
  <c r="C1705" i="42"/>
  <c r="C1707" i="42"/>
  <c r="F1707" i="42"/>
  <c r="C1709" i="42"/>
  <c r="D1710" i="42"/>
  <c r="F1710" i="42"/>
  <c r="E1710" i="42"/>
  <c r="D1711" i="42"/>
  <c r="F1711" i="42"/>
  <c r="E1711" i="42"/>
  <c r="B1713" i="42"/>
  <c r="B1714" i="42"/>
  <c r="B1715" i="42"/>
  <c r="B1716" i="42"/>
  <c r="C1721" i="42"/>
  <c r="C1722" i="42"/>
  <c r="C1724" i="42"/>
  <c r="F1724" i="42"/>
  <c r="C1726" i="42"/>
  <c r="D1727" i="42"/>
  <c r="F1727" i="42"/>
  <c r="E1727" i="42"/>
  <c r="D1728" i="42"/>
  <c r="F1728" i="42"/>
  <c r="E1728" i="42"/>
  <c r="B1730" i="42"/>
  <c r="B1731" i="42"/>
  <c r="B1732" i="42"/>
  <c r="B1733" i="42"/>
  <c r="C1738" i="42"/>
  <c r="C1739" i="42"/>
  <c r="C1741" i="42"/>
  <c r="F1741" i="42"/>
  <c r="C1743" i="42"/>
  <c r="D1744" i="42"/>
  <c r="F1744" i="42"/>
  <c r="E1744" i="42"/>
  <c r="D1745" i="42"/>
  <c r="F1745" i="42"/>
  <c r="E1745" i="42"/>
  <c r="B1747" i="42"/>
  <c r="B1748" i="42"/>
  <c r="B1749" i="42"/>
  <c r="B1750" i="42"/>
  <c r="C1755" i="42"/>
  <c r="C1756" i="42"/>
  <c r="C1758" i="42"/>
  <c r="F1758" i="42"/>
  <c r="C1760" i="42"/>
  <c r="D1761" i="42"/>
  <c r="F1761" i="42"/>
  <c r="E1761" i="42"/>
  <c r="D1762" i="42"/>
  <c r="F1762" i="42"/>
  <c r="E1762" i="42"/>
  <c r="B1764" i="42"/>
  <c r="B1765" i="42"/>
  <c r="B1766" i="42"/>
  <c r="B1767" i="42"/>
  <c r="H5" i="41"/>
  <c r="C9" i="41"/>
  <c r="E9" i="41"/>
  <c r="J19" i="41"/>
  <c r="J20" i="41"/>
  <c r="H21" i="41"/>
  <c r="I21" i="41"/>
  <c r="O39" i="41"/>
  <c r="R39" i="41"/>
  <c r="O40" i="41"/>
  <c r="Q40" i="41"/>
  <c r="S40" i="41"/>
  <c r="O41" i="41"/>
  <c r="R41" i="41"/>
  <c r="O42" i="41"/>
  <c r="R42" i="41"/>
  <c r="T42" i="41"/>
  <c r="O43" i="41"/>
  <c r="Q43" i="41"/>
  <c r="T43" i="41"/>
  <c r="O44" i="41"/>
  <c r="Q44" i="41"/>
  <c r="S44" i="41"/>
  <c r="O45" i="41"/>
  <c r="R45" i="41"/>
  <c r="O46" i="41"/>
  <c r="R46" i="41"/>
  <c r="T46" i="41"/>
  <c r="O47" i="41"/>
  <c r="Q47" i="41"/>
  <c r="T47" i="41"/>
  <c r="O48" i="41"/>
  <c r="P48" i="41"/>
  <c r="R48" i="41"/>
  <c r="T48" i="41"/>
  <c r="O49" i="41"/>
  <c r="Q49" i="41"/>
  <c r="T49" i="41"/>
  <c r="O50" i="41"/>
  <c r="Q50" i="41"/>
  <c r="S50" i="41"/>
  <c r="O51" i="41"/>
  <c r="R51" i="41"/>
  <c r="O52" i="41"/>
  <c r="R52" i="41"/>
  <c r="T52" i="41"/>
  <c r="D53" i="41"/>
  <c r="C13" i="41"/>
  <c r="O68" i="41"/>
  <c r="Q68" i="41"/>
  <c r="T68" i="41"/>
  <c r="O69" i="41"/>
  <c r="Q69" i="41"/>
  <c r="S69" i="41"/>
  <c r="O70" i="41"/>
  <c r="R70" i="41"/>
  <c r="O71" i="41"/>
  <c r="R71" i="41"/>
  <c r="T71" i="41"/>
  <c r="O72" i="41"/>
  <c r="Q72" i="41"/>
  <c r="T72" i="41"/>
  <c r="O73" i="41"/>
  <c r="Q73" i="41"/>
  <c r="S73" i="41"/>
  <c r="O74" i="41"/>
  <c r="R74" i="41"/>
  <c r="O75" i="41"/>
  <c r="R75" i="41"/>
  <c r="T75" i="41"/>
  <c r="O76" i="41"/>
  <c r="Q76" i="41"/>
  <c r="T76" i="41"/>
  <c r="O77" i="41"/>
  <c r="Q77" i="41"/>
  <c r="S77" i="41"/>
  <c r="O78" i="41"/>
  <c r="R78" i="41"/>
  <c r="O79" i="41"/>
  <c r="R79" i="41"/>
  <c r="T79" i="41"/>
  <c r="O80" i="41"/>
  <c r="Q80" i="41"/>
  <c r="T80" i="41"/>
  <c r="O81" i="41"/>
  <c r="Q81" i="41"/>
  <c r="S81" i="41"/>
  <c r="D82" i="41"/>
  <c r="C19" i="41"/>
  <c r="O99" i="41"/>
  <c r="R99" i="41"/>
  <c r="O100" i="41"/>
  <c r="Q100" i="41"/>
  <c r="S100" i="41"/>
  <c r="O101" i="41"/>
  <c r="R101" i="41"/>
  <c r="O102" i="41"/>
  <c r="Q102" i="41"/>
  <c r="S102" i="41"/>
  <c r="O103" i="41"/>
  <c r="R103" i="41"/>
  <c r="O104" i="41"/>
  <c r="Q104" i="41"/>
  <c r="S104" i="41"/>
  <c r="O105" i="41"/>
  <c r="R105" i="41"/>
  <c r="O106" i="41"/>
  <c r="Q106" i="41"/>
  <c r="S106" i="41"/>
  <c r="O107" i="41"/>
  <c r="R107" i="41"/>
  <c r="O108" i="41"/>
  <c r="Q108" i="41"/>
  <c r="S108" i="41"/>
  <c r="O109" i="41"/>
  <c r="R109" i="41"/>
  <c r="O110" i="41"/>
  <c r="Q110" i="41"/>
  <c r="S110" i="41"/>
  <c r="T110" i="41"/>
  <c r="O111" i="41"/>
  <c r="Q111" i="41"/>
  <c r="R111" i="41"/>
  <c r="T111" i="41"/>
  <c r="O112" i="41"/>
  <c r="E112" i="41"/>
  <c r="G112" i="41"/>
  <c r="Q112" i="41"/>
  <c r="R112" i="41"/>
  <c r="S112" i="41"/>
  <c r="T112" i="41"/>
  <c r="O113" i="41"/>
  <c r="E113" i="41"/>
  <c r="G113" i="41"/>
  <c r="R113" i="41"/>
  <c r="T113" i="41"/>
  <c r="O114" i="41"/>
  <c r="Q114" i="41"/>
  <c r="R114" i="41"/>
  <c r="S114" i="41"/>
  <c r="T114" i="41"/>
  <c r="O115" i="41"/>
  <c r="P115" i="41"/>
  <c r="B1597" i="42"/>
  <c r="R115" i="41"/>
  <c r="T115" i="41"/>
  <c r="O116" i="41"/>
  <c r="Q116" i="41"/>
  <c r="R116" i="41"/>
  <c r="S116" i="41"/>
  <c r="T116" i="41"/>
  <c r="D117" i="41"/>
  <c r="C20" i="41"/>
  <c r="H126" i="41"/>
  <c r="H127" i="41"/>
  <c r="O134" i="41"/>
  <c r="Q134" i="41"/>
  <c r="R134" i="41"/>
  <c r="T134" i="41"/>
  <c r="O135" i="41"/>
  <c r="Q135" i="41"/>
  <c r="R135" i="41"/>
  <c r="S135" i="41"/>
  <c r="T135" i="41"/>
  <c r="O136" i="41"/>
  <c r="Q136" i="41"/>
  <c r="R136" i="41"/>
  <c r="T136" i="41"/>
  <c r="O137" i="41"/>
  <c r="P137" i="41"/>
  <c r="Q137" i="41"/>
  <c r="R137" i="41"/>
  <c r="S137" i="41"/>
  <c r="T137" i="41"/>
  <c r="O138" i="41"/>
  <c r="E138" i="41"/>
  <c r="P138" i="41"/>
  <c r="Q138" i="41"/>
  <c r="R138" i="41"/>
  <c r="S138" i="41"/>
  <c r="T138" i="41"/>
  <c r="O139" i="41"/>
  <c r="E139" i="41"/>
  <c r="G139" i="41"/>
  <c r="P139" i="41"/>
  <c r="Q139" i="41"/>
  <c r="R139" i="41"/>
  <c r="S139" i="41"/>
  <c r="T139" i="41"/>
  <c r="O140" i="41"/>
  <c r="E140" i="41"/>
  <c r="G140" i="41"/>
  <c r="P140" i="41"/>
  <c r="Q140" i="41"/>
  <c r="R140" i="41"/>
  <c r="S140" i="41"/>
  <c r="T140" i="41"/>
  <c r="O141" i="41"/>
  <c r="Q141" i="41"/>
  <c r="R141" i="41"/>
  <c r="S141" i="41"/>
  <c r="T141" i="41"/>
  <c r="O142" i="41"/>
  <c r="Q142" i="41"/>
  <c r="R142" i="41"/>
  <c r="T142" i="41"/>
  <c r="O143" i="41"/>
  <c r="P143" i="41"/>
  <c r="B373" i="42"/>
  <c r="R143" i="41"/>
  <c r="T143" i="41"/>
  <c r="O144" i="41"/>
  <c r="Q144" i="41"/>
  <c r="R144" i="41"/>
  <c r="S144" i="41"/>
  <c r="T144" i="41"/>
  <c r="O145" i="41"/>
  <c r="Q145" i="41"/>
  <c r="R145" i="41"/>
  <c r="T145" i="41"/>
  <c r="O146" i="41"/>
  <c r="Q146" i="41"/>
  <c r="R146" i="41"/>
  <c r="S146" i="41"/>
  <c r="T146" i="41"/>
  <c r="O147" i="41"/>
  <c r="Q147" i="41"/>
  <c r="R147" i="41"/>
  <c r="T147" i="41"/>
  <c r="O148" i="41"/>
  <c r="Q148" i="41"/>
  <c r="R148" i="41"/>
  <c r="S148" i="41"/>
  <c r="T148" i="41"/>
  <c r="O149" i="41"/>
  <c r="Q149" i="41"/>
  <c r="R149" i="41"/>
  <c r="T149" i="41"/>
  <c r="O150" i="41"/>
  <c r="Q150" i="41"/>
  <c r="R150" i="41"/>
  <c r="S150" i="41"/>
  <c r="T150" i="41"/>
  <c r="O151" i="41"/>
  <c r="Q151" i="41"/>
  <c r="R151" i="41"/>
  <c r="T151" i="41"/>
  <c r="O152" i="41"/>
  <c r="Q152" i="41"/>
  <c r="R152" i="41"/>
  <c r="S152" i="41"/>
  <c r="T152" i="41"/>
  <c r="O153" i="41"/>
  <c r="E153" i="41"/>
  <c r="G153" i="41"/>
  <c r="Q153" i="41"/>
  <c r="S153" i="41"/>
  <c r="O154" i="41"/>
  <c r="E154" i="41"/>
  <c r="P154" i="41"/>
  <c r="B526" i="42"/>
  <c r="Q154" i="41"/>
  <c r="R154" i="41"/>
  <c r="S154" i="41"/>
  <c r="T154" i="41"/>
  <c r="O155" i="41"/>
  <c r="E155" i="41"/>
  <c r="P155" i="41"/>
  <c r="B543" i="42"/>
  <c r="Q155" i="41"/>
  <c r="R155" i="41"/>
  <c r="S155" i="41"/>
  <c r="T155" i="41"/>
  <c r="O156" i="41"/>
  <c r="Q156" i="41"/>
  <c r="R156" i="41"/>
  <c r="T156" i="41"/>
  <c r="D157" i="41"/>
  <c r="C14" i="41"/>
  <c r="P157" i="41"/>
  <c r="H167" i="41"/>
  <c r="H168" i="41"/>
  <c r="O174" i="41"/>
  <c r="Q174" i="41"/>
  <c r="R174" i="41"/>
  <c r="S174" i="41"/>
  <c r="T174" i="41"/>
  <c r="O175" i="41"/>
  <c r="Q175" i="41"/>
  <c r="R175" i="41"/>
  <c r="T175" i="41"/>
  <c r="O176" i="41"/>
  <c r="Q176" i="41"/>
  <c r="R176" i="41"/>
  <c r="S176" i="41"/>
  <c r="T176" i="41"/>
  <c r="O177" i="41"/>
  <c r="Q177" i="41"/>
  <c r="R177" i="41"/>
  <c r="T177" i="41"/>
  <c r="O178" i="41"/>
  <c r="Q178" i="41"/>
  <c r="R178" i="41"/>
  <c r="S178" i="41"/>
  <c r="T178" i="41"/>
  <c r="O179" i="41"/>
  <c r="Q179" i="41"/>
  <c r="R179" i="41"/>
  <c r="T179" i="41"/>
  <c r="O180" i="41"/>
  <c r="Q180" i="41"/>
  <c r="R180" i="41"/>
  <c r="S180" i="41"/>
  <c r="T180" i="41"/>
  <c r="O181" i="41"/>
  <c r="Q181" i="41"/>
  <c r="R181" i="41"/>
  <c r="T181" i="41"/>
  <c r="O182" i="41"/>
  <c r="Q182" i="41"/>
  <c r="R182" i="41"/>
  <c r="S182" i="41"/>
  <c r="T182" i="41"/>
  <c r="O183" i="41"/>
  <c r="Q183" i="41"/>
  <c r="R183" i="41"/>
  <c r="T183" i="41"/>
  <c r="O184" i="41"/>
  <c r="Q184" i="41"/>
  <c r="R184" i="41"/>
  <c r="S184" i="41"/>
  <c r="T184" i="41"/>
  <c r="O185" i="41"/>
  <c r="Q185" i="41"/>
  <c r="R185" i="41"/>
  <c r="T185" i="41"/>
  <c r="O186" i="41"/>
  <c r="Q186" i="41"/>
  <c r="R186" i="41"/>
  <c r="S186" i="41"/>
  <c r="T186" i="41"/>
  <c r="D187" i="41"/>
  <c r="C15" i="41"/>
  <c r="P187" i="41"/>
  <c r="H196" i="41"/>
  <c r="H197" i="41"/>
  <c r="O204" i="41"/>
  <c r="Q204" i="41"/>
  <c r="R204" i="41"/>
  <c r="S204" i="41"/>
  <c r="T204" i="41"/>
  <c r="O205" i="41"/>
  <c r="Q205" i="41"/>
  <c r="R205" i="41"/>
  <c r="T205" i="41"/>
  <c r="O206" i="41"/>
  <c r="Q206" i="41"/>
  <c r="R206" i="41"/>
  <c r="S206" i="41"/>
  <c r="T206" i="41"/>
  <c r="O207" i="41"/>
  <c r="Q207" i="41"/>
  <c r="R207" i="41"/>
  <c r="T207" i="41"/>
  <c r="O208" i="41"/>
  <c r="E208" i="41"/>
  <c r="G208" i="41"/>
  <c r="P208" i="41"/>
  <c r="Q208" i="41"/>
  <c r="R208" i="41"/>
  <c r="S208" i="41"/>
  <c r="T208" i="41"/>
  <c r="O209" i="41"/>
  <c r="E209" i="41"/>
  <c r="G209" i="41"/>
  <c r="P209" i="41"/>
  <c r="Q209" i="41"/>
  <c r="R209" i="41"/>
  <c r="S209" i="41"/>
  <c r="T209" i="41"/>
  <c r="O210" i="41"/>
  <c r="E210" i="41"/>
  <c r="G210" i="41"/>
  <c r="P210" i="41"/>
  <c r="Q210" i="41"/>
  <c r="R210" i="41"/>
  <c r="S210" i="41"/>
  <c r="T210" i="41"/>
  <c r="O211" i="41"/>
  <c r="Q211" i="41"/>
  <c r="R211" i="41"/>
  <c r="S211" i="41"/>
  <c r="T211" i="41"/>
  <c r="O212" i="41"/>
  <c r="Q212" i="41"/>
  <c r="R212" i="41"/>
  <c r="T212" i="41"/>
  <c r="O213" i="41"/>
  <c r="Q213" i="41"/>
  <c r="R213" i="41"/>
  <c r="S213" i="41"/>
  <c r="T213" i="41"/>
  <c r="O214" i="41"/>
  <c r="E214" i="41"/>
  <c r="P214" i="41"/>
  <c r="B866" i="42"/>
  <c r="Q214" i="41"/>
  <c r="R214" i="41"/>
  <c r="S214" i="41"/>
  <c r="T214" i="41"/>
  <c r="O215" i="41"/>
  <c r="Q215" i="41"/>
  <c r="R215" i="41"/>
  <c r="T215" i="41"/>
  <c r="O216" i="41"/>
  <c r="Q216" i="41"/>
  <c r="R216" i="41"/>
  <c r="S216" i="41"/>
  <c r="T216" i="41"/>
  <c r="O217" i="41"/>
  <c r="Q217" i="41"/>
  <c r="R217" i="41"/>
  <c r="T217" i="41"/>
  <c r="O218" i="41"/>
  <c r="Q218" i="41"/>
  <c r="R218" i="41"/>
  <c r="S218" i="41"/>
  <c r="T218" i="41"/>
  <c r="O219" i="41"/>
  <c r="Q219" i="41"/>
  <c r="R219" i="41"/>
  <c r="T219" i="41"/>
  <c r="O220" i="41"/>
  <c r="Q220" i="41"/>
  <c r="R220" i="41"/>
  <c r="S220" i="41"/>
  <c r="T220" i="41"/>
  <c r="O221" i="41"/>
  <c r="Q221" i="41"/>
  <c r="R221" i="41"/>
  <c r="T221" i="41"/>
  <c r="O222" i="41"/>
  <c r="Q222" i="41"/>
  <c r="R222" i="41"/>
  <c r="S222" i="41"/>
  <c r="T222" i="41"/>
  <c r="D223" i="41"/>
  <c r="C16" i="41"/>
  <c r="H233" i="41"/>
  <c r="O240" i="41"/>
  <c r="P240" i="41"/>
  <c r="B985" i="42"/>
  <c r="Q240" i="41"/>
  <c r="R240" i="41"/>
  <c r="S240" i="41"/>
  <c r="T240" i="41"/>
  <c r="O241" i="41"/>
  <c r="P241" i="41"/>
  <c r="B1002" i="42"/>
  <c r="R241" i="41"/>
  <c r="T241" i="41"/>
  <c r="O242" i="41"/>
  <c r="Q242" i="41"/>
  <c r="R242" i="41"/>
  <c r="S242" i="41"/>
  <c r="T242" i="41"/>
  <c r="O243" i="41"/>
  <c r="Q243" i="41"/>
  <c r="R243" i="41"/>
  <c r="T243" i="41"/>
  <c r="G244" i="41"/>
  <c r="O244" i="41"/>
  <c r="R244" i="41"/>
  <c r="T244" i="41"/>
  <c r="O245" i="41"/>
  <c r="P245" i="41"/>
  <c r="B1070" i="42"/>
  <c r="Q245" i="41"/>
  <c r="R245" i="41"/>
  <c r="S245" i="41"/>
  <c r="T245" i="41"/>
  <c r="O246" i="41"/>
  <c r="R246" i="41"/>
  <c r="T246" i="41"/>
  <c r="O247" i="41"/>
  <c r="P247" i="41"/>
  <c r="B1104" i="42"/>
  <c r="Q247" i="41"/>
  <c r="R247" i="41"/>
  <c r="S247" i="41"/>
  <c r="T247" i="41"/>
  <c r="O248" i="41"/>
  <c r="R248" i="41"/>
  <c r="T248" i="41"/>
  <c r="O249" i="41"/>
  <c r="Q249" i="41"/>
  <c r="R249" i="41"/>
  <c r="S249" i="41"/>
  <c r="T249" i="41"/>
  <c r="O250" i="41"/>
  <c r="R250" i="41"/>
  <c r="T250" i="41"/>
  <c r="O251" i="41"/>
  <c r="Q251" i="41"/>
  <c r="R251" i="41"/>
  <c r="S251" i="41"/>
  <c r="T251" i="41"/>
  <c r="O252" i="41"/>
  <c r="T252" i="41"/>
  <c r="O253" i="41"/>
  <c r="Q253" i="41"/>
  <c r="R253" i="41"/>
  <c r="S253" i="41"/>
  <c r="T253" i="41"/>
  <c r="O254" i="41"/>
  <c r="T254" i="41"/>
  <c r="O255" i="41"/>
  <c r="Q255" i="41"/>
  <c r="R255" i="41"/>
  <c r="S255" i="41"/>
  <c r="T255" i="41"/>
  <c r="O256" i="41"/>
  <c r="T256" i="41"/>
  <c r="O257" i="41"/>
  <c r="P257" i="41"/>
  <c r="B1189" i="42"/>
  <c r="Q257" i="41"/>
  <c r="R257" i="41"/>
  <c r="S257" i="41"/>
  <c r="T257" i="41"/>
  <c r="D258" i="41"/>
  <c r="C17" i="41"/>
  <c r="H268" i="41"/>
  <c r="O275" i="41"/>
  <c r="R275" i="41"/>
  <c r="T275" i="41"/>
  <c r="G276" i="41"/>
  <c r="O276" i="41"/>
  <c r="P276" i="41"/>
  <c r="B1223" i="42"/>
  <c r="Q276" i="41"/>
  <c r="R276" i="41"/>
  <c r="S276" i="41"/>
  <c r="T276" i="41"/>
  <c r="G277" i="41"/>
  <c r="O277" i="41"/>
  <c r="T277" i="41"/>
  <c r="G278" i="41"/>
  <c r="O278" i="41"/>
  <c r="P278" i="41"/>
  <c r="B1257" i="42"/>
  <c r="Q278" i="41"/>
  <c r="R278" i="41"/>
  <c r="S278" i="41"/>
  <c r="T278" i="41"/>
  <c r="G279" i="41"/>
  <c r="O279" i="41"/>
  <c r="R279" i="41"/>
  <c r="T279" i="41"/>
  <c r="G280" i="41"/>
  <c r="O280" i="41"/>
  <c r="P280" i="41"/>
  <c r="B1291" i="42"/>
  <c r="Q280" i="41"/>
  <c r="R280" i="41"/>
  <c r="S280" i="41"/>
  <c r="T280" i="41"/>
  <c r="G281" i="41"/>
  <c r="O281" i="41"/>
  <c r="T281" i="41"/>
  <c r="G282" i="41"/>
  <c r="O282" i="41"/>
  <c r="P282" i="41"/>
  <c r="Q282" i="41"/>
  <c r="R282" i="41"/>
  <c r="S282" i="41"/>
  <c r="T282" i="41"/>
  <c r="G283" i="41"/>
  <c r="O283" i="41"/>
  <c r="R283" i="41"/>
  <c r="T283" i="41"/>
  <c r="G284" i="41"/>
  <c r="O284" i="41"/>
  <c r="P284" i="41"/>
  <c r="B1342" i="42"/>
  <c r="Q284" i="41"/>
  <c r="R284" i="41"/>
  <c r="S284" i="41"/>
  <c r="T284" i="41"/>
  <c r="O285" i="41"/>
  <c r="E285" i="41"/>
  <c r="P285" i="41"/>
  <c r="B1359" i="42"/>
  <c r="Q285" i="41"/>
  <c r="R285" i="41"/>
  <c r="S285" i="41"/>
  <c r="T285" i="41"/>
  <c r="D286" i="41"/>
  <c r="P286" i="41"/>
  <c r="J303" i="41"/>
  <c r="O291" i="41"/>
  <c r="S291" i="41"/>
  <c r="O292" i="41"/>
  <c r="S292" i="41"/>
  <c r="O293" i="41"/>
  <c r="S293" i="41"/>
  <c r="D294" i="41"/>
  <c r="I294" i="41"/>
  <c r="O294" i="41"/>
  <c r="S294" i="41"/>
  <c r="D295" i="41"/>
  <c r="O295" i="41"/>
  <c r="E307" i="41"/>
  <c r="G307" i="41"/>
  <c r="P295" i="41"/>
  <c r="Q295" i="41"/>
  <c r="R295" i="41"/>
  <c r="S295" i="41"/>
  <c r="T295" i="41"/>
  <c r="O296" i="41"/>
  <c r="E308" i="41"/>
  <c r="G308" i="41"/>
  <c r="P296" i="41"/>
  <c r="Q296" i="41"/>
  <c r="R296" i="41"/>
  <c r="S296" i="41"/>
  <c r="T296" i="41"/>
  <c r="O297" i="41"/>
  <c r="E309" i="41"/>
  <c r="G309" i="41"/>
  <c r="P297" i="41"/>
  <c r="Q297" i="41"/>
  <c r="R297" i="41"/>
  <c r="S297" i="41"/>
  <c r="T297" i="41"/>
  <c r="H298" i="41"/>
  <c r="C4" i="40"/>
  <c r="C5" i="40"/>
  <c r="C7" i="40"/>
  <c r="H6" i="39"/>
  <c r="C6" i="39"/>
  <c r="C29" i="39"/>
  <c r="H30" i="39"/>
  <c r="H31" i="39"/>
  <c r="K37" i="39"/>
  <c r="B13" i="40"/>
  <c r="B14" i="40"/>
  <c r="B15" i="40"/>
  <c r="C21" i="40"/>
  <c r="C22" i="40"/>
  <c r="C24" i="40"/>
  <c r="B30" i="40"/>
  <c r="B31" i="40"/>
  <c r="B32" i="40"/>
  <c r="C38" i="40"/>
  <c r="C39" i="40"/>
  <c r="C41" i="40"/>
  <c r="B47" i="40"/>
  <c r="B48" i="40"/>
  <c r="B49" i="40"/>
  <c r="C55" i="40"/>
  <c r="C56" i="40"/>
  <c r="C58" i="40"/>
  <c r="B64" i="40"/>
  <c r="B65" i="40"/>
  <c r="B66" i="40"/>
  <c r="C72" i="40"/>
  <c r="C73" i="40"/>
  <c r="C75" i="40"/>
  <c r="B81" i="40"/>
  <c r="B82" i="40"/>
  <c r="B83" i="40"/>
  <c r="C89" i="40"/>
  <c r="C90" i="40"/>
  <c r="C92" i="40"/>
  <c r="B98" i="40"/>
  <c r="B99" i="40"/>
  <c r="B100" i="40"/>
  <c r="C106" i="40"/>
  <c r="C107" i="40"/>
  <c r="C109" i="40"/>
  <c r="B115" i="40"/>
  <c r="B116" i="40"/>
  <c r="B117" i="40"/>
  <c r="C123" i="40"/>
  <c r="C124" i="40"/>
  <c r="C126" i="40"/>
  <c r="B132" i="40"/>
  <c r="B133" i="40"/>
  <c r="B134" i="40"/>
  <c r="C140" i="40"/>
  <c r="C141" i="40"/>
  <c r="C143" i="40"/>
  <c r="B149" i="40"/>
  <c r="B150" i="40"/>
  <c r="B151" i="40"/>
  <c r="C157" i="40"/>
  <c r="C158" i="40"/>
  <c r="C160" i="40"/>
  <c r="B166" i="40"/>
  <c r="B167" i="40"/>
  <c r="B168" i="40"/>
  <c r="C174" i="40"/>
  <c r="C175" i="40"/>
  <c r="C177" i="40"/>
  <c r="B183" i="40"/>
  <c r="B184" i="40"/>
  <c r="B185" i="40"/>
  <c r="C191" i="40"/>
  <c r="C192" i="40"/>
  <c r="C194" i="40"/>
  <c r="B200" i="40"/>
  <c r="B201" i="40"/>
  <c r="B202" i="40"/>
  <c r="C208" i="40"/>
  <c r="C209" i="40"/>
  <c r="C211" i="40"/>
  <c r="B217" i="40"/>
  <c r="B218" i="40"/>
  <c r="B219" i="40"/>
  <c r="C225" i="40"/>
  <c r="C226" i="40"/>
  <c r="C228" i="40"/>
  <c r="B234" i="40"/>
  <c r="B235" i="40"/>
  <c r="B236" i="40"/>
  <c r="C242" i="40"/>
  <c r="C243" i="40"/>
  <c r="C245" i="40"/>
  <c r="B251" i="40"/>
  <c r="B252" i="40"/>
  <c r="B253" i="40"/>
  <c r="C259" i="40"/>
  <c r="C260" i="40"/>
  <c r="C262" i="40"/>
  <c r="B268" i="40"/>
  <c r="B269" i="40"/>
  <c r="B270" i="40"/>
  <c r="C276" i="40"/>
  <c r="C277" i="40"/>
  <c r="C279" i="40"/>
  <c r="B285" i="40"/>
  <c r="B286" i="40"/>
  <c r="B287" i="40"/>
  <c r="C293" i="40"/>
  <c r="C294" i="40"/>
  <c r="C296" i="40"/>
  <c r="B302" i="40"/>
  <c r="B303" i="40"/>
  <c r="B304" i="40"/>
  <c r="C310" i="40"/>
  <c r="C311" i="40"/>
  <c r="C313" i="40"/>
  <c r="B319" i="40"/>
  <c r="B320" i="40"/>
  <c r="B321" i="40"/>
  <c r="C327" i="40"/>
  <c r="C328" i="40"/>
  <c r="C330" i="40"/>
  <c r="B336" i="40"/>
  <c r="B337" i="40"/>
  <c r="B338" i="40"/>
  <c r="C344" i="40"/>
  <c r="C345" i="40"/>
  <c r="C347" i="40"/>
  <c r="B353" i="40"/>
  <c r="B354" i="40"/>
  <c r="B355" i="40"/>
  <c r="C361" i="40"/>
  <c r="C362" i="40"/>
  <c r="C364" i="40"/>
  <c r="B370" i="40"/>
  <c r="B371" i="40"/>
  <c r="B372" i="40"/>
  <c r="C378" i="40"/>
  <c r="C379" i="40"/>
  <c r="C381" i="40"/>
  <c r="B387" i="40"/>
  <c r="B388" i="40"/>
  <c r="B389" i="40"/>
  <c r="C395" i="40"/>
  <c r="C396" i="40"/>
  <c r="C398" i="40"/>
  <c r="B404" i="40"/>
  <c r="B405" i="40"/>
  <c r="B406" i="40"/>
  <c r="C412" i="40"/>
  <c r="C413" i="40"/>
  <c r="C415" i="40"/>
  <c r="B421" i="40"/>
  <c r="B422" i="40"/>
  <c r="B423" i="40"/>
  <c r="C429" i="40"/>
  <c r="C430" i="40"/>
  <c r="C432" i="40"/>
  <c r="B438" i="40"/>
  <c r="B439" i="40"/>
  <c r="B440" i="40"/>
  <c r="C446" i="40"/>
  <c r="C447" i="40"/>
  <c r="C449" i="40"/>
  <c r="B455" i="40"/>
  <c r="B456" i="40"/>
  <c r="B457" i="40"/>
  <c r="C463" i="40"/>
  <c r="C464" i="40"/>
  <c r="C466" i="40"/>
  <c r="B472" i="40"/>
  <c r="B473" i="40"/>
  <c r="B474" i="40"/>
  <c r="C480" i="40"/>
  <c r="C481" i="40"/>
  <c r="C483" i="40"/>
  <c r="B489" i="40"/>
  <c r="B490" i="40"/>
  <c r="B491" i="40"/>
  <c r="C497" i="40"/>
  <c r="C498" i="40"/>
  <c r="C500" i="40"/>
  <c r="B506" i="40"/>
  <c r="B507" i="40"/>
  <c r="B508" i="40"/>
  <c r="C514" i="40"/>
  <c r="C515" i="40"/>
  <c r="C517" i="40"/>
  <c r="B523" i="40"/>
  <c r="B524" i="40"/>
  <c r="B525" i="40"/>
  <c r="C531" i="40"/>
  <c r="C532" i="40"/>
  <c r="C534" i="40"/>
  <c r="B540" i="40"/>
  <c r="B541" i="40"/>
  <c r="B542" i="40"/>
  <c r="C548" i="40"/>
  <c r="C549" i="40"/>
  <c r="C551" i="40"/>
  <c r="B557" i="40"/>
  <c r="B558" i="40"/>
  <c r="B559" i="40"/>
  <c r="C565" i="40"/>
  <c r="C566" i="40"/>
  <c r="C568" i="40"/>
  <c r="B574" i="40"/>
  <c r="B575" i="40"/>
  <c r="B576" i="40"/>
  <c r="C582" i="40"/>
  <c r="C583" i="40"/>
  <c r="C585" i="40"/>
  <c r="B591" i="40"/>
  <c r="B592" i="40"/>
  <c r="B593" i="40"/>
  <c r="C599" i="40"/>
  <c r="C600" i="40"/>
  <c r="C602" i="40"/>
  <c r="B608" i="40"/>
  <c r="B609" i="40"/>
  <c r="B610" i="40"/>
  <c r="C616" i="40"/>
  <c r="C617" i="40"/>
  <c r="C619" i="40"/>
  <c r="B625" i="40"/>
  <c r="B626" i="40"/>
  <c r="B627" i="40"/>
  <c r="C633" i="40"/>
  <c r="C634" i="40"/>
  <c r="C636" i="40"/>
  <c r="B642" i="40"/>
  <c r="B643" i="40"/>
  <c r="B644" i="40"/>
  <c r="C650" i="40"/>
  <c r="C651" i="40"/>
  <c r="C653" i="40"/>
  <c r="B659" i="40"/>
  <c r="B660" i="40"/>
  <c r="B661" i="40"/>
  <c r="C667" i="40"/>
  <c r="C668" i="40"/>
  <c r="C670" i="40"/>
  <c r="B676" i="40"/>
  <c r="B677" i="40"/>
  <c r="B678" i="40"/>
  <c r="C684" i="40"/>
  <c r="C685" i="40"/>
  <c r="C687" i="40"/>
  <c r="B693" i="40"/>
  <c r="B694" i="40"/>
  <c r="B695" i="40"/>
  <c r="C701" i="40"/>
  <c r="C702" i="40"/>
  <c r="C704" i="40"/>
  <c r="B710" i="40"/>
  <c r="B711" i="40"/>
  <c r="B712" i="40"/>
  <c r="C718" i="40"/>
  <c r="C719" i="40"/>
  <c r="C721" i="40"/>
  <c r="B727" i="40"/>
  <c r="B728" i="40"/>
  <c r="B729" i="40"/>
  <c r="C735" i="40"/>
  <c r="C736" i="40"/>
  <c r="C738" i="40"/>
  <c r="B744" i="40"/>
  <c r="B745" i="40"/>
  <c r="B746" i="40"/>
  <c r="C752" i="40"/>
  <c r="C753" i="40"/>
  <c r="C755" i="40"/>
  <c r="B761" i="40"/>
  <c r="B762" i="40"/>
  <c r="B763" i="40"/>
  <c r="C769" i="40"/>
  <c r="C770" i="40"/>
  <c r="C772" i="40"/>
  <c r="B778" i="40"/>
  <c r="B779" i="40"/>
  <c r="B780" i="40"/>
  <c r="C786" i="40"/>
  <c r="C787" i="40"/>
  <c r="C789" i="40"/>
  <c r="B795" i="40"/>
  <c r="B796" i="40"/>
  <c r="B797" i="40"/>
  <c r="C803" i="40"/>
  <c r="C804" i="40"/>
  <c r="C806" i="40"/>
  <c r="B812" i="40"/>
  <c r="B813" i="40"/>
  <c r="B814" i="40"/>
  <c r="C820" i="40"/>
  <c r="C821" i="40"/>
  <c r="C823" i="40"/>
  <c r="B829" i="40"/>
  <c r="B830" i="40"/>
  <c r="B831" i="40"/>
  <c r="C837" i="40"/>
  <c r="C838" i="40"/>
  <c r="C840" i="40"/>
  <c r="B846" i="40"/>
  <c r="B847" i="40"/>
  <c r="B848" i="40"/>
  <c r="C854" i="40"/>
  <c r="C855" i="40"/>
  <c r="C857" i="40"/>
  <c r="B863" i="40"/>
  <c r="B864" i="40"/>
  <c r="B865" i="40"/>
  <c r="C871" i="40"/>
  <c r="C872" i="40"/>
  <c r="C874" i="40"/>
  <c r="B880" i="40"/>
  <c r="B881" i="40"/>
  <c r="B882" i="40"/>
  <c r="C888" i="40"/>
  <c r="C889" i="40"/>
  <c r="C891" i="40"/>
  <c r="B897" i="40"/>
  <c r="B898" i="40"/>
  <c r="B899" i="40"/>
  <c r="C905" i="40"/>
  <c r="C906" i="40"/>
  <c r="C908" i="40"/>
  <c r="B914" i="40"/>
  <c r="B915" i="40"/>
  <c r="B916" i="40"/>
  <c r="C922" i="40"/>
  <c r="C923" i="40"/>
  <c r="C925" i="40"/>
  <c r="B931" i="40"/>
  <c r="B932" i="40"/>
  <c r="B933" i="40"/>
  <c r="C939" i="40"/>
  <c r="C940" i="40"/>
  <c r="C942" i="40"/>
  <c r="B948" i="40"/>
  <c r="B949" i="40"/>
  <c r="B950" i="40"/>
  <c r="C956" i="40"/>
  <c r="C957" i="40"/>
  <c r="C959" i="40"/>
  <c r="B965" i="40"/>
  <c r="B966" i="40"/>
  <c r="B967" i="40"/>
  <c r="C973" i="40"/>
  <c r="C974" i="40"/>
  <c r="C976" i="40"/>
  <c r="B982" i="40"/>
  <c r="B983" i="40"/>
  <c r="B984" i="40"/>
  <c r="C990" i="40"/>
  <c r="C991" i="40"/>
  <c r="C993" i="40"/>
  <c r="B999" i="40"/>
  <c r="B1000" i="40"/>
  <c r="B1001" i="40"/>
  <c r="C1007" i="40"/>
  <c r="C1008" i="40"/>
  <c r="C1010" i="40"/>
  <c r="B1016" i="40"/>
  <c r="B1017" i="40"/>
  <c r="B1018" i="40"/>
  <c r="C1024" i="40"/>
  <c r="C1025" i="40"/>
  <c r="C1027" i="40"/>
  <c r="B1033" i="40"/>
  <c r="B1034" i="40"/>
  <c r="B1035" i="40"/>
  <c r="C1041" i="40"/>
  <c r="C1042" i="40"/>
  <c r="C1044" i="40"/>
  <c r="B1050" i="40"/>
  <c r="B1051" i="40"/>
  <c r="B1052" i="40"/>
  <c r="C1058" i="40"/>
  <c r="C1059" i="40"/>
  <c r="C1061" i="40"/>
  <c r="B1067" i="40"/>
  <c r="B1068" i="40"/>
  <c r="B1069" i="40"/>
  <c r="C1075" i="40"/>
  <c r="C1076" i="40"/>
  <c r="C1078" i="40"/>
  <c r="B1084" i="40"/>
  <c r="B1085" i="40"/>
  <c r="B1086" i="40"/>
  <c r="C1092" i="40"/>
  <c r="C1093" i="40"/>
  <c r="C1095" i="40"/>
  <c r="B1101" i="40"/>
  <c r="B1102" i="40"/>
  <c r="B1103" i="40"/>
  <c r="C1109" i="40"/>
  <c r="C1110" i="40"/>
  <c r="C1112" i="40"/>
  <c r="B1118" i="40"/>
  <c r="B1119" i="40"/>
  <c r="B1120" i="40"/>
  <c r="C1126" i="40"/>
  <c r="C1127" i="40"/>
  <c r="C1129" i="40"/>
  <c r="B1135" i="40"/>
  <c r="B1136" i="40"/>
  <c r="B1137" i="40"/>
  <c r="C1143" i="40"/>
  <c r="C1144" i="40"/>
  <c r="C1146" i="40"/>
  <c r="B1152" i="40"/>
  <c r="B1153" i="40"/>
  <c r="B1154" i="40"/>
  <c r="C1160" i="40"/>
  <c r="C1161" i="40"/>
  <c r="C1163" i="40"/>
  <c r="B1169" i="40"/>
  <c r="B1170" i="40"/>
  <c r="B1171" i="40"/>
  <c r="C1177" i="40"/>
  <c r="C1178" i="40"/>
  <c r="C1180" i="40"/>
  <c r="B1186" i="40"/>
  <c r="B1187" i="40"/>
  <c r="B1188" i="40"/>
  <c r="C1194" i="40"/>
  <c r="C1195" i="40"/>
  <c r="C1197" i="40"/>
  <c r="B1203" i="40"/>
  <c r="B1204" i="40"/>
  <c r="B1205" i="40"/>
  <c r="C1211" i="40"/>
  <c r="C1212" i="40"/>
  <c r="C1214" i="40"/>
  <c r="B1220" i="40"/>
  <c r="B1221" i="40"/>
  <c r="B1222" i="40"/>
  <c r="C1228" i="40"/>
  <c r="C1229" i="40"/>
  <c r="C1231" i="40"/>
  <c r="B1237" i="40"/>
  <c r="B1238" i="40"/>
  <c r="B1239" i="40"/>
  <c r="C1245" i="40"/>
  <c r="C1246" i="40"/>
  <c r="C1248" i="40"/>
  <c r="B1254" i="40"/>
  <c r="B1255" i="40"/>
  <c r="B1256" i="40"/>
  <c r="C1262" i="40"/>
  <c r="C1263" i="40"/>
  <c r="C1265" i="40"/>
  <c r="B1271" i="40"/>
  <c r="B1272" i="40"/>
  <c r="B1273" i="40"/>
  <c r="C1279" i="40"/>
  <c r="C1280" i="40"/>
  <c r="C1282" i="40"/>
  <c r="B1288" i="40"/>
  <c r="B1289" i="40"/>
  <c r="B1290" i="40"/>
  <c r="C1296" i="40"/>
  <c r="C1297" i="40"/>
  <c r="C1299" i="40"/>
  <c r="B1305" i="40"/>
  <c r="B1306" i="40"/>
  <c r="B1307" i="40"/>
  <c r="C1313" i="40"/>
  <c r="C1314" i="40"/>
  <c r="C1316" i="40"/>
  <c r="B1322" i="40"/>
  <c r="B1323" i="40"/>
  <c r="B1324" i="40"/>
  <c r="C1330" i="40"/>
  <c r="C1331" i="40"/>
  <c r="C1333" i="40"/>
  <c r="B1339" i="40"/>
  <c r="B1340" i="40"/>
  <c r="B1341" i="40"/>
  <c r="C1347" i="40"/>
  <c r="C1348" i="40"/>
  <c r="C1350" i="40"/>
  <c r="B1356" i="40"/>
  <c r="B1357" i="40"/>
  <c r="B1358" i="40"/>
  <c r="C1364" i="40"/>
  <c r="C1365" i="40"/>
  <c r="C1367" i="40"/>
  <c r="B1373" i="40"/>
  <c r="B1374" i="40"/>
  <c r="B1375" i="40"/>
  <c r="C1381" i="40"/>
  <c r="C1382" i="40"/>
  <c r="C1384" i="40"/>
  <c r="B1390" i="40"/>
  <c r="B1391" i="40"/>
  <c r="B1392" i="40"/>
  <c r="C1398" i="40"/>
  <c r="C1399" i="40"/>
  <c r="C1401" i="40"/>
  <c r="B1407" i="40"/>
  <c r="B1408" i="40"/>
  <c r="B1409" i="40"/>
  <c r="C1415" i="40"/>
  <c r="C1416" i="40"/>
  <c r="C1418" i="40"/>
  <c r="B1424" i="40"/>
  <c r="B1425" i="40"/>
  <c r="B1426" i="40"/>
  <c r="C1432" i="40"/>
  <c r="C1433" i="40"/>
  <c r="C1435" i="40"/>
  <c r="B1441" i="40"/>
  <c r="B1442" i="40"/>
  <c r="B1443" i="40"/>
  <c r="C1449" i="40"/>
  <c r="C1450" i="40"/>
  <c r="C1452" i="40"/>
  <c r="B1458" i="40"/>
  <c r="B1459" i="40"/>
  <c r="B1460" i="40"/>
  <c r="C1466" i="40"/>
  <c r="C1467" i="40"/>
  <c r="C1469" i="40"/>
  <c r="B1475" i="40"/>
  <c r="B1476" i="40"/>
  <c r="B1477" i="40"/>
  <c r="C1483" i="40"/>
  <c r="C1484" i="40"/>
  <c r="C1486" i="40"/>
  <c r="B1492" i="40"/>
  <c r="B1493" i="40"/>
  <c r="B1494" i="40"/>
  <c r="C1500" i="40"/>
  <c r="C1501" i="40"/>
  <c r="C1503" i="40"/>
  <c r="B1509" i="40"/>
  <c r="B1510" i="40"/>
  <c r="B1511" i="40"/>
  <c r="C1517" i="40"/>
  <c r="C1518" i="40"/>
  <c r="C1520" i="40"/>
  <c r="B1526" i="40"/>
  <c r="B1527" i="40"/>
  <c r="B1528" i="40"/>
  <c r="C1534" i="40"/>
  <c r="C1535" i="40"/>
  <c r="C1537" i="40"/>
  <c r="B1543" i="40"/>
  <c r="B1544" i="40"/>
  <c r="B1545" i="40"/>
  <c r="C1551" i="40"/>
  <c r="C1552" i="40"/>
  <c r="C1554" i="40"/>
  <c r="B1560" i="40"/>
  <c r="B1561" i="40"/>
  <c r="B1562" i="40"/>
  <c r="C1568" i="40"/>
  <c r="C1569" i="40"/>
  <c r="C1571" i="40"/>
  <c r="B1577" i="40"/>
  <c r="B1578" i="40"/>
  <c r="B1579" i="40"/>
  <c r="C1585" i="40"/>
  <c r="C1586" i="40"/>
  <c r="C1588" i="40"/>
  <c r="B1594" i="40"/>
  <c r="B1595" i="40"/>
  <c r="B1596" i="40"/>
  <c r="C1602" i="40"/>
  <c r="C1603" i="40"/>
  <c r="C1605" i="40"/>
  <c r="B1611" i="40"/>
  <c r="B1612" i="40"/>
  <c r="B1613" i="40"/>
  <c r="C1619" i="40"/>
  <c r="C1620" i="40"/>
  <c r="C1622" i="40"/>
  <c r="B1628" i="40"/>
  <c r="B1629" i="40"/>
  <c r="B1630" i="40"/>
  <c r="C1636" i="40"/>
  <c r="C1637" i="40"/>
  <c r="C1639" i="40"/>
  <c r="B1645" i="40"/>
  <c r="B1646" i="40"/>
  <c r="B1647" i="40"/>
  <c r="C1653" i="40"/>
  <c r="C1654" i="40"/>
  <c r="C1656" i="40"/>
  <c r="B1662" i="40"/>
  <c r="B1663" i="40"/>
  <c r="B1664" i="40"/>
  <c r="C1670" i="40"/>
  <c r="C1671" i="40"/>
  <c r="C1673" i="40"/>
  <c r="B1679" i="40"/>
  <c r="B1680" i="40"/>
  <c r="B1681" i="40"/>
  <c r="C1687" i="40"/>
  <c r="C1688" i="40"/>
  <c r="C1690" i="40"/>
  <c r="B1696" i="40"/>
  <c r="B1697" i="40"/>
  <c r="B1698" i="40"/>
  <c r="C1704" i="40"/>
  <c r="C1705" i="40"/>
  <c r="C1707" i="40"/>
  <c r="B1713" i="40"/>
  <c r="B1714" i="40"/>
  <c r="B1715" i="40"/>
  <c r="C1721" i="40"/>
  <c r="C1722" i="40"/>
  <c r="C1724" i="40"/>
  <c r="B1730" i="40"/>
  <c r="B1731" i="40"/>
  <c r="B1732" i="40"/>
  <c r="C1738" i="40"/>
  <c r="C1739" i="40"/>
  <c r="C1741" i="40"/>
  <c r="B1747" i="40"/>
  <c r="B1748" i="40"/>
  <c r="B1749" i="40"/>
  <c r="C1755" i="40"/>
  <c r="C1756" i="40"/>
  <c r="C1758" i="40"/>
  <c r="B1764" i="40"/>
  <c r="B1765" i="40"/>
  <c r="B1766" i="40"/>
  <c r="C1772" i="40"/>
  <c r="C1773" i="40"/>
  <c r="C1775" i="40"/>
  <c r="B1781" i="40"/>
  <c r="B1782" i="40"/>
  <c r="B1783" i="40"/>
  <c r="C1789" i="40"/>
  <c r="C1790" i="40"/>
  <c r="C1792" i="40"/>
  <c r="B1798" i="40"/>
  <c r="B1799" i="40"/>
  <c r="B1800" i="40"/>
  <c r="C1806" i="40"/>
  <c r="C1807" i="40"/>
  <c r="C1809" i="40"/>
  <c r="B1815" i="40"/>
  <c r="B1816" i="40"/>
  <c r="B1817" i="40"/>
  <c r="C1823" i="40"/>
  <c r="C1824" i="40"/>
  <c r="C1826" i="40"/>
  <c r="B1832" i="40"/>
  <c r="B1833" i="40"/>
  <c r="B1834" i="40"/>
  <c r="C1840" i="40"/>
  <c r="C1841" i="40"/>
  <c r="C1843" i="40"/>
  <c r="B1849" i="40"/>
  <c r="B1850" i="40"/>
  <c r="B1851" i="40"/>
  <c r="C1857" i="40"/>
  <c r="C1858" i="40"/>
  <c r="C1860" i="40"/>
  <c r="B1866" i="40"/>
  <c r="B1867" i="40"/>
  <c r="B1868" i="40"/>
  <c r="C1874" i="40"/>
  <c r="C1875" i="40"/>
  <c r="C1877" i="40"/>
  <c r="B1883" i="40"/>
  <c r="B1884" i="40"/>
  <c r="B1885" i="40"/>
  <c r="C1891" i="40"/>
  <c r="C1892" i="40"/>
  <c r="C1894" i="40"/>
  <c r="B1900" i="40"/>
  <c r="B1901" i="40"/>
  <c r="B1902" i="40"/>
  <c r="C1908" i="40"/>
  <c r="C1909" i="40"/>
  <c r="C1911" i="40"/>
  <c r="B1917" i="40"/>
  <c r="B1918" i="40"/>
  <c r="B1919" i="40"/>
  <c r="C1925" i="40"/>
  <c r="C1926" i="40"/>
  <c r="C1928" i="40"/>
  <c r="B1934" i="40"/>
  <c r="B1935" i="40"/>
  <c r="B1936" i="40"/>
  <c r="C1942" i="40"/>
  <c r="C1943" i="40"/>
  <c r="C1945" i="40"/>
  <c r="B1951" i="40"/>
  <c r="B1952" i="40"/>
  <c r="B1953" i="40"/>
  <c r="C1959" i="40"/>
  <c r="C1960" i="40"/>
  <c r="C1962" i="40"/>
  <c r="B1968" i="40"/>
  <c r="B1969" i="40"/>
  <c r="B1970" i="40"/>
  <c r="C1976" i="40"/>
  <c r="C1977" i="40"/>
  <c r="C1979" i="40"/>
  <c r="B1985" i="40"/>
  <c r="B1986" i="40"/>
  <c r="B1987" i="40"/>
  <c r="C1993" i="40"/>
  <c r="C1994" i="40"/>
  <c r="C1996" i="40"/>
  <c r="B2002" i="40"/>
  <c r="B2003" i="40"/>
  <c r="B2004" i="40"/>
  <c r="C2010" i="40"/>
  <c r="C2011" i="40"/>
  <c r="C2013" i="40"/>
  <c r="B2019" i="40"/>
  <c r="B2020" i="40"/>
  <c r="B2021" i="40"/>
  <c r="C2027" i="40"/>
  <c r="C2028" i="40"/>
  <c r="C2030" i="40"/>
  <c r="B2036" i="40"/>
  <c r="B2037" i="40"/>
  <c r="B2038" i="40"/>
  <c r="C2044" i="40"/>
  <c r="C2045" i="40"/>
  <c r="C2047" i="40"/>
  <c r="B2053" i="40"/>
  <c r="B2054" i="40"/>
  <c r="B2055" i="40"/>
  <c r="C2061" i="40"/>
  <c r="C2062" i="40"/>
  <c r="C2064" i="40"/>
  <c r="B2070" i="40"/>
  <c r="B2071" i="40"/>
  <c r="B2072" i="40"/>
  <c r="C2078" i="40"/>
  <c r="C2079" i="40"/>
  <c r="C2081" i="40"/>
  <c r="B2087" i="40"/>
  <c r="B2088" i="40"/>
  <c r="B2089" i="40"/>
  <c r="J20" i="39"/>
  <c r="H7" i="39"/>
  <c r="K20" i="39"/>
  <c r="H8" i="39"/>
  <c r="H37" i="39"/>
  <c r="P37" i="39"/>
  <c r="Q37" i="39"/>
  <c r="R37" i="39"/>
  <c r="S37" i="39"/>
  <c r="T37" i="39"/>
  <c r="U37" i="39"/>
  <c r="P38" i="39"/>
  <c r="E38" i="39"/>
  <c r="H38" i="39"/>
  <c r="S38" i="39"/>
  <c r="U38" i="39"/>
  <c r="P39" i="39"/>
  <c r="R39" i="39"/>
  <c r="S39" i="39"/>
  <c r="T39" i="39"/>
  <c r="U39" i="39"/>
  <c r="P40" i="39"/>
  <c r="S40" i="39"/>
  <c r="U40" i="39"/>
  <c r="P41" i="39"/>
  <c r="E41" i="39"/>
  <c r="H41" i="39"/>
  <c r="Q41" i="39"/>
  <c r="R41" i="39"/>
  <c r="S41" i="39"/>
  <c r="T41" i="39"/>
  <c r="U41" i="39"/>
  <c r="P42" i="39"/>
  <c r="Q42" i="39"/>
  <c r="B50" i="40"/>
  <c r="R42" i="39"/>
  <c r="S42" i="39"/>
  <c r="T42" i="39"/>
  <c r="U42" i="39"/>
  <c r="P43" i="39"/>
  <c r="Q43" i="39"/>
  <c r="B67" i="40"/>
  <c r="S43" i="39"/>
  <c r="U43" i="39"/>
  <c r="P44" i="39"/>
  <c r="Q44" i="39"/>
  <c r="B84" i="40"/>
  <c r="R44" i="39"/>
  <c r="S44" i="39"/>
  <c r="T44" i="39"/>
  <c r="U44" i="39"/>
  <c r="P45" i="39"/>
  <c r="Q45" i="39"/>
  <c r="B101" i="40"/>
  <c r="S45" i="39"/>
  <c r="U45" i="39"/>
  <c r="P46" i="39"/>
  <c r="Q46" i="39"/>
  <c r="B118" i="40"/>
  <c r="R46" i="39"/>
  <c r="S46" i="39"/>
  <c r="T46" i="39"/>
  <c r="U46" i="39"/>
  <c r="P47" i="39"/>
  <c r="Q47" i="39"/>
  <c r="B135" i="40"/>
  <c r="S47" i="39"/>
  <c r="U47" i="39"/>
  <c r="P48" i="39"/>
  <c r="Q48" i="39"/>
  <c r="B152" i="40"/>
  <c r="R48" i="39"/>
  <c r="S48" i="39"/>
  <c r="T48" i="39"/>
  <c r="U48" i="39"/>
  <c r="P49" i="39"/>
  <c r="Q49" i="39"/>
  <c r="B169" i="40"/>
  <c r="S49" i="39"/>
  <c r="U49" i="39"/>
  <c r="P50" i="39"/>
  <c r="Q50" i="39"/>
  <c r="B186" i="40"/>
  <c r="R50" i="39"/>
  <c r="S50" i="39"/>
  <c r="T50" i="39"/>
  <c r="U50" i="39"/>
  <c r="P51" i="39"/>
  <c r="Q51" i="39"/>
  <c r="B203" i="40"/>
  <c r="S51" i="39"/>
  <c r="U51" i="39"/>
  <c r="P52" i="39"/>
  <c r="Q52" i="39"/>
  <c r="B220" i="40"/>
  <c r="R52" i="39"/>
  <c r="S52" i="39"/>
  <c r="T52" i="39"/>
  <c r="U52" i="39"/>
  <c r="P53" i="39"/>
  <c r="Q53" i="39"/>
  <c r="B237" i="40"/>
  <c r="S53" i="39"/>
  <c r="U53" i="39"/>
  <c r="P54" i="39"/>
  <c r="Q54" i="39"/>
  <c r="B254" i="40"/>
  <c r="R54" i="39"/>
  <c r="S54" i="39"/>
  <c r="T54" i="39"/>
  <c r="U54" i="39"/>
  <c r="P55" i="39"/>
  <c r="Q55" i="39"/>
  <c r="B271" i="40"/>
  <c r="S55" i="39"/>
  <c r="U55" i="39"/>
  <c r="P56" i="39"/>
  <c r="Q56" i="39"/>
  <c r="B288" i="40"/>
  <c r="R56" i="39"/>
  <c r="S56" i="39"/>
  <c r="T56" i="39"/>
  <c r="U56" i="39"/>
  <c r="P57" i="39"/>
  <c r="S57" i="39"/>
  <c r="U57" i="39"/>
  <c r="P58" i="39"/>
  <c r="Q58" i="39"/>
  <c r="B322" i="40"/>
  <c r="R58" i="39"/>
  <c r="S58" i="39"/>
  <c r="T58" i="39"/>
  <c r="U58" i="39"/>
  <c r="P59" i="39"/>
  <c r="U59" i="39"/>
  <c r="P60" i="39"/>
  <c r="E60" i="39"/>
  <c r="H60" i="39"/>
  <c r="R60" i="39"/>
  <c r="S60" i="39"/>
  <c r="T60" i="39"/>
  <c r="U60" i="39"/>
  <c r="P61" i="39"/>
  <c r="U61" i="39"/>
  <c r="P62" i="39"/>
  <c r="E62" i="39"/>
  <c r="H62" i="39"/>
  <c r="R62" i="39"/>
  <c r="S62" i="39"/>
  <c r="T62" i="39"/>
  <c r="U62" i="39"/>
  <c r="P63" i="39"/>
  <c r="U63" i="39"/>
  <c r="P64" i="39"/>
  <c r="E64" i="39"/>
  <c r="H64" i="39"/>
  <c r="C366" i="40"/>
  <c r="R64" i="39"/>
  <c r="S64" i="39"/>
  <c r="T64" i="39"/>
  <c r="U64" i="39"/>
  <c r="P65" i="39"/>
  <c r="U65" i="39"/>
  <c r="P66" i="39"/>
  <c r="E66" i="39"/>
  <c r="H66" i="39"/>
  <c r="C400" i="40"/>
  <c r="R66" i="39"/>
  <c r="S66" i="39"/>
  <c r="T66" i="39"/>
  <c r="U66" i="39"/>
  <c r="P67" i="39"/>
  <c r="U67" i="39"/>
  <c r="P68" i="39"/>
  <c r="Q68" i="39"/>
  <c r="R68" i="39"/>
  <c r="S68" i="39"/>
  <c r="T68" i="39"/>
  <c r="U68" i="39"/>
  <c r="P69" i="39"/>
  <c r="U69" i="39"/>
  <c r="P70" i="39"/>
  <c r="E70" i="39"/>
  <c r="H70" i="39"/>
  <c r="C434" i="40"/>
  <c r="R70" i="39"/>
  <c r="S70" i="39"/>
  <c r="T70" i="39"/>
  <c r="U70" i="39"/>
  <c r="D71" i="39"/>
  <c r="C14" i="39"/>
  <c r="H80" i="39"/>
  <c r="H81" i="39"/>
  <c r="P86" i="39"/>
  <c r="U86" i="39"/>
  <c r="P87" i="39"/>
  <c r="E87" i="39"/>
  <c r="H87" i="39"/>
  <c r="R87" i="39"/>
  <c r="S87" i="39"/>
  <c r="T87" i="39"/>
  <c r="U87" i="39"/>
  <c r="P88" i="39"/>
  <c r="U88" i="39"/>
  <c r="P89" i="39"/>
  <c r="E89" i="39"/>
  <c r="H89" i="39"/>
  <c r="R89" i="39"/>
  <c r="S89" i="39"/>
  <c r="T89" i="39"/>
  <c r="U89" i="39"/>
  <c r="P90" i="39"/>
  <c r="U90" i="39"/>
  <c r="P91" i="39"/>
  <c r="R91" i="39"/>
  <c r="S91" i="39"/>
  <c r="T91" i="39"/>
  <c r="U91" i="39"/>
  <c r="P92" i="39"/>
  <c r="U92" i="39"/>
  <c r="P93" i="39"/>
  <c r="R93" i="39"/>
  <c r="S93" i="39"/>
  <c r="T93" i="39"/>
  <c r="U93" i="39"/>
  <c r="P94" i="39"/>
  <c r="U94" i="39"/>
  <c r="P95" i="39"/>
  <c r="R95" i="39"/>
  <c r="S95" i="39"/>
  <c r="T95" i="39"/>
  <c r="U95" i="39"/>
  <c r="P96" i="39"/>
  <c r="U96" i="39"/>
  <c r="P97" i="39"/>
  <c r="R97" i="39"/>
  <c r="S97" i="39"/>
  <c r="T97" i="39"/>
  <c r="U97" i="39"/>
  <c r="P98" i="39"/>
  <c r="S98" i="39"/>
  <c r="U98" i="39"/>
  <c r="P99" i="39"/>
  <c r="R99" i="39"/>
  <c r="S99" i="39"/>
  <c r="T99" i="39"/>
  <c r="U99" i="39"/>
  <c r="P100" i="39"/>
  <c r="S100" i="39"/>
  <c r="U100" i="39"/>
  <c r="P101" i="39"/>
  <c r="R101" i="39"/>
  <c r="S101" i="39"/>
  <c r="T101" i="39"/>
  <c r="U101" i="39"/>
  <c r="P102" i="39"/>
  <c r="S102" i="39"/>
  <c r="U102" i="39"/>
  <c r="P103" i="39"/>
  <c r="R103" i="39"/>
  <c r="S103" i="39"/>
  <c r="T103" i="39"/>
  <c r="U103" i="39"/>
  <c r="P104" i="39"/>
  <c r="S104" i="39"/>
  <c r="U104" i="39"/>
  <c r="P105" i="39"/>
  <c r="R105" i="39"/>
  <c r="S105" i="39"/>
  <c r="T105" i="39"/>
  <c r="U105" i="39"/>
  <c r="P106" i="39"/>
  <c r="S106" i="39"/>
  <c r="U106" i="39"/>
  <c r="P107" i="39"/>
  <c r="R107" i="39"/>
  <c r="S107" i="39"/>
  <c r="T107" i="39"/>
  <c r="U107" i="39"/>
  <c r="P108" i="39"/>
  <c r="S108" i="39"/>
  <c r="U108" i="39"/>
  <c r="P109" i="39"/>
  <c r="R109" i="39"/>
  <c r="S109" i="39"/>
  <c r="T109" i="39"/>
  <c r="U109" i="39"/>
  <c r="P110" i="39"/>
  <c r="S110" i="39"/>
  <c r="U110" i="39"/>
  <c r="P111" i="39"/>
  <c r="R111" i="39"/>
  <c r="S111" i="39"/>
  <c r="T111" i="39"/>
  <c r="U111" i="39"/>
  <c r="P112" i="39"/>
  <c r="S112" i="39"/>
  <c r="U112" i="39"/>
  <c r="P113" i="39"/>
  <c r="R113" i="39"/>
  <c r="S113" i="39"/>
  <c r="T113" i="39"/>
  <c r="U113" i="39"/>
  <c r="P114" i="39"/>
  <c r="S114" i="39"/>
  <c r="U114" i="39"/>
  <c r="P115" i="39"/>
  <c r="E115" i="39"/>
  <c r="H115" i="39"/>
  <c r="Q115" i="39"/>
  <c r="R115" i="39"/>
  <c r="S115" i="39"/>
  <c r="T115" i="39"/>
  <c r="U115" i="39"/>
  <c r="P116" i="39"/>
  <c r="E116" i="39"/>
  <c r="H116" i="39"/>
  <c r="Q116" i="39"/>
  <c r="R116" i="39"/>
  <c r="S116" i="39"/>
  <c r="T116" i="39"/>
  <c r="U116" i="39"/>
  <c r="P117" i="39"/>
  <c r="E117" i="39"/>
  <c r="H117" i="39"/>
  <c r="Q117" i="39"/>
  <c r="R117" i="39"/>
  <c r="S117" i="39"/>
  <c r="T117" i="39"/>
  <c r="U117" i="39"/>
  <c r="P118" i="39"/>
  <c r="E118" i="39"/>
  <c r="H118" i="39"/>
  <c r="Q118" i="39"/>
  <c r="R118" i="39"/>
  <c r="S118" i="39"/>
  <c r="T118" i="39"/>
  <c r="U118" i="39"/>
  <c r="P119" i="39"/>
  <c r="E119" i="39"/>
  <c r="H119" i="39"/>
  <c r="Q119" i="39"/>
  <c r="R119" i="39"/>
  <c r="S119" i="39"/>
  <c r="T119" i="39"/>
  <c r="U119" i="39"/>
  <c r="P120" i="39"/>
  <c r="R120" i="39"/>
  <c r="S120" i="39"/>
  <c r="T120" i="39"/>
  <c r="U120" i="39"/>
  <c r="P121" i="39"/>
  <c r="S121" i="39"/>
  <c r="U121" i="39"/>
  <c r="P122" i="39"/>
  <c r="R122" i="39"/>
  <c r="S122" i="39"/>
  <c r="T122" i="39"/>
  <c r="U122" i="39"/>
  <c r="P123" i="39"/>
  <c r="S123" i="39"/>
  <c r="U123" i="39"/>
  <c r="D124" i="39"/>
  <c r="C15" i="39"/>
  <c r="H135" i="39"/>
  <c r="H136" i="39"/>
  <c r="P142" i="39"/>
  <c r="R142" i="39"/>
  <c r="S142" i="39"/>
  <c r="T142" i="39"/>
  <c r="U142" i="39"/>
  <c r="P143" i="39"/>
  <c r="S143" i="39"/>
  <c r="U143" i="39"/>
  <c r="P144" i="39"/>
  <c r="R144" i="39"/>
  <c r="S144" i="39"/>
  <c r="T144" i="39"/>
  <c r="U144" i="39"/>
  <c r="P145" i="39"/>
  <c r="S145" i="39"/>
  <c r="U145" i="39"/>
  <c r="P146" i="39"/>
  <c r="R146" i="39"/>
  <c r="S146" i="39"/>
  <c r="T146" i="39"/>
  <c r="U146" i="39"/>
  <c r="P147" i="39"/>
  <c r="S147" i="39"/>
  <c r="U147" i="39"/>
  <c r="P148" i="39"/>
  <c r="R148" i="39"/>
  <c r="S148" i="39"/>
  <c r="T148" i="39"/>
  <c r="U148" i="39"/>
  <c r="P149" i="39"/>
  <c r="S149" i="39"/>
  <c r="U149" i="39"/>
  <c r="P150" i="39"/>
  <c r="R150" i="39"/>
  <c r="S150" i="39"/>
  <c r="T150" i="39"/>
  <c r="U150" i="39"/>
  <c r="P151" i="39"/>
  <c r="S151" i="39"/>
  <c r="U151" i="39"/>
  <c r="P152" i="39"/>
  <c r="R152" i="39"/>
  <c r="S152" i="39"/>
  <c r="T152" i="39"/>
  <c r="U152" i="39"/>
  <c r="P153" i="39"/>
  <c r="S153" i="39"/>
  <c r="U153" i="39"/>
  <c r="P154" i="39"/>
  <c r="R154" i="39"/>
  <c r="S154" i="39"/>
  <c r="T154" i="39"/>
  <c r="U154" i="39"/>
  <c r="P155" i="39"/>
  <c r="S155" i="39"/>
  <c r="U155" i="39"/>
  <c r="P156" i="39"/>
  <c r="R156" i="39"/>
  <c r="S156" i="39"/>
  <c r="T156" i="39"/>
  <c r="U156" i="39"/>
  <c r="P157" i="39"/>
  <c r="S157" i="39"/>
  <c r="U157" i="39"/>
  <c r="P158" i="39"/>
  <c r="R158" i="39"/>
  <c r="S158" i="39"/>
  <c r="T158" i="39"/>
  <c r="U158" i="39"/>
  <c r="D159" i="39"/>
  <c r="C17" i="39"/>
  <c r="H171" i="39"/>
  <c r="H172" i="39"/>
  <c r="P178" i="39"/>
  <c r="S178" i="39"/>
  <c r="U178" i="39"/>
  <c r="P179" i="39"/>
  <c r="R179" i="39"/>
  <c r="S179" i="39"/>
  <c r="T179" i="39"/>
  <c r="U179" i="39"/>
  <c r="P180" i="39"/>
  <c r="S180" i="39"/>
  <c r="U180" i="39"/>
  <c r="P181" i="39"/>
  <c r="R181" i="39"/>
  <c r="S181" i="39"/>
  <c r="T181" i="39"/>
  <c r="U181" i="39"/>
  <c r="P182" i="39"/>
  <c r="S182" i="39"/>
  <c r="U182" i="39"/>
  <c r="P183" i="39"/>
  <c r="R183" i="39"/>
  <c r="S183" i="39"/>
  <c r="T183" i="39"/>
  <c r="U183" i="39"/>
  <c r="P184" i="39"/>
  <c r="S184" i="39"/>
  <c r="U184" i="39"/>
  <c r="D185" i="39"/>
  <c r="C16" i="39"/>
  <c r="H197" i="39"/>
  <c r="H198" i="39"/>
  <c r="P204" i="39"/>
  <c r="S204" i="39"/>
  <c r="U204" i="39"/>
  <c r="P205" i="39"/>
  <c r="R205" i="39"/>
  <c r="S205" i="39"/>
  <c r="T205" i="39"/>
  <c r="U205" i="39"/>
  <c r="P206" i="39"/>
  <c r="S206" i="39"/>
  <c r="U206" i="39"/>
  <c r="P207" i="39"/>
  <c r="R207" i="39"/>
  <c r="S207" i="39"/>
  <c r="T207" i="39"/>
  <c r="U207" i="39"/>
  <c r="P208" i="39"/>
  <c r="S208" i="39"/>
  <c r="U208" i="39"/>
  <c r="P209" i="39"/>
  <c r="R209" i="39"/>
  <c r="S209" i="39"/>
  <c r="T209" i="39"/>
  <c r="U209" i="39"/>
  <c r="P210" i="39"/>
  <c r="S210" i="39"/>
  <c r="U210" i="39"/>
  <c r="P211" i="39"/>
  <c r="R211" i="39"/>
  <c r="S211" i="39"/>
  <c r="T211" i="39"/>
  <c r="U211" i="39"/>
  <c r="P212" i="39"/>
  <c r="S212" i="39"/>
  <c r="U212" i="39"/>
  <c r="P213" i="39"/>
  <c r="R213" i="39"/>
  <c r="S213" i="39"/>
  <c r="T213" i="39"/>
  <c r="U213" i="39"/>
  <c r="P214" i="39"/>
  <c r="S214" i="39"/>
  <c r="U214" i="39"/>
  <c r="P215" i="39"/>
  <c r="R215" i="39"/>
  <c r="S215" i="39"/>
  <c r="T215" i="39"/>
  <c r="U215" i="39"/>
  <c r="P216" i="39"/>
  <c r="S216" i="39"/>
  <c r="U216" i="39"/>
  <c r="P217" i="39"/>
  <c r="R217" i="39"/>
  <c r="S217" i="39"/>
  <c r="T217" i="39"/>
  <c r="U217" i="39"/>
  <c r="P218" i="39"/>
  <c r="S218" i="39"/>
  <c r="U218" i="39"/>
  <c r="P219" i="39"/>
  <c r="R219" i="39"/>
  <c r="S219" i="39"/>
  <c r="T219" i="39"/>
  <c r="U219" i="39"/>
  <c r="P220" i="39"/>
  <c r="S220" i="39"/>
  <c r="U220" i="39"/>
  <c r="P221" i="39"/>
  <c r="R221" i="39"/>
  <c r="S221" i="39"/>
  <c r="T221" i="39"/>
  <c r="U221" i="39"/>
  <c r="P222" i="39"/>
  <c r="S222" i="39"/>
  <c r="U222" i="39"/>
  <c r="P223" i="39"/>
  <c r="R223" i="39"/>
  <c r="S223" i="39"/>
  <c r="T223" i="39"/>
  <c r="U223" i="39"/>
  <c r="P224" i="39"/>
  <c r="S224" i="39"/>
  <c r="U224" i="39"/>
  <c r="P225" i="39"/>
  <c r="R225" i="39"/>
  <c r="S225" i="39"/>
  <c r="T225" i="39"/>
  <c r="U225" i="39"/>
  <c r="P226" i="39"/>
  <c r="S226" i="39"/>
  <c r="U226" i="39"/>
  <c r="P227" i="39"/>
  <c r="R227" i="39"/>
  <c r="S227" i="39"/>
  <c r="T227" i="39"/>
  <c r="U227" i="39"/>
  <c r="P228" i="39"/>
  <c r="S228" i="39"/>
  <c r="U228" i="39"/>
  <c r="P229" i="39"/>
  <c r="R229" i="39"/>
  <c r="S229" i="39"/>
  <c r="T229" i="39"/>
  <c r="U229" i="39"/>
  <c r="P230" i="39"/>
  <c r="S230" i="39"/>
  <c r="U230" i="39"/>
  <c r="P231" i="39"/>
  <c r="R231" i="39"/>
  <c r="S231" i="39"/>
  <c r="T231" i="39"/>
  <c r="U231" i="39"/>
  <c r="P232" i="39"/>
  <c r="S232" i="39"/>
  <c r="U232" i="39"/>
  <c r="P233" i="39"/>
  <c r="R233" i="39"/>
  <c r="S233" i="39"/>
  <c r="T233" i="39"/>
  <c r="U233" i="39"/>
  <c r="P234" i="39"/>
  <c r="S234" i="39"/>
  <c r="U234" i="39"/>
  <c r="P235" i="39"/>
  <c r="R235" i="39"/>
  <c r="S235" i="39"/>
  <c r="T235" i="39"/>
  <c r="U235" i="39"/>
  <c r="P236" i="39"/>
  <c r="S236" i="39"/>
  <c r="U236" i="39"/>
  <c r="P237" i="39"/>
  <c r="R237" i="39"/>
  <c r="S237" i="39"/>
  <c r="T237" i="39"/>
  <c r="U237" i="39"/>
  <c r="P238" i="39"/>
  <c r="S238" i="39"/>
  <c r="U238" i="39"/>
  <c r="D239" i="39"/>
  <c r="C18" i="39"/>
  <c r="H249" i="39"/>
  <c r="H250" i="39"/>
  <c r="P256" i="39"/>
  <c r="S256" i="39"/>
  <c r="U256" i="39"/>
  <c r="P257" i="39"/>
  <c r="R257" i="39"/>
  <c r="S257" i="39"/>
  <c r="T257" i="39"/>
  <c r="U257" i="39"/>
  <c r="P258" i="39"/>
  <c r="S258" i="39"/>
  <c r="U258" i="39"/>
  <c r="P259" i="39"/>
  <c r="R259" i="39"/>
  <c r="S259" i="39"/>
  <c r="T259" i="39"/>
  <c r="U259" i="39"/>
  <c r="P260" i="39"/>
  <c r="S260" i="39"/>
  <c r="U260" i="39"/>
  <c r="P261" i="39"/>
  <c r="R261" i="39"/>
  <c r="S261" i="39"/>
  <c r="T261" i="39"/>
  <c r="U261" i="39"/>
  <c r="P262" i="39"/>
  <c r="S262" i="39"/>
  <c r="U262" i="39"/>
  <c r="P263" i="39"/>
  <c r="R263" i="39"/>
  <c r="S263" i="39"/>
  <c r="T263" i="39"/>
  <c r="U263" i="39"/>
  <c r="P264" i="39"/>
  <c r="S264" i="39"/>
  <c r="U264" i="39"/>
  <c r="P265" i="39"/>
  <c r="R265" i="39"/>
  <c r="S265" i="39"/>
  <c r="T265" i="39"/>
  <c r="U265" i="39"/>
  <c r="P266" i="39"/>
  <c r="S266" i="39"/>
  <c r="U266" i="39"/>
  <c r="P267" i="39"/>
  <c r="R267" i="39"/>
  <c r="S267" i="39"/>
  <c r="T267" i="39"/>
  <c r="U267" i="39"/>
  <c r="P268" i="39"/>
  <c r="S268" i="39"/>
  <c r="U268" i="39"/>
  <c r="P269" i="39"/>
  <c r="R269" i="39"/>
  <c r="S269" i="39"/>
  <c r="T269" i="39"/>
  <c r="U269" i="39"/>
  <c r="P270" i="39"/>
  <c r="S270" i="39"/>
  <c r="U270" i="39"/>
  <c r="P271" i="39"/>
  <c r="R271" i="39"/>
  <c r="S271" i="39"/>
  <c r="T271" i="39"/>
  <c r="U271" i="39"/>
  <c r="P272" i="39"/>
  <c r="S272" i="39"/>
  <c r="U272" i="39"/>
  <c r="P273" i="39"/>
  <c r="R273" i="39"/>
  <c r="S273" i="39"/>
  <c r="T273" i="39"/>
  <c r="U273" i="39"/>
  <c r="P274" i="39"/>
  <c r="S274" i="39"/>
  <c r="U274" i="39"/>
  <c r="P275" i="39"/>
  <c r="R275" i="39"/>
  <c r="S275" i="39"/>
  <c r="T275" i="39"/>
  <c r="U275" i="39"/>
  <c r="P276" i="39"/>
  <c r="S276" i="39"/>
  <c r="U276" i="39"/>
  <c r="P277" i="39"/>
  <c r="R277" i="39"/>
  <c r="S277" i="39"/>
  <c r="T277" i="39"/>
  <c r="U277" i="39"/>
  <c r="P278" i="39"/>
  <c r="S278" i="39"/>
  <c r="U278" i="39"/>
  <c r="P279" i="39"/>
  <c r="R279" i="39"/>
  <c r="S279" i="39"/>
  <c r="T279" i="39"/>
  <c r="U279" i="39"/>
  <c r="D280" i="39"/>
  <c r="C19" i="39"/>
  <c r="B4" i="38"/>
  <c r="B5" i="38"/>
  <c r="B7" i="38"/>
  <c r="E8" i="38"/>
  <c r="E9" i="38"/>
  <c r="D26" i="6"/>
  <c r="C5" i="37"/>
  <c r="K13" i="37"/>
  <c r="A13" i="38"/>
  <c r="A14" i="38"/>
  <c r="B21" i="38"/>
  <c r="B22" i="38"/>
  <c r="B24" i="38"/>
  <c r="E25" i="38"/>
  <c r="E26" i="38"/>
  <c r="A30" i="38"/>
  <c r="A31" i="38"/>
  <c r="B38" i="38"/>
  <c r="B39" i="38"/>
  <c r="B41" i="38"/>
  <c r="E42" i="38"/>
  <c r="E43" i="38"/>
  <c r="A47" i="38"/>
  <c r="A48" i="38"/>
  <c r="B55" i="38"/>
  <c r="B56" i="38"/>
  <c r="B58" i="38"/>
  <c r="E59" i="38"/>
  <c r="E60" i="38"/>
  <c r="A64" i="38"/>
  <c r="A65" i="38"/>
  <c r="B72" i="38"/>
  <c r="B73" i="38"/>
  <c r="B75" i="38"/>
  <c r="E76" i="38"/>
  <c r="E77" i="38"/>
  <c r="A81" i="38"/>
  <c r="A82" i="38"/>
  <c r="B89" i="38"/>
  <c r="B90" i="38"/>
  <c r="B92" i="38"/>
  <c r="E93" i="38"/>
  <c r="E94" i="38"/>
  <c r="A98" i="38"/>
  <c r="A99" i="38"/>
  <c r="P13" i="37"/>
  <c r="Q13" i="37"/>
  <c r="F13" i="37"/>
  <c r="H13" i="37"/>
  <c r="R13" i="37"/>
  <c r="S13" i="37"/>
  <c r="T13" i="37"/>
  <c r="U13" i="37"/>
  <c r="P14" i="37"/>
  <c r="Q14" i="37"/>
  <c r="F14" i="37"/>
  <c r="H14" i="37"/>
  <c r="S14" i="37"/>
  <c r="U14" i="37"/>
  <c r="P15" i="37"/>
  <c r="Q15" i="37"/>
  <c r="F15" i="37"/>
  <c r="R15" i="37"/>
  <c r="S15" i="37"/>
  <c r="T15" i="37"/>
  <c r="U15" i="37"/>
  <c r="P16" i="37"/>
  <c r="Q16" i="37"/>
  <c r="F16" i="37"/>
  <c r="S16" i="37"/>
  <c r="U16" i="37"/>
  <c r="P17" i="37"/>
  <c r="Q17" i="37"/>
  <c r="F17" i="37"/>
  <c r="R17" i="37"/>
  <c r="S17" i="37"/>
  <c r="T17" i="37"/>
  <c r="U17" i="37"/>
  <c r="P18" i="37"/>
  <c r="Q18" i="37"/>
  <c r="F18" i="37"/>
  <c r="H18" i="37"/>
  <c r="B26" i="38"/>
  <c r="S18" i="37"/>
  <c r="U18" i="37"/>
  <c r="P19" i="37"/>
  <c r="Q19" i="37"/>
  <c r="F19" i="37"/>
  <c r="H19" i="37"/>
  <c r="B43" i="38"/>
  <c r="R19" i="37"/>
  <c r="S19" i="37"/>
  <c r="T19" i="37"/>
  <c r="U19" i="37"/>
  <c r="P20" i="37"/>
  <c r="Q20" i="37"/>
  <c r="F20" i="37"/>
  <c r="S20" i="37"/>
  <c r="U20" i="37"/>
  <c r="P21" i="37"/>
  <c r="Q21" i="37"/>
  <c r="F21" i="37"/>
  <c r="H21" i="37"/>
  <c r="B77" i="38"/>
  <c r="R21" i="37"/>
  <c r="S21" i="37"/>
  <c r="T21" i="37"/>
  <c r="U21" i="37"/>
  <c r="P22" i="37"/>
  <c r="Q22" i="37"/>
  <c r="F22" i="37"/>
  <c r="R22" i="37"/>
  <c r="S22" i="37"/>
  <c r="T22" i="37"/>
  <c r="U22" i="37"/>
  <c r="E23" i="37"/>
  <c r="B4" i="36"/>
  <c r="B5" i="36"/>
  <c r="B7" i="36"/>
  <c r="E8" i="36"/>
  <c r="E9" i="36"/>
  <c r="E10" i="36"/>
  <c r="D10" i="36"/>
  <c r="E11" i="36"/>
  <c r="D11" i="36"/>
  <c r="A13" i="36"/>
  <c r="A14" i="36"/>
  <c r="G15" i="36"/>
  <c r="B21" i="36"/>
  <c r="B22" i="36"/>
  <c r="B24" i="36"/>
  <c r="E25" i="36"/>
  <c r="E26" i="36"/>
  <c r="E27" i="36"/>
  <c r="D27" i="36"/>
  <c r="E28" i="36"/>
  <c r="D28" i="36"/>
  <c r="A30" i="36"/>
  <c r="A31" i="36"/>
  <c r="B38" i="36"/>
  <c r="B39" i="36"/>
  <c r="B41" i="36"/>
  <c r="E42" i="36"/>
  <c r="E43" i="36"/>
  <c r="E44" i="36"/>
  <c r="D44" i="36"/>
  <c r="E45" i="36"/>
  <c r="D45" i="36"/>
  <c r="A47" i="36"/>
  <c r="A48" i="36"/>
  <c r="B55" i="36"/>
  <c r="B56" i="36"/>
  <c r="B58" i="36"/>
  <c r="E59" i="36"/>
  <c r="E60" i="36"/>
  <c r="E61" i="36"/>
  <c r="D61" i="36"/>
  <c r="E62" i="36"/>
  <c r="D62" i="36"/>
  <c r="A64" i="36"/>
  <c r="A65" i="36"/>
  <c r="B72" i="36"/>
  <c r="B73" i="36"/>
  <c r="B75" i="36"/>
  <c r="E76" i="36"/>
  <c r="E77" i="36"/>
  <c r="E78" i="36"/>
  <c r="D78" i="36"/>
  <c r="E79" i="36"/>
  <c r="D79" i="36"/>
  <c r="A81" i="36"/>
  <c r="A82" i="36"/>
  <c r="B89" i="36"/>
  <c r="B90" i="36"/>
  <c r="B92" i="36"/>
  <c r="E93" i="36"/>
  <c r="E94" i="36"/>
  <c r="E95" i="36"/>
  <c r="D95" i="36"/>
  <c r="E96" i="36"/>
  <c r="D96" i="36"/>
  <c r="A98" i="36"/>
  <c r="A99" i="36"/>
  <c r="B106" i="36"/>
  <c r="B107" i="36"/>
  <c r="B109" i="36"/>
  <c r="E110" i="36"/>
  <c r="E111" i="36"/>
  <c r="E112" i="36"/>
  <c r="D112" i="36"/>
  <c r="E113" i="36"/>
  <c r="D113" i="36"/>
  <c r="A115" i="36"/>
  <c r="A116" i="36"/>
  <c r="B123" i="36"/>
  <c r="B124" i="36"/>
  <c r="B126" i="36"/>
  <c r="E127" i="36"/>
  <c r="E128" i="36"/>
  <c r="E129" i="36"/>
  <c r="D129" i="36"/>
  <c r="E130" i="36"/>
  <c r="D130" i="36"/>
  <c r="A132" i="36"/>
  <c r="A133" i="36"/>
  <c r="B140" i="36"/>
  <c r="B141" i="36"/>
  <c r="B143" i="36"/>
  <c r="E144" i="36"/>
  <c r="E145" i="36"/>
  <c r="E146" i="36"/>
  <c r="D146" i="36"/>
  <c r="E147" i="36"/>
  <c r="D147" i="36"/>
  <c r="A149" i="36"/>
  <c r="A150" i="36"/>
  <c r="B157" i="36"/>
  <c r="B158" i="36"/>
  <c r="B160" i="36"/>
  <c r="E161" i="36"/>
  <c r="E162" i="36"/>
  <c r="E163" i="36"/>
  <c r="D163" i="36"/>
  <c r="E164" i="36"/>
  <c r="D164" i="36"/>
  <c r="A166" i="36"/>
  <c r="A167" i="36"/>
  <c r="B174" i="36"/>
  <c r="B175" i="36"/>
  <c r="B177" i="36"/>
  <c r="E178" i="36"/>
  <c r="E179" i="36"/>
  <c r="E180" i="36"/>
  <c r="D180" i="36"/>
  <c r="E181" i="36"/>
  <c r="D181" i="36"/>
  <c r="A183" i="36"/>
  <c r="A184" i="36"/>
  <c r="B191" i="36"/>
  <c r="B192" i="36"/>
  <c r="B194" i="36"/>
  <c r="E194" i="36"/>
  <c r="E195" i="36"/>
  <c r="B196" i="36"/>
  <c r="E196" i="36"/>
  <c r="E197" i="36"/>
  <c r="D197" i="36"/>
  <c r="E198" i="36"/>
  <c r="D198" i="36"/>
  <c r="A200" i="36"/>
  <c r="A201" i="36"/>
  <c r="D203" i="36"/>
  <c r="B208" i="36"/>
  <c r="B209" i="36"/>
  <c r="B211" i="36"/>
  <c r="E211" i="36"/>
  <c r="E212" i="36"/>
  <c r="B213" i="36"/>
  <c r="E213" i="36"/>
  <c r="E214" i="36"/>
  <c r="D214" i="36"/>
  <c r="E215" i="36"/>
  <c r="D215" i="36"/>
  <c r="A217" i="36"/>
  <c r="A218" i="36"/>
  <c r="D220" i="36"/>
  <c r="B225" i="36"/>
  <c r="B226" i="36"/>
  <c r="B228" i="36"/>
  <c r="E228" i="36"/>
  <c r="E229" i="36"/>
  <c r="B230" i="36"/>
  <c r="E230" i="36"/>
  <c r="E231" i="36"/>
  <c r="D231" i="36"/>
  <c r="E232" i="36"/>
  <c r="D232" i="36"/>
  <c r="A234" i="36"/>
  <c r="A235" i="36"/>
  <c r="D237" i="36"/>
  <c r="B242" i="36"/>
  <c r="B243" i="36"/>
  <c r="B245" i="36"/>
  <c r="E245" i="36"/>
  <c r="E246" i="36"/>
  <c r="B247" i="36"/>
  <c r="E247" i="36"/>
  <c r="E248" i="36"/>
  <c r="D248" i="36"/>
  <c r="E249" i="36"/>
  <c r="D249" i="36"/>
  <c r="A251" i="36"/>
  <c r="A252" i="36"/>
  <c r="D254" i="36"/>
  <c r="B259" i="36"/>
  <c r="B260" i="36"/>
  <c r="B262" i="36"/>
  <c r="E262" i="36"/>
  <c r="E263" i="36"/>
  <c r="B264" i="36"/>
  <c r="E264" i="36"/>
  <c r="E265" i="36"/>
  <c r="D265" i="36"/>
  <c r="E266" i="36"/>
  <c r="D266" i="36"/>
  <c r="A268" i="36"/>
  <c r="A269" i="36"/>
  <c r="D271" i="36"/>
  <c r="B276" i="36"/>
  <c r="B277" i="36"/>
  <c r="B279" i="36"/>
  <c r="E279" i="36"/>
  <c r="E280" i="36"/>
  <c r="B281" i="36"/>
  <c r="E281" i="36"/>
  <c r="E282" i="36"/>
  <c r="D282" i="36"/>
  <c r="E283" i="36"/>
  <c r="D283" i="36"/>
  <c r="A285" i="36"/>
  <c r="A286" i="36"/>
  <c r="D288" i="36"/>
  <c r="B4" i="34"/>
  <c r="B5" i="34"/>
  <c r="B7" i="34"/>
  <c r="E8" i="34"/>
  <c r="B9" i="34"/>
  <c r="E9" i="34"/>
  <c r="A12" i="34"/>
  <c r="B12" i="34"/>
  <c r="H12" i="34"/>
  <c r="A13" i="34"/>
  <c r="B13" i="34"/>
  <c r="A14" i="34"/>
  <c r="A15" i="34"/>
  <c r="O12" i="33"/>
  <c r="P12" i="33"/>
  <c r="D16" i="34"/>
  <c r="B21" i="34"/>
  <c r="B22" i="34"/>
  <c r="B24" i="34"/>
  <c r="E25" i="34"/>
  <c r="E26" i="34"/>
  <c r="A29" i="34"/>
  <c r="B29" i="34"/>
  <c r="A30" i="34"/>
  <c r="B30" i="34"/>
  <c r="A31" i="34"/>
  <c r="A32" i="34"/>
  <c r="B38" i="34"/>
  <c r="B39" i="34"/>
  <c r="B41" i="34"/>
  <c r="E42" i="34"/>
  <c r="E43" i="34"/>
  <c r="A46" i="34"/>
  <c r="B46" i="34"/>
  <c r="A47" i="34"/>
  <c r="B47" i="34"/>
  <c r="A48" i="34"/>
  <c r="A49" i="34"/>
  <c r="B55" i="34"/>
  <c r="B56" i="34"/>
  <c r="B58" i="34"/>
  <c r="E59" i="34"/>
  <c r="E60" i="34"/>
  <c r="A63" i="34"/>
  <c r="B63" i="34"/>
  <c r="A64" i="34"/>
  <c r="B64" i="34"/>
  <c r="A65" i="34"/>
  <c r="A66" i="34"/>
  <c r="B72" i="34"/>
  <c r="B73" i="34"/>
  <c r="B75" i="34"/>
  <c r="E76" i="34"/>
  <c r="E77" i="34"/>
  <c r="A80" i="34"/>
  <c r="B80" i="34"/>
  <c r="A81" i="34"/>
  <c r="B81" i="34"/>
  <c r="A82" i="34"/>
  <c r="A83" i="34"/>
  <c r="B89" i="34"/>
  <c r="B90" i="34"/>
  <c r="B92" i="34"/>
  <c r="E93" i="34"/>
  <c r="E94" i="34"/>
  <c r="A97" i="34"/>
  <c r="B97" i="34"/>
  <c r="A98" i="34"/>
  <c r="B98" i="34"/>
  <c r="A99" i="34"/>
  <c r="A100" i="34"/>
  <c r="B106" i="34"/>
  <c r="B107" i="34"/>
  <c r="B109" i="34"/>
  <c r="E110" i="34"/>
  <c r="E111" i="34"/>
  <c r="A114" i="34"/>
  <c r="B114" i="34"/>
  <c r="A115" i="34"/>
  <c r="B115" i="34"/>
  <c r="A116" i="34"/>
  <c r="A117" i="34"/>
  <c r="B123" i="34"/>
  <c r="B124" i="34"/>
  <c r="B126" i="34"/>
  <c r="E127" i="34"/>
  <c r="E128" i="34"/>
  <c r="A131" i="34"/>
  <c r="B131" i="34"/>
  <c r="A132" i="34"/>
  <c r="B132" i="34"/>
  <c r="A133" i="34"/>
  <c r="A134" i="34"/>
  <c r="B140" i="34"/>
  <c r="B141" i="34"/>
  <c r="B143" i="34"/>
  <c r="E144" i="34"/>
  <c r="E145" i="34"/>
  <c r="A148" i="34"/>
  <c r="B148" i="34"/>
  <c r="A149" i="34"/>
  <c r="B149" i="34"/>
  <c r="A150" i="34"/>
  <c r="A151" i="34"/>
  <c r="B157" i="34"/>
  <c r="B158" i="34"/>
  <c r="B160" i="34"/>
  <c r="E161" i="34"/>
  <c r="E162" i="34"/>
  <c r="A165" i="34"/>
  <c r="B165" i="34"/>
  <c r="A166" i="34"/>
  <c r="B166" i="34"/>
  <c r="A167" i="34"/>
  <c r="A168" i="34"/>
  <c r="B174" i="34"/>
  <c r="B175" i="34"/>
  <c r="B177" i="34"/>
  <c r="E178" i="34"/>
  <c r="E179" i="34"/>
  <c r="A182" i="34"/>
  <c r="B182" i="34"/>
  <c r="A183" i="34"/>
  <c r="B183" i="34"/>
  <c r="A184" i="34"/>
  <c r="A185" i="34"/>
  <c r="B191" i="34"/>
  <c r="B192" i="34"/>
  <c r="B194" i="34"/>
  <c r="E195" i="34"/>
  <c r="E196" i="34"/>
  <c r="A199" i="34"/>
  <c r="B199" i="34"/>
  <c r="A200" i="34"/>
  <c r="B200" i="34"/>
  <c r="A201" i="34"/>
  <c r="A202" i="34"/>
  <c r="B208" i="34"/>
  <c r="B209" i="34"/>
  <c r="B211" i="34"/>
  <c r="E212" i="34"/>
  <c r="E213" i="34"/>
  <c r="A216" i="34"/>
  <c r="B216" i="34"/>
  <c r="A217" i="34"/>
  <c r="B217" i="34"/>
  <c r="A218" i="34"/>
  <c r="A219" i="34"/>
  <c r="B225" i="34"/>
  <c r="B226" i="34"/>
  <c r="B228" i="34"/>
  <c r="E229" i="34"/>
  <c r="E230" i="34"/>
  <c r="A233" i="34"/>
  <c r="B233" i="34"/>
  <c r="A234" i="34"/>
  <c r="B234" i="34"/>
  <c r="A235" i="34"/>
  <c r="A236" i="34"/>
  <c r="B242" i="34"/>
  <c r="B243" i="34"/>
  <c r="B245" i="34"/>
  <c r="E246" i="34"/>
  <c r="E247" i="34"/>
  <c r="A250" i="34"/>
  <c r="B250" i="34"/>
  <c r="A251" i="34"/>
  <c r="B251" i="34"/>
  <c r="A252" i="34"/>
  <c r="A253" i="34"/>
  <c r="B259" i="34"/>
  <c r="B260" i="34"/>
  <c r="B262" i="34"/>
  <c r="E263" i="34"/>
  <c r="E264" i="34"/>
  <c r="C265" i="34"/>
  <c r="E265" i="34"/>
  <c r="D265" i="34"/>
  <c r="C266" i="34"/>
  <c r="E266" i="34"/>
  <c r="D266" i="34"/>
  <c r="A267" i="34"/>
  <c r="B267" i="34"/>
  <c r="A268" i="34"/>
  <c r="B268" i="34"/>
  <c r="A269" i="34"/>
  <c r="A270" i="34"/>
  <c r="B276" i="34"/>
  <c r="B277" i="34"/>
  <c r="B279" i="34"/>
  <c r="E280" i="34"/>
  <c r="E281" i="34"/>
  <c r="C282" i="34"/>
  <c r="E282" i="34"/>
  <c r="D282" i="34"/>
  <c r="C283" i="34"/>
  <c r="E283" i="34"/>
  <c r="D283" i="34"/>
  <c r="A284" i="34"/>
  <c r="B284" i="34"/>
  <c r="A285" i="34"/>
  <c r="B285" i="34"/>
  <c r="A286" i="34"/>
  <c r="A287" i="34"/>
  <c r="O30" i="33"/>
  <c r="P30" i="33"/>
  <c r="B293" i="34"/>
  <c r="B294" i="34"/>
  <c r="B296" i="34"/>
  <c r="E297" i="34"/>
  <c r="E298" i="34"/>
  <c r="C299" i="34"/>
  <c r="E299" i="34"/>
  <c r="D299" i="34"/>
  <c r="C300" i="34"/>
  <c r="E300" i="34"/>
  <c r="D300" i="34"/>
  <c r="A301" i="34"/>
  <c r="B301" i="34"/>
  <c r="A302" i="34"/>
  <c r="B302" i="34"/>
  <c r="A303" i="34"/>
  <c r="A304" i="34"/>
  <c r="B310" i="34"/>
  <c r="B311" i="34"/>
  <c r="B313" i="34"/>
  <c r="E314" i="34"/>
  <c r="E315" i="34"/>
  <c r="C316" i="34"/>
  <c r="E316" i="34"/>
  <c r="D316" i="34"/>
  <c r="C317" i="34"/>
  <c r="E317" i="34"/>
  <c r="D317" i="34"/>
  <c r="A318" i="34"/>
  <c r="B318" i="34"/>
  <c r="A319" i="34"/>
  <c r="B319" i="34"/>
  <c r="A320" i="34"/>
  <c r="A321" i="34"/>
  <c r="B327" i="34"/>
  <c r="B328" i="34"/>
  <c r="B330" i="34"/>
  <c r="E331" i="34"/>
  <c r="E332" i="34"/>
  <c r="C333" i="34"/>
  <c r="E333" i="34"/>
  <c r="D333" i="34"/>
  <c r="C334" i="34"/>
  <c r="E334" i="34"/>
  <c r="D334" i="34"/>
  <c r="A335" i="34"/>
  <c r="B335" i="34"/>
  <c r="A336" i="34"/>
  <c r="B336" i="34"/>
  <c r="A337" i="34"/>
  <c r="A338" i="34"/>
  <c r="B344" i="34"/>
  <c r="B345" i="34"/>
  <c r="B347" i="34"/>
  <c r="E348" i="34"/>
  <c r="E349" i="34"/>
  <c r="C350" i="34"/>
  <c r="E350" i="34"/>
  <c r="D350" i="34"/>
  <c r="C351" i="34"/>
  <c r="E351" i="34"/>
  <c r="D351" i="34"/>
  <c r="A352" i="34"/>
  <c r="B352" i="34"/>
  <c r="A353" i="34"/>
  <c r="B353" i="34"/>
  <c r="A354" i="34"/>
  <c r="A355" i="34"/>
  <c r="B361" i="34"/>
  <c r="B362" i="34"/>
  <c r="B364" i="34"/>
  <c r="E364" i="34"/>
  <c r="E365" i="34"/>
  <c r="B366" i="34"/>
  <c r="E366" i="34"/>
  <c r="C367" i="34"/>
  <c r="E367" i="34"/>
  <c r="D367" i="34"/>
  <c r="C368" i="34"/>
  <c r="E368" i="34"/>
  <c r="D368" i="34"/>
  <c r="A369" i="34"/>
  <c r="B369" i="34"/>
  <c r="A370" i="34"/>
  <c r="B370" i="34"/>
  <c r="A371" i="34"/>
  <c r="A372" i="34"/>
  <c r="D373" i="34"/>
  <c r="Q12" i="33"/>
  <c r="R12" i="33"/>
  <c r="S12" i="33"/>
  <c r="T12" i="33"/>
  <c r="Q13" i="33"/>
  <c r="R13" i="33"/>
  <c r="S13" i="33"/>
  <c r="T13" i="33"/>
  <c r="Q14" i="33"/>
  <c r="R14" i="33"/>
  <c r="S14" i="33"/>
  <c r="T14" i="33"/>
  <c r="Q15" i="33"/>
  <c r="R15" i="33"/>
  <c r="S15" i="33"/>
  <c r="T15" i="33"/>
  <c r="Q16" i="33"/>
  <c r="R16" i="33"/>
  <c r="S16" i="33"/>
  <c r="T16" i="33"/>
  <c r="Q17" i="33"/>
  <c r="R17" i="33"/>
  <c r="S17" i="33"/>
  <c r="T17" i="33"/>
  <c r="Q18" i="33"/>
  <c r="R18" i="33"/>
  <c r="S18" i="33"/>
  <c r="T18" i="33"/>
  <c r="Q19" i="33"/>
  <c r="R19" i="33"/>
  <c r="S19" i="33"/>
  <c r="T19" i="33"/>
  <c r="Q20" i="33"/>
  <c r="R20" i="33"/>
  <c r="S20" i="33"/>
  <c r="T20" i="33"/>
  <c r="Q21" i="33"/>
  <c r="R21" i="33"/>
  <c r="S21" i="33"/>
  <c r="T21" i="33"/>
  <c r="Q22" i="33"/>
  <c r="R22" i="33"/>
  <c r="S22" i="33"/>
  <c r="T22" i="33"/>
  <c r="Q23" i="33"/>
  <c r="R23" i="33"/>
  <c r="S23" i="33"/>
  <c r="T23" i="33"/>
  <c r="Q24" i="33"/>
  <c r="R24" i="33"/>
  <c r="S24" i="33"/>
  <c r="T24" i="33"/>
  <c r="Q25" i="33"/>
  <c r="R25" i="33"/>
  <c r="S25" i="33"/>
  <c r="T25" i="33"/>
  <c r="Q26" i="33"/>
  <c r="R26" i="33"/>
  <c r="S26" i="33"/>
  <c r="T26" i="33"/>
  <c r="Q27" i="33"/>
  <c r="R27" i="33"/>
  <c r="S27" i="33"/>
  <c r="T27" i="33"/>
  <c r="Q28" i="33"/>
  <c r="R28" i="33"/>
  <c r="S28" i="33"/>
  <c r="T28" i="33"/>
  <c r="O29" i="33"/>
  <c r="Q29" i="33"/>
  <c r="R29" i="33"/>
  <c r="S29" i="33"/>
  <c r="T29" i="33"/>
  <c r="Q30" i="33"/>
  <c r="R30" i="33"/>
  <c r="S30" i="33"/>
  <c r="T30" i="33"/>
  <c r="Q31" i="33"/>
  <c r="R31" i="33"/>
  <c r="S31" i="33"/>
  <c r="T31" i="33"/>
  <c r="Q32" i="33"/>
  <c r="R32" i="33"/>
  <c r="S32" i="33"/>
  <c r="T32" i="33"/>
  <c r="Q33" i="33"/>
  <c r="R33" i="33"/>
  <c r="S33" i="33"/>
  <c r="T33" i="33"/>
  <c r="Q34" i="33"/>
  <c r="R34" i="33"/>
  <c r="S34" i="33"/>
  <c r="T34" i="33"/>
  <c r="Q35" i="33"/>
  <c r="R35" i="33"/>
  <c r="S35" i="33"/>
  <c r="T35" i="33"/>
  <c r="Q36" i="33"/>
  <c r="R36" i="33"/>
  <c r="S36" i="33"/>
  <c r="T36" i="33"/>
  <c r="Q37" i="33"/>
  <c r="R37" i="33"/>
  <c r="S37" i="33"/>
  <c r="T37" i="33"/>
  <c r="Q38" i="33"/>
  <c r="R38" i="33"/>
  <c r="S38" i="33"/>
  <c r="T38" i="33"/>
  <c r="Q39" i="33"/>
  <c r="R39" i="33"/>
  <c r="S39" i="33"/>
  <c r="T39" i="33"/>
  <c r="Q40" i="33"/>
  <c r="R40" i="33"/>
  <c r="S40" i="33"/>
  <c r="T40" i="33"/>
  <c r="Q41" i="33"/>
  <c r="R41" i="33"/>
  <c r="S41" i="33"/>
  <c r="T41" i="33"/>
  <c r="Q42" i="33"/>
  <c r="R42" i="33"/>
  <c r="S42" i="33"/>
  <c r="T42" i="33"/>
  <c r="E43" i="33"/>
  <c r="H24" i="6"/>
  <c r="B4" i="32"/>
  <c r="B5" i="32"/>
  <c r="B7" i="32"/>
  <c r="E8" i="32"/>
  <c r="E9" i="32"/>
  <c r="A12" i="32"/>
  <c r="B12" i="32"/>
  <c r="H13" i="32"/>
  <c r="A14" i="32"/>
  <c r="A15" i="32"/>
  <c r="B21" i="32"/>
  <c r="B22" i="32"/>
  <c r="B24" i="32"/>
  <c r="E25" i="32"/>
  <c r="E26" i="32"/>
  <c r="A29" i="32"/>
  <c r="B29" i="32"/>
  <c r="J40" i="2"/>
  <c r="A30" i="32"/>
  <c r="A31" i="32"/>
  <c r="A32" i="32"/>
  <c r="B38" i="32"/>
  <c r="B39" i="32"/>
  <c r="B41" i="32"/>
  <c r="E42" i="32"/>
  <c r="E43" i="32"/>
  <c r="A46" i="32"/>
  <c r="B46" i="32"/>
  <c r="A47" i="32"/>
  <c r="B47" i="32"/>
  <c r="A48" i="32"/>
  <c r="A49" i="32"/>
  <c r="B55" i="32"/>
  <c r="B56" i="32"/>
  <c r="B58" i="32"/>
  <c r="E59" i="32"/>
  <c r="E60" i="32"/>
  <c r="A63" i="32"/>
  <c r="B63" i="32"/>
  <c r="A64" i="32"/>
  <c r="B64" i="32"/>
  <c r="A65" i="32"/>
  <c r="A66" i="32"/>
  <c r="B72" i="32"/>
  <c r="B73" i="32"/>
  <c r="B75" i="32"/>
  <c r="E76" i="32"/>
  <c r="E77" i="32"/>
  <c r="A80" i="32"/>
  <c r="B80" i="32"/>
  <c r="A81" i="32"/>
  <c r="B81" i="32"/>
  <c r="A82" i="32"/>
  <c r="A83" i="32"/>
  <c r="B89" i="32"/>
  <c r="B90" i="32"/>
  <c r="B92" i="32"/>
  <c r="E93" i="32"/>
  <c r="E94" i="32"/>
  <c r="A97" i="32"/>
  <c r="B97" i="32"/>
  <c r="A98" i="32"/>
  <c r="B98" i="32"/>
  <c r="A99" i="32"/>
  <c r="A100" i="32"/>
  <c r="B106" i="32"/>
  <c r="B107" i="32"/>
  <c r="B109" i="32"/>
  <c r="E110" i="32"/>
  <c r="E111" i="32"/>
  <c r="A114" i="32"/>
  <c r="B114" i="32"/>
  <c r="A115" i="32"/>
  <c r="B115" i="32"/>
  <c r="A116" i="32"/>
  <c r="A117" i="32"/>
  <c r="B123" i="32"/>
  <c r="B124" i="32"/>
  <c r="B126" i="32"/>
  <c r="E127" i="32"/>
  <c r="E128" i="32"/>
  <c r="A131" i="32"/>
  <c r="B131" i="32"/>
  <c r="A132" i="32"/>
  <c r="B132" i="32"/>
  <c r="A133" i="32"/>
  <c r="A134" i="32"/>
  <c r="B140" i="32"/>
  <c r="B141" i="32"/>
  <c r="B143" i="32"/>
  <c r="E144" i="32"/>
  <c r="E145" i="32"/>
  <c r="A148" i="32"/>
  <c r="B148" i="32"/>
  <c r="A149" i="32"/>
  <c r="B149" i="32"/>
  <c r="A150" i="32"/>
  <c r="A151" i="32"/>
  <c r="B157" i="32"/>
  <c r="B158" i="32"/>
  <c r="B160" i="32"/>
  <c r="E161" i="32"/>
  <c r="E162" i="32"/>
  <c r="A165" i="32"/>
  <c r="B165" i="32"/>
  <c r="A166" i="32"/>
  <c r="B166" i="32"/>
  <c r="A167" i="32"/>
  <c r="A168" i="32"/>
  <c r="B174" i="32"/>
  <c r="B175" i="32"/>
  <c r="B177" i="32"/>
  <c r="E178" i="32"/>
  <c r="E179" i="32"/>
  <c r="A182" i="32"/>
  <c r="B182" i="32"/>
  <c r="A183" i="32"/>
  <c r="B183" i="32"/>
  <c r="A184" i="32"/>
  <c r="A185" i="32"/>
  <c r="B191" i="32"/>
  <c r="B192" i="32"/>
  <c r="B194" i="32"/>
  <c r="E195" i="32"/>
  <c r="E196" i="32"/>
  <c r="A199" i="32"/>
  <c r="B199" i="32"/>
  <c r="A200" i="32"/>
  <c r="B200" i="32"/>
  <c r="A201" i="32"/>
  <c r="A202" i="32"/>
  <c r="B208" i="32"/>
  <c r="B209" i="32"/>
  <c r="B211" i="32"/>
  <c r="E212" i="32"/>
  <c r="E213" i="32"/>
  <c r="A216" i="32"/>
  <c r="B216" i="32"/>
  <c r="A217" i="32"/>
  <c r="B217" i="32"/>
  <c r="A218" i="32"/>
  <c r="A219" i="32"/>
  <c r="P12" i="31"/>
  <c r="Q12" i="31"/>
  <c r="F12" i="31"/>
  <c r="H12" i="31"/>
  <c r="S12" i="31"/>
  <c r="U12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B4" i="30"/>
  <c r="B5" i="30"/>
  <c r="B7" i="30"/>
  <c r="I5" i="29"/>
  <c r="I23" i="29"/>
  <c r="I7" i="29"/>
  <c r="C9" i="29"/>
  <c r="F9" i="29"/>
  <c r="E8" i="30"/>
  <c r="E9" i="30"/>
  <c r="C10" i="30"/>
  <c r="E10" i="30"/>
  <c r="D10" i="30"/>
  <c r="D22" i="6"/>
  <c r="C5" i="29"/>
  <c r="K13" i="29"/>
  <c r="A12" i="30"/>
  <c r="B12" i="30"/>
  <c r="A14" i="30"/>
  <c r="A15" i="30"/>
  <c r="B21" i="30"/>
  <c r="B22" i="30"/>
  <c r="B24" i="30"/>
  <c r="E24" i="30"/>
  <c r="E25" i="30"/>
  <c r="B26" i="30"/>
  <c r="E26" i="30"/>
  <c r="C27" i="30"/>
  <c r="E27" i="30"/>
  <c r="D27" i="30"/>
  <c r="C28" i="30"/>
  <c r="E28" i="30"/>
  <c r="D28" i="30"/>
  <c r="A29" i="30"/>
  <c r="B29" i="30"/>
  <c r="A31" i="30"/>
  <c r="A32" i="30"/>
  <c r="D33" i="30"/>
  <c r="P13" i="29"/>
  <c r="F13" i="29"/>
  <c r="P14" i="29"/>
  <c r="Q14" i="29"/>
  <c r="F14" i="29"/>
  <c r="H14" i="29"/>
  <c r="R14" i="29"/>
  <c r="S14" i="29"/>
  <c r="T14" i="29"/>
  <c r="U14" i="29"/>
  <c r="P15" i="29"/>
  <c r="Q15" i="29"/>
  <c r="F15" i="29"/>
  <c r="H15" i="29"/>
  <c r="R15" i="29"/>
  <c r="S15" i="29"/>
  <c r="T15" i="29"/>
  <c r="U15" i="29"/>
  <c r="P16" i="29"/>
  <c r="Q16" i="29"/>
  <c r="F16" i="29"/>
  <c r="H16" i="29"/>
  <c r="R16" i="29"/>
  <c r="S16" i="29"/>
  <c r="T16" i="29"/>
  <c r="U16" i="29"/>
  <c r="P17" i="29"/>
  <c r="Q17" i="29"/>
  <c r="F17" i="29"/>
  <c r="H17" i="29"/>
  <c r="R17" i="29"/>
  <c r="S17" i="29"/>
  <c r="T17" i="29"/>
  <c r="U17" i="29"/>
  <c r="P18" i="29"/>
  <c r="Q18" i="29"/>
  <c r="F18" i="29"/>
  <c r="H18" i="29"/>
  <c r="R18" i="29"/>
  <c r="S18" i="29"/>
  <c r="T18" i="29"/>
  <c r="U18" i="29"/>
  <c r="P19" i="29"/>
  <c r="Q19" i="29"/>
  <c r="F19" i="29"/>
  <c r="H19" i="29"/>
  <c r="R19" i="29"/>
  <c r="S19" i="29"/>
  <c r="T19" i="29"/>
  <c r="U19" i="29"/>
  <c r="P20" i="29"/>
  <c r="Q20" i="29"/>
  <c r="F20" i="29"/>
  <c r="H20" i="29"/>
  <c r="R20" i="29"/>
  <c r="S20" i="29"/>
  <c r="T20" i="29"/>
  <c r="U20" i="29"/>
  <c r="P21" i="29"/>
  <c r="Q21" i="29"/>
  <c r="F21" i="29"/>
  <c r="H21" i="29"/>
  <c r="R21" i="29"/>
  <c r="S21" i="29"/>
  <c r="T21" i="29"/>
  <c r="U21" i="29"/>
  <c r="P22" i="29"/>
  <c r="Q22" i="29"/>
  <c r="F22" i="29"/>
  <c r="H22" i="29"/>
  <c r="R22" i="29"/>
  <c r="S22" i="29"/>
  <c r="T22" i="29"/>
  <c r="U22" i="29"/>
  <c r="E23" i="29"/>
  <c r="R23" i="29"/>
  <c r="B4" i="28"/>
  <c r="B5" i="28"/>
  <c r="B7" i="28"/>
  <c r="E8" i="28"/>
  <c r="E9" i="28"/>
  <c r="E10" i="28"/>
  <c r="D10" i="28"/>
  <c r="E11" i="28"/>
  <c r="D11" i="28"/>
  <c r="F11" i="28"/>
  <c r="A13" i="28"/>
  <c r="A14" i="28"/>
  <c r="A15" i="28"/>
  <c r="B21" i="28"/>
  <c r="B22" i="28"/>
  <c r="B24" i="28"/>
  <c r="E25" i="28"/>
  <c r="E26" i="28"/>
  <c r="E27" i="28"/>
  <c r="D27" i="28"/>
  <c r="E28" i="28"/>
  <c r="D28" i="28"/>
  <c r="F28" i="28"/>
  <c r="A30" i="28"/>
  <c r="A31" i="28"/>
  <c r="A32" i="28"/>
  <c r="B38" i="28"/>
  <c r="B39" i="28"/>
  <c r="B41" i="28"/>
  <c r="E42" i="28"/>
  <c r="E43" i="28"/>
  <c r="E44" i="28"/>
  <c r="D44" i="28"/>
  <c r="E45" i="28"/>
  <c r="D45" i="28"/>
  <c r="F45" i="28"/>
  <c r="A47" i="28"/>
  <c r="A48" i="28"/>
  <c r="A49" i="28"/>
  <c r="B55" i="28"/>
  <c r="B56" i="28"/>
  <c r="B58" i="28"/>
  <c r="E59" i="28"/>
  <c r="E60" i="28"/>
  <c r="E61" i="28"/>
  <c r="D61" i="28"/>
  <c r="E62" i="28"/>
  <c r="D62" i="28"/>
  <c r="F62" i="28"/>
  <c r="A64" i="28"/>
  <c r="A65" i="28"/>
  <c r="A66" i="28"/>
  <c r="P13" i="27"/>
  <c r="Q13" i="27"/>
  <c r="F13" i="27"/>
  <c r="H13" i="27"/>
  <c r="S13" i="27"/>
  <c r="U13" i="27"/>
  <c r="P14" i="27"/>
  <c r="Q14" i="27"/>
  <c r="F14" i="27"/>
  <c r="H14" i="27"/>
  <c r="R14" i="27"/>
  <c r="S14" i="27"/>
  <c r="T14" i="27"/>
  <c r="U14" i="27"/>
  <c r="P15" i="27"/>
  <c r="Q15" i="27"/>
  <c r="F15" i="27"/>
  <c r="H15" i="27"/>
  <c r="S15" i="27"/>
  <c r="U15" i="27"/>
  <c r="P16" i="27"/>
  <c r="Q16" i="27"/>
  <c r="F16" i="27"/>
  <c r="H16" i="27"/>
  <c r="R16" i="27"/>
  <c r="S16" i="27"/>
  <c r="T16" i="27"/>
  <c r="U16" i="27"/>
  <c r="P17" i="27"/>
  <c r="Q17" i="27"/>
  <c r="F17" i="27"/>
  <c r="H17" i="27"/>
  <c r="S17" i="27"/>
  <c r="U17" i="27"/>
  <c r="E18" i="27"/>
  <c r="Q18" i="27"/>
  <c r="B4" i="26"/>
  <c r="B5" i="26"/>
  <c r="B7" i="26"/>
  <c r="E8" i="26"/>
  <c r="E9" i="26"/>
  <c r="A12" i="26"/>
  <c r="B12" i="26"/>
  <c r="G13" i="26"/>
  <c r="A14" i="26"/>
  <c r="A15" i="26"/>
  <c r="B21" i="26"/>
  <c r="B22" i="26"/>
  <c r="B24" i="26"/>
  <c r="E25" i="26"/>
  <c r="E26" i="26"/>
  <c r="A29" i="26"/>
  <c r="B29" i="26"/>
  <c r="A31" i="26"/>
  <c r="A32" i="26"/>
  <c r="B38" i="26"/>
  <c r="B39" i="26"/>
  <c r="B41" i="26"/>
  <c r="E42" i="26"/>
  <c r="E43" i="26"/>
  <c r="A46" i="26"/>
  <c r="B46" i="26"/>
  <c r="A48" i="26"/>
  <c r="A49" i="26"/>
  <c r="B55" i="26"/>
  <c r="B56" i="26"/>
  <c r="B58" i="26"/>
  <c r="E59" i="26"/>
  <c r="E60" i="26"/>
  <c r="A63" i="26"/>
  <c r="B63" i="26"/>
  <c r="A65" i="26"/>
  <c r="A66" i="26"/>
  <c r="B72" i="26"/>
  <c r="B73" i="26"/>
  <c r="B75" i="26"/>
  <c r="E76" i="26"/>
  <c r="E77" i="26"/>
  <c r="A80" i="26"/>
  <c r="B80" i="26"/>
  <c r="A82" i="26"/>
  <c r="A83" i="26"/>
  <c r="B89" i="26"/>
  <c r="B90" i="26"/>
  <c r="B92" i="26"/>
  <c r="E93" i="26"/>
  <c r="E94" i="26"/>
  <c r="A97" i="26"/>
  <c r="B97" i="26"/>
  <c r="A99" i="26"/>
  <c r="A100" i="26"/>
  <c r="B106" i="26"/>
  <c r="B107" i="26"/>
  <c r="B109" i="26"/>
  <c r="E110" i="26"/>
  <c r="E111" i="26"/>
  <c r="A114" i="26"/>
  <c r="B114" i="26"/>
  <c r="A116" i="26"/>
  <c r="A117" i="26"/>
  <c r="B123" i="26"/>
  <c r="B124" i="26"/>
  <c r="B126" i="26"/>
  <c r="E127" i="26"/>
  <c r="E128" i="26"/>
  <c r="A131" i="26"/>
  <c r="B131" i="26"/>
  <c r="A133" i="26"/>
  <c r="A134" i="26"/>
  <c r="B140" i="26"/>
  <c r="B141" i="26"/>
  <c r="B143" i="26"/>
  <c r="E144" i="26"/>
  <c r="E145" i="26"/>
  <c r="A148" i="26"/>
  <c r="B148" i="26"/>
  <c r="A150" i="26"/>
  <c r="A151" i="26"/>
  <c r="P13" i="25"/>
  <c r="Q13" i="25"/>
  <c r="F13" i="25"/>
  <c r="H13" i="25"/>
  <c r="B9" i="26"/>
  <c r="R13" i="25"/>
  <c r="S13" i="25"/>
  <c r="T13" i="25"/>
  <c r="U13" i="25"/>
  <c r="P14" i="25"/>
  <c r="Q14" i="25"/>
  <c r="F14" i="25"/>
  <c r="H14" i="25"/>
  <c r="B26" i="26"/>
  <c r="S14" i="25"/>
  <c r="U14" i="25"/>
  <c r="P15" i="25"/>
  <c r="Q15" i="25"/>
  <c r="F15" i="25"/>
  <c r="H15" i="25"/>
  <c r="B43" i="26"/>
  <c r="R15" i="25"/>
  <c r="S15" i="25"/>
  <c r="T15" i="25"/>
  <c r="U15" i="25"/>
  <c r="P16" i="25"/>
  <c r="Q16" i="25"/>
  <c r="F16" i="25"/>
  <c r="H16" i="25"/>
  <c r="S16" i="25"/>
  <c r="U16" i="25"/>
  <c r="P17" i="25"/>
  <c r="Q17" i="25"/>
  <c r="F17" i="25"/>
  <c r="H17" i="25"/>
  <c r="R17" i="25"/>
  <c r="S17" i="25"/>
  <c r="T17" i="25"/>
  <c r="U17" i="25"/>
  <c r="P18" i="25"/>
  <c r="Q18" i="25"/>
  <c r="F18" i="25"/>
  <c r="S18" i="25"/>
  <c r="U18" i="25"/>
  <c r="P19" i="25"/>
  <c r="Q19" i="25"/>
  <c r="F19" i="25"/>
  <c r="R19" i="25"/>
  <c r="S19" i="25"/>
  <c r="T19" i="25"/>
  <c r="U19" i="25"/>
  <c r="P20" i="25"/>
  <c r="Q20" i="25"/>
  <c r="F20" i="25"/>
  <c r="H20" i="25"/>
  <c r="S20" i="25"/>
  <c r="U20" i="25"/>
  <c r="P21" i="25"/>
  <c r="Q21" i="25"/>
  <c r="F21" i="25"/>
  <c r="H21" i="25"/>
  <c r="B145" i="26"/>
  <c r="R21" i="25"/>
  <c r="S21" i="25"/>
  <c r="T21" i="25"/>
  <c r="U21" i="25"/>
  <c r="E22" i="25"/>
  <c r="B4" i="24"/>
  <c r="B5" i="24"/>
  <c r="B7" i="24"/>
  <c r="I5" i="23"/>
  <c r="I38" i="23"/>
  <c r="I7" i="23"/>
  <c r="E8" i="24"/>
  <c r="E9" i="24"/>
  <c r="D19" i="6"/>
  <c r="C5" i="23"/>
  <c r="H13" i="24"/>
  <c r="A14" i="24"/>
  <c r="A15" i="24"/>
  <c r="B21" i="24"/>
  <c r="B22" i="24"/>
  <c r="B24" i="24"/>
  <c r="E25" i="24"/>
  <c r="E26" i="24"/>
  <c r="A31" i="24"/>
  <c r="A32" i="24"/>
  <c r="B38" i="24"/>
  <c r="B39" i="24"/>
  <c r="B41" i="24"/>
  <c r="E42" i="24"/>
  <c r="E43" i="24"/>
  <c r="A48" i="24"/>
  <c r="A49" i="24"/>
  <c r="B55" i="24"/>
  <c r="B56" i="24"/>
  <c r="B58" i="24"/>
  <c r="E59" i="24"/>
  <c r="E60" i="24"/>
  <c r="A65" i="24"/>
  <c r="A66" i="24"/>
  <c r="B72" i="24"/>
  <c r="B73" i="24"/>
  <c r="B75" i="24"/>
  <c r="E76" i="24"/>
  <c r="E77" i="24"/>
  <c r="A82" i="24"/>
  <c r="A83" i="24"/>
  <c r="B89" i="24"/>
  <c r="B90" i="24"/>
  <c r="B92" i="24"/>
  <c r="E93" i="24"/>
  <c r="E94" i="24"/>
  <c r="A99" i="24"/>
  <c r="A100" i="24"/>
  <c r="B106" i="24"/>
  <c r="B107" i="24"/>
  <c r="B109" i="24"/>
  <c r="E110" i="24"/>
  <c r="E111" i="24"/>
  <c r="A116" i="24"/>
  <c r="A117" i="24"/>
  <c r="B123" i="24"/>
  <c r="B124" i="24"/>
  <c r="B126" i="24"/>
  <c r="E127" i="24"/>
  <c r="E128" i="24"/>
  <c r="A133" i="24"/>
  <c r="A134" i="24"/>
  <c r="B140" i="24"/>
  <c r="B141" i="24"/>
  <c r="B143" i="24"/>
  <c r="E144" i="24"/>
  <c r="E145" i="24"/>
  <c r="A150" i="24"/>
  <c r="A151" i="24"/>
  <c r="B157" i="24"/>
  <c r="B158" i="24"/>
  <c r="B160" i="24"/>
  <c r="E161" i="24"/>
  <c r="E162" i="24"/>
  <c r="A167" i="24"/>
  <c r="A168" i="24"/>
  <c r="B174" i="24"/>
  <c r="B175" i="24"/>
  <c r="B177" i="24"/>
  <c r="E178" i="24"/>
  <c r="E179" i="24"/>
  <c r="A184" i="24"/>
  <c r="A185" i="24"/>
  <c r="B191" i="24"/>
  <c r="B192" i="24"/>
  <c r="B194" i="24"/>
  <c r="E195" i="24"/>
  <c r="E196" i="24"/>
  <c r="A201" i="24"/>
  <c r="A202" i="24"/>
  <c r="B208" i="24"/>
  <c r="B209" i="24"/>
  <c r="B211" i="24"/>
  <c r="E212" i="24"/>
  <c r="E213" i="24"/>
  <c r="A218" i="24"/>
  <c r="A219" i="24"/>
  <c r="B225" i="24"/>
  <c r="B226" i="24"/>
  <c r="B228" i="24"/>
  <c r="E229" i="24"/>
  <c r="E230" i="24"/>
  <c r="A235" i="24"/>
  <c r="A236" i="24"/>
  <c r="B242" i="24"/>
  <c r="B243" i="24"/>
  <c r="B245" i="24"/>
  <c r="E246" i="24"/>
  <c r="E247" i="24"/>
  <c r="A252" i="24"/>
  <c r="A253" i="24"/>
  <c r="B259" i="24"/>
  <c r="B260" i="24"/>
  <c r="B262" i="24"/>
  <c r="E263" i="24"/>
  <c r="E264" i="24"/>
  <c r="A269" i="24"/>
  <c r="A270" i="24"/>
  <c r="B276" i="24"/>
  <c r="B277" i="24"/>
  <c r="B279" i="24"/>
  <c r="E280" i="24"/>
  <c r="E281" i="24"/>
  <c r="A286" i="24"/>
  <c r="A287" i="24"/>
  <c r="B293" i="24"/>
  <c r="B294" i="24"/>
  <c r="B296" i="24"/>
  <c r="E297" i="24"/>
  <c r="E298" i="24"/>
  <c r="A303" i="24"/>
  <c r="A304" i="24"/>
  <c r="B310" i="24"/>
  <c r="B311" i="24"/>
  <c r="B313" i="24"/>
  <c r="E314" i="24"/>
  <c r="E315" i="24"/>
  <c r="A320" i="24"/>
  <c r="A321" i="24"/>
  <c r="B327" i="24"/>
  <c r="B328" i="24"/>
  <c r="B330" i="24"/>
  <c r="E331" i="24"/>
  <c r="E332" i="24"/>
  <c r="A337" i="24"/>
  <c r="A338" i="24"/>
  <c r="B344" i="24"/>
  <c r="B345" i="24"/>
  <c r="B347" i="24"/>
  <c r="E348" i="24"/>
  <c r="E349" i="24"/>
  <c r="A354" i="24"/>
  <c r="A355" i="24"/>
  <c r="R13" i="23"/>
  <c r="T13" i="23"/>
  <c r="B43" i="24"/>
  <c r="S14" i="23"/>
  <c r="T15" i="23"/>
  <c r="S16" i="23"/>
  <c r="R17" i="23"/>
  <c r="T17" i="23"/>
  <c r="B77" i="24"/>
  <c r="B94" i="24"/>
  <c r="T19" i="23"/>
  <c r="B111" i="24"/>
  <c r="S20" i="23"/>
  <c r="B128" i="24"/>
  <c r="R21" i="23"/>
  <c r="T21" i="23"/>
  <c r="B145" i="24"/>
  <c r="T23" i="23"/>
  <c r="S24" i="23"/>
  <c r="B179" i="24"/>
  <c r="R25" i="23"/>
  <c r="T25" i="23"/>
  <c r="B196" i="24"/>
  <c r="B213" i="24"/>
  <c r="T27" i="23"/>
  <c r="B230" i="24"/>
  <c r="S28" i="23"/>
  <c r="B247" i="24"/>
  <c r="R29" i="23"/>
  <c r="T29" i="23"/>
  <c r="B264" i="24"/>
  <c r="B281" i="24"/>
  <c r="T31" i="23"/>
  <c r="B298" i="24"/>
  <c r="S32" i="23"/>
  <c r="R33" i="23"/>
  <c r="T33" i="23"/>
  <c r="S34" i="23"/>
  <c r="R35" i="23"/>
  <c r="T35" i="23"/>
  <c r="S36" i="23"/>
  <c r="R37" i="23"/>
  <c r="T37" i="23"/>
  <c r="E38" i="23"/>
  <c r="H19" i="6"/>
  <c r="B4" i="20"/>
  <c r="B5" i="20"/>
  <c r="B7" i="20"/>
  <c r="E8" i="20"/>
  <c r="E9" i="20"/>
  <c r="A13" i="20"/>
  <c r="A14" i="20"/>
  <c r="B21" i="20"/>
  <c r="B22" i="20"/>
  <c r="B24" i="20"/>
  <c r="E25" i="20"/>
  <c r="E26" i="20"/>
  <c r="A30" i="20"/>
  <c r="A31" i="20"/>
  <c r="B38" i="20"/>
  <c r="B39" i="20"/>
  <c r="B41" i="20"/>
  <c r="E42" i="20"/>
  <c r="E43" i="20"/>
  <c r="A47" i="20"/>
  <c r="A48" i="20"/>
  <c r="B55" i="20"/>
  <c r="B56" i="20"/>
  <c r="B58" i="20"/>
  <c r="E59" i="20"/>
  <c r="E60" i="20"/>
  <c r="A64" i="20"/>
  <c r="A65" i="20"/>
  <c r="B72" i="20"/>
  <c r="B73" i="20"/>
  <c r="B75" i="20"/>
  <c r="E76" i="20"/>
  <c r="B77" i="20"/>
  <c r="E77" i="20"/>
  <c r="A81" i="20"/>
  <c r="A82" i="20"/>
  <c r="B89" i="20"/>
  <c r="B90" i="20"/>
  <c r="B92" i="20"/>
  <c r="E93" i="20"/>
  <c r="E94" i="20"/>
  <c r="A98" i="20"/>
  <c r="A99" i="20"/>
  <c r="R25" i="19"/>
  <c r="B106" i="20"/>
  <c r="B107" i="20"/>
  <c r="B109" i="20"/>
  <c r="E110" i="20"/>
  <c r="E111" i="20"/>
  <c r="A115" i="20"/>
  <c r="A116" i="20"/>
  <c r="R26" i="19"/>
  <c r="B123" i="20"/>
  <c r="B124" i="20"/>
  <c r="B126" i="20"/>
  <c r="E127" i="20"/>
  <c r="E128" i="20"/>
  <c r="A132" i="20"/>
  <c r="A133" i="20"/>
  <c r="R27" i="19"/>
  <c r="B140" i="20"/>
  <c r="B141" i="20"/>
  <c r="B143" i="20"/>
  <c r="E144" i="20"/>
  <c r="E145" i="20"/>
  <c r="A149" i="20"/>
  <c r="A150" i="20"/>
  <c r="R28" i="19"/>
  <c r="B157" i="20"/>
  <c r="B158" i="20"/>
  <c r="B160" i="20"/>
  <c r="E161" i="20"/>
  <c r="E162" i="20"/>
  <c r="A166" i="20"/>
  <c r="A167" i="20"/>
  <c r="R29" i="19"/>
  <c r="B174" i="20"/>
  <c r="B175" i="20"/>
  <c r="B177" i="20"/>
  <c r="E178" i="20"/>
  <c r="E179" i="20"/>
  <c r="A183" i="20"/>
  <c r="A184" i="20"/>
  <c r="R32" i="19"/>
  <c r="B191" i="20"/>
  <c r="B192" i="20"/>
  <c r="B194" i="20"/>
  <c r="E195" i="20"/>
  <c r="E196" i="20"/>
  <c r="A200" i="20"/>
  <c r="A201" i="20"/>
  <c r="R33" i="19"/>
  <c r="B208" i="20"/>
  <c r="B209" i="20"/>
  <c r="B211" i="20"/>
  <c r="E212" i="20"/>
  <c r="E213" i="20"/>
  <c r="A217" i="20"/>
  <c r="A218" i="20"/>
  <c r="R35" i="19"/>
  <c r="B225" i="20"/>
  <c r="B226" i="20"/>
  <c r="B228" i="20"/>
  <c r="E229" i="20"/>
  <c r="E230" i="20"/>
  <c r="A234" i="20"/>
  <c r="A235" i="20"/>
  <c r="R36" i="19"/>
  <c r="B242" i="20"/>
  <c r="B243" i="20"/>
  <c r="B245" i="20"/>
  <c r="E246" i="20"/>
  <c r="E247" i="20"/>
  <c r="A251" i="20"/>
  <c r="A252" i="20"/>
  <c r="R37" i="19"/>
  <c r="B259" i="20"/>
  <c r="B260" i="20"/>
  <c r="B262" i="20"/>
  <c r="E263" i="20"/>
  <c r="E264" i="20"/>
  <c r="A268" i="20"/>
  <c r="A269" i="20"/>
  <c r="R38" i="19"/>
  <c r="T13" i="19"/>
  <c r="P14" i="19"/>
  <c r="R14" i="19"/>
  <c r="S14" i="19"/>
  <c r="T14" i="19"/>
  <c r="U14" i="19"/>
  <c r="P15" i="19"/>
  <c r="R15" i="19"/>
  <c r="S15" i="19"/>
  <c r="T15" i="19"/>
  <c r="U15" i="19"/>
  <c r="P16" i="19"/>
  <c r="R16" i="19"/>
  <c r="S16" i="19"/>
  <c r="T16" i="19"/>
  <c r="U16" i="19"/>
  <c r="P17" i="19"/>
  <c r="R17" i="19"/>
  <c r="S17" i="19"/>
  <c r="T17" i="19"/>
  <c r="U17" i="19"/>
  <c r="T18" i="19"/>
  <c r="T19" i="19"/>
  <c r="T20" i="19"/>
  <c r="T21" i="19"/>
  <c r="T22" i="19"/>
  <c r="P23" i="19"/>
  <c r="R23" i="19"/>
  <c r="S23" i="19"/>
  <c r="U23" i="19"/>
  <c r="S24" i="19"/>
  <c r="T24" i="19"/>
  <c r="U24" i="19"/>
  <c r="S25" i="19"/>
  <c r="U25" i="19"/>
  <c r="S26" i="19"/>
  <c r="T26" i="19"/>
  <c r="U26" i="19"/>
  <c r="S27" i="19"/>
  <c r="U27" i="19"/>
  <c r="S28" i="19"/>
  <c r="T28" i="19"/>
  <c r="U28" i="19"/>
  <c r="S29" i="19"/>
  <c r="U29" i="19"/>
  <c r="S30" i="19"/>
  <c r="T30" i="19"/>
  <c r="U30" i="19"/>
  <c r="S31" i="19"/>
  <c r="U31" i="19"/>
  <c r="S32" i="19"/>
  <c r="T32" i="19"/>
  <c r="U32" i="19"/>
  <c r="S33" i="19"/>
  <c r="U33" i="19"/>
  <c r="S35" i="19"/>
  <c r="T35" i="19"/>
  <c r="U35" i="19"/>
  <c r="S36" i="19"/>
  <c r="U36" i="19"/>
  <c r="S37" i="19"/>
  <c r="T37" i="19"/>
  <c r="U37" i="19"/>
  <c r="S38" i="19"/>
  <c r="U38" i="19"/>
  <c r="E39" i="19"/>
  <c r="B4" i="22"/>
  <c r="B5" i="22"/>
  <c r="B7" i="22"/>
  <c r="E8" i="22"/>
  <c r="E9" i="22"/>
  <c r="A13" i="22"/>
  <c r="A14" i="22"/>
  <c r="B21" i="22"/>
  <c r="B22" i="22"/>
  <c r="B24" i="22"/>
  <c r="E25" i="22"/>
  <c r="E26" i="22"/>
  <c r="A30" i="22"/>
  <c r="A31" i="22"/>
  <c r="P13" i="21"/>
  <c r="Q13" i="21"/>
  <c r="F13" i="21"/>
  <c r="H13" i="21"/>
  <c r="S13" i="21"/>
  <c r="U13" i="21"/>
  <c r="P14" i="21"/>
  <c r="Q14" i="21"/>
  <c r="F14" i="21"/>
  <c r="H14" i="21"/>
  <c r="R14" i="21"/>
  <c r="S14" i="21"/>
  <c r="T14" i="21"/>
  <c r="U14" i="21"/>
  <c r="P15" i="21"/>
  <c r="Q15" i="21"/>
  <c r="F15" i="21"/>
  <c r="H15" i="21"/>
  <c r="S15" i="21"/>
  <c r="U15" i="21"/>
  <c r="E16" i="21"/>
  <c r="B4" i="18"/>
  <c r="B5" i="18"/>
  <c r="B7" i="18"/>
  <c r="E8" i="18"/>
  <c r="E9" i="18"/>
  <c r="A13" i="18"/>
  <c r="A14" i="18"/>
  <c r="H15" i="18"/>
  <c r="B21" i="18"/>
  <c r="B22" i="18"/>
  <c r="B24" i="18"/>
  <c r="E25" i="18"/>
  <c r="E26" i="18"/>
  <c r="A30" i="18"/>
  <c r="A31" i="18"/>
  <c r="B38" i="18"/>
  <c r="B39" i="18"/>
  <c r="B41" i="18"/>
  <c r="E42" i="18"/>
  <c r="E43" i="18"/>
  <c r="A47" i="18"/>
  <c r="A48" i="18"/>
  <c r="B55" i="18"/>
  <c r="B56" i="18"/>
  <c r="B58" i="18"/>
  <c r="E59" i="18"/>
  <c r="E60" i="18"/>
  <c r="A64" i="18"/>
  <c r="A65" i="18"/>
  <c r="B72" i="18"/>
  <c r="B73" i="18"/>
  <c r="B75" i="18"/>
  <c r="E76" i="18"/>
  <c r="E77" i="18"/>
  <c r="A81" i="18"/>
  <c r="A82" i="18"/>
  <c r="B89" i="18"/>
  <c r="B90" i="18"/>
  <c r="B92" i="18"/>
  <c r="E93" i="18"/>
  <c r="E94" i="18"/>
  <c r="A98" i="18"/>
  <c r="A99" i="18"/>
  <c r="B106" i="18"/>
  <c r="B107" i="18"/>
  <c r="B109" i="18"/>
  <c r="E110" i="18"/>
  <c r="E111" i="18"/>
  <c r="A115" i="18"/>
  <c r="A116" i="18"/>
  <c r="B123" i="18"/>
  <c r="B124" i="18"/>
  <c r="B126" i="18"/>
  <c r="E127" i="18"/>
  <c r="E128" i="18"/>
  <c r="A132" i="18"/>
  <c r="A133" i="18"/>
  <c r="P21" i="17"/>
  <c r="Q21" i="17"/>
  <c r="B140" i="18"/>
  <c r="B141" i="18"/>
  <c r="B143" i="18"/>
  <c r="E144" i="18"/>
  <c r="E145" i="18"/>
  <c r="A149" i="18"/>
  <c r="A150" i="18"/>
  <c r="B157" i="18"/>
  <c r="B158" i="18"/>
  <c r="B160" i="18"/>
  <c r="E161" i="18"/>
  <c r="E162" i="18"/>
  <c r="A166" i="18"/>
  <c r="A167" i="18"/>
  <c r="P24" i="17"/>
  <c r="Q24" i="17"/>
  <c r="F24" i="17"/>
  <c r="H24" i="17"/>
  <c r="B174" i="18"/>
  <c r="B175" i="18"/>
  <c r="B177" i="18"/>
  <c r="E178" i="18"/>
  <c r="E179" i="18"/>
  <c r="A183" i="18"/>
  <c r="A184" i="18"/>
  <c r="B191" i="18"/>
  <c r="B192" i="18"/>
  <c r="B194" i="18"/>
  <c r="E195" i="18"/>
  <c r="E196" i="18"/>
  <c r="A200" i="18"/>
  <c r="A201" i="18"/>
  <c r="B208" i="18"/>
  <c r="B209" i="18"/>
  <c r="B211" i="18"/>
  <c r="E212" i="18"/>
  <c r="E213" i="18"/>
  <c r="A217" i="18"/>
  <c r="A218" i="18"/>
  <c r="B225" i="18"/>
  <c r="B226" i="18"/>
  <c r="B228" i="18"/>
  <c r="E229" i="18"/>
  <c r="E230" i="18"/>
  <c r="A234" i="18"/>
  <c r="A235" i="18"/>
  <c r="B242" i="18"/>
  <c r="B243" i="18"/>
  <c r="B245" i="18"/>
  <c r="E245" i="18"/>
  <c r="E246" i="18"/>
  <c r="B247" i="18"/>
  <c r="E247" i="18"/>
  <c r="C248" i="18"/>
  <c r="E248" i="18"/>
  <c r="D248" i="18"/>
  <c r="C249" i="18"/>
  <c r="E249" i="18"/>
  <c r="D249" i="18"/>
  <c r="A251" i="18"/>
  <c r="A252" i="18"/>
  <c r="E254" i="18"/>
  <c r="R13" i="17"/>
  <c r="S13" i="17"/>
  <c r="T13" i="17"/>
  <c r="U13" i="17"/>
  <c r="R14" i="17"/>
  <c r="S14" i="17"/>
  <c r="T14" i="17"/>
  <c r="U14" i="17"/>
  <c r="R15" i="17"/>
  <c r="S15" i="17"/>
  <c r="T15" i="17"/>
  <c r="U15" i="17"/>
  <c r="R16" i="17"/>
  <c r="S16" i="17"/>
  <c r="T16" i="17"/>
  <c r="U16" i="17"/>
  <c r="R27" i="17"/>
  <c r="S27" i="17"/>
  <c r="T27" i="17"/>
  <c r="U27" i="17"/>
  <c r="R18" i="17"/>
  <c r="S18" i="17"/>
  <c r="T18" i="17"/>
  <c r="U18" i="17"/>
  <c r="R17" i="17"/>
  <c r="S17" i="17"/>
  <c r="T17" i="17"/>
  <c r="U17" i="17"/>
  <c r="R19" i="17"/>
  <c r="S19" i="17"/>
  <c r="T19" i="17"/>
  <c r="U19" i="17"/>
  <c r="R20" i="17"/>
  <c r="S20" i="17"/>
  <c r="T20" i="17"/>
  <c r="U20" i="17"/>
  <c r="R21" i="17"/>
  <c r="S21" i="17"/>
  <c r="T21" i="17"/>
  <c r="U21" i="17"/>
  <c r="R22" i="17"/>
  <c r="S22" i="17"/>
  <c r="T22" i="17"/>
  <c r="U22" i="17"/>
  <c r="R23" i="17"/>
  <c r="S23" i="17"/>
  <c r="T23" i="17"/>
  <c r="U23" i="17"/>
  <c r="R24" i="17"/>
  <c r="S24" i="17"/>
  <c r="T24" i="17"/>
  <c r="U24" i="17"/>
  <c r="R25" i="17"/>
  <c r="S25" i="17"/>
  <c r="T25" i="17"/>
  <c r="U25" i="17"/>
  <c r="R26" i="17"/>
  <c r="S26" i="17"/>
  <c r="T26" i="17"/>
  <c r="U26" i="17"/>
  <c r="R28" i="17"/>
  <c r="S28" i="17"/>
  <c r="T28" i="17"/>
  <c r="U28" i="17"/>
  <c r="R29" i="17"/>
  <c r="S29" i="17"/>
  <c r="T29" i="17"/>
  <c r="U29" i="17"/>
  <c r="E30" i="17"/>
  <c r="B4" i="16"/>
  <c r="B5" i="16"/>
  <c r="B7" i="16"/>
  <c r="E8" i="16"/>
  <c r="E9" i="16"/>
  <c r="A12" i="16"/>
  <c r="B12" i="16"/>
  <c r="H13" i="16"/>
  <c r="A14" i="16"/>
  <c r="A15" i="16"/>
  <c r="B21" i="16"/>
  <c r="B22" i="16"/>
  <c r="B24" i="16"/>
  <c r="E25" i="16"/>
  <c r="E26" i="16"/>
  <c r="A29" i="16"/>
  <c r="B29" i="16"/>
  <c r="A31" i="16"/>
  <c r="A32" i="16"/>
  <c r="B38" i="16"/>
  <c r="B39" i="16"/>
  <c r="B41" i="16"/>
  <c r="E42" i="16"/>
  <c r="E43" i="16"/>
  <c r="A46" i="16"/>
  <c r="B46" i="16"/>
  <c r="A48" i="16"/>
  <c r="A49" i="16"/>
  <c r="B55" i="16"/>
  <c r="B56" i="16"/>
  <c r="B58" i="16"/>
  <c r="E59" i="16"/>
  <c r="E60" i="16"/>
  <c r="A63" i="16"/>
  <c r="B63" i="16"/>
  <c r="A65" i="16"/>
  <c r="A66" i="16"/>
  <c r="B72" i="16"/>
  <c r="B73" i="16"/>
  <c r="B75" i="16"/>
  <c r="E76" i="16"/>
  <c r="E77" i="16"/>
  <c r="A80" i="16"/>
  <c r="B80" i="16"/>
  <c r="A82" i="16"/>
  <c r="A83" i="16"/>
  <c r="B89" i="16"/>
  <c r="B90" i="16"/>
  <c r="B92" i="16"/>
  <c r="E93" i="16"/>
  <c r="E94" i="16"/>
  <c r="A97" i="16"/>
  <c r="B97" i="16"/>
  <c r="A99" i="16"/>
  <c r="A100" i="16"/>
  <c r="B106" i="16"/>
  <c r="B107" i="16"/>
  <c r="B109" i="16"/>
  <c r="E110" i="16"/>
  <c r="E111" i="16"/>
  <c r="A114" i="16"/>
  <c r="B114" i="16"/>
  <c r="A116" i="16"/>
  <c r="A117" i="16"/>
  <c r="B123" i="16"/>
  <c r="B124" i="16"/>
  <c r="B126" i="16"/>
  <c r="E126" i="16"/>
  <c r="E127" i="16"/>
  <c r="B128" i="16"/>
  <c r="E128" i="16"/>
  <c r="C129" i="16"/>
  <c r="E129" i="16"/>
  <c r="D129" i="16"/>
  <c r="C130" i="16"/>
  <c r="E130" i="16"/>
  <c r="D130" i="16"/>
  <c r="A131" i="16"/>
  <c r="B131" i="16"/>
  <c r="A133" i="16"/>
  <c r="A134" i="16"/>
  <c r="E135" i="16"/>
  <c r="E22" i="15"/>
  <c r="H15" i="6"/>
  <c r="B4" i="14"/>
  <c r="B5" i="14"/>
  <c r="B7" i="14"/>
  <c r="E8" i="14"/>
  <c r="E9" i="14"/>
  <c r="A12" i="14"/>
  <c r="B12" i="14"/>
  <c r="G13" i="14"/>
  <c r="A14" i="14"/>
  <c r="A15" i="14"/>
  <c r="B21" i="14"/>
  <c r="B24" i="14"/>
  <c r="E25" i="14"/>
  <c r="E26" i="14"/>
  <c r="A29" i="14"/>
  <c r="B29" i="14"/>
  <c r="A31" i="14"/>
  <c r="A32" i="14"/>
  <c r="B38" i="14"/>
  <c r="B39" i="14"/>
  <c r="B41" i="14"/>
  <c r="E42" i="14"/>
  <c r="E43" i="14"/>
  <c r="A46" i="14"/>
  <c r="B46" i="14"/>
  <c r="A48" i="14"/>
  <c r="A49" i="14"/>
  <c r="B55" i="14"/>
  <c r="B56" i="14"/>
  <c r="B58" i="14"/>
  <c r="E59" i="14"/>
  <c r="E60" i="14"/>
  <c r="A63" i="14"/>
  <c r="B63" i="14"/>
  <c r="A65" i="14"/>
  <c r="A66" i="14"/>
  <c r="B72" i="14"/>
  <c r="B73" i="14"/>
  <c r="B75" i="14"/>
  <c r="E76" i="14"/>
  <c r="E77" i="14"/>
  <c r="A80" i="14"/>
  <c r="B80" i="14"/>
  <c r="A82" i="14"/>
  <c r="A83" i="14"/>
  <c r="B89" i="14"/>
  <c r="B90" i="14"/>
  <c r="B92" i="14"/>
  <c r="E92" i="14"/>
  <c r="E93" i="14"/>
  <c r="B94" i="14"/>
  <c r="E94" i="14"/>
  <c r="C95" i="14"/>
  <c r="E95" i="14"/>
  <c r="D95" i="14"/>
  <c r="C96" i="14"/>
  <c r="E96" i="14"/>
  <c r="D96" i="14"/>
  <c r="A97" i="14"/>
  <c r="B97" i="14"/>
  <c r="A99" i="14"/>
  <c r="A100" i="14"/>
  <c r="E101" i="14"/>
  <c r="P13" i="13"/>
  <c r="Q13" i="13"/>
  <c r="F13" i="13"/>
  <c r="H13" i="13"/>
  <c r="P14" i="13"/>
  <c r="Q14" i="13"/>
  <c r="F14" i="13"/>
  <c r="R14" i="13"/>
  <c r="S14" i="13"/>
  <c r="T14" i="13"/>
  <c r="U14" i="13"/>
  <c r="P15" i="13"/>
  <c r="Q15" i="13"/>
  <c r="F15" i="13"/>
  <c r="H15" i="13"/>
  <c r="U15" i="13"/>
  <c r="P16" i="13"/>
  <c r="Q16" i="13"/>
  <c r="F16" i="13"/>
  <c r="H16" i="13"/>
  <c r="R16" i="13"/>
  <c r="S16" i="13"/>
  <c r="T16" i="13"/>
  <c r="U16" i="13"/>
  <c r="P17" i="13"/>
  <c r="Q17" i="13"/>
  <c r="F17" i="13"/>
  <c r="H17" i="13"/>
  <c r="B43" i="14"/>
  <c r="S17" i="13"/>
  <c r="U17" i="13"/>
  <c r="P18" i="13"/>
  <c r="Q18" i="13"/>
  <c r="F18" i="13"/>
  <c r="H18" i="13"/>
  <c r="B60" i="14"/>
  <c r="R18" i="13"/>
  <c r="S18" i="13"/>
  <c r="T18" i="13"/>
  <c r="U18" i="13"/>
  <c r="P19" i="13"/>
  <c r="Q19" i="13"/>
  <c r="F19" i="13"/>
  <c r="S19" i="13"/>
  <c r="U19" i="13"/>
  <c r="E20" i="13"/>
  <c r="Q20" i="13"/>
  <c r="B4" i="12"/>
  <c r="B5" i="12"/>
  <c r="B7" i="12"/>
  <c r="E8" i="12"/>
  <c r="E9" i="12"/>
  <c r="A12" i="12"/>
  <c r="B12" i="12"/>
  <c r="A16" i="12"/>
  <c r="H16" i="12"/>
  <c r="A17" i="12"/>
  <c r="B23" i="12"/>
  <c r="B24" i="12"/>
  <c r="B26" i="12"/>
  <c r="E27" i="12"/>
  <c r="E28" i="12"/>
  <c r="A31" i="12"/>
  <c r="B31" i="12"/>
  <c r="A35" i="12"/>
  <c r="A36" i="12"/>
  <c r="B43" i="12"/>
  <c r="B45" i="12"/>
  <c r="E46" i="12"/>
  <c r="E47" i="12"/>
  <c r="A50" i="12"/>
  <c r="B50" i="12"/>
  <c r="A54" i="12"/>
  <c r="A55" i="12"/>
  <c r="B61" i="12"/>
  <c r="B62" i="12"/>
  <c r="B64" i="12"/>
  <c r="E65" i="12"/>
  <c r="E66" i="12"/>
  <c r="A69" i="12"/>
  <c r="B69" i="12"/>
  <c r="A73" i="12"/>
  <c r="A74" i="12"/>
  <c r="B80" i="12"/>
  <c r="B81" i="12"/>
  <c r="B83" i="12"/>
  <c r="E84" i="12"/>
  <c r="E85" i="12"/>
  <c r="A88" i="12"/>
  <c r="B88" i="12"/>
  <c r="A92" i="12"/>
  <c r="A93" i="12"/>
  <c r="B99" i="12"/>
  <c r="B100" i="12"/>
  <c r="B102" i="12"/>
  <c r="E103" i="12"/>
  <c r="E104" i="12"/>
  <c r="A107" i="12"/>
  <c r="B107" i="12"/>
  <c r="A111" i="12"/>
  <c r="A112" i="12"/>
  <c r="B118" i="12"/>
  <c r="B119" i="12"/>
  <c r="B121" i="12"/>
  <c r="E122" i="12"/>
  <c r="E123" i="12"/>
  <c r="A126" i="12"/>
  <c r="B126" i="12"/>
  <c r="A130" i="12"/>
  <c r="A131" i="12"/>
  <c r="F9" i="11"/>
  <c r="F12" i="11"/>
  <c r="P13" i="11"/>
  <c r="P14" i="11"/>
  <c r="P15" i="11"/>
  <c r="P16" i="11"/>
  <c r="P17" i="11"/>
  <c r="P18" i="11"/>
  <c r="P19" i="11"/>
  <c r="P20" i="11"/>
  <c r="P21" i="11"/>
  <c r="E22" i="11"/>
  <c r="H13" i="6"/>
  <c r="B4" i="10"/>
  <c r="B5" i="10"/>
  <c r="B7" i="10"/>
  <c r="E8" i="10"/>
  <c r="E9" i="10"/>
  <c r="A12" i="10"/>
  <c r="B12" i="10"/>
  <c r="A14" i="10"/>
  <c r="A15" i="10"/>
  <c r="P28" i="9"/>
  <c r="P33" i="9"/>
  <c r="T33" i="9"/>
  <c r="P34" i="9"/>
  <c r="S34" i="9"/>
  <c r="R13" i="9"/>
  <c r="S13" i="9"/>
  <c r="T13" i="9"/>
  <c r="U13" i="9"/>
  <c r="P35" i="9"/>
  <c r="R35" i="9"/>
  <c r="E36" i="9"/>
  <c r="B4" i="8"/>
  <c r="B5" i="8"/>
  <c r="B7" i="8"/>
  <c r="E8" i="8"/>
  <c r="E9" i="8"/>
  <c r="A13" i="8"/>
  <c r="A14" i="8"/>
  <c r="B21" i="8"/>
  <c r="B22" i="8"/>
  <c r="B24" i="8"/>
  <c r="E25" i="8"/>
  <c r="E26" i="8"/>
  <c r="A30" i="8"/>
  <c r="A31" i="8"/>
  <c r="B38" i="8"/>
  <c r="B39" i="8"/>
  <c r="B41" i="8"/>
  <c r="E42" i="8"/>
  <c r="E43" i="8"/>
  <c r="A47" i="8"/>
  <c r="A48" i="8"/>
  <c r="B55" i="8"/>
  <c r="B56" i="8"/>
  <c r="B58" i="8"/>
  <c r="E59" i="8"/>
  <c r="E60" i="8"/>
  <c r="A64" i="8"/>
  <c r="A65" i="8"/>
  <c r="B72" i="8"/>
  <c r="B73" i="8"/>
  <c r="B75" i="8"/>
  <c r="E76" i="8"/>
  <c r="E77" i="8"/>
  <c r="A81" i="8"/>
  <c r="A82" i="8"/>
  <c r="B89" i="8"/>
  <c r="B90" i="8"/>
  <c r="B92" i="8"/>
  <c r="E93" i="8"/>
  <c r="E94" i="8"/>
  <c r="A98" i="8"/>
  <c r="A99" i="8"/>
  <c r="B106" i="8"/>
  <c r="B107" i="8"/>
  <c r="B109" i="8"/>
  <c r="E110" i="8"/>
  <c r="E111" i="8"/>
  <c r="A115" i="8"/>
  <c r="A116" i="8"/>
  <c r="B123" i="8"/>
  <c r="B124" i="8"/>
  <c r="B126" i="8"/>
  <c r="E127" i="8"/>
  <c r="E128" i="8"/>
  <c r="A132" i="8"/>
  <c r="A133" i="8"/>
  <c r="B140" i="8"/>
  <c r="B141" i="8"/>
  <c r="B143" i="8"/>
  <c r="E144" i="8"/>
  <c r="E145" i="8"/>
  <c r="A149" i="8"/>
  <c r="A150" i="8"/>
  <c r="B157" i="8"/>
  <c r="B158" i="8"/>
  <c r="B160" i="8"/>
  <c r="E161" i="8"/>
  <c r="E162" i="8"/>
  <c r="A166" i="8"/>
  <c r="A167" i="8"/>
  <c r="B174" i="8"/>
  <c r="B175" i="8"/>
  <c r="B177" i="8"/>
  <c r="E178" i="8"/>
  <c r="E179" i="8"/>
  <c r="A183" i="8"/>
  <c r="A184" i="8"/>
  <c r="B191" i="8"/>
  <c r="B192" i="8"/>
  <c r="B194" i="8"/>
  <c r="E194" i="8"/>
  <c r="E195" i="8"/>
  <c r="B196" i="8"/>
  <c r="E196" i="8"/>
  <c r="C197" i="8"/>
  <c r="E197" i="8"/>
  <c r="D197" i="8"/>
  <c r="C198" i="8"/>
  <c r="E198" i="8"/>
  <c r="D198" i="8"/>
  <c r="A200" i="8"/>
  <c r="A201" i="8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E28" i="7"/>
  <c r="F11" i="6"/>
  <c r="H11" i="6"/>
  <c r="F12" i="6"/>
  <c r="H12" i="6"/>
  <c r="F13" i="6"/>
  <c r="F14" i="6"/>
  <c r="H14" i="6"/>
  <c r="F15" i="6"/>
  <c r="F16" i="6"/>
  <c r="H16" i="6"/>
  <c r="F17" i="6"/>
  <c r="H17" i="6"/>
  <c r="F18" i="6"/>
  <c r="H18" i="6"/>
  <c r="F19" i="6"/>
  <c r="F20" i="6"/>
  <c r="H20" i="6"/>
  <c r="F21" i="6"/>
  <c r="H21" i="6"/>
  <c r="F22" i="6"/>
  <c r="H22" i="6"/>
  <c r="F23" i="6"/>
  <c r="F24" i="6"/>
  <c r="F25" i="6"/>
  <c r="H25" i="6"/>
  <c r="F26" i="6"/>
  <c r="H26" i="6"/>
  <c r="F30" i="5"/>
  <c r="X2" i="3"/>
  <c r="J4" i="2"/>
  <c r="H4" i="2"/>
  <c r="J5" i="2"/>
  <c r="H5" i="2"/>
  <c r="J6" i="2"/>
  <c r="H6" i="2"/>
  <c r="J7" i="2"/>
  <c r="H7" i="2"/>
  <c r="J8" i="2"/>
  <c r="H8" i="2"/>
  <c r="J9" i="2"/>
  <c r="H9" i="2"/>
  <c r="J11" i="2"/>
  <c r="H11" i="2"/>
  <c r="J12" i="2"/>
  <c r="H12" i="2"/>
  <c r="F15" i="2"/>
  <c r="F21" i="2"/>
  <c r="F22" i="2"/>
  <c r="C29" i="2"/>
  <c r="J33" i="2"/>
  <c r="H33" i="2"/>
  <c r="K33" i="2"/>
  <c r="G38" i="2"/>
  <c r="J38" i="2"/>
  <c r="H38" i="2"/>
  <c r="K38" i="2"/>
  <c r="J39" i="2"/>
  <c r="H39" i="2"/>
  <c r="K39" i="2"/>
  <c r="H40" i="2"/>
  <c r="K40" i="2"/>
  <c r="B30" i="32"/>
  <c r="F283" i="34"/>
  <c r="C6" i="35"/>
  <c r="E25" i="6"/>
  <c r="C5" i="25"/>
  <c r="K21" i="25"/>
  <c r="F351" i="34"/>
  <c r="F317" i="34"/>
  <c r="S15" i="13"/>
  <c r="U13" i="13"/>
  <c r="S13" i="13"/>
  <c r="R19" i="19"/>
  <c r="D135" i="26"/>
  <c r="D101" i="26"/>
  <c r="D67" i="26"/>
  <c r="D33" i="26"/>
  <c r="D67" i="28"/>
  <c r="D50" i="28"/>
  <c r="D33" i="28"/>
  <c r="D16" i="28"/>
  <c r="D16" i="30"/>
  <c r="Q278" i="39"/>
  <c r="B2073" i="40"/>
  <c r="E278" i="39"/>
  <c r="H278" i="39"/>
  <c r="Q276" i="39"/>
  <c r="E276" i="39"/>
  <c r="H276" i="39"/>
  <c r="E274" i="39"/>
  <c r="H274" i="39"/>
  <c r="Q274" i="39"/>
  <c r="B2022" i="40"/>
  <c r="E272" i="39"/>
  <c r="H272" i="39"/>
  <c r="Q272" i="39"/>
  <c r="B1988" i="40"/>
  <c r="E270" i="39"/>
  <c r="H270" i="39"/>
  <c r="Q270" i="39"/>
  <c r="B1954" i="40"/>
  <c r="E268" i="39"/>
  <c r="H268" i="39"/>
  <c r="C1913" i="40"/>
  <c r="Q268" i="39"/>
  <c r="B1920" i="40"/>
  <c r="E266" i="39"/>
  <c r="H266" i="39"/>
  <c r="C1879" i="40"/>
  <c r="Q266" i="39"/>
  <c r="B1886" i="40"/>
  <c r="E264" i="39"/>
  <c r="H264" i="39"/>
  <c r="C1845" i="40"/>
  <c r="Q264" i="39"/>
  <c r="B1852" i="40"/>
  <c r="E262" i="39"/>
  <c r="H262" i="39"/>
  <c r="Q262" i="39"/>
  <c r="B1818" i="40"/>
  <c r="Q260" i="39"/>
  <c r="E260" i="39"/>
  <c r="H260" i="39"/>
  <c r="Q258" i="39"/>
  <c r="B1767" i="40"/>
  <c r="E258" i="39"/>
  <c r="H258" i="39"/>
  <c r="Q256" i="39"/>
  <c r="B1733" i="40"/>
  <c r="E256" i="39"/>
  <c r="Q238" i="39"/>
  <c r="B1716" i="40"/>
  <c r="E238" i="39"/>
  <c r="H238" i="39"/>
  <c r="E236" i="39"/>
  <c r="H236" i="39"/>
  <c r="Q236" i="39"/>
  <c r="Q234" i="39"/>
  <c r="E234" i="39"/>
  <c r="H234" i="39"/>
  <c r="Q232" i="39"/>
  <c r="B1648" i="40"/>
  <c r="E232" i="39"/>
  <c r="H232" i="39"/>
  <c r="Q230" i="39"/>
  <c r="B1614" i="40"/>
  <c r="E230" i="39"/>
  <c r="H230" i="39"/>
  <c r="Q228" i="39"/>
  <c r="B1580" i="40"/>
  <c r="E228" i="39"/>
  <c r="H228" i="39"/>
  <c r="Q226" i="39"/>
  <c r="B1546" i="40"/>
  <c r="E226" i="39"/>
  <c r="H226" i="39"/>
  <c r="Q224" i="39"/>
  <c r="B1512" i="40"/>
  <c r="E224" i="39"/>
  <c r="H224" i="39"/>
  <c r="Q222" i="39"/>
  <c r="B1478" i="40"/>
  <c r="E222" i="39"/>
  <c r="H222" i="39"/>
  <c r="Q220" i="39"/>
  <c r="B1444" i="40"/>
  <c r="E220" i="39"/>
  <c r="H220" i="39"/>
  <c r="Q218" i="39"/>
  <c r="B1410" i="40"/>
  <c r="E218" i="39"/>
  <c r="H218" i="39"/>
  <c r="E216" i="39"/>
  <c r="H216" i="39"/>
  <c r="Q216" i="39"/>
  <c r="E214" i="39"/>
  <c r="H214" i="39"/>
  <c r="C1352" i="40"/>
  <c r="Q214" i="39"/>
  <c r="B1359" i="40"/>
  <c r="E212" i="39"/>
  <c r="H212" i="39"/>
  <c r="C1318" i="40"/>
  <c r="Q212" i="39"/>
  <c r="B1325" i="40"/>
  <c r="E210" i="39"/>
  <c r="H210" i="39"/>
  <c r="C1284" i="40"/>
  <c r="Q210" i="39"/>
  <c r="B1291" i="40"/>
  <c r="E208" i="39"/>
  <c r="H208" i="39"/>
  <c r="C1250" i="40"/>
  <c r="Q208" i="39"/>
  <c r="B1257" i="40"/>
  <c r="Q206" i="39"/>
  <c r="B1223" i="40"/>
  <c r="E206" i="39"/>
  <c r="H206" i="39"/>
  <c r="C1216" i="40"/>
  <c r="Q204" i="39"/>
  <c r="E204" i="39"/>
  <c r="Q184" i="39"/>
  <c r="B1189" i="40"/>
  <c r="E184" i="39"/>
  <c r="H184" i="39"/>
  <c r="C1182" i="40"/>
  <c r="Q182" i="39"/>
  <c r="B1155" i="40"/>
  <c r="E182" i="39"/>
  <c r="H182" i="39"/>
  <c r="Q180" i="39"/>
  <c r="B1121" i="40"/>
  <c r="E180" i="39"/>
  <c r="H180" i="39"/>
  <c r="C1114" i="40"/>
  <c r="Q178" i="39"/>
  <c r="B1087" i="40"/>
  <c r="E178" i="39"/>
  <c r="Q157" i="39"/>
  <c r="E157" i="39"/>
  <c r="H157" i="39"/>
  <c r="Q155" i="39"/>
  <c r="E155" i="39"/>
  <c r="H155" i="39"/>
  <c r="E153" i="39"/>
  <c r="H153" i="39"/>
  <c r="C1029" i="40"/>
  <c r="Q153" i="39"/>
  <c r="B1036" i="40"/>
  <c r="E151" i="39"/>
  <c r="H151" i="39"/>
  <c r="C995" i="40"/>
  <c r="Q151" i="39"/>
  <c r="B1002" i="40"/>
  <c r="Q149" i="39"/>
  <c r="E149" i="39"/>
  <c r="H149" i="39"/>
  <c r="Q147" i="39"/>
  <c r="B951" i="40"/>
  <c r="E147" i="39"/>
  <c r="H147" i="39"/>
  <c r="C944" i="40"/>
  <c r="Q145" i="39"/>
  <c r="B917" i="40"/>
  <c r="E145" i="39"/>
  <c r="H145" i="39"/>
  <c r="Q143" i="39"/>
  <c r="B883" i="40"/>
  <c r="E143" i="39"/>
  <c r="H143" i="39"/>
  <c r="C876" i="40"/>
  <c r="Q123" i="39"/>
  <c r="B849" i="40"/>
  <c r="E123" i="39"/>
  <c r="H123" i="39"/>
  <c r="C842" i="40"/>
  <c r="Q121" i="39"/>
  <c r="B815" i="40"/>
  <c r="E121" i="39"/>
  <c r="H121" i="39"/>
  <c r="C808" i="40"/>
  <c r="E114" i="39"/>
  <c r="H114" i="39"/>
  <c r="Q114" i="39"/>
  <c r="E112" i="39"/>
  <c r="H112" i="39"/>
  <c r="Q112" i="39"/>
  <c r="E110" i="39"/>
  <c r="H110" i="39"/>
  <c r="Q110" i="39"/>
  <c r="E108" i="39"/>
  <c r="H108" i="39"/>
  <c r="C740" i="40"/>
  <c r="Q108" i="39"/>
  <c r="B747" i="40"/>
  <c r="E106" i="39"/>
  <c r="H106" i="39"/>
  <c r="C706" i="40"/>
  <c r="Q106" i="39"/>
  <c r="B713" i="40"/>
  <c r="E104" i="39"/>
  <c r="H104" i="39"/>
  <c r="Q104" i="39"/>
  <c r="E102" i="39"/>
  <c r="H102" i="39"/>
  <c r="C655" i="40"/>
  <c r="Q102" i="39"/>
  <c r="B662" i="40"/>
  <c r="E100" i="39"/>
  <c r="H100" i="39"/>
  <c r="C621" i="40"/>
  <c r="Q100" i="39"/>
  <c r="B628" i="40"/>
  <c r="E98" i="39"/>
  <c r="H98" i="39"/>
  <c r="C587" i="40"/>
  <c r="Q98" i="39"/>
  <c r="B594" i="40"/>
  <c r="E96" i="39"/>
  <c r="H96" i="39"/>
  <c r="Q96" i="39"/>
  <c r="R96" i="39"/>
  <c r="T96" i="39"/>
  <c r="E94" i="39"/>
  <c r="H94" i="39"/>
  <c r="R94" i="39"/>
  <c r="T94" i="39"/>
  <c r="Q94" i="39"/>
  <c r="E92" i="39"/>
  <c r="H92" i="39"/>
  <c r="C536" i="40"/>
  <c r="Q92" i="39"/>
  <c r="B543" i="40"/>
  <c r="R92" i="39"/>
  <c r="T92" i="39"/>
  <c r="E90" i="39"/>
  <c r="H90" i="39"/>
  <c r="C502" i="40"/>
  <c r="Q90" i="39"/>
  <c r="R90" i="39"/>
  <c r="T90" i="39"/>
  <c r="E88" i="39"/>
  <c r="H88" i="39"/>
  <c r="C485" i="40"/>
  <c r="Q88" i="39"/>
  <c r="B492" i="40"/>
  <c r="R88" i="39"/>
  <c r="T88" i="39"/>
  <c r="E86" i="39"/>
  <c r="Q86" i="39"/>
  <c r="B458" i="40"/>
  <c r="R86" i="39"/>
  <c r="T86" i="39"/>
  <c r="C20" i="39"/>
  <c r="R69" i="39"/>
  <c r="T69" i="39"/>
  <c r="E69" i="39"/>
  <c r="H69" i="39"/>
  <c r="Q69" i="39"/>
  <c r="E67" i="39"/>
  <c r="H67" i="39"/>
  <c r="Q67" i="39"/>
  <c r="B424" i="40"/>
  <c r="R67" i="39"/>
  <c r="T67" i="39"/>
  <c r="E65" i="39"/>
  <c r="H65" i="39"/>
  <c r="C383" i="40"/>
  <c r="Q65" i="39"/>
  <c r="B390" i="40"/>
  <c r="R65" i="39"/>
  <c r="T65" i="39"/>
  <c r="E63" i="39"/>
  <c r="H63" i="39"/>
  <c r="C349" i="40"/>
  <c r="Q63" i="39"/>
  <c r="B356" i="40"/>
  <c r="R63" i="39"/>
  <c r="T63" i="39"/>
  <c r="E61" i="39"/>
  <c r="H61" i="39"/>
  <c r="Q61" i="39"/>
  <c r="R61" i="39"/>
  <c r="T61" i="39"/>
  <c r="Q59" i="39"/>
  <c r="E59" i="39"/>
  <c r="H59" i="39"/>
  <c r="R59" i="39"/>
  <c r="T59" i="39"/>
  <c r="Q57" i="39"/>
  <c r="B305" i="40"/>
  <c r="E57" i="39"/>
  <c r="H57" i="39"/>
  <c r="C298" i="40"/>
  <c r="R57" i="39"/>
  <c r="T57" i="39"/>
  <c r="T35" i="9"/>
  <c r="Q35" i="9"/>
  <c r="H35" i="9"/>
  <c r="R33" i="9"/>
  <c r="Q33" i="9"/>
  <c r="S33" i="9"/>
  <c r="Q28" i="9"/>
  <c r="S28" i="9"/>
  <c r="U28" i="9"/>
  <c r="R28" i="9"/>
  <c r="T28" i="9"/>
  <c r="Q34" i="9"/>
  <c r="H34" i="9"/>
  <c r="U34" i="9"/>
  <c r="R34" i="9"/>
  <c r="T19" i="13"/>
  <c r="R19" i="13"/>
  <c r="T17" i="13"/>
  <c r="R17" i="13"/>
  <c r="T15" i="13"/>
  <c r="R15" i="13"/>
  <c r="T13" i="13"/>
  <c r="R13" i="13"/>
  <c r="T15" i="21"/>
  <c r="R15" i="21"/>
  <c r="T13" i="21"/>
  <c r="R13" i="21"/>
  <c r="D16" i="22"/>
  <c r="T23" i="19"/>
  <c r="Q23" i="19"/>
  <c r="S22" i="19"/>
  <c r="U21" i="19"/>
  <c r="S21" i="19"/>
  <c r="S20" i="19"/>
  <c r="U19" i="19"/>
  <c r="S19" i="19"/>
  <c r="S18" i="19"/>
  <c r="U13" i="19"/>
  <c r="S13" i="19"/>
  <c r="R31" i="19"/>
  <c r="R30" i="19"/>
  <c r="R24" i="19"/>
  <c r="R22" i="19"/>
  <c r="R21" i="19"/>
  <c r="R20" i="19"/>
  <c r="R13" i="19"/>
  <c r="D16" i="20"/>
  <c r="T36" i="23"/>
  <c r="R36" i="23"/>
  <c r="T34" i="23"/>
  <c r="T32" i="23"/>
  <c r="R32" i="23"/>
  <c r="T30" i="23"/>
  <c r="R30" i="23"/>
  <c r="T28" i="23"/>
  <c r="R28" i="23"/>
  <c r="T26" i="23"/>
  <c r="R26" i="23"/>
  <c r="T24" i="23"/>
  <c r="R24" i="23"/>
  <c r="T22" i="23"/>
  <c r="R22" i="23"/>
  <c r="T20" i="23"/>
  <c r="R20" i="23"/>
  <c r="T18" i="23"/>
  <c r="R18" i="23"/>
  <c r="T16" i="23"/>
  <c r="R16" i="23"/>
  <c r="T14" i="23"/>
  <c r="R14" i="23"/>
  <c r="D356" i="24"/>
  <c r="D339" i="24"/>
  <c r="D322" i="24"/>
  <c r="D305" i="24"/>
  <c r="D288" i="24"/>
  <c r="D271" i="24"/>
  <c r="D254" i="24"/>
  <c r="D237" i="24"/>
  <c r="D220" i="24"/>
  <c r="D203" i="24"/>
  <c r="D186" i="24"/>
  <c r="D169" i="24"/>
  <c r="D152" i="24"/>
  <c r="D135" i="24"/>
  <c r="D118" i="24"/>
  <c r="D101" i="24"/>
  <c r="D84" i="24"/>
  <c r="D67" i="24"/>
  <c r="D50" i="24"/>
  <c r="D33" i="24"/>
  <c r="D16" i="24"/>
  <c r="T20" i="25"/>
  <c r="R20" i="25"/>
  <c r="T18" i="25"/>
  <c r="R18" i="25"/>
  <c r="T16" i="25"/>
  <c r="R16" i="25"/>
  <c r="T14" i="25"/>
  <c r="R14" i="25"/>
  <c r="D152" i="26"/>
  <c r="D118" i="26"/>
  <c r="D84" i="26"/>
  <c r="D50" i="26"/>
  <c r="D16" i="26"/>
  <c r="T17" i="27"/>
  <c r="R17" i="27"/>
  <c r="T15" i="27"/>
  <c r="R15" i="27"/>
  <c r="T13" i="27"/>
  <c r="R13" i="27"/>
  <c r="R12" i="31"/>
  <c r="F368" i="34"/>
  <c r="F334" i="34"/>
  <c r="F300" i="34"/>
  <c r="F266" i="34"/>
  <c r="T20" i="37"/>
  <c r="R20" i="37"/>
  <c r="T18" i="37"/>
  <c r="R18" i="37"/>
  <c r="T16" i="37"/>
  <c r="R16" i="37"/>
  <c r="T14" i="37"/>
  <c r="R14" i="37"/>
  <c r="D101" i="38"/>
  <c r="D84" i="38"/>
  <c r="D67" i="38"/>
  <c r="D50" i="38"/>
  <c r="D33" i="38"/>
  <c r="D16" i="38"/>
  <c r="Q279" i="39"/>
  <c r="B2090" i="40"/>
  <c r="E279" i="39"/>
  <c r="H279" i="39"/>
  <c r="C2083" i="40"/>
  <c r="T278" i="39"/>
  <c r="R278" i="39"/>
  <c r="Q277" i="39"/>
  <c r="B2056" i="40"/>
  <c r="E277" i="39"/>
  <c r="H277" i="39"/>
  <c r="C2049" i="40"/>
  <c r="T276" i="39"/>
  <c r="R276" i="39"/>
  <c r="E275" i="39"/>
  <c r="H275" i="39"/>
  <c r="C2032" i="40"/>
  <c r="Q275" i="39"/>
  <c r="T274" i="39"/>
  <c r="R274" i="39"/>
  <c r="E273" i="39"/>
  <c r="H273" i="39"/>
  <c r="C1998" i="40"/>
  <c r="Q273" i="39"/>
  <c r="B2005" i="40"/>
  <c r="T272" i="39"/>
  <c r="R272" i="39"/>
  <c r="E271" i="39"/>
  <c r="H271" i="39"/>
  <c r="C1964" i="40"/>
  <c r="Q271" i="39"/>
  <c r="B1971" i="40"/>
  <c r="T270" i="39"/>
  <c r="R270" i="39"/>
  <c r="E269" i="39"/>
  <c r="H269" i="39"/>
  <c r="C1930" i="40"/>
  <c r="Q269" i="39"/>
  <c r="B1937" i="40"/>
  <c r="T268" i="39"/>
  <c r="R268" i="39"/>
  <c r="E267" i="39"/>
  <c r="H267" i="39"/>
  <c r="C1896" i="40"/>
  <c r="Q267" i="39"/>
  <c r="B1903" i="40"/>
  <c r="T266" i="39"/>
  <c r="R266" i="39"/>
  <c r="E265" i="39"/>
  <c r="H265" i="39"/>
  <c r="C1862" i="40"/>
  <c r="Q265" i="39"/>
  <c r="B1869" i="40"/>
  <c r="T264" i="39"/>
  <c r="R264" i="39"/>
  <c r="E263" i="39"/>
  <c r="H263" i="39"/>
  <c r="C1828" i="40"/>
  <c r="Q263" i="39"/>
  <c r="B1835" i="40"/>
  <c r="T262" i="39"/>
  <c r="R262" i="39"/>
  <c r="E261" i="39"/>
  <c r="H261" i="39"/>
  <c r="C1794" i="40"/>
  <c r="Q261" i="39"/>
  <c r="T260" i="39"/>
  <c r="R260" i="39"/>
  <c r="Q259" i="39"/>
  <c r="B1784" i="40"/>
  <c r="E259" i="39"/>
  <c r="H259" i="39"/>
  <c r="C1777" i="40"/>
  <c r="T258" i="39"/>
  <c r="R258" i="39"/>
  <c r="Q257" i="39"/>
  <c r="B1750" i="40"/>
  <c r="E257" i="39"/>
  <c r="H257" i="39"/>
  <c r="C1743" i="40"/>
  <c r="T256" i="39"/>
  <c r="R256" i="39"/>
  <c r="T238" i="39"/>
  <c r="R238" i="39"/>
  <c r="Q237" i="39"/>
  <c r="B1699" i="40"/>
  <c r="E237" i="39"/>
  <c r="H237" i="39"/>
  <c r="C1692" i="40"/>
  <c r="T236" i="39"/>
  <c r="R236" i="39"/>
  <c r="E235" i="39"/>
  <c r="H235" i="39"/>
  <c r="C1675" i="40"/>
  <c r="Q235" i="39"/>
  <c r="T234" i="39"/>
  <c r="R234" i="39"/>
  <c r="Q233" i="39"/>
  <c r="B1665" i="40"/>
  <c r="E233" i="39"/>
  <c r="H233" i="39"/>
  <c r="C1658" i="40"/>
  <c r="T232" i="39"/>
  <c r="R232" i="39"/>
  <c r="Q231" i="39"/>
  <c r="B1631" i="40"/>
  <c r="E231" i="39"/>
  <c r="H231" i="39"/>
  <c r="C1624" i="40"/>
  <c r="T230" i="39"/>
  <c r="R230" i="39"/>
  <c r="Q229" i="39"/>
  <c r="B1597" i="40"/>
  <c r="E229" i="39"/>
  <c r="H229" i="39"/>
  <c r="C1590" i="40"/>
  <c r="T228" i="39"/>
  <c r="R228" i="39"/>
  <c r="Q227" i="39"/>
  <c r="B1563" i="40"/>
  <c r="E227" i="39"/>
  <c r="H227" i="39"/>
  <c r="C1556" i="40"/>
  <c r="T226" i="39"/>
  <c r="R226" i="39"/>
  <c r="Q225" i="39"/>
  <c r="B1529" i="40"/>
  <c r="E225" i="39"/>
  <c r="H225" i="39"/>
  <c r="C1522" i="40"/>
  <c r="T224" i="39"/>
  <c r="R224" i="39"/>
  <c r="Q223" i="39"/>
  <c r="B1495" i="40"/>
  <c r="E223" i="39"/>
  <c r="H223" i="39"/>
  <c r="C1488" i="40"/>
  <c r="T222" i="39"/>
  <c r="R222" i="39"/>
  <c r="Q221" i="39"/>
  <c r="B1461" i="40"/>
  <c r="E221" i="39"/>
  <c r="H221" i="39"/>
  <c r="C1454" i="40"/>
  <c r="T220" i="39"/>
  <c r="R220" i="39"/>
  <c r="Q219" i="39"/>
  <c r="B1427" i="40"/>
  <c r="E219" i="39"/>
  <c r="H219" i="39"/>
  <c r="C1420" i="40"/>
  <c r="T218" i="39"/>
  <c r="R218" i="39"/>
  <c r="Q217" i="39"/>
  <c r="E217" i="39"/>
  <c r="H217" i="39"/>
  <c r="T216" i="39"/>
  <c r="R216" i="39"/>
  <c r="E215" i="39"/>
  <c r="H215" i="39"/>
  <c r="C1369" i="40"/>
  <c r="Q215" i="39"/>
  <c r="B1376" i="40"/>
  <c r="T214" i="39"/>
  <c r="R214" i="39"/>
  <c r="E213" i="39"/>
  <c r="H213" i="39"/>
  <c r="C1335" i="40"/>
  <c r="Q213" i="39"/>
  <c r="B1342" i="40"/>
  <c r="T212" i="39"/>
  <c r="R212" i="39"/>
  <c r="E211" i="39"/>
  <c r="H211" i="39"/>
  <c r="C1301" i="40"/>
  <c r="Q211" i="39"/>
  <c r="B1308" i="40"/>
  <c r="T210" i="39"/>
  <c r="R210" i="39"/>
  <c r="E209" i="39"/>
  <c r="H209" i="39"/>
  <c r="C1267" i="40"/>
  <c r="Q209" i="39"/>
  <c r="B1274" i="40"/>
  <c r="T208" i="39"/>
  <c r="R208" i="39"/>
  <c r="E207" i="39"/>
  <c r="H207" i="39"/>
  <c r="C1233" i="40"/>
  <c r="Q207" i="39"/>
  <c r="B1240" i="40"/>
  <c r="T206" i="39"/>
  <c r="R206" i="39"/>
  <c r="E205" i="39"/>
  <c r="H205" i="39"/>
  <c r="Q205" i="39"/>
  <c r="T204" i="39"/>
  <c r="R204" i="39"/>
  <c r="T184" i="39"/>
  <c r="R184" i="39"/>
  <c r="Q183" i="39"/>
  <c r="B1172" i="40"/>
  <c r="E183" i="39"/>
  <c r="H183" i="39"/>
  <c r="C1165" i="40"/>
  <c r="T182" i="39"/>
  <c r="R182" i="39"/>
  <c r="Q181" i="39"/>
  <c r="B1138" i="40"/>
  <c r="E181" i="39"/>
  <c r="H181" i="39"/>
  <c r="T180" i="39"/>
  <c r="R180" i="39"/>
  <c r="Q179" i="39"/>
  <c r="B1104" i="40"/>
  <c r="E179" i="39"/>
  <c r="H179" i="39"/>
  <c r="C1097" i="40"/>
  <c r="T178" i="39"/>
  <c r="R178" i="39"/>
  <c r="Q158" i="39"/>
  <c r="B1070" i="40"/>
  <c r="E158" i="39"/>
  <c r="H158" i="39"/>
  <c r="C1063" i="40"/>
  <c r="T157" i="39"/>
  <c r="R157" i="39"/>
  <c r="E156" i="39"/>
  <c r="H156" i="39"/>
  <c r="Q156" i="39"/>
  <c r="T155" i="39"/>
  <c r="R155" i="39"/>
  <c r="E154" i="39"/>
  <c r="H154" i="39"/>
  <c r="Q154" i="39"/>
  <c r="B1053" i="40"/>
  <c r="T153" i="39"/>
  <c r="R153" i="39"/>
  <c r="E152" i="39"/>
  <c r="H152" i="39"/>
  <c r="C1012" i="40"/>
  <c r="Q152" i="39"/>
  <c r="B1019" i="40"/>
  <c r="T151" i="39"/>
  <c r="R151" i="39"/>
  <c r="E150" i="39"/>
  <c r="H150" i="39"/>
  <c r="Q150" i="39"/>
  <c r="T149" i="39"/>
  <c r="R149" i="39"/>
  <c r="Q148" i="39"/>
  <c r="B968" i="40"/>
  <c r="E148" i="39"/>
  <c r="H148" i="39"/>
  <c r="C961" i="40"/>
  <c r="T147" i="39"/>
  <c r="R147" i="39"/>
  <c r="Q146" i="39"/>
  <c r="B934" i="40"/>
  <c r="E146" i="39"/>
  <c r="H146" i="39"/>
  <c r="C927" i="40"/>
  <c r="T145" i="39"/>
  <c r="R145" i="39"/>
  <c r="Q144" i="39"/>
  <c r="B900" i="40"/>
  <c r="E144" i="39"/>
  <c r="H144" i="39"/>
  <c r="C893" i="40"/>
  <c r="T143" i="39"/>
  <c r="R143" i="39"/>
  <c r="Q142" i="39"/>
  <c r="B866" i="40"/>
  <c r="E142" i="39"/>
  <c r="T123" i="39"/>
  <c r="R123" i="39"/>
  <c r="Q122" i="39"/>
  <c r="B832" i="40"/>
  <c r="E122" i="39"/>
  <c r="H122" i="39"/>
  <c r="C825" i="40"/>
  <c r="T121" i="39"/>
  <c r="R121" i="39"/>
  <c r="Q120" i="39"/>
  <c r="B798" i="40"/>
  <c r="E120" i="39"/>
  <c r="H120" i="39"/>
  <c r="C791" i="40"/>
  <c r="T114" i="39"/>
  <c r="R114" i="39"/>
  <c r="E113" i="39"/>
  <c r="H113" i="39"/>
  <c r="Q113" i="39"/>
  <c r="T112" i="39"/>
  <c r="R112" i="39"/>
  <c r="E111" i="39"/>
  <c r="H111" i="39"/>
  <c r="Q111" i="39"/>
  <c r="T110" i="39"/>
  <c r="R110" i="39"/>
  <c r="E109" i="39"/>
  <c r="H109" i="39"/>
  <c r="C757" i="40"/>
  <c r="Q109" i="39"/>
  <c r="B764" i="40"/>
  <c r="T108" i="39"/>
  <c r="R108" i="39"/>
  <c r="E107" i="39"/>
  <c r="H107" i="39"/>
  <c r="C723" i="40"/>
  <c r="Q107" i="39"/>
  <c r="B730" i="40"/>
  <c r="T106" i="39"/>
  <c r="R106" i="39"/>
  <c r="E105" i="39"/>
  <c r="H105" i="39"/>
  <c r="Q105" i="39"/>
  <c r="T104" i="39"/>
  <c r="R104" i="39"/>
  <c r="E103" i="39"/>
  <c r="H103" i="39"/>
  <c r="C672" i="40"/>
  <c r="Q103" i="39"/>
  <c r="B679" i="40"/>
  <c r="T102" i="39"/>
  <c r="R102" i="39"/>
  <c r="E101" i="39"/>
  <c r="H101" i="39"/>
  <c r="C638" i="40"/>
  <c r="Q101" i="39"/>
  <c r="B645" i="40"/>
  <c r="T100" i="39"/>
  <c r="R100" i="39"/>
  <c r="E99" i="39"/>
  <c r="H99" i="39"/>
  <c r="C604" i="40"/>
  <c r="Q99" i="39"/>
  <c r="B611" i="40"/>
  <c r="T98" i="39"/>
  <c r="R98" i="39"/>
  <c r="E97" i="39"/>
  <c r="H97" i="39"/>
  <c r="C570" i="40"/>
  <c r="Q97" i="39"/>
  <c r="B577" i="40"/>
  <c r="S96" i="39"/>
  <c r="S94" i="39"/>
  <c r="S92" i="39"/>
  <c r="S90" i="39"/>
  <c r="S88" i="39"/>
  <c r="C468" i="40"/>
  <c r="S86" i="39"/>
  <c r="S69" i="39"/>
  <c r="S67" i="39"/>
  <c r="S65" i="39"/>
  <c r="S63" i="39"/>
  <c r="S61" i="39"/>
  <c r="S59" i="39"/>
  <c r="C10" i="39"/>
  <c r="E10" i="39"/>
  <c r="D10" i="40"/>
  <c r="F10" i="40"/>
  <c r="E10" i="40"/>
  <c r="E40" i="39"/>
  <c r="H40" i="39"/>
  <c r="Q40" i="39"/>
  <c r="B33" i="40"/>
  <c r="Q89" i="39"/>
  <c r="B509" i="40"/>
  <c r="Q87" i="39"/>
  <c r="B475" i="40"/>
  <c r="Q70" i="39"/>
  <c r="B441" i="40"/>
  <c r="Q60" i="39"/>
  <c r="E42" i="39"/>
  <c r="H42" i="39"/>
  <c r="C43" i="40"/>
  <c r="Q38" i="39"/>
  <c r="E306" i="41"/>
  <c r="G306" i="41"/>
  <c r="P294" i="41"/>
  <c r="R294" i="41"/>
  <c r="T294" i="41"/>
  <c r="E305" i="41"/>
  <c r="G305" i="41"/>
  <c r="P293" i="41"/>
  <c r="R293" i="41"/>
  <c r="T293" i="41"/>
  <c r="E304" i="41"/>
  <c r="G304" i="41"/>
  <c r="P292" i="41"/>
  <c r="R292" i="41"/>
  <c r="T292" i="41"/>
  <c r="P291" i="41"/>
  <c r="R291" i="41"/>
  <c r="T291" i="41"/>
  <c r="E303" i="41"/>
  <c r="C18" i="41"/>
  <c r="E286" i="41"/>
  <c r="D18" i="41"/>
  <c r="P281" i="41"/>
  <c r="B1308" i="42"/>
  <c r="Q281" i="41"/>
  <c r="S281" i="41"/>
  <c r="E281" i="41"/>
  <c r="P277" i="41"/>
  <c r="B1240" i="42"/>
  <c r="Q277" i="41"/>
  <c r="S277" i="41"/>
  <c r="E277" i="41"/>
  <c r="E256" i="41"/>
  <c r="G256" i="41"/>
  <c r="P256" i="41"/>
  <c r="B1172" i="42"/>
  <c r="Q256" i="41"/>
  <c r="S256" i="41"/>
  <c r="E254" i="41"/>
  <c r="G254" i="41"/>
  <c r="P254" i="41"/>
  <c r="Q254" i="41"/>
  <c r="S254" i="41"/>
  <c r="E252" i="41"/>
  <c r="G252" i="41"/>
  <c r="P252" i="41"/>
  <c r="Q252" i="41"/>
  <c r="S252" i="41"/>
  <c r="E250" i="41"/>
  <c r="G250" i="41"/>
  <c r="P250" i="41"/>
  <c r="Q250" i="41"/>
  <c r="S250" i="41"/>
  <c r="E248" i="41"/>
  <c r="G248" i="41"/>
  <c r="P248" i="41"/>
  <c r="Q248" i="41"/>
  <c r="S248" i="41"/>
  <c r="P246" i="41"/>
  <c r="B1087" i="42"/>
  <c r="E246" i="41"/>
  <c r="Q246" i="41"/>
  <c r="S246" i="41"/>
  <c r="P244" i="41"/>
  <c r="B1053" i="42"/>
  <c r="E244" i="41"/>
  <c r="Q244" i="41"/>
  <c r="S244" i="41"/>
  <c r="E95" i="39"/>
  <c r="H95" i="39"/>
  <c r="Q95" i="39"/>
  <c r="E93" i="39"/>
  <c r="H93" i="39"/>
  <c r="C553" i="40"/>
  <c r="Q93" i="39"/>
  <c r="B560" i="40"/>
  <c r="E91" i="39"/>
  <c r="H91" i="39"/>
  <c r="Q91" i="39"/>
  <c r="B526" i="40"/>
  <c r="T55" i="39"/>
  <c r="R55" i="39"/>
  <c r="T53" i="39"/>
  <c r="R53" i="39"/>
  <c r="T51" i="39"/>
  <c r="R51" i="39"/>
  <c r="T49" i="39"/>
  <c r="R49" i="39"/>
  <c r="T47" i="39"/>
  <c r="R47" i="39"/>
  <c r="T45" i="39"/>
  <c r="R45" i="39"/>
  <c r="T43" i="39"/>
  <c r="R43" i="39"/>
  <c r="T40" i="39"/>
  <c r="R40" i="39"/>
  <c r="E39" i="39"/>
  <c r="H39" i="39"/>
  <c r="Q39" i="39"/>
  <c r="T38" i="39"/>
  <c r="R38" i="39"/>
  <c r="L14" i="39"/>
  <c r="C7" i="39"/>
  <c r="E68" i="39"/>
  <c r="H68" i="39"/>
  <c r="C417" i="40"/>
  <c r="Q66" i="39"/>
  <c r="B407" i="40"/>
  <c r="Q64" i="39"/>
  <c r="B373" i="40"/>
  <c r="Q62" i="39"/>
  <c r="E58" i="39"/>
  <c r="H58" i="39"/>
  <c r="E56" i="39"/>
  <c r="H56" i="39"/>
  <c r="C281" i="40"/>
  <c r="E55" i="39"/>
  <c r="H55" i="39"/>
  <c r="C264" i="40"/>
  <c r="E54" i="39"/>
  <c r="H54" i="39"/>
  <c r="C247" i="40"/>
  <c r="E53" i="39"/>
  <c r="H53" i="39"/>
  <c r="C230" i="40"/>
  <c r="E52" i="39"/>
  <c r="H52" i="39"/>
  <c r="C213" i="40"/>
  <c r="E51" i="39"/>
  <c r="H51" i="39"/>
  <c r="C196" i="40"/>
  <c r="E50" i="39"/>
  <c r="H50" i="39"/>
  <c r="C179" i="40"/>
  <c r="E49" i="39"/>
  <c r="H49" i="39"/>
  <c r="E48" i="39"/>
  <c r="H48" i="39"/>
  <c r="E47" i="39"/>
  <c r="H47" i="39"/>
  <c r="C128" i="40"/>
  <c r="E46" i="39"/>
  <c r="H46" i="39"/>
  <c r="C111" i="40"/>
  <c r="E45" i="39"/>
  <c r="H45" i="39"/>
  <c r="C94" i="40"/>
  <c r="E44" i="39"/>
  <c r="H44" i="39"/>
  <c r="C77" i="40"/>
  <c r="E43" i="39"/>
  <c r="H43" i="39"/>
  <c r="C60" i="40"/>
  <c r="Q294" i="41"/>
  <c r="Q293" i="41"/>
  <c r="Q292" i="41"/>
  <c r="Q291" i="41"/>
  <c r="G286" i="41"/>
  <c r="P283" i="41"/>
  <c r="B1325" i="42"/>
  <c r="Q283" i="41"/>
  <c r="S283" i="41"/>
  <c r="E283" i="41"/>
  <c r="R281" i="41"/>
  <c r="P279" i="41"/>
  <c r="B1274" i="42"/>
  <c r="Q279" i="41"/>
  <c r="S279" i="41"/>
  <c r="E279" i="41"/>
  <c r="R277" i="41"/>
  <c r="P275" i="41"/>
  <c r="B1206" i="42"/>
  <c r="E275" i="41"/>
  <c r="G275" i="41"/>
  <c r="Q275" i="41"/>
  <c r="S275" i="41"/>
  <c r="R256" i="41"/>
  <c r="R254" i="41"/>
  <c r="R252" i="41"/>
  <c r="C21" i="41"/>
  <c r="E284" i="41"/>
  <c r="E282" i="41"/>
  <c r="E280" i="41"/>
  <c r="E278" i="41"/>
  <c r="E276" i="41"/>
  <c r="E255" i="41"/>
  <c r="G255" i="41"/>
  <c r="P255" i="41"/>
  <c r="E253" i="41"/>
  <c r="G253" i="41"/>
  <c r="P253" i="41"/>
  <c r="E251" i="41"/>
  <c r="G251" i="41"/>
  <c r="P251" i="41"/>
  <c r="E249" i="41"/>
  <c r="G249" i="41"/>
  <c r="P249" i="41"/>
  <c r="S243" i="41"/>
  <c r="E242" i="41"/>
  <c r="G242" i="41"/>
  <c r="P242" i="41"/>
  <c r="B1019" i="42"/>
  <c r="S241" i="41"/>
  <c r="Q241" i="41"/>
  <c r="E223" i="41"/>
  <c r="D16" i="41"/>
  <c r="E222" i="41"/>
  <c r="G222" i="41"/>
  <c r="P222" i="41"/>
  <c r="B968" i="42"/>
  <c r="S221" i="41"/>
  <c r="P220" i="41"/>
  <c r="E220" i="41"/>
  <c r="G220" i="41"/>
  <c r="S219" i="41"/>
  <c r="E218" i="41"/>
  <c r="G218" i="41"/>
  <c r="P218" i="41"/>
  <c r="S217" i="41"/>
  <c r="E216" i="41"/>
  <c r="G216" i="41"/>
  <c r="P216" i="41"/>
  <c r="B900" i="42"/>
  <c r="S215" i="41"/>
  <c r="E213" i="41"/>
  <c r="G213" i="41"/>
  <c r="P213" i="41"/>
  <c r="B849" i="42"/>
  <c r="S212" i="41"/>
  <c r="E211" i="41"/>
  <c r="G211" i="41"/>
  <c r="P211" i="41"/>
  <c r="B815" i="42"/>
  <c r="S207" i="41"/>
  <c r="E206" i="41"/>
  <c r="G206" i="41"/>
  <c r="P206" i="41"/>
  <c r="B781" i="42"/>
  <c r="S205" i="41"/>
  <c r="E204" i="41"/>
  <c r="G204" i="41"/>
  <c r="P204" i="41"/>
  <c r="B747" i="42"/>
  <c r="E186" i="41"/>
  <c r="G186" i="41"/>
  <c r="P186" i="41"/>
  <c r="B730" i="42"/>
  <c r="S185" i="41"/>
  <c r="E184" i="41"/>
  <c r="G184" i="41"/>
  <c r="P184" i="41"/>
  <c r="B696" i="42"/>
  <c r="S183" i="41"/>
  <c r="P182" i="41"/>
  <c r="E182" i="41"/>
  <c r="G182" i="41"/>
  <c r="S181" i="41"/>
  <c r="P180" i="41"/>
  <c r="E180" i="41"/>
  <c r="G180" i="41"/>
  <c r="S179" i="41"/>
  <c r="P178" i="41"/>
  <c r="E178" i="41"/>
  <c r="G178" i="41"/>
  <c r="S177" i="41"/>
  <c r="P176" i="41"/>
  <c r="B611" i="42"/>
  <c r="E176" i="41"/>
  <c r="G176" i="41"/>
  <c r="S175" i="41"/>
  <c r="P174" i="41"/>
  <c r="B577" i="42"/>
  <c r="E174" i="41"/>
  <c r="S156" i="41"/>
  <c r="T153" i="41"/>
  <c r="R153" i="41"/>
  <c r="P153" i="41"/>
  <c r="E152" i="41"/>
  <c r="G152" i="41"/>
  <c r="P152" i="41"/>
  <c r="B509" i="42"/>
  <c r="S151" i="41"/>
  <c r="E150" i="41"/>
  <c r="G150" i="41"/>
  <c r="P150" i="41"/>
  <c r="B475" i="42"/>
  <c r="S149" i="41"/>
  <c r="E148" i="41"/>
  <c r="G148" i="41"/>
  <c r="P148" i="41"/>
  <c r="B441" i="42"/>
  <c r="S147" i="41"/>
  <c r="E146" i="41"/>
  <c r="G146" i="41"/>
  <c r="P146" i="41"/>
  <c r="S145" i="41"/>
  <c r="E144" i="41"/>
  <c r="G144" i="41"/>
  <c r="P144" i="41"/>
  <c r="B390" i="42"/>
  <c r="S143" i="41"/>
  <c r="Q143" i="41"/>
  <c r="E143" i="41"/>
  <c r="S142" i="41"/>
  <c r="E141" i="41"/>
  <c r="G141" i="41"/>
  <c r="P141" i="41"/>
  <c r="B339" i="42"/>
  <c r="S136" i="41"/>
  <c r="P135" i="41"/>
  <c r="E135" i="41"/>
  <c r="G135" i="41"/>
  <c r="S134" i="41"/>
  <c r="E116" i="41"/>
  <c r="G116" i="41"/>
  <c r="P116" i="41"/>
  <c r="B1580" i="42"/>
  <c r="S115" i="41"/>
  <c r="Q115" i="41"/>
  <c r="E114" i="41"/>
  <c r="G114" i="41"/>
  <c r="P114" i="41"/>
  <c r="B1614" i="42"/>
  <c r="S113" i="41"/>
  <c r="Q113" i="41"/>
  <c r="S111" i="41"/>
  <c r="S109" i="41"/>
  <c r="S107" i="41"/>
  <c r="S105" i="41"/>
  <c r="S103" i="41"/>
  <c r="Q103" i="41"/>
  <c r="S101" i="41"/>
  <c r="Q101" i="41"/>
  <c r="S99" i="41"/>
  <c r="Q99" i="41"/>
  <c r="P81" i="41"/>
  <c r="B1376" i="42"/>
  <c r="E81" i="41"/>
  <c r="G81" i="41"/>
  <c r="S80" i="41"/>
  <c r="E79" i="41"/>
  <c r="G79" i="41"/>
  <c r="P79" i="41"/>
  <c r="B1410" i="42"/>
  <c r="S78" i="41"/>
  <c r="E77" i="41"/>
  <c r="G77" i="41"/>
  <c r="P77" i="41"/>
  <c r="B1444" i="42"/>
  <c r="S76" i="41"/>
  <c r="E75" i="41"/>
  <c r="G75" i="41"/>
  <c r="P75" i="41"/>
  <c r="B1478" i="42"/>
  <c r="S74" i="41"/>
  <c r="E73" i="41"/>
  <c r="G73" i="41"/>
  <c r="P73" i="41"/>
  <c r="S72" i="41"/>
  <c r="E71" i="41"/>
  <c r="G71" i="41"/>
  <c r="P71" i="41"/>
  <c r="S70" i="41"/>
  <c r="E69" i="41"/>
  <c r="G69" i="41"/>
  <c r="P69" i="41"/>
  <c r="B1529" i="42"/>
  <c r="S68" i="41"/>
  <c r="E52" i="41"/>
  <c r="G52" i="41"/>
  <c r="P52" i="41"/>
  <c r="S51" i="41"/>
  <c r="P50" i="41"/>
  <c r="E50" i="41"/>
  <c r="G50" i="41"/>
  <c r="S49" i="41"/>
  <c r="S47" i="41"/>
  <c r="E46" i="41"/>
  <c r="G46" i="41"/>
  <c r="P46" i="41"/>
  <c r="S45" i="41"/>
  <c r="E44" i="41"/>
  <c r="G44" i="41"/>
  <c r="P44" i="41"/>
  <c r="S43" i="41"/>
  <c r="E42" i="41"/>
  <c r="G42" i="41"/>
  <c r="P42" i="41"/>
  <c r="S41" i="41"/>
  <c r="S39" i="41"/>
  <c r="E101" i="41"/>
  <c r="E247" i="41"/>
  <c r="E245" i="41"/>
  <c r="E241" i="41"/>
  <c r="E48" i="41"/>
  <c r="P103" i="41"/>
  <c r="P99" i="41"/>
  <c r="P106" i="41"/>
  <c r="P110" i="41"/>
  <c r="P113" i="41"/>
  <c r="B1631" i="42"/>
  <c r="J204" i="41"/>
  <c r="E243" i="41"/>
  <c r="G243" i="41"/>
  <c r="P243" i="41"/>
  <c r="B1036" i="42"/>
  <c r="P221" i="41"/>
  <c r="E221" i="41"/>
  <c r="G221" i="41"/>
  <c r="P219" i="41"/>
  <c r="B934" i="42"/>
  <c r="E219" i="41"/>
  <c r="G219" i="41"/>
  <c r="E217" i="41"/>
  <c r="G217" i="41"/>
  <c r="P217" i="41"/>
  <c r="B917" i="42"/>
  <c r="E215" i="41"/>
  <c r="G215" i="41"/>
  <c r="P215" i="41"/>
  <c r="B883" i="42"/>
  <c r="E212" i="41"/>
  <c r="G212" i="41"/>
  <c r="P212" i="41"/>
  <c r="B832" i="42"/>
  <c r="E207" i="41"/>
  <c r="G207" i="41"/>
  <c r="P207" i="41"/>
  <c r="B798" i="42"/>
  <c r="E205" i="41"/>
  <c r="G205" i="41"/>
  <c r="P205" i="41"/>
  <c r="B764" i="42"/>
  <c r="E185" i="41"/>
  <c r="G185" i="41"/>
  <c r="P185" i="41"/>
  <c r="B713" i="42"/>
  <c r="E183" i="41"/>
  <c r="G183" i="41"/>
  <c r="P183" i="41"/>
  <c r="B679" i="42"/>
  <c r="P181" i="41"/>
  <c r="B662" i="42"/>
  <c r="E181" i="41"/>
  <c r="G181" i="41"/>
  <c r="E179" i="41"/>
  <c r="G179" i="41"/>
  <c r="P179" i="41"/>
  <c r="P177" i="41"/>
  <c r="B628" i="42"/>
  <c r="E177" i="41"/>
  <c r="G177" i="41"/>
  <c r="P175" i="41"/>
  <c r="B594" i="42"/>
  <c r="E175" i="41"/>
  <c r="G175" i="41"/>
  <c r="P156" i="41"/>
  <c r="B560" i="42"/>
  <c r="E156" i="41"/>
  <c r="G156" i="41"/>
  <c r="E151" i="41"/>
  <c r="G151" i="41"/>
  <c r="P151" i="41"/>
  <c r="B492" i="42"/>
  <c r="E149" i="41"/>
  <c r="G149" i="41"/>
  <c r="P149" i="41"/>
  <c r="B458" i="42"/>
  <c r="E147" i="41"/>
  <c r="G147" i="41"/>
  <c r="P147" i="41"/>
  <c r="B424" i="42"/>
  <c r="E145" i="41"/>
  <c r="G145" i="41"/>
  <c r="P145" i="41"/>
  <c r="B407" i="42"/>
  <c r="E142" i="41"/>
  <c r="G142" i="41"/>
  <c r="P142" i="41"/>
  <c r="B356" i="42"/>
  <c r="E136" i="41"/>
  <c r="G136" i="41"/>
  <c r="P136" i="41"/>
  <c r="P134" i="41"/>
  <c r="B305" i="42"/>
  <c r="E134" i="41"/>
  <c r="G134" i="41"/>
  <c r="E111" i="41"/>
  <c r="G111" i="41"/>
  <c r="P111" i="41"/>
  <c r="B1665" i="42"/>
  <c r="E109" i="41"/>
  <c r="G109" i="41"/>
  <c r="P109" i="41"/>
  <c r="E107" i="41"/>
  <c r="G107" i="41"/>
  <c r="P107" i="41"/>
  <c r="E105" i="41"/>
  <c r="G105" i="41"/>
  <c r="P105" i="41"/>
  <c r="P80" i="41"/>
  <c r="B1393" i="42"/>
  <c r="E80" i="41"/>
  <c r="G80" i="41"/>
  <c r="E78" i="41"/>
  <c r="G78" i="41"/>
  <c r="P78" i="41"/>
  <c r="B1427" i="42"/>
  <c r="E76" i="41"/>
  <c r="G76" i="41"/>
  <c r="P76" i="41"/>
  <c r="B1461" i="42"/>
  <c r="E74" i="41"/>
  <c r="G74" i="41"/>
  <c r="P74" i="41"/>
  <c r="E72" i="41"/>
  <c r="G72" i="41"/>
  <c r="P72" i="41"/>
  <c r="E70" i="41"/>
  <c r="G70" i="41"/>
  <c r="P70" i="41"/>
  <c r="B1512" i="42"/>
  <c r="E68" i="41"/>
  <c r="G68" i="41"/>
  <c r="G82" i="41"/>
  <c r="P68" i="41"/>
  <c r="B1546" i="42"/>
  <c r="P51" i="41"/>
  <c r="B16" i="42"/>
  <c r="E51" i="41"/>
  <c r="G51" i="41"/>
  <c r="E49" i="41"/>
  <c r="G49" i="41"/>
  <c r="P49" i="41"/>
  <c r="P47" i="41"/>
  <c r="B50" i="42"/>
  <c r="E47" i="41"/>
  <c r="G47" i="41"/>
  <c r="P45" i="41"/>
  <c r="E45" i="41"/>
  <c r="G45" i="41"/>
  <c r="P43" i="41"/>
  <c r="E43" i="41"/>
  <c r="G43" i="41"/>
  <c r="E41" i="41"/>
  <c r="G41" i="41"/>
  <c r="P41" i="41"/>
  <c r="B84" i="42"/>
  <c r="E39" i="41"/>
  <c r="P39" i="41"/>
  <c r="B118" i="42"/>
  <c r="E115" i="41"/>
  <c r="E257" i="41"/>
  <c r="E240" i="41"/>
  <c r="E258" i="41"/>
  <c r="D17" i="41"/>
  <c r="E137" i="41"/>
  <c r="P104" i="41"/>
  <c r="P102" i="41"/>
  <c r="P100" i="41"/>
  <c r="P108" i="41"/>
  <c r="P112" i="41"/>
  <c r="B1648" i="42"/>
  <c r="J275" i="41"/>
  <c r="J240" i="41"/>
  <c r="J174" i="41"/>
  <c r="G360" i="44"/>
  <c r="G366" i="44"/>
  <c r="G361" i="44"/>
  <c r="G362" i="44"/>
  <c r="G363" i="44"/>
  <c r="G364" i="44"/>
  <c r="G365" i="44"/>
  <c r="G320" i="44"/>
  <c r="G322" i="44"/>
  <c r="G324" i="44"/>
  <c r="G326" i="44"/>
  <c r="G328" i="44"/>
  <c r="G330" i="44"/>
  <c r="G332" i="44"/>
  <c r="G334" i="44"/>
  <c r="G336" i="44"/>
  <c r="G338" i="44"/>
  <c r="G340" i="44"/>
  <c r="G341" i="44"/>
  <c r="G313" i="44"/>
  <c r="G321" i="44"/>
  <c r="G323" i="44"/>
  <c r="G325" i="44"/>
  <c r="G327" i="44"/>
  <c r="G329" i="44"/>
  <c r="G331" i="44"/>
  <c r="G333" i="44"/>
  <c r="G335" i="44"/>
  <c r="G337" i="44"/>
  <c r="G339" i="44"/>
  <c r="G189" i="44"/>
  <c r="G191" i="44"/>
  <c r="G193" i="44"/>
  <c r="G195" i="44"/>
  <c r="G197" i="44"/>
  <c r="G199" i="44"/>
  <c r="G201" i="44"/>
  <c r="G203" i="44"/>
  <c r="G188" i="44"/>
  <c r="G190" i="44"/>
  <c r="G192" i="44"/>
  <c r="G194" i="44"/>
  <c r="G196" i="44"/>
  <c r="G198" i="44"/>
  <c r="G200" i="44"/>
  <c r="G202" i="44"/>
  <c r="G204" i="44"/>
  <c r="G62" i="44"/>
  <c r="G64" i="44"/>
  <c r="G66" i="44"/>
  <c r="G68" i="44"/>
  <c r="G70" i="44"/>
  <c r="G72" i="44"/>
  <c r="G74" i="44"/>
  <c r="G76" i="44"/>
  <c r="G78" i="44"/>
  <c r="G80" i="44"/>
  <c r="G82" i="44"/>
  <c r="G84" i="44"/>
  <c r="G86" i="44"/>
  <c r="G88" i="44"/>
  <c r="G90" i="44"/>
  <c r="G92" i="44"/>
  <c r="G94" i="44"/>
  <c r="G61" i="44"/>
  <c r="G63" i="44"/>
  <c r="G65" i="44"/>
  <c r="G67" i="44"/>
  <c r="G69" i="44"/>
  <c r="G71" i="44"/>
  <c r="G73" i="44"/>
  <c r="G75" i="44"/>
  <c r="G77" i="44"/>
  <c r="G79" i="44"/>
  <c r="G81" i="44"/>
  <c r="G83" i="44"/>
  <c r="G85" i="44"/>
  <c r="G87" i="44"/>
  <c r="G89" i="44"/>
  <c r="G91" i="44"/>
  <c r="G93" i="44"/>
  <c r="J134" i="41"/>
  <c r="G251" i="44"/>
  <c r="G253" i="44"/>
  <c r="G255" i="44"/>
  <c r="G257" i="44"/>
  <c r="G259" i="44"/>
  <c r="G261" i="44"/>
  <c r="G263" i="44"/>
  <c r="G265" i="44"/>
  <c r="G267" i="44"/>
  <c r="G269" i="44"/>
  <c r="G271" i="44"/>
  <c r="G273" i="44"/>
  <c r="G275" i="44"/>
  <c r="G277" i="44"/>
  <c r="G279" i="44"/>
  <c r="G281" i="44"/>
  <c r="G283" i="44"/>
  <c r="G284" i="44"/>
  <c r="G250" i="44"/>
  <c r="G252" i="44"/>
  <c r="G254" i="44"/>
  <c r="G256" i="44"/>
  <c r="G258" i="44"/>
  <c r="G260" i="44"/>
  <c r="G262" i="44"/>
  <c r="G264" i="44"/>
  <c r="G266" i="44"/>
  <c r="G268" i="44"/>
  <c r="G270" i="44"/>
  <c r="G272" i="44"/>
  <c r="G274" i="44"/>
  <c r="G276" i="44"/>
  <c r="G278" i="44"/>
  <c r="G280" i="44"/>
  <c r="G282" i="44"/>
  <c r="G220" i="44"/>
  <c r="G222" i="44"/>
  <c r="G224" i="44"/>
  <c r="G226" i="44"/>
  <c r="G227" i="44"/>
  <c r="G221" i="44"/>
  <c r="G223" i="44"/>
  <c r="G225" i="44"/>
  <c r="G128" i="44"/>
  <c r="G130" i="44"/>
  <c r="G132" i="44"/>
  <c r="G134" i="44"/>
  <c r="G136" i="44"/>
  <c r="G138" i="44"/>
  <c r="G140" i="44"/>
  <c r="G142" i="44"/>
  <c r="G144" i="44"/>
  <c r="G146" i="44"/>
  <c r="G148" i="44"/>
  <c r="G150" i="44"/>
  <c r="G152" i="44"/>
  <c r="G154" i="44"/>
  <c r="G156" i="44"/>
  <c r="G158" i="44"/>
  <c r="G160" i="44"/>
  <c r="G162" i="44"/>
  <c r="G164" i="44"/>
  <c r="G127" i="44"/>
  <c r="G129" i="44"/>
  <c r="G131" i="44"/>
  <c r="G133" i="44"/>
  <c r="G135" i="44"/>
  <c r="G137" i="44"/>
  <c r="G139" i="44"/>
  <c r="G141" i="44"/>
  <c r="G143" i="44"/>
  <c r="G145" i="44"/>
  <c r="G147" i="44"/>
  <c r="G149" i="44"/>
  <c r="G151" i="44"/>
  <c r="G153" i="44"/>
  <c r="G155" i="44"/>
  <c r="G157" i="44"/>
  <c r="G159" i="44"/>
  <c r="G161" i="44"/>
  <c r="G163" i="44"/>
  <c r="G10" i="44"/>
  <c r="G12" i="44"/>
  <c r="G14" i="44"/>
  <c r="G16" i="44"/>
  <c r="G18" i="44"/>
  <c r="G20" i="44"/>
  <c r="G22" i="44"/>
  <c r="G24" i="44"/>
  <c r="G9" i="44"/>
  <c r="G11" i="44"/>
  <c r="G13" i="44"/>
  <c r="G15" i="44"/>
  <c r="G17" i="44"/>
  <c r="G19" i="44"/>
  <c r="G21" i="44"/>
  <c r="G23" i="44"/>
  <c r="G9" i="45"/>
  <c r="G11" i="45"/>
  <c r="G13" i="45"/>
  <c r="G15" i="45"/>
  <c r="G17" i="45"/>
  <c r="G19" i="45"/>
  <c r="G21" i="45"/>
  <c r="G23" i="45"/>
  <c r="G25" i="45"/>
  <c r="G27" i="45"/>
  <c r="G29" i="45"/>
  <c r="G31" i="45"/>
  <c r="G33" i="45"/>
  <c r="G35" i="45"/>
  <c r="G37" i="45"/>
  <c r="G39" i="45"/>
  <c r="G41" i="45"/>
  <c r="G43" i="45"/>
  <c r="G45" i="45"/>
  <c r="G47" i="45"/>
  <c r="G49" i="45"/>
  <c r="G51" i="45"/>
  <c r="G53" i="45"/>
  <c r="G55" i="45"/>
  <c r="G57" i="45"/>
  <c r="G59" i="45"/>
  <c r="G61" i="45"/>
  <c r="G63" i="45"/>
  <c r="G65" i="45"/>
  <c r="G67" i="45"/>
  <c r="G69" i="45"/>
  <c r="G71" i="45"/>
  <c r="G73" i="45"/>
  <c r="G75" i="45"/>
  <c r="G77" i="45"/>
  <c r="G79" i="45"/>
  <c r="G81" i="45"/>
  <c r="G83" i="45"/>
  <c r="G85" i="45"/>
  <c r="G87" i="45"/>
  <c r="G89" i="45"/>
  <c r="G91" i="45"/>
  <c r="G93" i="45"/>
  <c r="G95" i="45"/>
  <c r="G97" i="45"/>
  <c r="G99" i="45"/>
  <c r="G101" i="45"/>
  <c r="G103" i="45"/>
  <c r="G105" i="45"/>
  <c r="G107" i="45"/>
  <c r="G109" i="45"/>
  <c r="G111" i="45"/>
  <c r="G10" i="45"/>
  <c r="G12" i="45"/>
  <c r="G14" i="45"/>
  <c r="G16" i="45"/>
  <c r="G18" i="45"/>
  <c r="G20" i="45"/>
  <c r="G22" i="45"/>
  <c r="G24" i="45"/>
  <c r="G26" i="45"/>
  <c r="G28" i="45"/>
  <c r="G30" i="45"/>
  <c r="G32" i="45"/>
  <c r="G34" i="45"/>
  <c r="G36" i="45"/>
  <c r="G38" i="45"/>
  <c r="G40" i="45"/>
  <c r="G170" i="45"/>
  <c r="G168" i="45"/>
  <c r="G166" i="45"/>
  <c r="G164" i="45"/>
  <c r="G162" i="45"/>
  <c r="G160" i="45"/>
  <c r="G158" i="45"/>
  <c r="G156" i="45"/>
  <c r="G154" i="45"/>
  <c r="G152" i="45"/>
  <c r="G147" i="45"/>
  <c r="G144" i="45"/>
  <c r="G142" i="45"/>
  <c r="G140" i="45"/>
  <c r="G138" i="45"/>
  <c r="G136" i="45"/>
  <c r="G134" i="45"/>
  <c r="G132" i="45"/>
  <c r="G130" i="45"/>
  <c r="G128" i="45"/>
  <c r="G126" i="45"/>
  <c r="G124" i="45"/>
  <c r="G122" i="45"/>
  <c r="G120" i="45"/>
  <c r="G118" i="45"/>
  <c r="G116" i="45"/>
  <c r="G114" i="45"/>
  <c r="G112" i="45"/>
  <c r="G108" i="45"/>
  <c r="G104" i="45"/>
  <c r="G100" i="45"/>
  <c r="G96" i="45"/>
  <c r="G92" i="45"/>
  <c r="G88" i="45"/>
  <c r="G84" i="45"/>
  <c r="G80" i="45"/>
  <c r="G76" i="45"/>
  <c r="G72" i="45"/>
  <c r="G68" i="45"/>
  <c r="G64" i="45"/>
  <c r="G60" i="45"/>
  <c r="G56" i="45"/>
  <c r="G52" i="45"/>
  <c r="G48" i="45"/>
  <c r="G44" i="45"/>
  <c r="G78" i="45"/>
  <c r="G74" i="45"/>
  <c r="G70" i="45"/>
  <c r="G66" i="45"/>
  <c r="G62" i="45"/>
  <c r="G58" i="45"/>
  <c r="G54" i="45"/>
  <c r="G50" i="45"/>
  <c r="G46" i="45"/>
  <c r="G42" i="45"/>
  <c r="T29" i="9"/>
  <c r="S29" i="9"/>
  <c r="Q26" i="9"/>
  <c r="U26" i="9"/>
  <c r="T26" i="9"/>
  <c r="S24" i="9"/>
  <c r="R24" i="9"/>
  <c r="Q22" i="9"/>
  <c r="E118" i="10"/>
  <c r="U22" i="9"/>
  <c r="T22" i="9"/>
  <c r="S20" i="9"/>
  <c r="R20" i="9"/>
  <c r="U31" i="9"/>
  <c r="R27" i="9"/>
  <c r="T27" i="9"/>
  <c r="Q27" i="9"/>
  <c r="S27" i="9"/>
  <c r="U27" i="9"/>
  <c r="R25" i="9"/>
  <c r="T25" i="9"/>
  <c r="Q25" i="9"/>
  <c r="S25" i="9"/>
  <c r="U25" i="9"/>
  <c r="R23" i="9"/>
  <c r="T23" i="9"/>
  <c r="Q23" i="9"/>
  <c r="S23" i="9"/>
  <c r="U23" i="9"/>
  <c r="R21" i="9"/>
  <c r="T21" i="9"/>
  <c r="Q21" i="9"/>
  <c r="S21" i="9"/>
  <c r="U21" i="9"/>
  <c r="R19" i="9"/>
  <c r="T19" i="9"/>
  <c r="Q19" i="9"/>
  <c r="S19" i="9"/>
  <c r="U19" i="9"/>
  <c r="R16" i="9"/>
  <c r="T16" i="9"/>
  <c r="Q16" i="9"/>
  <c r="E50" i="10"/>
  <c r="S16" i="9"/>
  <c r="U16" i="9"/>
  <c r="R17" i="9"/>
  <c r="T17" i="9"/>
  <c r="Q17" i="9"/>
  <c r="E67" i="10"/>
  <c r="S17" i="9"/>
  <c r="U17" i="9"/>
  <c r="R31" i="9"/>
  <c r="T31" i="9"/>
  <c r="Q14" i="9"/>
  <c r="S14" i="9"/>
  <c r="U14" i="9"/>
  <c r="R14" i="9"/>
  <c r="T14" i="9"/>
  <c r="S31" i="9"/>
  <c r="U32" i="9"/>
  <c r="S32" i="9"/>
  <c r="U30" i="9"/>
  <c r="S30" i="9"/>
  <c r="T18" i="9"/>
  <c r="R18" i="9"/>
  <c r="T15" i="9"/>
  <c r="R15" i="9"/>
  <c r="U18" i="9"/>
  <c r="S18" i="9"/>
  <c r="U15" i="9"/>
  <c r="S15" i="9"/>
  <c r="P21" i="33"/>
  <c r="D101" i="34"/>
  <c r="P13" i="33"/>
  <c r="D33" i="34"/>
  <c r="P14" i="33"/>
  <c r="F14" i="33"/>
  <c r="H14" i="33"/>
  <c r="B43" i="34"/>
  <c r="P15" i="33"/>
  <c r="F15" i="33"/>
  <c r="H15" i="33"/>
  <c r="P16" i="33"/>
  <c r="F16" i="33"/>
  <c r="H16" i="33"/>
  <c r="P17" i="33"/>
  <c r="F17" i="33"/>
  <c r="H17" i="33"/>
  <c r="P18" i="33"/>
  <c r="F18" i="33"/>
  <c r="H18" i="33"/>
  <c r="P19" i="33"/>
  <c r="F19" i="33"/>
  <c r="H19" i="33"/>
  <c r="P20" i="33"/>
  <c r="D84" i="34"/>
  <c r="P22" i="33"/>
  <c r="D118" i="34"/>
  <c r="P23" i="33"/>
  <c r="F23" i="33"/>
  <c r="H23" i="33"/>
  <c r="B128" i="34"/>
  <c r="P24" i="33"/>
  <c r="F24" i="33"/>
  <c r="H24" i="33"/>
  <c r="B145" i="34"/>
  <c r="P25" i="33"/>
  <c r="F25" i="33"/>
  <c r="H25" i="33"/>
  <c r="B162" i="34"/>
  <c r="P26" i="33"/>
  <c r="D186" i="34"/>
  <c r="P27" i="33"/>
  <c r="D203" i="34"/>
  <c r="P28" i="33"/>
  <c r="F28" i="33"/>
  <c r="H28" i="33"/>
  <c r="B213" i="34"/>
  <c r="P31" i="33"/>
  <c r="F31" i="33"/>
  <c r="H31" i="33"/>
  <c r="B247" i="34"/>
  <c r="P33" i="33"/>
  <c r="F33" i="33"/>
  <c r="H33" i="33"/>
  <c r="P35" i="33"/>
  <c r="F35" i="33"/>
  <c r="H35" i="33"/>
  <c r="P37" i="33"/>
  <c r="F37" i="33"/>
  <c r="H37" i="33"/>
  <c r="B281" i="34"/>
  <c r="P39" i="33"/>
  <c r="F39" i="33"/>
  <c r="H39" i="33"/>
  <c r="B315" i="34"/>
  <c r="P41" i="33"/>
  <c r="F41" i="33"/>
  <c r="H41" i="33"/>
  <c r="P32" i="33"/>
  <c r="F32" i="33"/>
  <c r="H32" i="33"/>
  <c r="P34" i="33"/>
  <c r="F34" i="33"/>
  <c r="H34" i="33"/>
  <c r="P36" i="33"/>
  <c r="F36" i="33"/>
  <c r="H36" i="33"/>
  <c r="P38" i="33"/>
  <c r="F38" i="33"/>
  <c r="H38" i="33"/>
  <c r="B298" i="34"/>
  <c r="P40" i="33"/>
  <c r="F40" i="33"/>
  <c r="H40" i="33"/>
  <c r="P42" i="33"/>
  <c r="F42" i="33"/>
  <c r="H42" i="33"/>
  <c r="C6" i="25"/>
  <c r="E20" i="6"/>
  <c r="E71" i="39"/>
  <c r="D14" i="39"/>
  <c r="D20" i="39"/>
  <c r="G25" i="44"/>
  <c r="F296" i="42"/>
  <c r="D299" i="42"/>
  <c r="F299" i="42"/>
  <c r="E299" i="42"/>
  <c r="F568" i="42"/>
  <c r="D571" i="42"/>
  <c r="F571" i="42"/>
  <c r="E571" i="42"/>
  <c r="F1197" i="42"/>
  <c r="D1200" i="42"/>
  <c r="F1200" i="42"/>
  <c r="E1200" i="42"/>
  <c r="D741" i="42"/>
  <c r="F741" i="42"/>
  <c r="E741" i="42"/>
  <c r="F738" i="42"/>
  <c r="E18" i="41"/>
  <c r="G271" i="41"/>
  <c r="C145" i="40"/>
  <c r="H142" i="39"/>
  <c r="C859" i="40"/>
  <c r="E159" i="39"/>
  <c r="D17" i="39"/>
  <c r="H86" i="39"/>
  <c r="C451" i="40"/>
  <c r="E124" i="39"/>
  <c r="D15" i="39"/>
  <c r="B985" i="40"/>
  <c r="B1206" i="40"/>
  <c r="B1682" i="40"/>
  <c r="B1801" i="40"/>
  <c r="C1811" i="40"/>
  <c r="C1947" i="40"/>
  <c r="C1981" i="40"/>
  <c r="C2015" i="40"/>
  <c r="G165" i="44"/>
  <c r="G95" i="44"/>
  <c r="G205" i="44"/>
  <c r="D979" i="42"/>
  <c r="F979" i="42"/>
  <c r="E979" i="42"/>
  <c r="F976" i="42"/>
  <c r="G174" i="41"/>
  <c r="B951" i="42"/>
  <c r="C162" i="40"/>
  <c r="C315" i="40"/>
  <c r="B1121" i="42"/>
  <c r="B1155" i="42"/>
  <c r="B339" i="40"/>
  <c r="B696" i="40"/>
  <c r="B781" i="40"/>
  <c r="H178" i="39"/>
  <c r="C1080" i="40"/>
  <c r="E185" i="39"/>
  <c r="D16" i="39"/>
  <c r="H204" i="39"/>
  <c r="H239" i="39"/>
  <c r="G18" i="39"/>
  <c r="E239" i="39"/>
  <c r="D18" i="39"/>
  <c r="B1393" i="40"/>
  <c r="C1403" i="40"/>
  <c r="C1437" i="40"/>
  <c r="C1471" i="40"/>
  <c r="C1505" i="40"/>
  <c r="C1539" i="40"/>
  <c r="C1573" i="40"/>
  <c r="C1607" i="40"/>
  <c r="C1641" i="40"/>
  <c r="C1709" i="40"/>
  <c r="H256" i="39"/>
  <c r="C1726" i="40"/>
  <c r="E280" i="39"/>
  <c r="C1760" i="40"/>
  <c r="C2066" i="40"/>
  <c r="C1386" i="40"/>
  <c r="E84" i="14"/>
  <c r="Q18" i="9"/>
  <c r="Q13" i="9"/>
  <c r="E16" i="10"/>
  <c r="Q31" i="9"/>
  <c r="Q30" i="9"/>
  <c r="T33" i="35"/>
  <c r="B16" i="40"/>
  <c r="R33" i="35"/>
  <c r="B26" i="28"/>
  <c r="B128" i="26"/>
  <c r="H15" i="37"/>
  <c r="Q33" i="35"/>
  <c r="R32" i="9"/>
  <c r="R30" i="9"/>
  <c r="S33" i="35"/>
  <c r="Q18" i="17"/>
  <c r="E16" i="14"/>
  <c r="R14" i="15"/>
  <c r="T14" i="15"/>
  <c r="S15" i="15"/>
  <c r="U15" i="15"/>
  <c r="R16" i="15"/>
  <c r="T16" i="15"/>
  <c r="B43" i="16"/>
  <c r="S17" i="15"/>
  <c r="U17" i="15"/>
  <c r="R18" i="15"/>
  <c r="T18" i="15"/>
  <c r="S19" i="15"/>
  <c r="U19" i="15"/>
  <c r="R20" i="15"/>
  <c r="T20" i="15"/>
  <c r="S21" i="15"/>
  <c r="U21" i="15"/>
  <c r="R22" i="15"/>
  <c r="T22" i="15"/>
  <c r="S13" i="15"/>
  <c r="T13" i="15"/>
  <c r="R14" i="11"/>
  <c r="T14" i="11"/>
  <c r="Q15" i="11"/>
  <c r="F15" i="11"/>
  <c r="H15" i="11"/>
  <c r="S15" i="11"/>
  <c r="U15" i="11"/>
  <c r="R16" i="11"/>
  <c r="T16" i="11"/>
  <c r="Q17" i="11"/>
  <c r="F17" i="11"/>
  <c r="H17" i="11"/>
  <c r="S17" i="11"/>
  <c r="U17" i="11"/>
  <c r="R18" i="11"/>
  <c r="T18" i="11"/>
  <c r="Q19" i="11"/>
  <c r="E94" i="12"/>
  <c r="S19" i="11"/>
  <c r="U19" i="11"/>
  <c r="R20" i="11"/>
  <c r="T20" i="11"/>
  <c r="Q21" i="11"/>
  <c r="E132" i="12"/>
  <c r="S21" i="11"/>
  <c r="U21" i="11"/>
  <c r="T13" i="11"/>
  <c r="R13" i="11"/>
  <c r="S14" i="15"/>
  <c r="U14" i="15"/>
  <c r="R15" i="15"/>
  <c r="T15" i="15"/>
  <c r="B26" i="16"/>
  <c r="S16" i="15"/>
  <c r="U16" i="15"/>
  <c r="R17" i="15"/>
  <c r="E50" i="16"/>
  <c r="T17" i="15"/>
  <c r="B60" i="16"/>
  <c r="S18" i="15"/>
  <c r="U18" i="15"/>
  <c r="R19" i="15"/>
  <c r="E84" i="16"/>
  <c r="T19" i="15"/>
  <c r="S20" i="15"/>
  <c r="U20" i="15"/>
  <c r="R21" i="15"/>
  <c r="E118" i="16"/>
  <c r="T21" i="15"/>
  <c r="Q22" i="15"/>
  <c r="S22" i="15"/>
  <c r="U22" i="15"/>
  <c r="U13" i="15"/>
  <c r="R13" i="15"/>
  <c r="Q14" i="11"/>
  <c r="E37" i="12"/>
  <c r="S14" i="11"/>
  <c r="U14" i="11"/>
  <c r="R15" i="11"/>
  <c r="T15" i="11"/>
  <c r="Q16" i="11"/>
  <c r="F16" i="11"/>
  <c r="H16" i="11"/>
  <c r="S16" i="11"/>
  <c r="U16" i="11"/>
  <c r="R17" i="11"/>
  <c r="T17" i="11"/>
  <c r="Q18" i="11"/>
  <c r="S18" i="11"/>
  <c r="U18" i="11"/>
  <c r="R19" i="11"/>
  <c r="T19" i="11"/>
  <c r="Q20" i="11"/>
  <c r="F20" i="11"/>
  <c r="S20" i="11"/>
  <c r="U20" i="11"/>
  <c r="R21" i="11"/>
  <c r="T21" i="11"/>
  <c r="U13" i="11"/>
  <c r="S13" i="11"/>
  <c r="Q13" i="11"/>
  <c r="E18" i="12"/>
  <c r="R13" i="7"/>
  <c r="T13" i="7"/>
  <c r="Q13" i="7"/>
  <c r="E16" i="8"/>
  <c r="S13" i="7"/>
  <c r="U13" i="7"/>
  <c r="F13" i="33"/>
  <c r="H13" i="33"/>
  <c r="B26" i="34"/>
  <c r="D356" i="34"/>
  <c r="F21" i="33"/>
  <c r="H21" i="33"/>
  <c r="B94" i="34"/>
  <c r="G39" i="41"/>
  <c r="E82" i="41"/>
  <c r="D19" i="41"/>
  <c r="E187" i="41"/>
  <c r="D15" i="41"/>
  <c r="G187" i="41"/>
  <c r="G170" i="41"/>
  <c r="D169" i="34"/>
  <c r="D135" i="34"/>
  <c r="B2039" i="40"/>
  <c r="C26" i="40"/>
  <c r="B9" i="24"/>
  <c r="B43" i="28"/>
  <c r="H16" i="37"/>
  <c r="B111" i="20"/>
  <c r="D237" i="34"/>
  <c r="B349" i="34"/>
  <c r="Q22" i="17"/>
  <c r="Q27" i="17"/>
  <c r="F27" i="17"/>
  <c r="H27" i="17"/>
  <c r="H166" i="41"/>
  <c r="E347" i="34"/>
  <c r="C248" i="34"/>
  <c r="E248" i="34"/>
  <c r="D248" i="34"/>
  <c r="C249" i="34"/>
  <c r="F249" i="34"/>
  <c r="H267" i="41"/>
  <c r="G223" i="41"/>
  <c r="G200" i="41"/>
  <c r="C910" i="40"/>
  <c r="H14" i="13"/>
  <c r="B9" i="14"/>
  <c r="H22" i="37"/>
  <c r="B94" i="38"/>
  <c r="B67" i="42"/>
  <c r="C9" i="40"/>
  <c r="H71" i="39"/>
  <c r="B26" i="24"/>
  <c r="F27" i="33"/>
  <c r="H27" i="33"/>
  <c r="B196" i="34"/>
  <c r="B60" i="28"/>
  <c r="D254" i="34"/>
  <c r="B26" i="22"/>
  <c r="H17" i="37"/>
  <c r="C1131" i="40"/>
  <c r="B77" i="26"/>
  <c r="H19" i="13"/>
  <c r="B77" i="14"/>
  <c r="F20" i="13"/>
  <c r="I18" i="27"/>
  <c r="H9" i="27"/>
  <c r="C332" i="40"/>
  <c r="G157" i="41"/>
  <c r="C978" i="40"/>
  <c r="R34" i="23"/>
  <c r="R31" i="23"/>
  <c r="S30" i="23"/>
  <c r="R27" i="23"/>
  <c r="S26" i="23"/>
  <c r="R23" i="23"/>
  <c r="S22" i="23"/>
  <c r="R19" i="23"/>
  <c r="S18" i="23"/>
  <c r="R15" i="23"/>
  <c r="R18" i="19"/>
  <c r="D50" i="20"/>
  <c r="T38" i="19"/>
  <c r="T36" i="19"/>
  <c r="T33" i="19"/>
  <c r="B179" i="20"/>
  <c r="T31" i="19"/>
  <c r="T29" i="19"/>
  <c r="T27" i="19"/>
  <c r="B94" i="20"/>
  <c r="T25" i="19"/>
  <c r="U20" i="19"/>
  <c r="S37" i="23"/>
  <c r="U37" i="23"/>
  <c r="U36" i="23"/>
  <c r="B315" i="24"/>
  <c r="S33" i="23"/>
  <c r="U33" i="23"/>
  <c r="D169" i="20"/>
  <c r="U22" i="19"/>
  <c r="U18" i="19"/>
  <c r="S35" i="23"/>
  <c r="U35" i="23"/>
  <c r="U34" i="23"/>
  <c r="U32" i="23"/>
  <c r="U31" i="23"/>
  <c r="S31" i="23"/>
  <c r="U30" i="23"/>
  <c r="U29" i="23"/>
  <c r="S29" i="23"/>
  <c r="U28" i="23"/>
  <c r="U27" i="23"/>
  <c r="S27" i="23"/>
  <c r="U26" i="23"/>
  <c r="U25" i="23"/>
  <c r="S25" i="23"/>
  <c r="U24" i="23"/>
  <c r="U23" i="23"/>
  <c r="S23" i="23"/>
  <c r="U22" i="23"/>
  <c r="U21" i="23"/>
  <c r="S21" i="23"/>
  <c r="U20" i="23"/>
  <c r="U19" i="23"/>
  <c r="S19" i="23"/>
  <c r="U18" i="23"/>
  <c r="U17" i="23"/>
  <c r="S17" i="23"/>
  <c r="U16" i="23"/>
  <c r="U15" i="23"/>
  <c r="S15" i="23"/>
  <c r="U14" i="23"/>
  <c r="U13" i="23"/>
  <c r="S13" i="23"/>
  <c r="D84" i="20"/>
  <c r="D271" i="20"/>
  <c r="D254" i="20"/>
  <c r="D237" i="20"/>
  <c r="D220" i="20"/>
  <c r="D203" i="20"/>
  <c r="D152" i="20"/>
  <c r="D135" i="20"/>
  <c r="D118" i="20"/>
  <c r="E101" i="16"/>
  <c r="E33" i="16"/>
  <c r="E67" i="16"/>
  <c r="F27" i="6"/>
  <c r="T12" i="31"/>
  <c r="F96" i="14"/>
  <c r="T20" i="9"/>
  <c r="U20" i="9"/>
  <c r="R22" i="9"/>
  <c r="T24" i="9"/>
  <c r="U24" i="9"/>
  <c r="R26" i="9"/>
  <c r="U29" i="9"/>
  <c r="Q29" i="9"/>
  <c r="E203" i="10"/>
  <c r="U33" i="9"/>
  <c r="U35" i="9"/>
  <c r="S35" i="9"/>
  <c r="C1199" i="40"/>
  <c r="D288" i="34"/>
  <c r="D152" i="34"/>
  <c r="E33" i="14"/>
  <c r="F19" i="11"/>
  <c r="B332" i="34"/>
  <c r="Q26" i="17"/>
  <c r="H159" i="39"/>
  <c r="G138" i="39"/>
  <c r="D271" i="34"/>
  <c r="D339" i="34"/>
  <c r="D67" i="34"/>
  <c r="F22" i="33"/>
  <c r="H22" i="33"/>
  <c r="B111" i="34"/>
  <c r="F13" i="9"/>
  <c r="H13" i="9"/>
  <c r="F26" i="33"/>
  <c r="H26" i="33"/>
  <c r="B179" i="34"/>
  <c r="D305" i="34"/>
  <c r="D220" i="34"/>
  <c r="H280" i="39"/>
  <c r="E157" i="41"/>
  <c r="D14" i="41"/>
  <c r="B1495" i="42"/>
  <c r="B322" i="42"/>
  <c r="B645" i="42"/>
  <c r="H232" i="41"/>
  <c r="H31" i="41"/>
  <c r="B60" i="34"/>
  <c r="Q29" i="17"/>
  <c r="F29" i="17"/>
  <c r="H29" i="17"/>
  <c r="D322" i="34"/>
  <c r="G53" i="41"/>
  <c r="D50" i="34"/>
  <c r="F20" i="33"/>
  <c r="H20" i="33"/>
  <c r="B77" i="34"/>
  <c r="Q20" i="17"/>
  <c r="E40" i="41"/>
  <c r="E53" i="41"/>
  <c r="D13" i="41"/>
  <c r="D21" i="41"/>
  <c r="I29" i="6"/>
  <c r="Q39" i="41"/>
  <c r="T39" i="41"/>
  <c r="P40" i="41"/>
  <c r="B101" i="42"/>
  <c r="R40" i="41"/>
  <c r="T40" i="41"/>
  <c r="Q41" i="41"/>
  <c r="T41" i="41"/>
  <c r="Q42" i="41"/>
  <c r="S42" i="41"/>
  <c r="R43" i="41"/>
  <c r="R44" i="41"/>
  <c r="T44" i="41"/>
  <c r="Q45" i="41"/>
  <c r="T45" i="41"/>
  <c r="Q46" i="41"/>
  <c r="S46" i="41"/>
  <c r="R47" i="41"/>
  <c r="Q48" i="41"/>
  <c r="S48" i="41"/>
  <c r="R49" i="41"/>
  <c r="R50" i="41"/>
  <c r="T50" i="41"/>
  <c r="Q51" i="41"/>
  <c r="T51" i="41"/>
  <c r="Q52" i="41"/>
  <c r="S52" i="41"/>
  <c r="R68" i="41"/>
  <c r="R69" i="41"/>
  <c r="T69" i="41"/>
  <c r="Q70" i="41"/>
  <c r="T70" i="41"/>
  <c r="Q71" i="41"/>
  <c r="S71" i="41"/>
  <c r="R72" i="41"/>
  <c r="R73" i="41"/>
  <c r="T73" i="41"/>
  <c r="Q74" i="41"/>
  <c r="T74" i="41"/>
  <c r="Q75" i="41"/>
  <c r="S75" i="41"/>
  <c r="R76" i="41"/>
  <c r="R77" i="41"/>
  <c r="T77" i="41"/>
  <c r="Q78" i="41"/>
  <c r="T78" i="41"/>
  <c r="Q79" i="41"/>
  <c r="S79" i="41"/>
  <c r="R80" i="41"/>
  <c r="R81" i="41"/>
  <c r="T81" i="41"/>
  <c r="E99" i="41"/>
  <c r="G99" i="41"/>
  <c r="T99" i="41"/>
  <c r="E100" i="41"/>
  <c r="G100" i="41"/>
  <c r="R100" i="41"/>
  <c r="T100" i="41"/>
  <c r="P101" i="41"/>
  <c r="B1699" i="42"/>
  <c r="T101" i="41"/>
  <c r="E102" i="41"/>
  <c r="G102" i="41"/>
  <c r="R102" i="41"/>
  <c r="T102" i="41"/>
  <c r="E103" i="41"/>
  <c r="G103" i="41"/>
  <c r="T103" i="41"/>
  <c r="E104" i="41"/>
  <c r="G104" i="41"/>
  <c r="R104" i="41"/>
  <c r="T104" i="41"/>
  <c r="Q105" i="41"/>
  <c r="T105" i="41"/>
  <c r="E106" i="41"/>
  <c r="G106" i="41"/>
  <c r="R106" i="41"/>
  <c r="T106" i="41"/>
  <c r="Q107" i="41"/>
  <c r="T107" i="41"/>
  <c r="E108" i="41"/>
  <c r="G108" i="41"/>
  <c r="R108" i="41"/>
  <c r="T108" i="41"/>
  <c r="Q109" i="41"/>
  <c r="T109" i="41"/>
  <c r="E110" i="41"/>
  <c r="G110" i="41"/>
  <c r="R110" i="41"/>
  <c r="Q23" i="17"/>
  <c r="Q16" i="17"/>
  <c r="F16" i="17"/>
  <c r="H16" i="17"/>
  <c r="Q14" i="17"/>
  <c r="T30" i="9"/>
  <c r="E84" i="10"/>
  <c r="H20" i="13"/>
  <c r="H19" i="11"/>
  <c r="B85" i="12"/>
  <c r="H20" i="11"/>
  <c r="B104" i="12"/>
  <c r="B264" i="20"/>
  <c r="B230" i="20"/>
  <c r="B196" i="20"/>
  <c r="B128" i="20"/>
  <c r="B60" i="20"/>
  <c r="B332" i="24"/>
  <c r="B94" i="16"/>
  <c r="B77" i="16"/>
  <c r="B247" i="20"/>
  <c r="B213" i="20"/>
  <c r="B145" i="20"/>
  <c r="B43" i="20"/>
  <c r="H19" i="25"/>
  <c r="B111" i="26"/>
  <c r="H18" i="25"/>
  <c r="B94" i="26"/>
  <c r="C9" i="23"/>
  <c r="F9" i="23"/>
  <c r="E186" i="10"/>
  <c r="H28" i="9"/>
  <c r="B179" i="10"/>
  <c r="B9" i="22"/>
  <c r="H16" i="21"/>
  <c r="H9" i="21"/>
  <c r="T14" i="35"/>
  <c r="S15" i="35"/>
  <c r="T16" i="35"/>
  <c r="S20" i="35"/>
  <c r="T21" i="35"/>
  <c r="S22" i="35"/>
  <c r="T23" i="35"/>
  <c r="S25" i="35"/>
  <c r="T24" i="35"/>
  <c r="S17" i="35"/>
  <c r="T18" i="35"/>
  <c r="S19" i="35"/>
  <c r="S27" i="35"/>
  <c r="T28" i="35"/>
  <c r="S29" i="35"/>
  <c r="T30" i="35"/>
  <c r="S31" i="35"/>
  <c r="T32" i="35"/>
  <c r="R14" i="35"/>
  <c r="R15" i="35"/>
  <c r="T15" i="35"/>
  <c r="R16" i="35"/>
  <c r="R20" i="35"/>
  <c r="T20" i="35"/>
  <c r="R21" i="35"/>
  <c r="R22" i="35"/>
  <c r="T22" i="35"/>
  <c r="R23" i="35"/>
  <c r="R25" i="35"/>
  <c r="T25" i="35"/>
  <c r="R24" i="35"/>
  <c r="R17" i="35"/>
  <c r="T17" i="35"/>
  <c r="R18" i="35"/>
  <c r="R19" i="35"/>
  <c r="T19" i="35"/>
  <c r="R27" i="35"/>
  <c r="T27" i="35"/>
  <c r="R28" i="35"/>
  <c r="R29" i="35"/>
  <c r="T29" i="35"/>
  <c r="R30" i="35"/>
  <c r="R31" i="35"/>
  <c r="T31" i="35"/>
  <c r="R32" i="35"/>
  <c r="T26" i="35"/>
  <c r="S32" i="35"/>
  <c r="S28" i="35"/>
  <c r="S18" i="35"/>
  <c r="S23" i="35"/>
  <c r="S16" i="35"/>
  <c r="R26" i="35"/>
  <c r="S30" i="35"/>
  <c r="S26" i="35"/>
  <c r="S24" i="35"/>
  <c r="S21" i="35"/>
  <c r="S14" i="35"/>
  <c r="E169" i="10"/>
  <c r="E237" i="10"/>
  <c r="F23" i="9"/>
  <c r="E135" i="10"/>
  <c r="E101" i="10"/>
  <c r="E152" i="10"/>
  <c r="F14" i="9"/>
  <c r="H14" i="9"/>
  <c r="E220" i="10"/>
  <c r="H33" i="9"/>
  <c r="B247" i="10"/>
  <c r="E254" i="10"/>
  <c r="B1138" i="42"/>
  <c r="E117" i="41"/>
  <c r="D20" i="41"/>
  <c r="B1682" i="42"/>
  <c r="E152" i="18"/>
  <c r="F22" i="17"/>
  <c r="H22" i="17"/>
  <c r="F18" i="17"/>
  <c r="H18" i="17"/>
  <c r="B60" i="18"/>
  <c r="F31" i="9"/>
  <c r="H31" i="9"/>
  <c r="F18" i="9"/>
  <c r="H18" i="9"/>
  <c r="F17" i="9"/>
  <c r="F19" i="9"/>
  <c r="H19" i="9"/>
  <c r="F27" i="9"/>
  <c r="H27" i="9"/>
  <c r="F20" i="9"/>
  <c r="H20" i="9"/>
  <c r="F24" i="9"/>
  <c r="H24" i="9"/>
  <c r="F29" i="9"/>
  <c r="H29" i="9"/>
  <c r="B196" i="10"/>
  <c r="E135" i="18"/>
  <c r="F21" i="17"/>
  <c r="H21" i="17"/>
  <c r="F23" i="17"/>
  <c r="H23" i="17"/>
  <c r="F20" i="17"/>
  <c r="F14" i="17"/>
  <c r="H14" i="17"/>
  <c r="R14" i="7"/>
  <c r="T14" i="7"/>
  <c r="Q15" i="7"/>
  <c r="S15" i="7"/>
  <c r="U15" i="7"/>
  <c r="R16" i="7"/>
  <c r="T16" i="7"/>
  <c r="Q17" i="7"/>
  <c r="F17" i="7"/>
  <c r="S17" i="7"/>
  <c r="U17" i="7"/>
  <c r="R18" i="7"/>
  <c r="T18" i="7"/>
  <c r="Q19" i="7"/>
  <c r="S19" i="7"/>
  <c r="U19" i="7"/>
  <c r="R20" i="7"/>
  <c r="T20" i="7"/>
  <c r="Q21" i="7"/>
  <c r="F21" i="7"/>
  <c r="S21" i="7"/>
  <c r="U21" i="7"/>
  <c r="R22" i="7"/>
  <c r="T22" i="7"/>
  <c r="Q23" i="7"/>
  <c r="F23" i="7"/>
  <c r="H23" i="7"/>
  <c r="B162" i="8"/>
  <c r="S23" i="7"/>
  <c r="U23" i="7"/>
  <c r="R24" i="7"/>
  <c r="T24" i="7"/>
  <c r="Q25" i="7"/>
  <c r="F25" i="7"/>
  <c r="H25" i="7"/>
  <c r="S25" i="7"/>
  <c r="U25" i="7"/>
  <c r="R26" i="7"/>
  <c r="T26" i="7"/>
  <c r="Q27" i="7"/>
  <c r="F27" i="7"/>
  <c r="H27" i="7"/>
  <c r="S27" i="7"/>
  <c r="U27" i="7"/>
  <c r="Q14" i="7"/>
  <c r="S14" i="7"/>
  <c r="U14" i="7"/>
  <c r="R15" i="7"/>
  <c r="T15" i="7"/>
  <c r="Q16" i="7"/>
  <c r="F16" i="7"/>
  <c r="H16" i="7"/>
  <c r="B60" i="8"/>
  <c r="S16" i="7"/>
  <c r="U16" i="7"/>
  <c r="R17" i="7"/>
  <c r="T17" i="7"/>
  <c r="Q18" i="7"/>
  <c r="F18" i="7"/>
  <c r="S18" i="7"/>
  <c r="U18" i="7"/>
  <c r="R19" i="7"/>
  <c r="T19" i="7"/>
  <c r="Q20" i="7"/>
  <c r="F20" i="7"/>
  <c r="S20" i="7"/>
  <c r="U20" i="7"/>
  <c r="R21" i="7"/>
  <c r="T21" i="7"/>
  <c r="Q22" i="7"/>
  <c r="F22" i="7"/>
  <c r="S22" i="7"/>
  <c r="U22" i="7"/>
  <c r="R23" i="7"/>
  <c r="T23" i="7"/>
  <c r="Q24" i="7"/>
  <c r="S24" i="7"/>
  <c r="U24" i="7"/>
  <c r="R25" i="7"/>
  <c r="T25" i="7"/>
  <c r="Q26" i="7"/>
  <c r="F26" i="7"/>
  <c r="H26" i="7"/>
  <c r="S26" i="7"/>
  <c r="U26" i="7"/>
  <c r="R27" i="7"/>
  <c r="T27" i="7"/>
  <c r="F30" i="9"/>
  <c r="H30" i="9"/>
  <c r="F16" i="9"/>
  <c r="F21" i="9"/>
  <c r="H21" i="9"/>
  <c r="F25" i="9"/>
  <c r="H25" i="9"/>
  <c r="F22" i="9"/>
  <c r="F26" i="9"/>
  <c r="H26" i="9"/>
  <c r="B162" i="10"/>
  <c r="E118" i="18"/>
  <c r="F26" i="17"/>
  <c r="H26" i="17"/>
  <c r="F15" i="17"/>
  <c r="H15" i="17"/>
  <c r="F15" i="9"/>
  <c r="F32" i="9"/>
  <c r="H32" i="9"/>
  <c r="B230" i="18"/>
  <c r="E237" i="18"/>
  <c r="E67" i="18"/>
  <c r="F13" i="17"/>
  <c r="H13" i="17"/>
  <c r="E16" i="18"/>
  <c r="B26" i="18"/>
  <c r="E33" i="18"/>
  <c r="J9" i="27"/>
  <c r="I17" i="27"/>
  <c r="J17" i="27"/>
  <c r="L17" i="27"/>
  <c r="K16" i="27"/>
  <c r="B33" i="42"/>
  <c r="F130" i="16"/>
  <c r="E67" i="14"/>
  <c r="E50" i="14"/>
  <c r="I18" i="6"/>
  <c r="J18" i="6"/>
  <c r="K18" i="6"/>
  <c r="B26" i="14"/>
  <c r="B162" i="20"/>
  <c r="S13" i="35"/>
  <c r="T13" i="35"/>
  <c r="R13" i="35"/>
  <c r="F249" i="18"/>
  <c r="F13" i="7"/>
  <c r="G35" i="2"/>
  <c r="J35" i="2"/>
  <c r="H35" i="2"/>
  <c r="K35" i="2"/>
  <c r="E15" i="41"/>
  <c r="G200" i="39"/>
  <c r="F13" i="11"/>
  <c r="H13" i="11"/>
  <c r="B9" i="12"/>
  <c r="D33" i="22"/>
  <c r="E249" i="34"/>
  <c r="D249" i="34"/>
  <c r="G258" i="41"/>
  <c r="G236" i="41"/>
  <c r="Q28" i="17"/>
  <c r="F28" i="17"/>
  <c r="H28" i="17"/>
  <c r="Q25" i="17"/>
  <c r="F25" i="17"/>
  <c r="H25" i="17"/>
  <c r="T32" i="9"/>
  <c r="T34" i="9"/>
  <c r="D33" i="36"/>
  <c r="F7" i="35"/>
  <c r="H223" i="41"/>
  <c r="I223" i="41"/>
  <c r="E16" i="41"/>
  <c r="B162" i="24"/>
  <c r="J9" i="21"/>
  <c r="K37" i="23"/>
  <c r="C6" i="23"/>
  <c r="I23" i="13"/>
  <c r="F21" i="11"/>
  <c r="E13" i="41"/>
  <c r="E21" i="41"/>
  <c r="G35" i="41"/>
  <c r="H20" i="37"/>
  <c r="B60" i="38"/>
  <c r="F23" i="37"/>
  <c r="E19" i="41"/>
  <c r="G64" i="41"/>
  <c r="G117" i="41"/>
  <c r="G95" i="41"/>
  <c r="B22" i="14"/>
  <c r="G36" i="2"/>
  <c r="J36" i="2"/>
  <c r="H36" i="2"/>
  <c r="K36" i="2"/>
  <c r="G17" i="39"/>
  <c r="F14" i="11"/>
  <c r="H14" i="11"/>
  <c r="B28" i="12"/>
  <c r="E16" i="16"/>
  <c r="B60" i="26"/>
  <c r="H22" i="25"/>
  <c r="H9" i="25"/>
  <c r="J9" i="25"/>
  <c r="G20" i="6"/>
  <c r="C519" i="40"/>
  <c r="H124" i="39"/>
  <c r="G15" i="39"/>
  <c r="F38" i="23"/>
  <c r="F20" i="2"/>
  <c r="H23" i="29"/>
  <c r="I22" i="6"/>
  <c r="J22" i="6"/>
  <c r="K22" i="6"/>
  <c r="B9" i="30"/>
  <c r="B60" i="24"/>
  <c r="C689" i="40"/>
  <c r="C774" i="40"/>
  <c r="C1148" i="40"/>
  <c r="H185" i="39"/>
  <c r="I19" i="25"/>
  <c r="J19" i="25"/>
  <c r="E109" i="26"/>
  <c r="E113" i="12"/>
  <c r="B43" i="18"/>
  <c r="E50" i="18"/>
  <c r="B264" i="34"/>
  <c r="B9" i="20"/>
  <c r="G33" i="39"/>
  <c r="G14" i="39"/>
  <c r="G20" i="39"/>
  <c r="G10" i="39"/>
  <c r="I10" i="39"/>
  <c r="G130" i="41"/>
  <c r="E14" i="41"/>
  <c r="B9" i="38"/>
  <c r="F18" i="11"/>
  <c r="H18" i="11"/>
  <c r="B66" i="12"/>
  <c r="E75" i="12"/>
  <c r="F22" i="15"/>
  <c r="H43" i="33"/>
  <c r="G252" i="39"/>
  <c r="G19" i="39"/>
  <c r="D19" i="39"/>
  <c r="H18" i="7"/>
  <c r="B94" i="8"/>
  <c r="H22" i="7"/>
  <c r="H17" i="7"/>
  <c r="B47" i="12"/>
  <c r="E56" i="12"/>
  <c r="B128" i="8"/>
  <c r="C1046" i="40"/>
  <c r="Q19" i="17"/>
  <c r="F19" i="17"/>
  <c r="H19" i="17"/>
  <c r="I16" i="27"/>
  <c r="J16" i="27"/>
  <c r="H18" i="27"/>
  <c r="B9" i="28"/>
  <c r="R13" i="31"/>
  <c r="T13" i="31"/>
  <c r="Q14" i="31"/>
  <c r="S14" i="31"/>
  <c r="U14" i="31"/>
  <c r="R15" i="31"/>
  <c r="T15" i="31"/>
  <c r="Q16" i="31"/>
  <c r="F16" i="31"/>
  <c r="H16" i="31"/>
  <c r="S16" i="31"/>
  <c r="U16" i="31"/>
  <c r="R17" i="31"/>
  <c r="T17" i="31"/>
  <c r="Q18" i="31"/>
  <c r="S18" i="31"/>
  <c r="U18" i="31"/>
  <c r="R19" i="31"/>
  <c r="T19" i="31"/>
  <c r="Q20" i="31"/>
  <c r="S20" i="31"/>
  <c r="U20" i="31"/>
  <c r="R21" i="31"/>
  <c r="T21" i="31"/>
  <c r="Q22" i="31"/>
  <c r="F22" i="31"/>
  <c r="H22" i="31"/>
  <c r="S22" i="31"/>
  <c r="U22" i="31"/>
  <c r="R23" i="31"/>
  <c r="T23" i="31"/>
  <c r="Q24" i="31"/>
  <c r="F24" i="31"/>
  <c r="H24" i="31"/>
  <c r="S24" i="31"/>
  <c r="U24" i="31"/>
  <c r="R25" i="31"/>
  <c r="T25" i="31"/>
  <c r="Q26" i="31"/>
  <c r="S26" i="31"/>
  <c r="U26" i="31"/>
  <c r="R27" i="31"/>
  <c r="T27" i="31"/>
  <c r="Q28" i="31"/>
  <c r="S28" i="31"/>
  <c r="U28" i="31"/>
  <c r="R29" i="31"/>
  <c r="T29" i="31"/>
  <c r="Q30" i="31"/>
  <c r="S30" i="31"/>
  <c r="U30" i="31"/>
  <c r="R31" i="31"/>
  <c r="T31" i="31"/>
  <c r="Q32" i="31"/>
  <c r="S32" i="31"/>
  <c r="U32" i="31"/>
  <c r="R33" i="31"/>
  <c r="T33" i="31"/>
  <c r="Q13" i="31"/>
  <c r="S13" i="31"/>
  <c r="U13" i="31"/>
  <c r="R14" i="31"/>
  <c r="A33" i="32"/>
  <c r="T14" i="31"/>
  <c r="Q15" i="31"/>
  <c r="S15" i="31"/>
  <c r="U15" i="31"/>
  <c r="R16" i="31"/>
  <c r="T16" i="31"/>
  <c r="Q17" i="31"/>
  <c r="F17" i="31"/>
  <c r="H17" i="31"/>
  <c r="S17" i="31"/>
  <c r="U17" i="31"/>
  <c r="R18" i="31"/>
  <c r="T18" i="31"/>
  <c r="Q19" i="31"/>
  <c r="F19" i="31"/>
  <c r="H19" i="31"/>
  <c r="S19" i="31"/>
  <c r="U19" i="31"/>
  <c r="R20" i="31"/>
  <c r="T20" i="31"/>
  <c r="Q21" i="31"/>
  <c r="F21" i="31"/>
  <c r="H21" i="31"/>
  <c r="S21" i="31"/>
  <c r="U21" i="31"/>
  <c r="R22" i="31"/>
  <c r="T22" i="31"/>
  <c r="Q23" i="31"/>
  <c r="F23" i="31"/>
  <c r="H23" i="31"/>
  <c r="S23" i="31"/>
  <c r="U23" i="31"/>
  <c r="R24" i="31"/>
  <c r="T24" i="31"/>
  <c r="Q25" i="31"/>
  <c r="S25" i="31"/>
  <c r="U25" i="31"/>
  <c r="R26" i="31"/>
  <c r="A118" i="32"/>
  <c r="T26" i="31"/>
  <c r="Q27" i="31"/>
  <c r="S27" i="31"/>
  <c r="U27" i="31"/>
  <c r="R28" i="31"/>
  <c r="T28" i="31"/>
  <c r="Q29" i="31"/>
  <c r="F29" i="31"/>
  <c r="H29" i="31"/>
  <c r="S29" i="31"/>
  <c r="U29" i="31"/>
  <c r="R30" i="31"/>
  <c r="A169" i="32"/>
  <c r="T30" i="31"/>
  <c r="Q31" i="31"/>
  <c r="S31" i="31"/>
  <c r="U31" i="31"/>
  <c r="R32" i="31"/>
  <c r="A203" i="32"/>
  <c r="T32" i="31"/>
  <c r="Q33" i="31"/>
  <c r="F33" i="31"/>
  <c r="H33" i="31"/>
  <c r="S33" i="31"/>
  <c r="U33" i="31"/>
  <c r="B349" i="24"/>
  <c r="D186" i="20"/>
  <c r="D33" i="20"/>
  <c r="D67" i="20"/>
  <c r="D101" i="20"/>
  <c r="A152" i="32"/>
  <c r="A220" i="32"/>
  <c r="A101" i="32"/>
  <c r="A16" i="32"/>
  <c r="A67" i="32"/>
  <c r="A186" i="32"/>
  <c r="A135" i="32"/>
  <c r="I19" i="6"/>
  <c r="J19" i="6"/>
  <c r="K19" i="6"/>
  <c r="I14" i="27"/>
  <c r="J14" i="27"/>
  <c r="E24" i="28"/>
  <c r="E203" i="8"/>
  <c r="B9" i="10"/>
  <c r="B213" i="10"/>
  <c r="D16" i="36"/>
  <c r="I13" i="27"/>
  <c r="E135" i="8"/>
  <c r="E67" i="8"/>
  <c r="E84" i="8"/>
  <c r="E152" i="8"/>
  <c r="E101" i="8"/>
  <c r="E169" i="8"/>
  <c r="L16" i="27"/>
  <c r="K15" i="27"/>
  <c r="H21" i="11"/>
  <c r="B123" i="12"/>
  <c r="H15" i="9"/>
  <c r="B26" i="10"/>
  <c r="H16" i="9"/>
  <c r="B43" i="10"/>
  <c r="H17" i="9"/>
  <c r="B60" i="10"/>
  <c r="H23" i="9"/>
  <c r="B128" i="10"/>
  <c r="H22" i="9"/>
  <c r="B111" i="10"/>
  <c r="B111" i="18"/>
  <c r="H20" i="17"/>
  <c r="H30" i="17"/>
  <c r="B111" i="16"/>
  <c r="H13" i="7"/>
  <c r="B9" i="8"/>
  <c r="G21" i="6"/>
  <c r="I15" i="27"/>
  <c r="J15" i="27"/>
  <c r="E41" i="28"/>
  <c r="E17" i="41"/>
  <c r="J13" i="21"/>
  <c r="E7" i="22"/>
  <c r="J14" i="21"/>
  <c r="J15" i="21"/>
  <c r="I18" i="25"/>
  <c r="J18" i="25"/>
  <c r="E92" i="26"/>
  <c r="B145" i="10"/>
  <c r="G22" i="2"/>
  <c r="J22" i="2"/>
  <c r="A30" i="30"/>
  <c r="B230" i="10"/>
  <c r="B94" i="10"/>
  <c r="B77" i="10"/>
  <c r="B9" i="18"/>
  <c r="E203" i="18"/>
  <c r="F24" i="7"/>
  <c r="H24" i="7"/>
  <c r="B179" i="8"/>
  <c r="E186" i="8"/>
  <c r="F19" i="7"/>
  <c r="H19" i="7"/>
  <c r="B111" i="8"/>
  <c r="E118" i="8"/>
  <c r="F15" i="7"/>
  <c r="H15" i="7"/>
  <c r="B43" i="8"/>
  <c r="E50" i="8"/>
  <c r="E84" i="18"/>
  <c r="B213" i="32"/>
  <c r="H23" i="6"/>
  <c r="E169" i="18"/>
  <c r="F14" i="7"/>
  <c r="H14" i="7"/>
  <c r="B26" i="8"/>
  <c r="E33" i="8"/>
  <c r="B145" i="18"/>
  <c r="B128" i="18"/>
  <c r="B43" i="36"/>
  <c r="I14" i="6"/>
  <c r="J14" i="6"/>
  <c r="K14" i="6"/>
  <c r="H9" i="29"/>
  <c r="J9" i="29"/>
  <c r="J14" i="29"/>
  <c r="H22" i="11"/>
  <c r="I13" i="6"/>
  <c r="J13" i="6"/>
  <c r="K13" i="6"/>
  <c r="H14" i="39"/>
  <c r="I13" i="25"/>
  <c r="J13" i="25"/>
  <c r="H15" i="39"/>
  <c r="I15" i="39"/>
  <c r="H79" i="39"/>
  <c r="C83" i="39"/>
  <c r="E83" i="39"/>
  <c r="I20" i="6"/>
  <c r="J20" i="6"/>
  <c r="K20" i="6"/>
  <c r="I21" i="25"/>
  <c r="J21" i="25"/>
  <c r="L21" i="25"/>
  <c r="K20" i="25"/>
  <c r="I16" i="25"/>
  <c r="J16" i="25"/>
  <c r="E58" i="26"/>
  <c r="D50" i="36"/>
  <c r="G18" i="6"/>
  <c r="G21" i="2"/>
  <c r="J21" i="2"/>
  <c r="A64" i="26"/>
  <c r="H9" i="13"/>
  <c r="I17" i="25"/>
  <c r="J17" i="25"/>
  <c r="E75" i="26"/>
  <c r="I14" i="25"/>
  <c r="J14" i="25"/>
  <c r="E24" i="26"/>
  <c r="I20" i="25"/>
  <c r="J20" i="25"/>
  <c r="E126" i="26"/>
  <c r="I15" i="25"/>
  <c r="J15" i="25"/>
  <c r="E41" i="26"/>
  <c r="E20" i="41"/>
  <c r="G83" i="39"/>
  <c r="H18" i="39"/>
  <c r="I18" i="39"/>
  <c r="H196" i="39"/>
  <c r="C200" i="39"/>
  <c r="E200" i="39"/>
  <c r="I200" i="39"/>
  <c r="H23" i="37"/>
  <c r="H9" i="37"/>
  <c r="J9" i="37"/>
  <c r="J15" i="29"/>
  <c r="D118" i="36"/>
  <c r="D135" i="36"/>
  <c r="D101" i="36"/>
  <c r="B213" i="18"/>
  <c r="E220" i="18"/>
  <c r="D84" i="36"/>
  <c r="B77" i="36"/>
  <c r="D186" i="36"/>
  <c r="B179" i="36"/>
  <c r="D152" i="36"/>
  <c r="D169" i="36"/>
  <c r="B162" i="36"/>
  <c r="D67" i="36"/>
  <c r="B60" i="36"/>
  <c r="E186" i="18"/>
  <c r="B9" i="36"/>
  <c r="H19" i="39"/>
  <c r="I19" i="39"/>
  <c r="H248" i="39"/>
  <c r="C252" i="39"/>
  <c r="E252" i="39"/>
  <c r="I252" i="39"/>
  <c r="H17" i="39"/>
  <c r="I17" i="39"/>
  <c r="H134" i="39"/>
  <c r="C138" i="39"/>
  <c r="E138" i="39"/>
  <c r="I138" i="39"/>
  <c r="I142" i="39"/>
  <c r="J13" i="29"/>
  <c r="L13" i="29"/>
  <c r="J17" i="29"/>
  <c r="G7" i="23"/>
  <c r="E19" i="6"/>
  <c r="E58" i="28"/>
  <c r="J29" i="6"/>
  <c r="G9" i="41"/>
  <c r="I9" i="41"/>
  <c r="G16" i="39"/>
  <c r="H16" i="39"/>
  <c r="I16" i="39"/>
  <c r="H170" i="39"/>
  <c r="C174" i="39"/>
  <c r="E174" i="39"/>
  <c r="G174" i="39"/>
  <c r="A84" i="32"/>
  <c r="F13" i="31"/>
  <c r="H13" i="31"/>
  <c r="D16" i="32"/>
  <c r="A13" i="30"/>
  <c r="H9" i="33"/>
  <c r="J9" i="33"/>
  <c r="I24" i="6"/>
  <c r="J24" i="6"/>
  <c r="K24" i="6"/>
  <c r="B9" i="16"/>
  <c r="I26" i="6"/>
  <c r="J26" i="6"/>
  <c r="K26" i="6"/>
  <c r="D220" i="32"/>
  <c r="A50" i="32"/>
  <c r="B77" i="18"/>
  <c r="E101" i="18"/>
  <c r="B77" i="8"/>
  <c r="F10" i="2"/>
  <c r="G10" i="2"/>
  <c r="J10" i="2"/>
  <c r="H10" i="2"/>
  <c r="B145" i="8"/>
  <c r="H9" i="23"/>
  <c r="A115" i="26"/>
  <c r="A149" i="26"/>
  <c r="A30" i="26"/>
  <c r="A81" i="26"/>
  <c r="A98" i="26"/>
  <c r="E143" i="26"/>
  <c r="F31" i="31"/>
  <c r="H31" i="31"/>
  <c r="B179" i="32"/>
  <c r="D186" i="32"/>
  <c r="F27" i="31"/>
  <c r="H27" i="31"/>
  <c r="B128" i="32"/>
  <c r="D135" i="32"/>
  <c r="F15" i="31"/>
  <c r="D50" i="32"/>
  <c r="F32" i="31"/>
  <c r="H32" i="31"/>
  <c r="B196" i="32"/>
  <c r="D203" i="32"/>
  <c r="F28" i="31"/>
  <c r="H28" i="31"/>
  <c r="B145" i="32"/>
  <c r="D152" i="32"/>
  <c r="F20" i="31"/>
  <c r="D84" i="32"/>
  <c r="I154" i="39"/>
  <c r="J154" i="39"/>
  <c r="F1044" i="40"/>
  <c r="I149" i="39"/>
  <c r="J149" i="39"/>
  <c r="F976" i="40"/>
  <c r="I150" i="39"/>
  <c r="J150" i="39"/>
  <c r="I158" i="39"/>
  <c r="J158" i="39"/>
  <c r="F1061" i="40"/>
  <c r="I148" i="39"/>
  <c r="J148" i="39"/>
  <c r="F959" i="40"/>
  <c r="F25" i="31"/>
  <c r="H25" i="31"/>
  <c r="B94" i="32"/>
  <c r="D101" i="32"/>
  <c r="F30" i="31"/>
  <c r="H30" i="31"/>
  <c r="B162" i="32"/>
  <c r="D169" i="32"/>
  <c r="F26" i="31"/>
  <c r="H26" i="31"/>
  <c r="B111" i="32"/>
  <c r="D118" i="32"/>
  <c r="F18" i="31"/>
  <c r="D67" i="32"/>
  <c r="F14" i="31"/>
  <c r="D33" i="32"/>
  <c r="I21" i="6"/>
  <c r="J21" i="6"/>
  <c r="K21" i="6"/>
  <c r="H20" i="39"/>
  <c r="I14" i="39"/>
  <c r="I215" i="39"/>
  <c r="J215" i="39"/>
  <c r="F1367" i="40"/>
  <c r="I223" i="39"/>
  <c r="J223" i="39"/>
  <c r="F1486" i="40"/>
  <c r="I229" i="39"/>
  <c r="J229" i="39"/>
  <c r="F1588" i="40"/>
  <c r="I206" i="39"/>
  <c r="J206" i="39"/>
  <c r="F1214" i="40"/>
  <c r="I224" i="39"/>
  <c r="J224" i="39"/>
  <c r="F1503" i="40"/>
  <c r="I227" i="39"/>
  <c r="J227" i="39"/>
  <c r="F1554" i="40"/>
  <c r="I205" i="39"/>
  <c r="J205" i="39"/>
  <c r="I204" i="39"/>
  <c r="I207" i="39"/>
  <c r="J207" i="39"/>
  <c r="F1231" i="40"/>
  <c r="I232" i="39"/>
  <c r="J232" i="39"/>
  <c r="F1639" i="40"/>
  <c r="I236" i="39"/>
  <c r="J236" i="39"/>
  <c r="I235" i="39"/>
  <c r="J235" i="39"/>
  <c r="I234" i="39"/>
  <c r="J234" i="39"/>
  <c r="F1673" i="40"/>
  <c r="I211" i="39"/>
  <c r="J211" i="39"/>
  <c r="F1299" i="40"/>
  <c r="I214" i="39"/>
  <c r="J214" i="39"/>
  <c r="F1350" i="40"/>
  <c r="I208" i="39"/>
  <c r="J208" i="39"/>
  <c r="F1248" i="40"/>
  <c r="I213" i="39"/>
  <c r="J213" i="39"/>
  <c r="F1333" i="40"/>
  <c r="I226" i="39"/>
  <c r="J226" i="39"/>
  <c r="F1537" i="40"/>
  <c r="I238" i="39"/>
  <c r="J238" i="39"/>
  <c r="F1707" i="40"/>
  <c r="I230" i="39"/>
  <c r="J230" i="39"/>
  <c r="F1605" i="40"/>
  <c r="I209" i="39"/>
  <c r="J209" i="39"/>
  <c r="F1265" i="40"/>
  <c r="I228" i="39"/>
  <c r="J228" i="39"/>
  <c r="F1571" i="40"/>
  <c r="I225" i="39"/>
  <c r="J225" i="39"/>
  <c r="F1520" i="40"/>
  <c r="I217" i="39"/>
  <c r="J217" i="39"/>
  <c r="I218" i="39"/>
  <c r="J218" i="39"/>
  <c r="F1401" i="40"/>
  <c r="I222" i="39"/>
  <c r="J222" i="39"/>
  <c r="F1469" i="40"/>
  <c r="I220" i="39"/>
  <c r="J220" i="39"/>
  <c r="F1435" i="40"/>
  <c r="I237" i="39"/>
  <c r="J237" i="39"/>
  <c r="F1690" i="40"/>
  <c r="I210" i="39"/>
  <c r="J210" i="39"/>
  <c r="F1282" i="40"/>
  <c r="I212" i="39"/>
  <c r="J212" i="39"/>
  <c r="F1316" i="40"/>
  <c r="I233" i="39"/>
  <c r="J233" i="39"/>
  <c r="F1656" i="40"/>
  <c r="I231" i="39"/>
  <c r="J231" i="39"/>
  <c r="F1622" i="40"/>
  <c r="I216" i="39"/>
  <c r="J216" i="39"/>
  <c r="F1384" i="40"/>
  <c r="I221" i="39"/>
  <c r="J221" i="39"/>
  <c r="F1452" i="40"/>
  <c r="I219" i="39"/>
  <c r="J219" i="39"/>
  <c r="F1418" i="40"/>
  <c r="J18" i="27"/>
  <c r="J13" i="27"/>
  <c r="F39" i="19"/>
  <c r="H22" i="2"/>
  <c r="K22" i="2"/>
  <c r="J20" i="29"/>
  <c r="H28" i="7"/>
  <c r="B94" i="36"/>
  <c r="B26" i="36"/>
  <c r="B111" i="36"/>
  <c r="B145" i="36"/>
  <c r="B128" i="36"/>
  <c r="L20" i="25"/>
  <c r="K19" i="25"/>
  <c r="L19" i="25"/>
  <c r="K18" i="25"/>
  <c r="L18" i="25"/>
  <c r="K17" i="25"/>
  <c r="L17" i="25"/>
  <c r="K16" i="25"/>
  <c r="L16" i="25"/>
  <c r="K15" i="25"/>
  <c r="L15" i="25"/>
  <c r="K14" i="25"/>
  <c r="L14" i="25"/>
  <c r="K13" i="25"/>
  <c r="L13" i="25"/>
  <c r="I153" i="39"/>
  <c r="J153" i="39"/>
  <c r="F1027" i="40"/>
  <c r="I147" i="39"/>
  <c r="J147" i="39"/>
  <c r="F942" i="40"/>
  <c r="I155" i="39"/>
  <c r="J155" i="39"/>
  <c r="I143" i="39"/>
  <c r="J143" i="39"/>
  <c r="F874" i="40"/>
  <c r="L15" i="27"/>
  <c r="K14" i="27"/>
  <c r="L14" i="27"/>
  <c r="K13" i="27"/>
  <c r="L13" i="27"/>
  <c r="C6" i="27"/>
  <c r="E24" i="22"/>
  <c r="H36" i="9"/>
  <c r="H9" i="9"/>
  <c r="H20" i="31"/>
  <c r="B77" i="32"/>
  <c r="H15" i="31"/>
  <c r="B43" i="32"/>
  <c r="H14" i="31"/>
  <c r="B26" i="32"/>
  <c r="H18" i="31"/>
  <c r="B60" i="32"/>
  <c r="E7" i="26"/>
  <c r="G22" i="6"/>
  <c r="I152" i="39"/>
  <c r="J152" i="39"/>
  <c r="F1010" i="40"/>
  <c r="I157" i="39"/>
  <c r="J157" i="39"/>
  <c r="I156" i="39"/>
  <c r="J156" i="39"/>
  <c r="I145" i="39"/>
  <c r="J145" i="39"/>
  <c r="F908" i="40"/>
  <c r="I146" i="39"/>
  <c r="J146" i="39"/>
  <c r="F925" i="40"/>
  <c r="I151" i="39"/>
  <c r="J151" i="39"/>
  <c r="F993" i="40"/>
  <c r="I144" i="39"/>
  <c r="J144" i="39"/>
  <c r="F891" i="40"/>
  <c r="I22" i="25"/>
  <c r="G37" i="2"/>
  <c r="J37" i="2"/>
  <c r="H37" i="2"/>
  <c r="K37" i="2"/>
  <c r="H9" i="11"/>
  <c r="J9" i="11"/>
  <c r="J16" i="21"/>
  <c r="L13" i="21"/>
  <c r="K14" i="21"/>
  <c r="L14" i="21"/>
  <c r="K15" i="21"/>
  <c r="L15" i="21"/>
  <c r="A132" i="26"/>
  <c r="A47" i="26"/>
  <c r="H21" i="2"/>
  <c r="K21" i="2"/>
  <c r="B81" i="26"/>
  <c r="A13" i="26"/>
  <c r="J16" i="29"/>
  <c r="J18" i="29"/>
  <c r="J22" i="29"/>
  <c r="I83" i="39"/>
  <c r="I86" i="39"/>
  <c r="B9" i="32"/>
  <c r="H27" i="6"/>
  <c r="H29" i="6"/>
  <c r="B179" i="18"/>
  <c r="B162" i="18"/>
  <c r="B196" i="18"/>
  <c r="J19" i="29"/>
  <c r="J21" i="29"/>
  <c r="C10" i="22"/>
  <c r="E10" i="22"/>
  <c r="D10" i="22"/>
  <c r="F14" i="41"/>
  <c r="H244" i="41"/>
  <c r="H214" i="41"/>
  <c r="H208" i="41"/>
  <c r="I208" i="41"/>
  <c r="H241" i="41"/>
  <c r="H181" i="41"/>
  <c r="H213" i="41"/>
  <c r="H256" i="41"/>
  <c r="H280" i="41"/>
  <c r="H207" i="41"/>
  <c r="H178" i="41"/>
  <c r="I178" i="41"/>
  <c r="H276" i="41"/>
  <c r="H175" i="41"/>
  <c r="H285" i="41"/>
  <c r="F20" i="41"/>
  <c r="G20" i="41"/>
  <c r="K20" i="41"/>
  <c r="C6" i="41"/>
  <c r="H220" i="41"/>
  <c r="H184" i="41"/>
  <c r="F13" i="41"/>
  <c r="H251" i="41"/>
  <c r="I251" i="41"/>
  <c r="H242" i="41"/>
  <c r="H222" i="41"/>
  <c r="H217" i="41"/>
  <c r="H283" i="41"/>
  <c r="H247" i="41"/>
  <c r="H252" i="41"/>
  <c r="H177" i="41"/>
  <c r="H205" i="41"/>
  <c r="H257" i="41"/>
  <c r="H179" i="41"/>
  <c r="H212" i="41"/>
  <c r="H254" i="41"/>
  <c r="H204" i="41"/>
  <c r="H216" i="41"/>
  <c r="H219" i="41"/>
  <c r="I219" i="41"/>
  <c r="F17" i="41"/>
  <c r="H211" i="41"/>
  <c r="H186" i="41"/>
  <c r="H183" i="41"/>
  <c r="H250" i="41"/>
  <c r="I250" i="41"/>
  <c r="H277" i="41"/>
  <c r="H249" i="41"/>
  <c r="I249" i="41"/>
  <c r="H240" i="41"/>
  <c r="H221" i="41"/>
  <c r="I221" i="41"/>
  <c r="H246" i="41"/>
  <c r="H176" i="41"/>
  <c r="H248" i="41"/>
  <c r="H206" i="41"/>
  <c r="F19" i="41"/>
  <c r="G19" i="41"/>
  <c r="F18" i="41"/>
  <c r="G18" i="41"/>
  <c r="K18" i="41"/>
  <c r="H180" i="41"/>
  <c r="I180" i="41"/>
  <c r="H243" i="41"/>
  <c r="H174" i="41"/>
  <c r="H245" i="41"/>
  <c r="H278" i="41"/>
  <c r="H210" i="41"/>
  <c r="I210" i="41"/>
  <c r="H279" i="41"/>
  <c r="H275" i="41"/>
  <c r="H218" i="41"/>
  <c r="H282" i="41"/>
  <c r="I282" i="41"/>
  <c r="H253" i="41"/>
  <c r="I253" i="41"/>
  <c r="H284" i="41"/>
  <c r="H182" i="41"/>
  <c r="I182" i="41"/>
  <c r="F15" i="41"/>
  <c r="H215" i="41"/>
  <c r="H255" i="41"/>
  <c r="I255" i="41"/>
  <c r="H209" i="41"/>
  <c r="I209" i="41"/>
  <c r="H185" i="41"/>
  <c r="H281" i="41"/>
  <c r="F16" i="41"/>
  <c r="G16" i="41"/>
  <c r="K16" i="41"/>
  <c r="I174" i="39"/>
  <c r="J9" i="23"/>
  <c r="G20" i="2"/>
  <c r="J20" i="2"/>
  <c r="H20" i="2"/>
  <c r="K20" i="2"/>
  <c r="B94" i="18"/>
  <c r="G16" i="2"/>
  <c r="J16" i="2"/>
  <c r="F17" i="2"/>
  <c r="B13" i="30"/>
  <c r="B30" i="30"/>
  <c r="C31" i="7"/>
  <c r="F31" i="7"/>
  <c r="H9" i="7"/>
  <c r="J9" i="7"/>
  <c r="I11" i="6"/>
  <c r="J11" i="6"/>
  <c r="G26" i="6"/>
  <c r="J18" i="37"/>
  <c r="E24" i="38"/>
  <c r="J19" i="37"/>
  <c r="E41" i="38"/>
  <c r="J20" i="37"/>
  <c r="E58" i="38"/>
  <c r="J21" i="37"/>
  <c r="E75" i="38"/>
  <c r="J22" i="37"/>
  <c r="E92" i="38"/>
  <c r="J17" i="37"/>
  <c r="J15" i="37"/>
  <c r="J13" i="37"/>
  <c r="J14" i="37"/>
  <c r="I22" i="37"/>
  <c r="I23" i="37"/>
  <c r="J16" i="37"/>
  <c r="I15" i="6"/>
  <c r="J15" i="6"/>
  <c r="K15" i="6"/>
  <c r="J42" i="33"/>
  <c r="L42" i="33"/>
  <c r="K41" i="33"/>
  <c r="J14" i="33"/>
  <c r="E41" i="34"/>
  <c r="J25" i="33"/>
  <c r="E160" i="34"/>
  <c r="J17" i="33"/>
  <c r="J33" i="33"/>
  <c r="J16" i="33"/>
  <c r="G24" i="6"/>
  <c r="J35" i="33"/>
  <c r="J26" i="33"/>
  <c r="E177" i="34"/>
  <c r="J12" i="33"/>
  <c r="J32" i="33"/>
  <c r="J20" i="33"/>
  <c r="E75" i="34"/>
  <c r="J21" i="33"/>
  <c r="E92" i="34"/>
  <c r="J29" i="33"/>
  <c r="E228" i="34"/>
  <c r="J22" i="33"/>
  <c r="E109" i="34"/>
  <c r="J28" i="33"/>
  <c r="E211" i="34"/>
  <c r="J37" i="33"/>
  <c r="E279" i="34"/>
  <c r="J27" i="33"/>
  <c r="E194" i="34"/>
  <c r="J13" i="33"/>
  <c r="E24" i="34"/>
  <c r="J36" i="33"/>
  <c r="J15" i="33"/>
  <c r="J38" i="33"/>
  <c r="E296" i="34"/>
  <c r="J18" i="33"/>
  <c r="J34" i="33"/>
  <c r="J40" i="33"/>
  <c r="J24" i="33"/>
  <c r="E143" i="34"/>
  <c r="J31" i="33"/>
  <c r="J39" i="33"/>
  <c r="E313" i="34"/>
  <c r="J30" i="33"/>
  <c r="E245" i="34"/>
  <c r="J19" i="33"/>
  <c r="J23" i="33"/>
  <c r="E126" i="34"/>
  <c r="J41" i="33"/>
  <c r="I94" i="39"/>
  <c r="J94" i="39"/>
  <c r="I100" i="39"/>
  <c r="J100" i="39"/>
  <c r="F619" i="40"/>
  <c r="I88" i="39"/>
  <c r="J88" i="39"/>
  <c r="F483" i="40"/>
  <c r="I121" i="39"/>
  <c r="J121" i="39"/>
  <c r="F806" i="40"/>
  <c r="J204" i="39"/>
  <c r="I239" i="39"/>
  <c r="M14" i="39"/>
  <c r="L15" i="39"/>
  <c r="M15" i="39"/>
  <c r="L16" i="39"/>
  <c r="M16" i="39"/>
  <c r="L17" i="39"/>
  <c r="M17" i="39"/>
  <c r="L18" i="39"/>
  <c r="M18" i="39"/>
  <c r="L19" i="39"/>
  <c r="M19" i="39"/>
  <c r="H29" i="39"/>
  <c r="C33" i="39"/>
  <c r="E33" i="39"/>
  <c r="I33" i="39"/>
  <c r="I20" i="39"/>
  <c r="K14" i="29"/>
  <c r="L14" i="29"/>
  <c r="K15" i="29"/>
  <c r="L15" i="29"/>
  <c r="K16" i="29"/>
  <c r="L16" i="29"/>
  <c r="K17" i="29"/>
  <c r="L17" i="29"/>
  <c r="K18" i="29"/>
  <c r="E7" i="28"/>
  <c r="I159" i="39"/>
  <c r="J142" i="39"/>
  <c r="B26" i="20"/>
  <c r="H34" i="31"/>
  <c r="I23" i="6"/>
  <c r="J23" i="6"/>
  <c r="K23" i="6"/>
  <c r="I110" i="39"/>
  <c r="J110" i="39"/>
  <c r="F772" i="40"/>
  <c r="I116" i="39"/>
  <c r="J116" i="39"/>
  <c r="I115" i="39"/>
  <c r="J115" i="39"/>
  <c r="I122" i="39"/>
  <c r="J122" i="39"/>
  <c r="F823" i="40"/>
  <c r="I91" i="39"/>
  <c r="J91" i="39"/>
  <c r="F517" i="40"/>
  <c r="I87" i="39"/>
  <c r="J87" i="39"/>
  <c r="F466" i="40"/>
  <c r="I123" i="39"/>
  <c r="J123" i="39"/>
  <c r="F840" i="40"/>
  <c r="I101" i="39"/>
  <c r="J101" i="39"/>
  <c r="F636" i="40"/>
  <c r="I99" i="39"/>
  <c r="J99" i="39"/>
  <c r="F602" i="40"/>
  <c r="I117" i="39"/>
  <c r="J117" i="39"/>
  <c r="I106" i="39"/>
  <c r="J106" i="39"/>
  <c r="F704" i="40"/>
  <c r="I109" i="39"/>
  <c r="J109" i="39"/>
  <c r="F755" i="40"/>
  <c r="I107" i="39"/>
  <c r="J107" i="39"/>
  <c r="F721" i="40"/>
  <c r="I113" i="39"/>
  <c r="J113" i="39"/>
  <c r="I98" i="39"/>
  <c r="J98" i="39"/>
  <c r="F585" i="40"/>
  <c r="H23" i="13"/>
  <c r="H15" i="2"/>
  <c r="K15" i="2"/>
  <c r="I12" i="6"/>
  <c r="J12" i="6"/>
  <c r="K12" i="6"/>
  <c r="C147" i="26"/>
  <c r="F147" i="26"/>
  <c r="C146" i="26"/>
  <c r="E146" i="26"/>
  <c r="B13" i="26"/>
  <c r="B30" i="26"/>
  <c r="B132" i="26"/>
  <c r="B149" i="26"/>
  <c r="B47" i="26"/>
  <c r="B64" i="26"/>
  <c r="B98" i="26"/>
  <c r="B115" i="26"/>
  <c r="L18" i="29"/>
  <c r="K19" i="29"/>
  <c r="L19" i="29"/>
  <c r="K20" i="29"/>
  <c r="L20" i="29"/>
  <c r="K21" i="29"/>
  <c r="L21" i="29"/>
  <c r="K22" i="29"/>
  <c r="L22" i="29"/>
  <c r="C6" i="29"/>
  <c r="E22" i="6"/>
  <c r="I102" i="39"/>
  <c r="J102" i="39"/>
  <c r="F653" i="40"/>
  <c r="I97" i="39"/>
  <c r="J97" i="39"/>
  <c r="F568" i="40"/>
  <c r="I96" i="39"/>
  <c r="J96" i="39"/>
  <c r="I104" i="39"/>
  <c r="J104" i="39"/>
  <c r="F687" i="40"/>
  <c r="I111" i="39"/>
  <c r="J111" i="39"/>
  <c r="I90" i="39"/>
  <c r="J90" i="39"/>
  <c r="I119" i="39"/>
  <c r="J119" i="39"/>
  <c r="I112" i="39"/>
  <c r="J112" i="39"/>
  <c r="I89" i="39"/>
  <c r="J89" i="39"/>
  <c r="F500" i="40"/>
  <c r="I103" i="39"/>
  <c r="J103" i="39"/>
  <c r="F670" i="40"/>
  <c r="I105" i="39"/>
  <c r="J105" i="39"/>
  <c r="I118" i="39"/>
  <c r="J118" i="39"/>
  <c r="I120" i="39"/>
  <c r="J120" i="39"/>
  <c r="F789" i="40"/>
  <c r="I114" i="39"/>
  <c r="J114" i="39"/>
  <c r="I108" i="39"/>
  <c r="J108" i="39"/>
  <c r="F738" i="40"/>
  <c r="I95" i="39"/>
  <c r="J95" i="39"/>
  <c r="I92" i="39"/>
  <c r="J92" i="39"/>
  <c r="F534" i="40"/>
  <c r="I93" i="39"/>
  <c r="J93" i="39"/>
  <c r="F551" i="40"/>
  <c r="A183" i="10"/>
  <c r="A200" i="10"/>
  <c r="A251" i="10"/>
  <c r="A30" i="10"/>
  <c r="A47" i="10"/>
  <c r="A64" i="10"/>
  <c r="A81" i="10"/>
  <c r="A98" i="10"/>
  <c r="A115" i="10"/>
  <c r="A132" i="10"/>
  <c r="A149" i="10"/>
  <c r="A166" i="10"/>
  <c r="A217" i="10"/>
  <c r="A234" i="10"/>
  <c r="G23" i="2"/>
  <c r="J23" i="2"/>
  <c r="I25" i="6"/>
  <c r="J25" i="6"/>
  <c r="K25" i="6"/>
  <c r="J23" i="29"/>
  <c r="E7" i="30"/>
  <c r="L41" i="33"/>
  <c r="K40" i="33"/>
  <c r="L40" i="33"/>
  <c r="K39" i="33"/>
  <c r="L39" i="33"/>
  <c r="K38" i="33"/>
  <c r="L38" i="33"/>
  <c r="K37" i="33"/>
  <c r="L37" i="33"/>
  <c r="K36" i="33"/>
  <c r="L36" i="33"/>
  <c r="K35" i="33"/>
  <c r="L35" i="33"/>
  <c r="K34" i="33"/>
  <c r="L34" i="33"/>
  <c r="K33" i="33"/>
  <c r="L33" i="33"/>
  <c r="K32" i="33"/>
  <c r="L32" i="33"/>
  <c r="K31" i="33"/>
  <c r="L31" i="33"/>
  <c r="K30" i="33"/>
  <c r="L30" i="33"/>
  <c r="K29" i="33"/>
  <c r="L29" i="33"/>
  <c r="K28" i="33"/>
  <c r="L28" i="33"/>
  <c r="K27" i="33"/>
  <c r="L27" i="33"/>
  <c r="K26" i="33"/>
  <c r="L26" i="33"/>
  <c r="K25" i="33"/>
  <c r="L25" i="33"/>
  <c r="K24" i="33"/>
  <c r="L24" i="33"/>
  <c r="K23" i="33"/>
  <c r="L23" i="33"/>
  <c r="K22" i="33"/>
  <c r="L22" i="33"/>
  <c r="K21" i="33"/>
  <c r="L21" i="33"/>
  <c r="K20" i="33"/>
  <c r="L20" i="33"/>
  <c r="K19" i="33"/>
  <c r="L19" i="33"/>
  <c r="K18" i="33"/>
  <c r="L18" i="33"/>
  <c r="K17" i="33"/>
  <c r="L17" i="33"/>
  <c r="K16" i="33"/>
  <c r="L16" i="33"/>
  <c r="K15" i="33"/>
  <c r="L15" i="33"/>
  <c r="K14" i="33"/>
  <c r="L14" i="33"/>
  <c r="K13" i="33"/>
  <c r="L13" i="33"/>
  <c r="K12" i="33"/>
  <c r="C265" i="20"/>
  <c r="E265" i="20"/>
  <c r="D265" i="20"/>
  <c r="C6" i="21"/>
  <c r="E18" i="6"/>
  <c r="C11" i="22"/>
  <c r="I281" i="41"/>
  <c r="C1301" i="42"/>
  <c r="I215" i="41"/>
  <c r="C876" i="42"/>
  <c r="C927" i="42"/>
  <c r="I218" i="41"/>
  <c r="I279" i="41"/>
  <c r="C1267" i="42"/>
  <c r="C1250" i="42"/>
  <c r="I278" i="41"/>
  <c r="C570" i="42"/>
  <c r="H187" i="41"/>
  <c r="I174" i="41"/>
  <c r="K19" i="41"/>
  <c r="H60" i="41"/>
  <c r="I248" i="41"/>
  <c r="C1114" i="42"/>
  <c r="I246" i="41"/>
  <c r="C1080" i="42"/>
  <c r="I240" i="41"/>
  <c r="C978" i="42"/>
  <c r="H258" i="41"/>
  <c r="I277" i="41"/>
  <c r="C1233" i="42"/>
  <c r="I183" i="41"/>
  <c r="C672" i="42"/>
  <c r="C808" i="42"/>
  <c r="I211" i="41"/>
  <c r="C740" i="42"/>
  <c r="I204" i="41"/>
  <c r="K204" i="41"/>
  <c r="I212" i="41"/>
  <c r="C825" i="42"/>
  <c r="C1182" i="42"/>
  <c r="I257" i="41"/>
  <c r="I177" i="41"/>
  <c r="C621" i="42"/>
  <c r="I247" i="41"/>
  <c r="C1097" i="42"/>
  <c r="I217" i="41"/>
  <c r="C910" i="42"/>
  <c r="C1012" i="42"/>
  <c r="I242" i="41"/>
  <c r="F21" i="41"/>
  <c r="G13" i="41"/>
  <c r="C944" i="42"/>
  <c r="I220" i="41"/>
  <c r="I285" i="41"/>
  <c r="C1352" i="42"/>
  <c r="I276" i="41"/>
  <c r="D298" i="41"/>
  <c r="F298" i="41"/>
  <c r="J298" i="41"/>
  <c r="C1216" i="42"/>
  <c r="C791" i="42"/>
  <c r="I207" i="41"/>
  <c r="I256" i="41"/>
  <c r="C1165" i="42"/>
  <c r="I181" i="41"/>
  <c r="C655" i="42"/>
  <c r="I244" i="41"/>
  <c r="C1046" i="42"/>
  <c r="C706" i="42"/>
  <c r="I185" i="41"/>
  <c r="E170" i="41"/>
  <c r="E200" i="41"/>
  <c r="G15" i="41"/>
  <c r="K15" i="41"/>
  <c r="C1335" i="42"/>
  <c r="I284" i="41"/>
  <c r="I275" i="41"/>
  <c r="C1199" i="42"/>
  <c r="C1063" i="42"/>
  <c r="I245" i="41"/>
  <c r="C1029" i="42"/>
  <c r="I243" i="41"/>
  <c r="I206" i="41"/>
  <c r="C774" i="42"/>
  <c r="I176" i="41"/>
  <c r="C604" i="42"/>
  <c r="I186" i="41"/>
  <c r="C723" i="42"/>
  <c r="E271" i="41"/>
  <c r="E236" i="41"/>
  <c r="G17" i="41"/>
  <c r="K17" i="41"/>
  <c r="C893" i="42"/>
  <c r="I216" i="41"/>
  <c r="C1148" i="42"/>
  <c r="I254" i="41"/>
  <c r="C638" i="42"/>
  <c r="I179" i="41"/>
  <c r="I205" i="41"/>
  <c r="C757" i="42"/>
  <c r="C1131" i="42"/>
  <c r="I252" i="41"/>
  <c r="I283" i="41"/>
  <c r="C1318" i="42"/>
  <c r="I222" i="41"/>
  <c r="C961" i="42"/>
  <c r="I184" i="41"/>
  <c r="C689" i="42"/>
  <c r="C587" i="42"/>
  <c r="I175" i="41"/>
  <c r="I280" i="41"/>
  <c r="C1284" i="42"/>
  <c r="C842" i="42"/>
  <c r="I213" i="41"/>
  <c r="C995" i="42"/>
  <c r="I241" i="41"/>
  <c r="C859" i="42"/>
  <c r="I214" i="41"/>
  <c r="G14" i="41"/>
  <c r="E130" i="41"/>
  <c r="I182" i="39"/>
  <c r="J182" i="39"/>
  <c r="F1146" i="40"/>
  <c r="I178" i="39"/>
  <c r="I180" i="39"/>
  <c r="J180" i="39"/>
  <c r="F1112" i="40"/>
  <c r="I179" i="39"/>
  <c r="J179" i="39"/>
  <c r="F1095" i="40"/>
  <c r="I183" i="39"/>
  <c r="J183" i="39"/>
  <c r="F1163" i="40"/>
  <c r="I181" i="39"/>
  <c r="J181" i="39"/>
  <c r="F1129" i="40"/>
  <c r="I184" i="39"/>
  <c r="J184" i="39"/>
  <c r="F1180" i="40"/>
  <c r="J43" i="33"/>
  <c r="E7" i="34"/>
  <c r="K11" i="6"/>
  <c r="A13" i="12"/>
  <c r="A32" i="12"/>
  <c r="A127" i="12"/>
  <c r="A89" i="12"/>
  <c r="H16" i="2"/>
  <c r="K16" i="2"/>
  <c r="A70" i="12"/>
  <c r="A51" i="12"/>
  <c r="A13" i="10"/>
  <c r="A108" i="12"/>
  <c r="C28" i="22"/>
  <c r="C27" i="22"/>
  <c r="E27" i="22"/>
  <c r="D27" i="22"/>
  <c r="J13" i="23"/>
  <c r="J34" i="23"/>
  <c r="G19" i="6"/>
  <c r="J33" i="23"/>
  <c r="E313" i="24"/>
  <c r="J15" i="23"/>
  <c r="J25" i="23"/>
  <c r="J35" i="23"/>
  <c r="J32" i="23"/>
  <c r="E296" i="24"/>
  <c r="J37" i="23"/>
  <c r="L37" i="23"/>
  <c r="K36" i="23"/>
  <c r="J29" i="23"/>
  <c r="J19" i="23"/>
  <c r="J27" i="23"/>
  <c r="J17" i="23"/>
  <c r="J31" i="23"/>
  <c r="E279" i="24"/>
  <c r="J18" i="23"/>
  <c r="E75" i="24"/>
  <c r="J28" i="23"/>
  <c r="E228" i="24"/>
  <c r="J26" i="23"/>
  <c r="J16" i="23"/>
  <c r="J36" i="23"/>
  <c r="J22" i="23"/>
  <c r="J23" i="23"/>
  <c r="J24" i="23"/>
  <c r="E143" i="24"/>
  <c r="J20" i="23"/>
  <c r="J21" i="23"/>
  <c r="J30" i="23"/>
  <c r="E262" i="24"/>
  <c r="J14" i="23"/>
  <c r="E41" i="24"/>
  <c r="E147" i="26"/>
  <c r="E330" i="34"/>
  <c r="E58" i="34"/>
  <c r="E262" i="34"/>
  <c r="G18" i="2"/>
  <c r="J18" i="2"/>
  <c r="J23" i="37"/>
  <c r="L13" i="37"/>
  <c r="E7" i="38"/>
  <c r="I26" i="7"/>
  <c r="G11" i="6"/>
  <c r="I25" i="7"/>
  <c r="I18" i="7"/>
  <c r="E92" i="8"/>
  <c r="I13" i="7"/>
  <c r="I16" i="7"/>
  <c r="E58" i="8"/>
  <c r="I24" i="7"/>
  <c r="E177" i="8"/>
  <c r="I29" i="7"/>
  <c r="I22" i="7"/>
  <c r="E143" i="8"/>
  <c r="I21" i="7"/>
  <c r="I19" i="7"/>
  <c r="E109" i="8"/>
  <c r="I20" i="7"/>
  <c r="E126" i="8"/>
  <c r="I14" i="7"/>
  <c r="E24" i="8"/>
  <c r="I27" i="7"/>
  <c r="I17" i="7"/>
  <c r="E75" i="8"/>
  <c r="I15" i="7"/>
  <c r="E41" i="8"/>
  <c r="I23" i="7"/>
  <c r="E160" i="8"/>
  <c r="J17" i="11"/>
  <c r="G13" i="6"/>
  <c r="J19" i="11"/>
  <c r="E83" i="12"/>
  <c r="J13" i="11"/>
  <c r="J14" i="11"/>
  <c r="E26" i="12"/>
  <c r="J20" i="11"/>
  <c r="E102" i="12"/>
  <c r="J15" i="11"/>
  <c r="J18" i="11"/>
  <c r="J16" i="11"/>
  <c r="J21" i="11"/>
  <c r="L21" i="11"/>
  <c r="K20" i="11"/>
  <c r="L20" i="11"/>
  <c r="K19" i="11"/>
  <c r="H9" i="17"/>
  <c r="I16" i="6"/>
  <c r="J16" i="6"/>
  <c r="K16" i="6"/>
  <c r="K23" i="13"/>
  <c r="C43" i="2"/>
  <c r="C129" i="26"/>
  <c r="E129" i="26"/>
  <c r="F857" i="40"/>
  <c r="J159" i="39"/>
  <c r="I259" i="39"/>
  <c r="J259" i="39"/>
  <c r="F1775" i="40"/>
  <c r="I266" i="39"/>
  <c r="J266" i="39"/>
  <c r="F1877" i="40"/>
  <c r="I64" i="39"/>
  <c r="J64" i="39"/>
  <c r="F364" i="40"/>
  <c r="I271" i="39"/>
  <c r="J271" i="39"/>
  <c r="F1962" i="40"/>
  <c r="I69" i="39"/>
  <c r="J69" i="39"/>
  <c r="I270" i="39"/>
  <c r="J270" i="39"/>
  <c r="F1945" i="40"/>
  <c r="I55" i="39"/>
  <c r="J55" i="39"/>
  <c r="F262" i="40"/>
  <c r="I60" i="39"/>
  <c r="J60" i="39"/>
  <c r="I46" i="39"/>
  <c r="J46" i="39"/>
  <c r="F109" i="40"/>
  <c r="I39" i="39"/>
  <c r="J39" i="39"/>
  <c r="I54" i="39"/>
  <c r="J54" i="39"/>
  <c r="F245" i="40"/>
  <c r="I268" i="39"/>
  <c r="J268" i="39"/>
  <c r="F1911" i="40"/>
  <c r="I70" i="39"/>
  <c r="J70" i="39"/>
  <c r="F432" i="40"/>
  <c r="I257" i="39"/>
  <c r="J257" i="39"/>
  <c r="F1741" i="40"/>
  <c r="I273" i="39"/>
  <c r="J273" i="39"/>
  <c r="F1996" i="40"/>
  <c r="I51" i="39"/>
  <c r="J51" i="39"/>
  <c r="F194" i="40"/>
  <c r="I52" i="39"/>
  <c r="J52" i="39"/>
  <c r="F211" i="40"/>
  <c r="I275" i="39"/>
  <c r="J275" i="39"/>
  <c r="F2030" i="40"/>
  <c r="I256" i="39"/>
  <c r="I38" i="39"/>
  <c r="J38" i="39"/>
  <c r="I53" i="39"/>
  <c r="J53" i="39"/>
  <c r="F228" i="40"/>
  <c r="I62" i="39"/>
  <c r="J62" i="39"/>
  <c r="I48" i="39"/>
  <c r="J48" i="39"/>
  <c r="F143" i="40"/>
  <c r="I57" i="39"/>
  <c r="J57" i="39"/>
  <c r="F296" i="40"/>
  <c r="I42" i="39"/>
  <c r="J42" i="39"/>
  <c r="F41" i="40"/>
  <c r="I50" i="39"/>
  <c r="J50" i="39"/>
  <c r="F177" i="40"/>
  <c r="I264" i="39"/>
  <c r="J264" i="39"/>
  <c r="F1843" i="40"/>
  <c r="I56" i="39"/>
  <c r="J56" i="39"/>
  <c r="F279" i="40"/>
  <c r="I44" i="39"/>
  <c r="J44" i="39"/>
  <c r="F75" i="40"/>
  <c r="I58" i="39"/>
  <c r="J58" i="39"/>
  <c r="F313" i="40"/>
  <c r="I267" i="39"/>
  <c r="J267" i="39"/>
  <c r="F1894" i="40"/>
  <c r="I67" i="39"/>
  <c r="J67" i="39"/>
  <c r="F415" i="40"/>
  <c r="I263" i="39"/>
  <c r="J263" i="39"/>
  <c r="F1826" i="40"/>
  <c r="I277" i="39"/>
  <c r="J277" i="39"/>
  <c r="F2047" i="40"/>
  <c r="I63" i="39"/>
  <c r="J63" i="39"/>
  <c r="F347" i="40"/>
  <c r="I274" i="39"/>
  <c r="J274" i="39"/>
  <c r="F2013" i="40"/>
  <c r="I37" i="39"/>
  <c r="I279" i="39"/>
  <c r="J279" i="39"/>
  <c r="F2081" i="40"/>
  <c r="I278" i="39"/>
  <c r="J278" i="39"/>
  <c r="F2064" i="40"/>
  <c r="I261" i="39"/>
  <c r="J261" i="39"/>
  <c r="I61" i="39"/>
  <c r="J61" i="39"/>
  <c r="I47" i="39"/>
  <c r="J47" i="39"/>
  <c r="F126" i="40"/>
  <c r="I41" i="39"/>
  <c r="J41" i="39"/>
  <c r="I40" i="39"/>
  <c r="J40" i="39"/>
  <c r="F24" i="40"/>
  <c r="I59" i="39"/>
  <c r="J59" i="39"/>
  <c r="F330" i="40"/>
  <c r="I260" i="39"/>
  <c r="J260" i="39"/>
  <c r="F1792" i="40"/>
  <c r="I66" i="39"/>
  <c r="J66" i="39"/>
  <c r="F398" i="40"/>
  <c r="I269" i="39"/>
  <c r="J269" i="39"/>
  <c r="F1928" i="40"/>
  <c r="I65" i="39"/>
  <c r="J65" i="39"/>
  <c r="F381" i="40"/>
  <c r="I68" i="39"/>
  <c r="J68" i="39"/>
  <c r="I49" i="39"/>
  <c r="J49" i="39"/>
  <c r="F160" i="40"/>
  <c r="I265" i="39"/>
  <c r="J265" i="39"/>
  <c r="F1860" i="40"/>
  <c r="I43" i="39"/>
  <c r="J43" i="39"/>
  <c r="F58" i="40"/>
  <c r="I258" i="39"/>
  <c r="J258" i="39"/>
  <c r="F1758" i="40"/>
  <c r="I262" i="39"/>
  <c r="J262" i="39"/>
  <c r="F1809" i="40"/>
  <c r="I276" i="39"/>
  <c r="J276" i="39"/>
  <c r="I272" i="39"/>
  <c r="J272" i="39"/>
  <c r="F1979" i="40"/>
  <c r="I45" i="39"/>
  <c r="J45" i="39"/>
  <c r="F92" i="40"/>
  <c r="I124" i="39"/>
  <c r="J86" i="39"/>
  <c r="J239" i="39"/>
  <c r="F1197" i="40"/>
  <c r="E211" i="24"/>
  <c r="E245" i="24"/>
  <c r="E177" i="24"/>
  <c r="E330" i="24"/>
  <c r="E126" i="24"/>
  <c r="E109" i="24"/>
  <c r="E194" i="24"/>
  <c r="E92" i="24"/>
  <c r="E24" i="24"/>
  <c r="I17" i="6"/>
  <c r="J17" i="6"/>
  <c r="K17" i="6"/>
  <c r="G34" i="2"/>
  <c r="J34" i="2"/>
  <c r="H34" i="2"/>
  <c r="K34" i="2"/>
  <c r="H9" i="31"/>
  <c r="J9" i="31"/>
  <c r="J16" i="31"/>
  <c r="L19" i="11"/>
  <c r="K18" i="11"/>
  <c r="L18" i="11"/>
  <c r="K17" i="11"/>
  <c r="L17" i="11"/>
  <c r="K16" i="11"/>
  <c r="L16" i="11"/>
  <c r="K15" i="11"/>
  <c r="L15" i="11"/>
  <c r="K14" i="11"/>
  <c r="L14" i="11"/>
  <c r="K13" i="11"/>
  <c r="L13" i="11"/>
  <c r="C11" i="30"/>
  <c r="E11" i="30"/>
  <c r="D11" i="30"/>
  <c r="E58" i="36"/>
  <c r="J14" i="31"/>
  <c r="E24" i="32"/>
  <c r="J18" i="31"/>
  <c r="J22" i="31"/>
  <c r="J24" i="31"/>
  <c r="J26" i="31"/>
  <c r="E109" i="32"/>
  <c r="J28" i="31"/>
  <c r="J30" i="31"/>
  <c r="E160" i="32"/>
  <c r="J32" i="31"/>
  <c r="E194" i="32"/>
  <c r="J13" i="31"/>
  <c r="J15" i="31"/>
  <c r="J17" i="31"/>
  <c r="J19" i="31"/>
  <c r="J21" i="31"/>
  <c r="J23" i="31"/>
  <c r="J25" i="31"/>
  <c r="J27" i="31"/>
  <c r="J29" i="31"/>
  <c r="J31" i="31"/>
  <c r="E177" i="32"/>
  <c r="J33" i="31"/>
  <c r="B30" i="10"/>
  <c r="B47" i="10"/>
  <c r="B64" i="10"/>
  <c r="B81" i="10"/>
  <c r="B98" i="10"/>
  <c r="B115" i="10"/>
  <c r="B132" i="10"/>
  <c r="B149" i="10"/>
  <c r="B166" i="10"/>
  <c r="B183" i="10"/>
  <c r="B200" i="10"/>
  <c r="B217" i="10"/>
  <c r="B234" i="10"/>
  <c r="B251" i="10"/>
  <c r="H23" i="2"/>
  <c r="K23" i="2"/>
  <c r="B13" i="32"/>
  <c r="A13" i="32"/>
  <c r="G23" i="6"/>
  <c r="E211" i="32"/>
  <c r="J12" i="31"/>
  <c r="E92" i="32"/>
  <c r="E126" i="32"/>
  <c r="E160" i="36"/>
  <c r="E75" i="36"/>
  <c r="E143" i="36"/>
  <c r="G25" i="6"/>
  <c r="E160" i="24"/>
  <c r="L12" i="33"/>
  <c r="C6" i="33"/>
  <c r="C10" i="34"/>
  <c r="E10" i="34"/>
  <c r="D10" i="34"/>
  <c r="F11" i="22"/>
  <c r="E11" i="22"/>
  <c r="D11" i="22"/>
  <c r="C236" i="41"/>
  <c r="I236" i="41"/>
  <c r="I170" i="41"/>
  <c r="C170" i="41"/>
  <c r="K13" i="41"/>
  <c r="C35" i="41"/>
  <c r="E35" i="41"/>
  <c r="I35" i="41"/>
  <c r="G21" i="41"/>
  <c r="J205" i="41"/>
  <c r="D742" i="42"/>
  <c r="F742" i="42"/>
  <c r="E742" i="42"/>
  <c r="I258" i="41"/>
  <c r="K240" i="41"/>
  <c r="C130" i="41"/>
  <c r="I130" i="41"/>
  <c r="I271" i="41"/>
  <c r="H286" i="41"/>
  <c r="C271" i="41"/>
  <c r="K275" i="41"/>
  <c r="I286" i="41"/>
  <c r="C200" i="41"/>
  <c r="I200" i="41"/>
  <c r="C64" i="41"/>
  <c r="E64" i="41"/>
  <c r="I64" i="41"/>
  <c r="H91" i="41"/>
  <c r="C95" i="41"/>
  <c r="E95" i="41"/>
  <c r="I95" i="41"/>
  <c r="K174" i="41"/>
  <c r="I187" i="41"/>
  <c r="E64" i="12"/>
  <c r="E347" i="24"/>
  <c r="E58" i="24"/>
  <c r="I185" i="39"/>
  <c r="J178" i="39"/>
  <c r="C130" i="26"/>
  <c r="L23" i="13"/>
  <c r="G19" i="2"/>
  <c r="J19" i="2"/>
  <c r="H19" i="2"/>
  <c r="K19" i="2"/>
  <c r="G23" i="13"/>
  <c r="G26" i="13"/>
  <c r="E58" i="16"/>
  <c r="E41" i="16"/>
  <c r="G15" i="6"/>
  <c r="E75" i="16"/>
  <c r="E24" i="16"/>
  <c r="E92" i="16"/>
  <c r="L36" i="23"/>
  <c r="K35" i="23"/>
  <c r="F28" i="22"/>
  <c r="E28" i="22"/>
  <c r="D28" i="22"/>
  <c r="B13" i="10"/>
  <c r="B127" i="12"/>
  <c r="B70" i="12"/>
  <c r="B89" i="12"/>
  <c r="B108" i="12"/>
  <c r="B13" i="12"/>
  <c r="B32" i="12"/>
  <c r="B51" i="12"/>
  <c r="K27" i="6"/>
  <c r="C11" i="34"/>
  <c r="E121" i="12"/>
  <c r="K22" i="11"/>
  <c r="E7" i="12"/>
  <c r="J22" i="11"/>
  <c r="I28" i="7"/>
  <c r="K13" i="7"/>
  <c r="E7" i="8"/>
  <c r="K14" i="37"/>
  <c r="A47" i="16"/>
  <c r="A30" i="16"/>
  <c r="A115" i="16"/>
  <c r="H18" i="2"/>
  <c r="K18" i="2"/>
  <c r="A98" i="16"/>
  <c r="A64" i="16"/>
  <c r="A132" i="16"/>
  <c r="A81" i="16"/>
  <c r="A13" i="16"/>
  <c r="E7" i="24"/>
  <c r="J38" i="23"/>
  <c r="J27" i="6"/>
  <c r="J37" i="39"/>
  <c r="I71" i="39"/>
  <c r="J71" i="39"/>
  <c r="J256" i="39"/>
  <c r="I280" i="39"/>
  <c r="J124" i="39"/>
  <c r="F449" i="40"/>
  <c r="F7" i="27"/>
  <c r="E21" i="6"/>
  <c r="E126" i="20"/>
  <c r="E58" i="20"/>
  <c r="E211" i="20"/>
  <c r="E143" i="20"/>
  <c r="E194" i="20"/>
  <c r="E75" i="20"/>
  <c r="E245" i="20"/>
  <c r="E92" i="20"/>
  <c r="E41" i="20"/>
  <c r="E177" i="20"/>
  <c r="G17" i="6"/>
  <c r="E160" i="20"/>
  <c r="E228" i="20"/>
  <c r="E109" i="20"/>
  <c r="E24" i="20"/>
  <c r="J20" i="31"/>
  <c r="E126" i="36"/>
  <c r="E109" i="36"/>
  <c r="E58" i="32"/>
  <c r="E75" i="32"/>
  <c r="E143" i="32"/>
  <c r="J34" i="31"/>
  <c r="E41" i="32"/>
  <c r="L12" i="31"/>
  <c r="E7" i="32"/>
  <c r="E109" i="16"/>
  <c r="E92" i="36"/>
  <c r="E177" i="36"/>
  <c r="E7" i="36"/>
  <c r="E41" i="36"/>
  <c r="E24" i="36"/>
  <c r="J33" i="35"/>
  <c r="C124" i="12"/>
  <c r="E124" i="12"/>
  <c r="D124" i="12"/>
  <c r="D572" i="42"/>
  <c r="F572" i="42"/>
  <c r="E572" i="42"/>
  <c r="J175" i="41"/>
  <c r="H70" i="41"/>
  <c r="H73" i="41"/>
  <c r="I73" i="41"/>
  <c r="H76" i="41"/>
  <c r="H72" i="41"/>
  <c r="I72" i="41"/>
  <c r="H68" i="41"/>
  <c r="H78" i="41"/>
  <c r="H74" i="41"/>
  <c r="I74" i="41"/>
  <c r="H71" i="41"/>
  <c r="H81" i="41"/>
  <c r="H77" i="41"/>
  <c r="H79" i="41"/>
  <c r="H80" i="41"/>
  <c r="H75" i="41"/>
  <c r="H69" i="41"/>
  <c r="J276" i="41"/>
  <c r="D1201" i="42"/>
  <c r="F1201" i="42"/>
  <c r="E1201" i="42"/>
  <c r="K205" i="41"/>
  <c r="D758" i="42"/>
  <c r="F758" i="42"/>
  <c r="E758" i="42"/>
  <c r="F755" i="42"/>
  <c r="H309" i="41"/>
  <c r="I309" i="41"/>
  <c r="H48" i="41"/>
  <c r="I48" i="41"/>
  <c r="H41" i="41"/>
  <c r="H303" i="41"/>
  <c r="I303" i="41"/>
  <c r="K291" i="41"/>
  <c r="J304" i="41"/>
  <c r="H307" i="41"/>
  <c r="I307" i="41"/>
  <c r="H45" i="41"/>
  <c r="I45" i="41"/>
  <c r="H46" i="41"/>
  <c r="I46" i="41"/>
  <c r="H308" i="41"/>
  <c r="I308" i="41"/>
  <c r="H305" i="41"/>
  <c r="I305" i="41"/>
  <c r="H52" i="41"/>
  <c r="I52" i="41"/>
  <c r="K52" i="41"/>
  <c r="J51" i="41"/>
  <c r="H49" i="41"/>
  <c r="H304" i="41"/>
  <c r="I304" i="41"/>
  <c r="H50" i="41"/>
  <c r="I50" i="41"/>
  <c r="H47" i="41"/>
  <c r="H40" i="41"/>
  <c r="H51" i="41"/>
  <c r="H42" i="41"/>
  <c r="H43" i="41"/>
  <c r="I43" i="41"/>
  <c r="H306" i="41"/>
  <c r="I306" i="41"/>
  <c r="H39" i="41"/>
  <c r="H44" i="41"/>
  <c r="I44" i="41"/>
  <c r="H100" i="41"/>
  <c r="H102" i="41"/>
  <c r="I102" i="41"/>
  <c r="H108" i="41"/>
  <c r="I108" i="41"/>
  <c r="H115" i="41"/>
  <c r="H99" i="41"/>
  <c r="H112" i="41"/>
  <c r="H111" i="41"/>
  <c r="I111" i="41"/>
  <c r="H114" i="41"/>
  <c r="H103" i="41"/>
  <c r="I103" i="41"/>
  <c r="H107" i="41"/>
  <c r="I107" i="41"/>
  <c r="H110" i="41"/>
  <c r="H105" i="41"/>
  <c r="H104" i="41"/>
  <c r="I104" i="41"/>
  <c r="H109" i="41"/>
  <c r="I109" i="41"/>
  <c r="H101" i="41"/>
  <c r="I101" i="41"/>
  <c r="H116" i="41"/>
  <c r="H113" i="41"/>
  <c r="H106" i="41"/>
  <c r="I106" i="41"/>
  <c r="H137" i="41"/>
  <c r="I137" i="41"/>
  <c r="H147" i="41"/>
  <c r="I147" i="41"/>
  <c r="H155" i="41"/>
  <c r="H146" i="41"/>
  <c r="H138" i="41"/>
  <c r="I138" i="41"/>
  <c r="H136" i="41"/>
  <c r="I136" i="41"/>
  <c r="H135" i="41"/>
  <c r="H151" i="41"/>
  <c r="H141" i="41"/>
  <c r="H145" i="41"/>
  <c r="H148" i="41"/>
  <c r="H154" i="41"/>
  <c r="H144" i="41"/>
  <c r="H142" i="41"/>
  <c r="H150" i="41"/>
  <c r="H140" i="41"/>
  <c r="I140" i="41"/>
  <c r="H156" i="41"/>
  <c r="H152" i="41"/>
  <c r="H134" i="41"/>
  <c r="H143" i="41"/>
  <c r="H153" i="41"/>
  <c r="I153" i="41"/>
  <c r="H139" i="41"/>
  <c r="I139" i="41"/>
  <c r="H149" i="41"/>
  <c r="J241" i="41"/>
  <c r="D980" i="42"/>
  <c r="F980" i="42"/>
  <c r="E980" i="42"/>
  <c r="J185" i="39"/>
  <c r="F1078" i="40"/>
  <c r="C11" i="8"/>
  <c r="E11" i="8"/>
  <c r="D11" i="8"/>
  <c r="J14" i="7"/>
  <c r="C27" i="34"/>
  <c r="E27" i="34"/>
  <c r="D27" i="34"/>
  <c r="E7" i="16"/>
  <c r="J22" i="15"/>
  <c r="H24" i="13"/>
  <c r="K24" i="13"/>
  <c r="I5" i="17"/>
  <c r="C9" i="17"/>
  <c r="I24" i="13"/>
  <c r="G17" i="2"/>
  <c r="J17" i="2"/>
  <c r="G15" i="2"/>
  <c r="J15" i="2"/>
  <c r="C112" i="26"/>
  <c r="E112" i="26"/>
  <c r="B115" i="16"/>
  <c r="B98" i="16"/>
  <c r="B132" i="16"/>
  <c r="B81" i="16"/>
  <c r="B47" i="16"/>
  <c r="B13" i="16"/>
  <c r="B64" i="16"/>
  <c r="B30" i="16"/>
  <c r="L14" i="37"/>
  <c r="C6" i="11"/>
  <c r="C125" i="12"/>
  <c r="E125" i="12"/>
  <c r="D125" i="12"/>
  <c r="E11" i="34"/>
  <c r="D11" i="34"/>
  <c r="F11" i="34"/>
  <c r="L35" i="23"/>
  <c r="C350" i="24"/>
  <c r="E350" i="24"/>
  <c r="F130" i="26"/>
  <c r="E130" i="26"/>
  <c r="J280" i="39"/>
  <c r="F1724" i="40"/>
  <c r="L37" i="39"/>
  <c r="F7" i="40"/>
  <c r="E262" i="20"/>
  <c r="E7" i="20"/>
  <c r="J39" i="19"/>
  <c r="F9" i="17"/>
  <c r="J9" i="17"/>
  <c r="K13" i="31"/>
  <c r="F993" i="42"/>
  <c r="K241" i="41"/>
  <c r="D996" i="42"/>
  <c r="F996" i="42"/>
  <c r="E996" i="42"/>
  <c r="C366" i="42"/>
  <c r="I143" i="41"/>
  <c r="I152" i="41"/>
  <c r="C502" i="42"/>
  <c r="C349" i="42"/>
  <c r="I142" i="41"/>
  <c r="I154" i="41"/>
  <c r="C519" i="42"/>
  <c r="C400" i="42"/>
  <c r="I145" i="41"/>
  <c r="I151" i="41"/>
  <c r="C485" i="42"/>
  <c r="I146" i="41"/>
  <c r="C417" i="42"/>
  <c r="I116" i="41"/>
  <c r="C1573" i="42"/>
  <c r="C1675" i="42"/>
  <c r="I105" i="41"/>
  <c r="I114" i="41"/>
  <c r="C1607" i="42"/>
  <c r="C1641" i="42"/>
  <c r="I112" i="41"/>
  <c r="C1590" i="42"/>
  <c r="I115" i="41"/>
  <c r="C60" i="42"/>
  <c r="I42" i="41"/>
  <c r="I40" i="41"/>
  <c r="C94" i="42"/>
  <c r="I49" i="41"/>
  <c r="C26" i="42"/>
  <c r="C77" i="42"/>
  <c r="I41" i="41"/>
  <c r="I69" i="41"/>
  <c r="C1522" i="42"/>
  <c r="I80" i="41"/>
  <c r="C1386" i="42"/>
  <c r="I77" i="41"/>
  <c r="C1437" i="42"/>
  <c r="C1488" i="42"/>
  <c r="I71" i="41"/>
  <c r="C1420" i="42"/>
  <c r="I78" i="41"/>
  <c r="D588" i="42"/>
  <c r="F588" i="42"/>
  <c r="E588" i="42"/>
  <c r="F585" i="42"/>
  <c r="K175" i="41"/>
  <c r="I149" i="41"/>
  <c r="C451" i="42"/>
  <c r="I134" i="41"/>
  <c r="H157" i="41"/>
  <c r="C298" i="42"/>
  <c r="I156" i="41"/>
  <c r="C553" i="42"/>
  <c r="C468" i="42"/>
  <c r="I150" i="41"/>
  <c r="I144" i="41"/>
  <c r="C383" i="42"/>
  <c r="C434" i="42"/>
  <c r="I148" i="41"/>
  <c r="I141" i="41"/>
  <c r="C332" i="42"/>
  <c r="I135" i="41"/>
  <c r="C315" i="42"/>
  <c r="C536" i="42"/>
  <c r="I155" i="41"/>
  <c r="C1624" i="42"/>
  <c r="I113" i="41"/>
  <c r="I110" i="41"/>
  <c r="C1658" i="42"/>
  <c r="I99" i="41"/>
  <c r="C1692" i="42"/>
  <c r="I100" i="41"/>
  <c r="I117" i="41"/>
  <c r="H117" i="41"/>
  <c r="C111" i="42"/>
  <c r="H53" i="41"/>
  <c r="I39" i="41"/>
  <c r="I53" i="41"/>
  <c r="I51" i="41"/>
  <c r="K51" i="41"/>
  <c r="C9" i="42"/>
  <c r="I47" i="41"/>
  <c r="C43" i="42"/>
  <c r="F7" i="42"/>
  <c r="D10" i="42"/>
  <c r="F10" i="42"/>
  <c r="E10" i="42"/>
  <c r="K292" i="41"/>
  <c r="J305" i="41"/>
  <c r="K293" i="41"/>
  <c r="J306" i="41"/>
  <c r="K294" i="41"/>
  <c r="J307" i="41"/>
  <c r="K295" i="41"/>
  <c r="J308" i="41"/>
  <c r="K296" i="41"/>
  <c r="J309" i="41"/>
  <c r="K297" i="41"/>
  <c r="J206" i="41"/>
  <c r="D759" i="42"/>
  <c r="F759" i="42"/>
  <c r="E759" i="42"/>
  <c r="F1214" i="42"/>
  <c r="K276" i="41"/>
  <c r="D1217" i="42"/>
  <c r="F1217" i="42"/>
  <c r="E1217" i="42"/>
  <c r="I75" i="41"/>
  <c r="C1471" i="42"/>
  <c r="C1403" i="42"/>
  <c r="I79" i="41"/>
  <c r="I81" i="41"/>
  <c r="C1369" i="42"/>
  <c r="H82" i="41"/>
  <c r="I68" i="41"/>
  <c r="I82" i="41"/>
  <c r="C1539" i="42"/>
  <c r="I76" i="41"/>
  <c r="C1454" i="42"/>
  <c r="C1505" i="42"/>
  <c r="I70" i="41"/>
  <c r="C351" i="24"/>
  <c r="E351" i="24"/>
  <c r="K34" i="23"/>
  <c r="C113" i="26"/>
  <c r="I5" i="13"/>
  <c r="C9" i="13"/>
  <c r="F9" i="13"/>
  <c r="J9" i="13"/>
  <c r="I26" i="13"/>
  <c r="H26" i="13"/>
  <c r="H5" i="9"/>
  <c r="C9" i="9"/>
  <c r="C11" i="9"/>
  <c r="C27" i="8"/>
  <c r="E27" i="8"/>
  <c r="D27" i="8"/>
  <c r="K14" i="7"/>
  <c r="C105" i="12"/>
  <c r="E105" i="12"/>
  <c r="D105" i="12"/>
  <c r="F8" i="11"/>
  <c r="E13" i="6"/>
  <c r="K15" i="37"/>
  <c r="A30" i="14"/>
  <c r="A81" i="14"/>
  <c r="A98" i="14"/>
  <c r="H17" i="2"/>
  <c r="K17" i="2"/>
  <c r="A47" i="14"/>
  <c r="A64" i="14"/>
  <c r="A13" i="14"/>
  <c r="C28" i="34"/>
  <c r="D11" i="40"/>
  <c r="F11" i="40"/>
  <c r="E11" i="40"/>
  <c r="K38" i="39"/>
  <c r="L38" i="39"/>
  <c r="K39" i="39"/>
  <c r="L39" i="39"/>
  <c r="K40" i="39"/>
  <c r="C266" i="20"/>
  <c r="J17" i="17"/>
  <c r="J16" i="17"/>
  <c r="E24" i="18"/>
  <c r="J28" i="17"/>
  <c r="J22" i="17"/>
  <c r="E126" i="18"/>
  <c r="J13" i="17"/>
  <c r="J18" i="17"/>
  <c r="J19" i="17"/>
  <c r="E75" i="18"/>
  <c r="J29" i="17"/>
  <c r="L29" i="17"/>
  <c r="K28" i="17"/>
  <c r="J26" i="17"/>
  <c r="E177" i="18"/>
  <c r="J15" i="17"/>
  <c r="J14" i="17"/>
  <c r="J20" i="17"/>
  <c r="J27" i="17"/>
  <c r="E41" i="18"/>
  <c r="G16" i="6"/>
  <c r="J23" i="17"/>
  <c r="J25" i="17"/>
  <c r="J21" i="17"/>
  <c r="E109" i="18"/>
  <c r="J24" i="17"/>
  <c r="C10" i="32"/>
  <c r="E10" i="32"/>
  <c r="D10" i="32"/>
  <c r="L13" i="31"/>
  <c r="E92" i="18"/>
  <c r="E58" i="18"/>
  <c r="E228" i="18"/>
  <c r="F9" i="9"/>
  <c r="J9" i="9"/>
  <c r="D775" i="42"/>
  <c r="F775" i="42"/>
  <c r="E775" i="42"/>
  <c r="F772" i="42"/>
  <c r="K206" i="41"/>
  <c r="D589" i="42"/>
  <c r="F589" i="42"/>
  <c r="E589" i="42"/>
  <c r="J176" i="41"/>
  <c r="J242" i="41"/>
  <c r="D997" i="42"/>
  <c r="F997" i="42"/>
  <c r="E997" i="42"/>
  <c r="J277" i="41"/>
  <c r="D1218" i="42"/>
  <c r="F1218" i="42"/>
  <c r="E1218" i="42"/>
  <c r="J50" i="41"/>
  <c r="K50" i="41"/>
  <c r="J49" i="41"/>
  <c r="D11" i="42"/>
  <c r="F11" i="42"/>
  <c r="E11" i="42"/>
  <c r="I157" i="41"/>
  <c r="K134" i="41"/>
  <c r="E160" i="18"/>
  <c r="B13" i="14"/>
  <c r="B30" i="14"/>
  <c r="B64" i="14"/>
  <c r="B81" i="14"/>
  <c r="B98" i="14"/>
  <c r="B47" i="14"/>
  <c r="C106" i="12"/>
  <c r="E106" i="12"/>
  <c r="D106" i="12"/>
  <c r="C28" i="8"/>
  <c r="E28" i="8"/>
  <c r="D28" i="8"/>
  <c r="J15" i="7"/>
  <c r="F113" i="26"/>
  <c r="E113" i="26"/>
  <c r="C333" i="24"/>
  <c r="E333" i="24"/>
  <c r="L34" i="23"/>
  <c r="C44" i="34"/>
  <c r="E44" i="34"/>
  <c r="D44" i="34"/>
  <c r="F28" i="34"/>
  <c r="E28" i="34"/>
  <c r="D28" i="34"/>
  <c r="L15" i="37"/>
  <c r="J17" i="13"/>
  <c r="E41" i="14"/>
  <c r="J16" i="13"/>
  <c r="J19" i="13"/>
  <c r="E75" i="14"/>
  <c r="G14" i="6"/>
  <c r="J13" i="13"/>
  <c r="J14" i="13"/>
  <c r="J18" i="13"/>
  <c r="E58" i="14"/>
  <c r="J15" i="13"/>
  <c r="E24" i="14"/>
  <c r="C95" i="26"/>
  <c r="E95" i="26"/>
  <c r="L40" i="39"/>
  <c r="D27" i="40"/>
  <c r="F27" i="40"/>
  <c r="E27" i="40"/>
  <c r="F266" i="20"/>
  <c r="E266" i="20"/>
  <c r="D266" i="20"/>
  <c r="C248" i="20"/>
  <c r="E248" i="20"/>
  <c r="D248" i="20"/>
  <c r="E7" i="18"/>
  <c r="E211" i="18"/>
  <c r="E143" i="18"/>
  <c r="J30" i="17"/>
  <c r="E194" i="18"/>
  <c r="L28" i="17"/>
  <c r="K27" i="17"/>
  <c r="L27" i="17"/>
  <c r="K26" i="17"/>
  <c r="L26" i="17"/>
  <c r="K25" i="17"/>
  <c r="L25" i="17"/>
  <c r="K24" i="17"/>
  <c r="L24" i="17"/>
  <c r="K23" i="17"/>
  <c r="L23" i="17"/>
  <c r="K22" i="17"/>
  <c r="L22" i="17"/>
  <c r="K21" i="17"/>
  <c r="L21" i="17"/>
  <c r="K20" i="17"/>
  <c r="L20" i="17"/>
  <c r="K19" i="17"/>
  <c r="L19" i="17"/>
  <c r="K18" i="17"/>
  <c r="L18" i="17"/>
  <c r="K17" i="17"/>
  <c r="L17" i="17"/>
  <c r="K16" i="17"/>
  <c r="L16" i="17"/>
  <c r="K15" i="17"/>
  <c r="L15" i="17"/>
  <c r="K14" i="17"/>
  <c r="L14" i="17"/>
  <c r="K13" i="17"/>
  <c r="L13" i="17"/>
  <c r="C6" i="17"/>
  <c r="C5" i="13"/>
  <c r="K19" i="13"/>
  <c r="L19" i="13"/>
  <c r="K18" i="13"/>
  <c r="L18" i="13"/>
  <c r="K17" i="13"/>
  <c r="L17" i="13"/>
  <c r="K16" i="13"/>
  <c r="L16" i="13"/>
  <c r="K15" i="13"/>
  <c r="L15" i="13"/>
  <c r="K14" i="13"/>
  <c r="L14" i="13"/>
  <c r="K13" i="13"/>
  <c r="L13" i="13"/>
  <c r="C6" i="13"/>
  <c r="J15" i="9"/>
  <c r="E24" i="10"/>
  <c r="J17" i="9"/>
  <c r="J23" i="9"/>
  <c r="E126" i="10"/>
  <c r="J29" i="9"/>
  <c r="J32" i="9"/>
  <c r="J16" i="9"/>
  <c r="E41" i="10"/>
  <c r="J18" i="9"/>
  <c r="J20" i="9"/>
  <c r="J22" i="9"/>
  <c r="J24" i="9"/>
  <c r="J26" i="9"/>
  <c r="J28" i="9"/>
  <c r="J14" i="9"/>
  <c r="J31" i="9"/>
  <c r="J33" i="9"/>
  <c r="J35" i="9"/>
  <c r="J19" i="9"/>
  <c r="J21" i="9"/>
  <c r="J25" i="9"/>
  <c r="J27" i="9"/>
  <c r="J30" i="9"/>
  <c r="J34" i="9"/>
  <c r="K14" i="31"/>
  <c r="C11" i="32"/>
  <c r="J13" i="9"/>
  <c r="E7" i="10"/>
  <c r="G12" i="6"/>
  <c r="E58" i="10"/>
  <c r="E177" i="10"/>
  <c r="E160" i="10"/>
  <c r="E194" i="10"/>
  <c r="E109" i="10"/>
  <c r="D27" i="42"/>
  <c r="F27" i="42"/>
  <c r="E27" i="42"/>
  <c r="K49" i="41"/>
  <c r="F24" i="42"/>
  <c r="F1231" i="42"/>
  <c r="D1234" i="42"/>
  <c r="F1234" i="42"/>
  <c r="E1234" i="42"/>
  <c r="K277" i="41"/>
  <c r="D1013" i="42"/>
  <c r="F1013" i="42"/>
  <c r="E1013" i="42"/>
  <c r="K242" i="41"/>
  <c r="F1010" i="42"/>
  <c r="D300" i="42"/>
  <c r="F300" i="42"/>
  <c r="E300" i="42"/>
  <c r="J135" i="41"/>
  <c r="F602" i="42"/>
  <c r="K176" i="41"/>
  <c r="D605" i="42"/>
  <c r="F605" i="42"/>
  <c r="E605" i="42"/>
  <c r="D776" i="42"/>
  <c r="F776" i="42"/>
  <c r="E776" i="42"/>
  <c r="J207" i="41"/>
  <c r="C45" i="34"/>
  <c r="C96" i="26"/>
  <c r="J20" i="13"/>
  <c r="E7" i="14"/>
  <c r="K16" i="37"/>
  <c r="K33" i="23"/>
  <c r="C334" i="24"/>
  <c r="E334" i="24"/>
  <c r="K15" i="7"/>
  <c r="C44" i="8"/>
  <c r="E44" i="8"/>
  <c r="D44" i="8"/>
  <c r="C86" i="12"/>
  <c r="E86" i="12"/>
  <c r="D86" i="12"/>
  <c r="D28" i="40"/>
  <c r="F28" i="40"/>
  <c r="E28" i="40"/>
  <c r="K41" i="39"/>
  <c r="L41" i="39"/>
  <c r="K42" i="39"/>
  <c r="C249" i="20"/>
  <c r="E211" i="10"/>
  <c r="E16" i="6"/>
  <c r="D12" i="6"/>
  <c r="C5" i="9"/>
  <c r="J36" i="9"/>
  <c r="E143" i="10"/>
  <c r="E92" i="10"/>
  <c r="E245" i="10"/>
  <c r="E75" i="10"/>
  <c r="E228" i="10"/>
  <c r="E11" i="32"/>
  <c r="D11" i="32"/>
  <c r="F11" i="32"/>
  <c r="L14" i="31"/>
  <c r="C27" i="32"/>
  <c r="E27" i="32"/>
  <c r="D27" i="32"/>
  <c r="K207" i="41"/>
  <c r="F789" i="42"/>
  <c r="D792" i="42"/>
  <c r="F792" i="42"/>
  <c r="E792" i="42"/>
  <c r="D1014" i="42"/>
  <c r="F1014" i="42"/>
  <c r="E1014" i="42"/>
  <c r="J243" i="41"/>
  <c r="D1235" i="42"/>
  <c r="F1235" i="42"/>
  <c r="E1235" i="42"/>
  <c r="J278" i="41"/>
  <c r="D28" i="42"/>
  <c r="F28" i="42"/>
  <c r="E28" i="42"/>
  <c r="J48" i="41"/>
  <c r="K48" i="41"/>
  <c r="J47" i="41"/>
  <c r="D606" i="42"/>
  <c r="F606" i="42"/>
  <c r="E606" i="42"/>
  <c r="J177" i="41"/>
  <c r="D316" i="42"/>
  <c r="F316" i="42"/>
  <c r="E316" i="42"/>
  <c r="F313" i="42"/>
  <c r="K135" i="41"/>
  <c r="J16" i="7"/>
  <c r="C45" i="8"/>
  <c r="E45" i="8"/>
  <c r="D45" i="8"/>
  <c r="C316" i="24"/>
  <c r="E316" i="24"/>
  <c r="L33" i="23"/>
  <c r="L16" i="37"/>
  <c r="C10" i="16"/>
  <c r="E10" i="16"/>
  <c r="D10" i="16"/>
  <c r="C78" i="26"/>
  <c r="E78" i="26"/>
  <c r="C87" i="12"/>
  <c r="E87" i="12"/>
  <c r="D87" i="12"/>
  <c r="F96" i="26"/>
  <c r="E96" i="26"/>
  <c r="E45" i="34"/>
  <c r="D45" i="34"/>
  <c r="F45" i="34"/>
  <c r="D14" i="6"/>
  <c r="D44" i="40"/>
  <c r="F44" i="40"/>
  <c r="E44" i="40"/>
  <c r="L42" i="39"/>
  <c r="E249" i="20"/>
  <c r="D249" i="20"/>
  <c r="F249" i="20"/>
  <c r="C231" i="20"/>
  <c r="E231" i="20"/>
  <c r="D231" i="20"/>
  <c r="K13" i="9"/>
  <c r="L13" i="9"/>
  <c r="K15" i="9"/>
  <c r="K15" i="31"/>
  <c r="C28" i="32"/>
  <c r="D317" i="42"/>
  <c r="F317" i="42"/>
  <c r="E317" i="42"/>
  <c r="J136" i="41"/>
  <c r="K136" i="41"/>
  <c r="J137" i="41"/>
  <c r="K137" i="41"/>
  <c r="J138" i="41"/>
  <c r="K138" i="41"/>
  <c r="J139" i="41"/>
  <c r="K139" i="41"/>
  <c r="J140" i="41"/>
  <c r="K140" i="41"/>
  <c r="J141" i="41"/>
  <c r="F619" i="42"/>
  <c r="K177" i="41"/>
  <c r="D622" i="42"/>
  <c r="F622" i="42"/>
  <c r="E622" i="42"/>
  <c r="D44" i="42"/>
  <c r="F44" i="42"/>
  <c r="E44" i="42"/>
  <c r="F41" i="42"/>
  <c r="K47" i="41"/>
  <c r="F1248" i="42"/>
  <c r="K278" i="41"/>
  <c r="D1251" i="42"/>
  <c r="F1251" i="42"/>
  <c r="E1251" i="42"/>
  <c r="K243" i="41"/>
  <c r="F1027" i="42"/>
  <c r="D1030" i="42"/>
  <c r="F1030" i="42"/>
  <c r="E1030" i="42"/>
  <c r="D793" i="42"/>
  <c r="F793" i="42"/>
  <c r="E793" i="42"/>
  <c r="J208" i="41"/>
  <c r="K208" i="41"/>
  <c r="J209" i="41"/>
  <c r="K209" i="41"/>
  <c r="J210" i="41"/>
  <c r="K210" i="41"/>
  <c r="J211" i="41"/>
  <c r="C67" i="12"/>
  <c r="E67" i="12"/>
  <c r="D67" i="12"/>
  <c r="K32" i="23"/>
  <c r="C317" i="24"/>
  <c r="E317" i="24"/>
  <c r="C79" i="26"/>
  <c r="C11" i="16"/>
  <c r="K17" i="37"/>
  <c r="C61" i="8"/>
  <c r="E61" i="8"/>
  <c r="D61" i="8"/>
  <c r="K16" i="7"/>
  <c r="K43" i="39"/>
  <c r="D45" i="40"/>
  <c r="F45" i="40"/>
  <c r="E45" i="40"/>
  <c r="C232" i="20"/>
  <c r="C27" i="10"/>
  <c r="E27" i="10"/>
  <c r="D27" i="10"/>
  <c r="L15" i="9"/>
  <c r="F28" i="32"/>
  <c r="E28" i="32"/>
  <c r="D28" i="32"/>
  <c r="L15" i="31"/>
  <c r="K211" i="41"/>
  <c r="F806" i="42"/>
  <c r="D809" i="42"/>
  <c r="F809" i="42"/>
  <c r="E809" i="42"/>
  <c r="D1031" i="42"/>
  <c r="F1031" i="42"/>
  <c r="E1031" i="42"/>
  <c r="J244" i="41"/>
  <c r="J279" i="41"/>
  <c r="D1252" i="42"/>
  <c r="F1252" i="42"/>
  <c r="E1252" i="42"/>
  <c r="J46" i="41"/>
  <c r="K46" i="41"/>
  <c r="J45" i="41"/>
  <c r="K45" i="41"/>
  <c r="J44" i="41"/>
  <c r="K44" i="41"/>
  <c r="J43" i="41"/>
  <c r="K43" i="41"/>
  <c r="J42" i="41"/>
  <c r="D45" i="42"/>
  <c r="F45" i="42"/>
  <c r="E45" i="42"/>
  <c r="J178" i="41"/>
  <c r="K178" i="41"/>
  <c r="J179" i="41"/>
  <c r="D623" i="42"/>
  <c r="F623" i="42"/>
  <c r="E623" i="42"/>
  <c r="F330" i="42"/>
  <c r="D333" i="42"/>
  <c r="F333" i="42"/>
  <c r="E333" i="42"/>
  <c r="K141" i="41"/>
  <c r="J17" i="7"/>
  <c r="C62" i="8"/>
  <c r="E62" i="8"/>
  <c r="D62" i="8"/>
  <c r="F11" i="16"/>
  <c r="E11" i="16"/>
  <c r="D11" i="16"/>
  <c r="F79" i="26"/>
  <c r="E79" i="26"/>
  <c r="C68" i="12"/>
  <c r="E68" i="12"/>
  <c r="D68" i="12"/>
  <c r="L17" i="37"/>
  <c r="C10" i="38"/>
  <c r="E10" i="38"/>
  <c r="D10" i="38"/>
  <c r="C27" i="16"/>
  <c r="E27" i="16"/>
  <c r="D27" i="16"/>
  <c r="C61" i="26"/>
  <c r="E61" i="26"/>
  <c r="L32" i="23"/>
  <c r="C299" i="24"/>
  <c r="E299" i="24"/>
  <c r="C10" i="18"/>
  <c r="E10" i="18"/>
  <c r="D10" i="18"/>
  <c r="D61" i="40"/>
  <c r="F61" i="40"/>
  <c r="E61" i="40"/>
  <c r="L43" i="39"/>
  <c r="F232" i="20"/>
  <c r="E232" i="20"/>
  <c r="D232" i="20"/>
  <c r="C214" i="20"/>
  <c r="E214" i="20"/>
  <c r="D214" i="20"/>
  <c r="K16" i="9"/>
  <c r="C28" i="10"/>
  <c r="K16" i="31"/>
  <c r="D334" i="42"/>
  <c r="F334" i="42"/>
  <c r="E334" i="42"/>
  <c r="J142" i="41"/>
  <c r="F636" i="42"/>
  <c r="K179" i="41"/>
  <c r="D639" i="42"/>
  <c r="F639" i="42"/>
  <c r="E639" i="42"/>
  <c r="D61" i="42"/>
  <c r="F61" i="42"/>
  <c r="E61" i="42"/>
  <c r="F58" i="42"/>
  <c r="K42" i="41"/>
  <c r="K279" i="41"/>
  <c r="D1268" i="42"/>
  <c r="F1268" i="42"/>
  <c r="E1268" i="42"/>
  <c r="F1265" i="42"/>
  <c r="F1044" i="42"/>
  <c r="D1047" i="42"/>
  <c r="F1047" i="42"/>
  <c r="E1047" i="42"/>
  <c r="K244" i="41"/>
  <c r="J212" i="41"/>
  <c r="D810" i="42"/>
  <c r="F810" i="42"/>
  <c r="E810" i="42"/>
  <c r="C11" i="18"/>
  <c r="K31" i="23"/>
  <c r="C300" i="24"/>
  <c r="E300" i="24"/>
  <c r="C62" i="26"/>
  <c r="C28" i="16"/>
  <c r="K18" i="37"/>
  <c r="C11" i="38"/>
  <c r="C48" i="12"/>
  <c r="E48" i="12"/>
  <c r="D48" i="12"/>
  <c r="C78" i="8"/>
  <c r="E78" i="8"/>
  <c r="D78" i="8"/>
  <c r="K17" i="7"/>
  <c r="K44" i="39"/>
  <c r="D62" i="40"/>
  <c r="F62" i="40"/>
  <c r="E62" i="40"/>
  <c r="C215" i="20"/>
  <c r="E28" i="10"/>
  <c r="D28" i="10"/>
  <c r="F28" i="10"/>
  <c r="L16" i="9"/>
  <c r="C44" i="10"/>
  <c r="E44" i="10"/>
  <c r="D44" i="10"/>
  <c r="L16" i="31"/>
  <c r="D1048" i="42"/>
  <c r="F1048" i="42"/>
  <c r="E1048" i="42"/>
  <c r="J245" i="41"/>
  <c r="D62" i="42"/>
  <c r="F62" i="42"/>
  <c r="E62" i="42"/>
  <c r="J41" i="41"/>
  <c r="J180" i="41"/>
  <c r="K180" i="41"/>
  <c r="J181" i="41"/>
  <c r="D640" i="42"/>
  <c r="F640" i="42"/>
  <c r="E640" i="42"/>
  <c r="D350" i="42"/>
  <c r="F350" i="42"/>
  <c r="E350" i="42"/>
  <c r="K142" i="41"/>
  <c r="F347" i="42"/>
  <c r="K212" i="41"/>
  <c r="D826" i="42"/>
  <c r="F826" i="42"/>
  <c r="E826" i="42"/>
  <c r="F823" i="42"/>
  <c r="J280" i="41"/>
  <c r="D1269" i="42"/>
  <c r="F1269" i="42"/>
  <c r="E1269" i="42"/>
  <c r="C79" i="8"/>
  <c r="E79" i="8"/>
  <c r="D79" i="8"/>
  <c r="J18" i="7"/>
  <c r="C49" i="12"/>
  <c r="E49" i="12"/>
  <c r="D49" i="12"/>
  <c r="F11" i="38"/>
  <c r="E11" i="38"/>
  <c r="D11" i="38"/>
  <c r="C44" i="16"/>
  <c r="E44" i="16"/>
  <c r="D44" i="16"/>
  <c r="F62" i="26"/>
  <c r="E62" i="26"/>
  <c r="E11" i="18"/>
  <c r="D11" i="18"/>
  <c r="F11" i="18"/>
  <c r="L18" i="37"/>
  <c r="C27" i="38"/>
  <c r="E27" i="38"/>
  <c r="D27" i="38"/>
  <c r="E28" i="16"/>
  <c r="D28" i="16"/>
  <c r="F28" i="16"/>
  <c r="C44" i="26"/>
  <c r="E44" i="26"/>
  <c r="L31" i="23"/>
  <c r="C282" i="24"/>
  <c r="E282" i="24"/>
  <c r="C27" i="18"/>
  <c r="E27" i="18"/>
  <c r="D27" i="18"/>
  <c r="D78" i="40"/>
  <c r="F78" i="40"/>
  <c r="E78" i="40"/>
  <c r="L44" i="39"/>
  <c r="E215" i="20"/>
  <c r="D215" i="20"/>
  <c r="F215" i="20"/>
  <c r="C197" i="20"/>
  <c r="E197" i="20"/>
  <c r="D197" i="20"/>
  <c r="K17" i="9"/>
  <c r="C45" i="10"/>
  <c r="K17" i="31"/>
  <c r="D827" i="42"/>
  <c r="F827" i="42"/>
  <c r="E827" i="42"/>
  <c r="J213" i="41"/>
  <c r="D351" i="42"/>
  <c r="F351" i="42"/>
  <c r="E351" i="42"/>
  <c r="J143" i="41"/>
  <c r="F75" i="42"/>
  <c r="D78" i="42"/>
  <c r="F78" i="42"/>
  <c r="E78" i="42"/>
  <c r="K41" i="41"/>
  <c r="F1061" i="42"/>
  <c r="K245" i="41"/>
  <c r="D1064" i="42"/>
  <c r="F1064" i="42"/>
  <c r="E1064" i="42"/>
  <c r="D1285" i="42"/>
  <c r="F1285" i="42"/>
  <c r="E1285" i="42"/>
  <c r="K280" i="41"/>
  <c r="F1282" i="42"/>
  <c r="K181" i="41"/>
  <c r="D656" i="42"/>
  <c r="F656" i="42"/>
  <c r="E656" i="42"/>
  <c r="F653" i="42"/>
  <c r="C45" i="26"/>
  <c r="C95" i="8"/>
  <c r="E95" i="8"/>
  <c r="D95" i="8"/>
  <c r="K18" i="7"/>
  <c r="C28" i="18"/>
  <c r="K30" i="23"/>
  <c r="C283" i="24"/>
  <c r="E283" i="24"/>
  <c r="C28" i="38"/>
  <c r="K19" i="37"/>
  <c r="C45" i="16"/>
  <c r="C29" i="12"/>
  <c r="E29" i="12"/>
  <c r="D29" i="12"/>
  <c r="K45" i="39"/>
  <c r="D79" i="40"/>
  <c r="F79" i="40"/>
  <c r="E79" i="40"/>
  <c r="F45" i="10"/>
  <c r="E45" i="10"/>
  <c r="D45" i="10"/>
  <c r="L17" i="9"/>
  <c r="C61" i="10"/>
  <c r="E61" i="10"/>
  <c r="D61" i="10"/>
  <c r="L17" i="31"/>
  <c r="C44" i="32"/>
  <c r="E44" i="32"/>
  <c r="D44" i="32"/>
  <c r="J182" i="41"/>
  <c r="K182" i="41"/>
  <c r="J183" i="41"/>
  <c r="D657" i="42"/>
  <c r="F657" i="42"/>
  <c r="E657" i="42"/>
  <c r="J281" i="41"/>
  <c r="D1286" i="42"/>
  <c r="F1286" i="42"/>
  <c r="E1286" i="42"/>
  <c r="K143" i="41"/>
  <c r="D367" i="42"/>
  <c r="F367" i="42"/>
  <c r="E367" i="42"/>
  <c r="F364" i="42"/>
  <c r="F840" i="42"/>
  <c r="D843" i="42"/>
  <c r="F843" i="42"/>
  <c r="E843" i="42"/>
  <c r="K213" i="41"/>
  <c r="J246" i="41"/>
  <c r="D1065" i="42"/>
  <c r="F1065" i="42"/>
  <c r="E1065" i="42"/>
  <c r="D79" i="42"/>
  <c r="F79" i="42"/>
  <c r="E79" i="42"/>
  <c r="J40" i="41"/>
  <c r="F45" i="16"/>
  <c r="E45" i="16"/>
  <c r="D45" i="16"/>
  <c r="C44" i="38"/>
  <c r="E44" i="38"/>
  <c r="D44" i="38"/>
  <c r="L19" i="37"/>
  <c r="F28" i="18"/>
  <c r="E28" i="18"/>
  <c r="D28" i="18"/>
  <c r="J19" i="7"/>
  <c r="C96" i="8"/>
  <c r="E96" i="8"/>
  <c r="D96" i="8"/>
  <c r="C27" i="26"/>
  <c r="E27" i="26"/>
  <c r="C30" i="12"/>
  <c r="E30" i="12"/>
  <c r="D30" i="12"/>
  <c r="C61" i="16"/>
  <c r="E61" i="16"/>
  <c r="D61" i="16"/>
  <c r="F28" i="38"/>
  <c r="E28" i="38"/>
  <c r="D28" i="38"/>
  <c r="L30" i="23"/>
  <c r="C265" i="24"/>
  <c r="E265" i="24"/>
  <c r="C44" i="18"/>
  <c r="E44" i="18"/>
  <c r="D44" i="18"/>
  <c r="E45" i="26"/>
  <c r="F45" i="26"/>
  <c r="D95" i="40"/>
  <c r="F95" i="40"/>
  <c r="E95" i="40"/>
  <c r="L45" i="39"/>
  <c r="C180" i="20"/>
  <c r="E180" i="20"/>
  <c r="D180" i="20"/>
  <c r="K18" i="9"/>
  <c r="L18" i="9"/>
  <c r="K19" i="9"/>
  <c r="L19" i="9"/>
  <c r="K20" i="9"/>
  <c r="L20" i="9"/>
  <c r="K21" i="9"/>
  <c r="L21" i="9"/>
  <c r="K22" i="9"/>
  <c r="L22" i="9"/>
  <c r="K23" i="9"/>
  <c r="L23" i="9"/>
  <c r="K24" i="9"/>
  <c r="L24" i="9"/>
  <c r="K25" i="9"/>
  <c r="L25" i="9"/>
  <c r="K26" i="9"/>
  <c r="L26" i="9"/>
  <c r="K27" i="9"/>
  <c r="L27" i="9"/>
  <c r="K28" i="9"/>
  <c r="L28" i="9"/>
  <c r="K29" i="9"/>
  <c r="L29" i="9"/>
  <c r="K14" i="9"/>
  <c r="L14" i="9"/>
  <c r="K30" i="9"/>
  <c r="L30" i="9"/>
  <c r="K31" i="9"/>
  <c r="L31" i="9"/>
  <c r="K32" i="9"/>
  <c r="L32" i="9"/>
  <c r="K33" i="9"/>
  <c r="L33" i="9"/>
  <c r="K34" i="9"/>
  <c r="L34" i="9"/>
  <c r="K35" i="9"/>
  <c r="L35" i="9"/>
  <c r="C62" i="10"/>
  <c r="K18" i="31"/>
  <c r="C45" i="32"/>
  <c r="D95" i="42"/>
  <c r="F95" i="42"/>
  <c r="E95" i="42"/>
  <c r="K40" i="41"/>
  <c r="F92" i="42"/>
  <c r="J214" i="41"/>
  <c r="D844" i="42"/>
  <c r="F844" i="42"/>
  <c r="E844" i="42"/>
  <c r="D1081" i="42"/>
  <c r="F1081" i="42"/>
  <c r="E1081" i="42"/>
  <c r="K246" i="41"/>
  <c r="F1078" i="42"/>
  <c r="J144" i="41"/>
  <c r="D368" i="42"/>
  <c r="F368" i="42"/>
  <c r="E368" i="42"/>
  <c r="K281" i="41"/>
  <c r="F1299" i="42"/>
  <c r="D1302" i="42"/>
  <c r="F1302" i="42"/>
  <c r="E1302" i="42"/>
  <c r="D673" i="42"/>
  <c r="F673" i="42"/>
  <c r="E673" i="42"/>
  <c r="F670" i="42"/>
  <c r="K183" i="41"/>
  <c r="C45" i="18"/>
  <c r="C45" i="38"/>
  <c r="K20" i="37"/>
  <c r="K29" i="23"/>
  <c r="C266" i="24"/>
  <c r="E266" i="24"/>
  <c r="C62" i="16"/>
  <c r="C10" i="12"/>
  <c r="E10" i="12"/>
  <c r="D10" i="12"/>
  <c r="C11" i="12"/>
  <c r="E11" i="12"/>
  <c r="D11" i="12"/>
  <c r="C28" i="26"/>
  <c r="K19" i="7"/>
  <c r="C112" i="8"/>
  <c r="E112" i="8"/>
  <c r="D112" i="8"/>
  <c r="K46" i="39"/>
  <c r="D96" i="40"/>
  <c r="F96" i="40"/>
  <c r="E96" i="40"/>
  <c r="C181" i="20"/>
  <c r="F62" i="10"/>
  <c r="E62" i="10"/>
  <c r="D62" i="10"/>
  <c r="C78" i="10"/>
  <c r="E78" i="10"/>
  <c r="D78" i="10"/>
  <c r="E45" i="32"/>
  <c r="D45" i="32"/>
  <c r="F45" i="32"/>
  <c r="L18" i="31"/>
  <c r="J184" i="41"/>
  <c r="D674" i="42"/>
  <c r="F674" i="42"/>
  <c r="E674" i="42"/>
  <c r="D860" i="42"/>
  <c r="F860" i="42"/>
  <c r="E860" i="42"/>
  <c r="K214" i="41"/>
  <c r="F857" i="42"/>
  <c r="D96" i="42"/>
  <c r="F96" i="42"/>
  <c r="E96" i="42"/>
  <c r="J39" i="41"/>
  <c r="D1303" i="42"/>
  <c r="F1303" i="42"/>
  <c r="E1303" i="42"/>
  <c r="J282" i="41"/>
  <c r="K282" i="41"/>
  <c r="J283" i="41"/>
  <c r="K144" i="41"/>
  <c r="D384" i="42"/>
  <c r="F384" i="42"/>
  <c r="E384" i="42"/>
  <c r="F381" i="42"/>
  <c r="J247" i="41"/>
  <c r="D1082" i="42"/>
  <c r="F1082" i="42"/>
  <c r="E1082" i="42"/>
  <c r="E28" i="26"/>
  <c r="F28" i="26"/>
  <c r="C78" i="16"/>
  <c r="E78" i="16"/>
  <c r="D78" i="16"/>
  <c r="L20" i="37"/>
  <c r="C61" i="38"/>
  <c r="E61" i="38"/>
  <c r="D61" i="38"/>
  <c r="F45" i="18"/>
  <c r="E45" i="18"/>
  <c r="D45" i="18"/>
  <c r="J20" i="7"/>
  <c r="C113" i="8"/>
  <c r="E113" i="8"/>
  <c r="D113" i="8"/>
  <c r="C11" i="26"/>
  <c r="C10" i="26"/>
  <c r="E10" i="26"/>
  <c r="F62" i="16"/>
  <c r="E62" i="16"/>
  <c r="D62" i="16"/>
  <c r="C61" i="34"/>
  <c r="E61" i="34"/>
  <c r="D61" i="34"/>
  <c r="C248" i="24"/>
  <c r="E248" i="24"/>
  <c r="L29" i="23"/>
  <c r="E45" i="38"/>
  <c r="D45" i="38"/>
  <c r="F45" i="38"/>
  <c r="C61" i="18"/>
  <c r="E61" i="18"/>
  <c r="D61" i="18"/>
  <c r="D112" i="40"/>
  <c r="F112" i="40"/>
  <c r="E112" i="40"/>
  <c r="L46" i="39"/>
  <c r="E181" i="20"/>
  <c r="D181" i="20"/>
  <c r="F181" i="20"/>
  <c r="C163" i="20"/>
  <c r="E163" i="20"/>
  <c r="D163" i="20"/>
  <c r="C79" i="10"/>
  <c r="K19" i="31"/>
  <c r="J145" i="41"/>
  <c r="D385" i="42"/>
  <c r="F385" i="42"/>
  <c r="E385" i="42"/>
  <c r="D861" i="42"/>
  <c r="F861" i="42"/>
  <c r="E861" i="42"/>
  <c r="J215" i="41"/>
  <c r="K247" i="41"/>
  <c r="D1098" i="42"/>
  <c r="F1098" i="42"/>
  <c r="E1098" i="42"/>
  <c r="F1095" i="42"/>
  <c r="D1319" i="42"/>
  <c r="F1319" i="42"/>
  <c r="E1319" i="42"/>
  <c r="K283" i="41"/>
  <c r="F1316" i="42"/>
  <c r="K39" i="41"/>
  <c r="D112" i="42"/>
  <c r="F112" i="42"/>
  <c r="E112" i="42"/>
  <c r="F109" i="42"/>
  <c r="D690" i="42"/>
  <c r="F690" i="42"/>
  <c r="E690" i="42"/>
  <c r="K184" i="41"/>
  <c r="F687" i="42"/>
  <c r="K28" i="23"/>
  <c r="C249" i="24"/>
  <c r="E249" i="24"/>
  <c r="C62" i="18"/>
  <c r="C62" i="34"/>
  <c r="E11" i="26"/>
  <c r="F11" i="26"/>
  <c r="K20" i="7"/>
  <c r="C62" i="38"/>
  <c r="K21" i="37"/>
  <c r="C79" i="16"/>
  <c r="K47" i="39"/>
  <c r="D113" i="40"/>
  <c r="F113" i="40"/>
  <c r="E113" i="40"/>
  <c r="C164" i="20"/>
  <c r="E79" i="10"/>
  <c r="D79" i="10"/>
  <c r="F79" i="10"/>
  <c r="L19" i="31"/>
  <c r="C61" i="32"/>
  <c r="E61" i="32"/>
  <c r="D61" i="32"/>
  <c r="K215" i="41"/>
  <c r="F874" i="42"/>
  <c r="D877" i="42"/>
  <c r="F877" i="42"/>
  <c r="E877" i="42"/>
  <c r="J185" i="41"/>
  <c r="D691" i="42"/>
  <c r="F691" i="42"/>
  <c r="E691" i="42"/>
  <c r="D113" i="42"/>
  <c r="F113" i="42"/>
  <c r="E113" i="42"/>
  <c r="C32" i="41"/>
  <c r="C60" i="41"/>
  <c r="D1320" i="42"/>
  <c r="F1320" i="42"/>
  <c r="E1320" i="42"/>
  <c r="J284" i="41"/>
  <c r="J248" i="41"/>
  <c r="D1099" i="42"/>
  <c r="F1099" i="42"/>
  <c r="E1099" i="42"/>
  <c r="K145" i="41"/>
  <c r="D401" i="42"/>
  <c r="F401" i="42"/>
  <c r="E401" i="42"/>
  <c r="F398" i="42"/>
  <c r="F79" i="16"/>
  <c r="E79" i="16"/>
  <c r="D79" i="16"/>
  <c r="C78" i="38"/>
  <c r="E78" i="38"/>
  <c r="D78" i="38"/>
  <c r="L21" i="37"/>
  <c r="J21" i="7"/>
  <c r="F62" i="34"/>
  <c r="E62" i="34"/>
  <c r="D62" i="34"/>
  <c r="C78" i="18"/>
  <c r="E78" i="18"/>
  <c r="D78" i="18"/>
  <c r="C95" i="16"/>
  <c r="E95" i="16"/>
  <c r="D95" i="16"/>
  <c r="F62" i="38"/>
  <c r="E62" i="38"/>
  <c r="D62" i="38"/>
  <c r="C78" i="34"/>
  <c r="E78" i="34"/>
  <c r="D78" i="34"/>
  <c r="E62" i="18"/>
  <c r="D62" i="18"/>
  <c r="F62" i="18"/>
  <c r="L28" i="23"/>
  <c r="C231" i="24"/>
  <c r="E231" i="24"/>
  <c r="D129" i="40"/>
  <c r="F129" i="40"/>
  <c r="E129" i="40"/>
  <c r="L47" i="39"/>
  <c r="E164" i="20"/>
  <c r="D164" i="20"/>
  <c r="F164" i="20"/>
  <c r="C146" i="20"/>
  <c r="E146" i="20"/>
  <c r="D146" i="20"/>
  <c r="K20" i="31"/>
  <c r="C62" i="32"/>
  <c r="J146" i="41"/>
  <c r="D402" i="42"/>
  <c r="F402" i="42"/>
  <c r="E402" i="42"/>
  <c r="D1115" i="42"/>
  <c r="F1115" i="42"/>
  <c r="E1115" i="42"/>
  <c r="F1112" i="42"/>
  <c r="K248" i="41"/>
  <c r="K185" i="41"/>
  <c r="F704" i="42"/>
  <c r="D707" i="42"/>
  <c r="F707" i="42"/>
  <c r="E707" i="42"/>
  <c r="K284" i="41"/>
  <c r="F1333" i="42"/>
  <c r="D1336" i="42"/>
  <c r="F1336" i="42"/>
  <c r="E1336" i="42"/>
  <c r="C91" i="41"/>
  <c r="J116" i="41"/>
  <c r="J81" i="41"/>
  <c r="D878" i="42"/>
  <c r="F878" i="42"/>
  <c r="E878" i="42"/>
  <c r="J216" i="41"/>
  <c r="K21" i="7"/>
  <c r="C129" i="8"/>
  <c r="E129" i="8"/>
  <c r="D129" i="8"/>
  <c r="C96" i="16"/>
  <c r="C79" i="18"/>
  <c r="C79" i="38"/>
  <c r="K22" i="37"/>
  <c r="C232" i="24"/>
  <c r="E232" i="24"/>
  <c r="K27" i="23"/>
  <c r="C79" i="34"/>
  <c r="D130" i="40"/>
  <c r="F130" i="40"/>
  <c r="E130" i="40"/>
  <c r="K48" i="39"/>
  <c r="C147" i="20"/>
  <c r="C95" i="10"/>
  <c r="E95" i="10"/>
  <c r="D95" i="10"/>
  <c r="E62" i="32"/>
  <c r="D62" i="32"/>
  <c r="F62" i="32"/>
  <c r="L20" i="31"/>
  <c r="F1571" i="42"/>
  <c r="D1574" i="42"/>
  <c r="F1574" i="42"/>
  <c r="E1574" i="42"/>
  <c r="K116" i="41"/>
  <c r="J186" i="41"/>
  <c r="D708" i="42"/>
  <c r="F708" i="42"/>
  <c r="E708" i="42"/>
  <c r="K216" i="41"/>
  <c r="F891" i="42"/>
  <c r="D894" i="42"/>
  <c r="F894" i="42"/>
  <c r="E894" i="42"/>
  <c r="K81" i="41"/>
  <c r="D1370" i="42"/>
  <c r="F1370" i="42"/>
  <c r="E1370" i="42"/>
  <c r="F1367" i="42"/>
  <c r="D1337" i="42"/>
  <c r="F1337" i="42"/>
  <c r="E1337" i="42"/>
  <c r="J285" i="41"/>
  <c r="D1116" i="42"/>
  <c r="F1116" i="42"/>
  <c r="E1116" i="42"/>
  <c r="J249" i="41"/>
  <c r="K249" i="41"/>
  <c r="J250" i="41"/>
  <c r="K250" i="41"/>
  <c r="J251" i="41"/>
  <c r="K251" i="41"/>
  <c r="J252" i="41"/>
  <c r="F415" i="42"/>
  <c r="K146" i="41"/>
  <c r="D418" i="42"/>
  <c r="F418" i="42"/>
  <c r="E418" i="42"/>
  <c r="J22" i="7"/>
  <c r="C130" i="8"/>
  <c r="E130" i="8"/>
  <c r="D130" i="8"/>
  <c r="E79" i="34"/>
  <c r="D79" i="34"/>
  <c r="F79" i="34"/>
  <c r="C214" i="24"/>
  <c r="E214" i="24"/>
  <c r="L27" i="23"/>
  <c r="C95" i="38"/>
  <c r="E95" i="38"/>
  <c r="D95" i="38"/>
  <c r="L22" i="37"/>
  <c r="C95" i="18"/>
  <c r="E95" i="18"/>
  <c r="D95" i="18"/>
  <c r="C112" i="16"/>
  <c r="E112" i="16"/>
  <c r="D112" i="16"/>
  <c r="C95" i="34"/>
  <c r="E95" i="34"/>
  <c r="D95" i="34"/>
  <c r="F79" i="38"/>
  <c r="E79" i="38"/>
  <c r="D79" i="38"/>
  <c r="F79" i="18"/>
  <c r="E79" i="18"/>
  <c r="D79" i="18"/>
  <c r="F96" i="16"/>
  <c r="E96" i="16"/>
  <c r="D96" i="16"/>
  <c r="D146" i="40"/>
  <c r="F146" i="40"/>
  <c r="E146" i="40"/>
  <c r="L48" i="39"/>
  <c r="E147" i="20"/>
  <c r="D147" i="20"/>
  <c r="F147" i="20"/>
  <c r="C129" i="20"/>
  <c r="E129" i="20"/>
  <c r="D129" i="20"/>
  <c r="C96" i="10"/>
  <c r="K21" i="31"/>
  <c r="C113" i="16"/>
  <c r="F113" i="16"/>
  <c r="J217" i="41"/>
  <c r="D895" i="42"/>
  <c r="F895" i="42"/>
  <c r="E895" i="42"/>
  <c r="K186" i="41"/>
  <c r="F721" i="42"/>
  <c r="D724" i="42"/>
  <c r="F724" i="42"/>
  <c r="E724" i="42"/>
  <c r="D419" i="42"/>
  <c r="F419" i="42"/>
  <c r="E419" i="42"/>
  <c r="J147" i="41"/>
  <c r="K147" i="41"/>
  <c r="J148" i="41"/>
  <c r="K252" i="41"/>
  <c r="F1129" i="42"/>
  <c r="D1132" i="42"/>
  <c r="F1132" i="42"/>
  <c r="E1132" i="42"/>
  <c r="F1350" i="42"/>
  <c r="D1353" i="42"/>
  <c r="F1353" i="42"/>
  <c r="E1353" i="42"/>
  <c r="K285" i="41"/>
  <c r="J80" i="41"/>
  <c r="D1371" i="42"/>
  <c r="F1371" i="42"/>
  <c r="E1371" i="42"/>
  <c r="D1575" i="42"/>
  <c r="F1575" i="42"/>
  <c r="E1575" i="42"/>
  <c r="J115" i="41"/>
  <c r="K22" i="7"/>
  <c r="C146" i="8"/>
  <c r="E146" i="8"/>
  <c r="D146" i="8"/>
  <c r="C6" i="37"/>
  <c r="E26" i="6"/>
  <c r="C96" i="38"/>
  <c r="K26" i="23"/>
  <c r="C215" i="24"/>
  <c r="E215" i="24"/>
  <c r="C96" i="34"/>
  <c r="C96" i="18"/>
  <c r="K49" i="39"/>
  <c r="D147" i="40"/>
  <c r="F147" i="40"/>
  <c r="E147" i="40"/>
  <c r="C130" i="20"/>
  <c r="F96" i="10"/>
  <c r="E96" i="10"/>
  <c r="D96" i="10"/>
  <c r="C112" i="10"/>
  <c r="E112" i="10"/>
  <c r="D112" i="10"/>
  <c r="L21" i="31"/>
  <c r="E113" i="16"/>
  <c r="D113" i="16"/>
  <c r="E15" i="6"/>
  <c r="G7" i="15"/>
  <c r="D1387" i="42"/>
  <c r="F1387" i="42"/>
  <c r="E1387" i="42"/>
  <c r="F1384" i="42"/>
  <c r="K80" i="41"/>
  <c r="D1133" i="42"/>
  <c r="F1133" i="42"/>
  <c r="E1133" i="42"/>
  <c r="J253" i="41"/>
  <c r="K253" i="41"/>
  <c r="J254" i="41"/>
  <c r="D1591" i="42"/>
  <c r="F1591" i="42"/>
  <c r="E1591" i="42"/>
  <c r="K115" i="41"/>
  <c r="F1588" i="42"/>
  <c r="C268" i="41"/>
  <c r="D1354" i="42"/>
  <c r="F1354" i="42"/>
  <c r="E1354" i="42"/>
  <c r="F432" i="42"/>
  <c r="K148" i="41"/>
  <c r="D435" i="42"/>
  <c r="F435" i="42"/>
  <c r="E435" i="42"/>
  <c r="C167" i="41"/>
  <c r="D725" i="42"/>
  <c r="F725" i="42"/>
  <c r="E725" i="42"/>
  <c r="K217" i="41"/>
  <c r="F908" i="42"/>
  <c r="D911" i="42"/>
  <c r="F911" i="42"/>
  <c r="E911" i="42"/>
  <c r="C147" i="8"/>
  <c r="E147" i="8"/>
  <c r="D147" i="8"/>
  <c r="J23" i="7"/>
  <c r="C112" i="18"/>
  <c r="E112" i="18"/>
  <c r="D112" i="18"/>
  <c r="E96" i="34"/>
  <c r="D96" i="34"/>
  <c r="F96" i="34"/>
  <c r="E96" i="38"/>
  <c r="D96" i="38"/>
  <c r="F96" i="38"/>
  <c r="E96" i="18"/>
  <c r="D96" i="18"/>
  <c r="F96" i="18"/>
  <c r="C112" i="34"/>
  <c r="E112" i="34"/>
  <c r="D112" i="34"/>
  <c r="L26" i="23"/>
  <c r="C197" i="24"/>
  <c r="E197" i="24"/>
  <c r="D163" i="40"/>
  <c r="F163" i="40"/>
  <c r="E163" i="40"/>
  <c r="L49" i="39"/>
  <c r="F130" i="20"/>
  <c r="E130" i="20"/>
  <c r="D130" i="20"/>
  <c r="C112" i="20"/>
  <c r="E112" i="20"/>
  <c r="D112" i="20"/>
  <c r="C113" i="10"/>
  <c r="K22" i="31"/>
  <c r="D912" i="42"/>
  <c r="F912" i="42"/>
  <c r="E912" i="42"/>
  <c r="J218" i="41"/>
  <c r="D436" i="42"/>
  <c r="F436" i="42"/>
  <c r="E436" i="42"/>
  <c r="J149" i="41"/>
  <c r="D1592" i="42"/>
  <c r="F1592" i="42"/>
  <c r="E1592" i="42"/>
  <c r="J114" i="41"/>
  <c r="F1146" i="42"/>
  <c r="K254" i="41"/>
  <c r="D1149" i="42"/>
  <c r="F1149" i="42"/>
  <c r="E1149" i="42"/>
  <c r="D1388" i="42"/>
  <c r="F1388" i="42"/>
  <c r="E1388" i="42"/>
  <c r="J79" i="41"/>
  <c r="K23" i="7"/>
  <c r="C163" i="8"/>
  <c r="E163" i="8"/>
  <c r="D163" i="8"/>
  <c r="C113" i="18"/>
  <c r="K25" i="23"/>
  <c r="C198" i="24"/>
  <c r="E198" i="24"/>
  <c r="C113" i="34"/>
  <c r="D164" i="40"/>
  <c r="F164" i="40"/>
  <c r="E164" i="40"/>
  <c r="K50" i="39"/>
  <c r="C113" i="20"/>
  <c r="F113" i="10"/>
  <c r="E113" i="10"/>
  <c r="D113" i="10"/>
  <c r="C129" i="10"/>
  <c r="E129" i="10"/>
  <c r="D129" i="10"/>
  <c r="L22" i="31"/>
  <c r="D1150" i="42"/>
  <c r="F1150" i="42"/>
  <c r="E1150" i="42"/>
  <c r="J255" i="41"/>
  <c r="K255" i="41"/>
  <c r="J256" i="41"/>
  <c r="F1605" i="42"/>
  <c r="D1608" i="42"/>
  <c r="F1608" i="42"/>
  <c r="E1608" i="42"/>
  <c r="K114" i="41"/>
  <c r="D452" i="42"/>
  <c r="F452" i="42"/>
  <c r="E452" i="42"/>
  <c r="F449" i="42"/>
  <c r="K149" i="41"/>
  <c r="F925" i="42"/>
  <c r="D928" i="42"/>
  <c r="F928" i="42"/>
  <c r="E928" i="42"/>
  <c r="K218" i="41"/>
  <c r="K79" i="41"/>
  <c r="D1404" i="42"/>
  <c r="F1404" i="42"/>
  <c r="E1404" i="42"/>
  <c r="F1401" i="42"/>
  <c r="C164" i="8"/>
  <c r="E164" i="8"/>
  <c r="D164" i="8"/>
  <c r="J24" i="7"/>
  <c r="F113" i="34"/>
  <c r="E113" i="34"/>
  <c r="D113" i="34"/>
  <c r="E113" i="18"/>
  <c r="D113" i="18"/>
  <c r="F113" i="18"/>
  <c r="C129" i="34"/>
  <c r="E129" i="34"/>
  <c r="D129" i="34"/>
  <c r="L25" i="23"/>
  <c r="C180" i="24"/>
  <c r="E180" i="24"/>
  <c r="C129" i="18"/>
  <c r="E129" i="18"/>
  <c r="D129" i="18"/>
  <c r="D180" i="40"/>
  <c r="F180" i="40"/>
  <c r="E180" i="40"/>
  <c r="L50" i="39"/>
  <c r="F113" i="20"/>
  <c r="E113" i="20"/>
  <c r="D113" i="20"/>
  <c r="C95" i="20"/>
  <c r="E95" i="20"/>
  <c r="D95" i="20"/>
  <c r="C130" i="10"/>
  <c r="K23" i="31"/>
  <c r="D1405" i="42"/>
  <c r="F1405" i="42"/>
  <c r="E1405" i="42"/>
  <c r="J78" i="41"/>
  <c r="D453" i="42"/>
  <c r="F453" i="42"/>
  <c r="E453" i="42"/>
  <c r="J150" i="41"/>
  <c r="D1166" i="42"/>
  <c r="F1166" i="42"/>
  <c r="E1166" i="42"/>
  <c r="F1163" i="42"/>
  <c r="K256" i="41"/>
  <c r="J219" i="41"/>
  <c r="K219" i="41"/>
  <c r="J220" i="41"/>
  <c r="D929" i="42"/>
  <c r="F929" i="42"/>
  <c r="E929" i="42"/>
  <c r="D1609" i="42"/>
  <c r="F1609" i="42"/>
  <c r="E1609" i="42"/>
  <c r="J113" i="41"/>
  <c r="C180" i="8"/>
  <c r="E180" i="8"/>
  <c r="D180" i="8"/>
  <c r="K24" i="7"/>
  <c r="C130" i="18"/>
  <c r="C181" i="24"/>
  <c r="E181" i="24"/>
  <c r="K24" i="23"/>
  <c r="L24" i="23"/>
  <c r="K23" i="23"/>
  <c r="C130" i="34"/>
  <c r="K51" i="39"/>
  <c r="D181" i="40"/>
  <c r="F181" i="40"/>
  <c r="E181" i="40"/>
  <c r="C96" i="20"/>
  <c r="F130" i="10"/>
  <c r="E130" i="10"/>
  <c r="D130" i="10"/>
  <c r="L23" i="31"/>
  <c r="K220" i="41"/>
  <c r="D945" i="42"/>
  <c r="F945" i="42"/>
  <c r="E945" i="42"/>
  <c r="F942" i="42"/>
  <c r="K150" i="41"/>
  <c r="F466" i="42"/>
  <c r="D469" i="42"/>
  <c r="F469" i="42"/>
  <c r="E469" i="42"/>
  <c r="D1421" i="42"/>
  <c r="F1421" i="42"/>
  <c r="E1421" i="42"/>
  <c r="F1418" i="42"/>
  <c r="K78" i="41"/>
  <c r="D1625" i="42"/>
  <c r="F1625" i="42"/>
  <c r="E1625" i="42"/>
  <c r="F1622" i="42"/>
  <c r="K113" i="41"/>
  <c r="J257" i="41"/>
  <c r="D1167" i="42"/>
  <c r="F1167" i="42"/>
  <c r="E1167" i="42"/>
  <c r="C181" i="8"/>
  <c r="E181" i="8"/>
  <c r="D181" i="8"/>
  <c r="J25" i="7"/>
  <c r="K25" i="7"/>
  <c r="J26" i="7"/>
  <c r="K26" i="7"/>
  <c r="J27" i="7"/>
  <c r="K27" i="7"/>
  <c r="C6" i="7"/>
  <c r="E11" i="6"/>
  <c r="E130" i="34"/>
  <c r="D130" i="34"/>
  <c r="F130" i="34"/>
  <c r="L23" i="23"/>
  <c r="C163" i="24"/>
  <c r="E163" i="24"/>
  <c r="C146" i="18"/>
  <c r="E146" i="18"/>
  <c r="D146" i="18"/>
  <c r="C146" i="34"/>
  <c r="E146" i="34"/>
  <c r="D146" i="34"/>
  <c r="E130" i="18"/>
  <c r="D130" i="18"/>
  <c r="F130" i="18"/>
  <c r="L51" i="39"/>
  <c r="D197" i="40"/>
  <c r="F197" i="40"/>
  <c r="E197" i="40"/>
  <c r="F96" i="20"/>
  <c r="E96" i="20"/>
  <c r="D96" i="20"/>
  <c r="C78" i="20"/>
  <c r="E78" i="20"/>
  <c r="D78" i="20"/>
  <c r="K24" i="31"/>
  <c r="D1626" i="42"/>
  <c r="F1626" i="42"/>
  <c r="E1626" i="42"/>
  <c r="J112" i="41"/>
  <c r="D470" i="42"/>
  <c r="F470" i="42"/>
  <c r="E470" i="42"/>
  <c r="J151" i="41"/>
  <c r="K257" i="41"/>
  <c r="D1183" i="42"/>
  <c r="F1183" i="42"/>
  <c r="E1183" i="42"/>
  <c r="F1180" i="42"/>
  <c r="J77" i="41"/>
  <c r="D1422" i="42"/>
  <c r="F1422" i="42"/>
  <c r="E1422" i="42"/>
  <c r="J221" i="41"/>
  <c r="K221" i="41"/>
  <c r="J222" i="41"/>
  <c r="D946" i="42"/>
  <c r="F946" i="42"/>
  <c r="E946" i="42"/>
  <c r="C147" i="34"/>
  <c r="C147" i="18"/>
  <c r="K22" i="23"/>
  <c r="C164" i="24"/>
  <c r="E164" i="24"/>
  <c r="D198" i="40"/>
  <c r="F198" i="40"/>
  <c r="E198" i="40"/>
  <c r="K52" i="39"/>
  <c r="C79" i="20"/>
  <c r="C146" i="10"/>
  <c r="E146" i="10"/>
  <c r="D146" i="10"/>
  <c r="L24" i="31"/>
  <c r="C78" i="32"/>
  <c r="E78" i="32"/>
  <c r="D78" i="32"/>
  <c r="C233" i="41"/>
  <c r="D1184" i="42"/>
  <c r="F1184" i="42"/>
  <c r="E1184" i="42"/>
  <c r="K222" i="41"/>
  <c r="F959" i="42"/>
  <c r="D962" i="42"/>
  <c r="F962" i="42"/>
  <c r="E962" i="42"/>
  <c r="F1435" i="42"/>
  <c r="K77" i="41"/>
  <c r="D1438" i="42"/>
  <c r="F1438" i="42"/>
  <c r="E1438" i="42"/>
  <c r="F483" i="42"/>
  <c r="D486" i="42"/>
  <c r="F486" i="42"/>
  <c r="E486" i="42"/>
  <c r="K151" i="41"/>
  <c r="D1642" i="42"/>
  <c r="F1642" i="42"/>
  <c r="E1642" i="42"/>
  <c r="F1639" i="42"/>
  <c r="K112" i="41"/>
  <c r="F147" i="18"/>
  <c r="E147" i="18"/>
  <c r="D147" i="18"/>
  <c r="E147" i="34"/>
  <c r="D147" i="34"/>
  <c r="F147" i="34"/>
  <c r="C146" i="24"/>
  <c r="E146" i="24"/>
  <c r="L22" i="23"/>
  <c r="C163" i="34"/>
  <c r="E163" i="34"/>
  <c r="D163" i="34"/>
  <c r="L52" i="39"/>
  <c r="D214" i="40"/>
  <c r="F214" i="40"/>
  <c r="E214" i="40"/>
  <c r="F79" i="20"/>
  <c r="E79" i="20"/>
  <c r="D79" i="20"/>
  <c r="C61" i="20"/>
  <c r="E61" i="20"/>
  <c r="D61" i="20"/>
  <c r="C147" i="10"/>
  <c r="K25" i="31"/>
  <c r="C79" i="32"/>
  <c r="D1643" i="42"/>
  <c r="F1643" i="42"/>
  <c r="E1643" i="42"/>
  <c r="J111" i="41"/>
  <c r="K111" i="41"/>
  <c r="J110" i="41"/>
  <c r="J152" i="41"/>
  <c r="D487" i="42"/>
  <c r="F487" i="42"/>
  <c r="E487" i="42"/>
  <c r="J76" i="41"/>
  <c r="D1439" i="42"/>
  <c r="F1439" i="42"/>
  <c r="E1439" i="42"/>
  <c r="C197" i="41"/>
  <c r="D963" i="42"/>
  <c r="F963" i="42"/>
  <c r="E963" i="42"/>
  <c r="K21" i="23"/>
  <c r="C147" i="24"/>
  <c r="E147" i="24"/>
  <c r="C164" i="34"/>
  <c r="K53" i="39"/>
  <c r="D215" i="40"/>
  <c r="F215" i="40"/>
  <c r="E215" i="40"/>
  <c r="C62" i="20"/>
  <c r="E147" i="10"/>
  <c r="D147" i="10"/>
  <c r="F147" i="10"/>
  <c r="F79" i="32"/>
  <c r="E79" i="32"/>
  <c r="D79" i="32"/>
  <c r="L25" i="31"/>
  <c r="C95" i="32"/>
  <c r="E95" i="32"/>
  <c r="D95" i="32"/>
  <c r="K110" i="41"/>
  <c r="D1659" i="42"/>
  <c r="F1659" i="42"/>
  <c r="E1659" i="42"/>
  <c r="F1656" i="42"/>
  <c r="K76" i="41"/>
  <c r="F1452" i="42"/>
  <c r="D1455" i="42"/>
  <c r="F1455" i="42"/>
  <c r="E1455" i="42"/>
  <c r="F500" i="42"/>
  <c r="K152" i="41"/>
  <c r="D503" i="42"/>
  <c r="F503" i="42"/>
  <c r="E503" i="42"/>
  <c r="C163" i="18"/>
  <c r="E163" i="18"/>
  <c r="D163" i="18"/>
  <c r="E164" i="34"/>
  <c r="D164" i="34"/>
  <c r="F164" i="34"/>
  <c r="C180" i="34"/>
  <c r="E180" i="34"/>
  <c r="D180" i="34"/>
  <c r="C129" i="24"/>
  <c r="E129" i="24"/>
  <c r="L21" i="23"/>
  <c r="D231" i="40"/>
  <c r="F231" i="40"/>
  <c r="E231" i="40"/>
  <c r="L53" i="39"/>
  <c r="E62" i="20"/>
  <c r="D62" i="20"/>
  <c r="F62" i="20"/>
  <c r="C44" i="20"/>
  <c r="E44" i="20"/>
  <c r="D44" i="20"/>
  <c r="K26" i="31"/>
  <c r="C96" i="32"/>
  <c r="D504" i="42"/>
  <c r="F504" i="42"/>
  <c r="E504" i="42"/>
  <c r="J153" i="41"/>
  <c r="K153" i="41"/>
  <c r="J154" i="41"/>
  <c r="J75" i="41"/>
  <c r="D1456" i="42"/>
  <c r="F1456" i="42"/>
  <c r="E1456" i="42"/>
  <c r="J109" i="41"/>
  <c r="K109" i="41"/>
  <c r="J108" i="41"/>
  <c r="K108" i="41"/>
  <c r="J107" i="41"/>
  <c r="K107" i="41"/>
  <c r="J106" i="41"/>
  <c r="K106" i="41"/>
  <c r="J105" i="41"/>
  <c r="D1660" i="42"/>
  <c r="F1660" i="42"/>
  <c r="E1660" i="42"/>
  <c r="C130" i="24"/>
  <c r="E130" i="24"/>
  <c r="K20" i="23"/>
  <c r="C181" i="34"/>
  <c r="C164" i="18"/>
  <c r="K54" i="39"/>
  <c r="D232" i="40"/>
  <c r="F232" i="40"/>
  <c r="E232" i="40"/>
  <c r="C45" i="20"/>
  <c r="C163" i="10"/>
  <c r="E163" i="10"/>
  <c r="D163" i="10"/>
  <c r="E96" i="32"/>
  <c r="D96" i="32"/>
  <c r="F96" i="32"/>
  <c r="L26" i="31"/>
  <c r="C112" i="32"/>
  <c r="E112" i="32"/>
  <c r="D112" i="32"/>
  <c r="F517" i="42"/>
  <c r="K154" i="41"/>
  <c r="D520" i="42"/>
  <c r="F520" i="42"/>
  <c r="E520" i="42"/>
  <c r="K105" i="41"/>
  <c r="D1676" i="42"/>
  <c r="F1676" i="42"/>
  <c r="E1676" i="42"/>
  <c r="F1673" i="42"/>
  <c r="F1469" i="42"/>
  <c r="K75" i="41"/>
  <c r="D1472" i="42"/>
  <c r="F1472" i="42"/>
  <c r="E1472" i="42"/>
  <c r="E164" i="18"/>
  <c r="D164" i="18"/>
  <c r="F164" i="18"/>
  <c r="E181" i="34"/>
  <c r="D181" i="34"/>
  <c r="F181" i="34"/>
  <c r="L20" i="23"/>
  <c r="C112" i="24"/>
  <c r="E112" i="24"/>
  <c r="C180" i="18"/>
  <c r="E180" i="18"/>
  <c r="D180" i="18"/>
  <c r="C197" i="34"/>
  <c r="E197" i="34"/>
  <c r="D197" i="34"/>
  <c r="D248" i="40"/>
  <c r="F248" i="40"/>
  <c r="E248" i="40"/>
  <c r="L54" i="39"/>
  <c r="F45" i="20"/>
  <c r="E45" i="20"/>
  <c r="D45" i="20"/>
  <c r="C27" i="20"/>
  <c r="E27" i="20"/>
  <c r="D27" i="20"/>
  <c r="C164" i="10"/>
  <c r="K27" i="31"/>
  <c r="C113" i="32"/>
  <c r="D1473" i="42"/>
  <c r="F1473" i="42"/>
  <c r="E1473" i="42"/>
  <c r="J74" i="41"/>
  <c r="K74" i="41"/>
  <c r="J73" i="41"/>
  <c r="K73" i="41"/>
  <c r="J72" i="41"/>
  <c r="K72" i="41"/>
  <c r="J71" i="41"/>
  <c r="D1677" i="42"/>
  <c r="F1677" i="42"/>
  <c r="E1677" i="42"/>
  <c r="J104" i="41"/>
  <c r="K104" i="41"/>
  <c r="J103" i="41"/>
  <c r="K103" i="41"/>
  <c r="J102" i="41"/>
  <c r="K102" i="41"/>
  <c r="J101" i="41"/>
  <c r="K101" i="41"/>
  <c r="J100" i="41"/>
  <c r="K100" i="41"/>
  <c r="J99" i="41"/>
  <c r="J155" i="41"/>
  <c r="D521" i="42"/>
  <c r="F521" i="42"/>
  <c r="E521" i="42"/>
  <c r="C181" i="18"/>
  <c r="C198" i="34"/>
  <c r="K19" i="23"/>
  <c r="C113" i="24"/>
  <c r="E113" i="24"/>
  <c r="D249" i="40"/>
  <c r="F249" i="40"/>
  <c r="E249" i="40"/>
  <c r="K55" i="39"/>
  <c r="C28" i="20"/>
  <c r="F164" i="10"/>
  <c r="E164" i="10"/>
  <c r="D164" i="10"/>
  <c r="C180" i="10"/>
  <c r="E180" i="10"/>
  <c r="D180" i="10"/>
  <c r="F113" i="32"/>
  <c r="E113" i="32"/>
  <c r="D113" i="32"/>
  <c r="L27" i="31"/>
  <c r="C129" i="32"/>
  <c r="E129" i="32"/>
  <c r="D129" i="32"/>
  <c r="F1690" i="42"/>
  <c r="K99" i="41"/>
  <c r="D1693" i="42"/>
  <c r="F1693" i="42"/>
  <c r="E1693" i="42"/>
  <c r="K71" i="41"/>
  <c r="F1486" i="42"/>
  <c r="D1489" i="42"/>
  <c r="F1489" i="42"/>
  <c r="E1489" i="42"/>
  <c r="D537" i="42"/>
  <c r="F537" i="42"/>
  <c r="E537" i="42"/>
  <c r="K155" i="41"/>
  <c r="F534" i="42"/>
  <c r="F198" i="34"/>
  <c r="E198" i="34"/>
  <c r="D198" i="34"/>
  <c r="C197" i="18"/>
  <c r="E197" i="18"/>
  <c r="D197" i="18"/>
  <c r="C95" i="24"/>
  <c r="E95" i="24"/>
  <c r="L19" i="23"/>
  <c r="C214" i="34"/>
  <c r="E214" i="34"/>
  <c r="D214" i="34"/>
  <c r="E181" i="18"/>
  <c r="D181" i="18"/>
  <c r="F181" i="18"/>
  <c r="L55" i="39"/>
  <c r="D265" i="40"/>
  <c r="F265" i="40"/>
  <c r="E265" i="40"/>
  <c r="F28" i="20"/>
  <c r="E28" i="20"/>
  <c r="D28" i="20"/>
  <c r="C181" i="10"/>
  <c r="K28" i="31"/>
  <c r="C130" i="32"/>
  <c r="J156" i="41"/>
  <c r="D538" i="42"/>
  <c r="F538" i="42"/>
  <c r="E538" i="42"/>
  <c r="D1490" i="42"/>
  <c r="F1490" i="42"/>
  <c r="E1490" i="42"/>
  <c r="J70" i="41"/>
  <c r="D1694" i="42"/>
  <c r="F1694" i="42"/>
  <c r="E1694" i="42"/>
  <c r="C92" i="41"/>
  <c r="K18" i="23"/>
  <c r="C96" i="24"/>
  <c r="E96" i="24"/>
  <c r="C215" i="34"/>
  <c r="C198" i="18"/>
  <c r="D266" i="40"/>
  <c r="F266" i="40"/>
  <c r="E266" i="40"/>
  <c r="K56" i="39"/>
  <c r="C6" i="19"/>
  <c r="F181" i="10"/>
  <c r="E181" i="10"/>
  <c r="D181" i="10"/>
  <c r="C197" i="10"/>
  <c r="E197" i="10"/>
  <c r="D197" i="10"/>
  <c r="F130" i="32"/>
  <c r="E130" i="32"/>
  <c r="D130" i="32"/>
  <c r="L28" i="31"/>
  <c r="D1506" i="42"/>
  <c r="F1506" i="42"/>
  <c r="E1506" i="42"/>
  <c r="F1503" i="42"/>
  <c r="K70" i="41"/>
  <c r="K156" i="41"/>
  <c r="D554" i="42"/>
  <c r="F554" i="42"/>
  <c r="E554" i="42"/>
  <c r="F551" i="42"/>
  <c r="E198" i="18"/>
  <c r="D198" i="18"/>
  <c r="F198" i="18"/>
  <c r="E215" i="34"/>
  <c r="D215" i="34"/>
  <c r="F215" i="34"/>
  <c r="C214" i="18"/>
  <c r="E214" i="18"/>
  <c r="D214" i="18"/>
  <c r="C231" i="34"/>
  <c r="E231" i="34"/>
  <c r="D231" i="34"/>
  <c r="C78" i="24"/>
  <c r="E78" i="24"/>
  <c r="L18" i="23"/>
  <c r="D282" i="40"/>
  <c r="F282" i="40"/>
  <c r="E282" i="40"/>
  <c r="L56" i="39"/>
  <c r="F7" i="19"/>
  <c r="E17" i="6"/>
  <c r="C198" i="10"/>
  <c r="K29" i="31"/>
  <c r="D555" i="42"/>
  <c r="F555" i="42"/>
  <c r="E555" i="42"/>
  <c r="C127" i="41"/>
  <c r="K14" i="41"/>
  <c r="D1507" i="42"/>
  <c r="F1507" i="42"/>
  <c r="E1507" i="42"/>
  <c r="J69" i="41"/>
  <c r="K17" i="23"/>
  <c r="L17" i="23"/>
  <c r="K16" i="23"/>
  <c r="L16" i="23"/>
  <c r="K15" i="23"/>
  <c r="C79" i="24"/>
  <c r="E79" i="24"/>
  <c r="C232" i="34"/>
  <c r="C215" i="18"/>
  <c r="D283" i="40"/>
  <c r="F283" i="40"/>
  <c r="E283" i="40"/>
  <c r="K57" i="39"/>
  <c r="F198" i="10"/>
  <c r="E198" i="10"/>
  <c r="D198" i="10"/>
  <c r="C214" i="10"/>
  <c r="E214" i="10"/>
  <c r="D214" i="10"/>
  <c r="L29" i="31"/>
  <c r="C146" i="32"/>
  <c r="E146" i="32"/>
  <c r="D146" i="32"/>
  <c r="D1523" i="42"/>
  <c r="F1523" i="42"/>
  <c r="E1523" i="42"/>
  <c r="F1520" i="42"/>
  <c r="K69" i="41"/>
  <c r="C231" i="18"/>
  <c r="E231" i="18"/>
  <c r="D231" i="18"/>
  <c r="F232" i="34"/>
  <c r="E232" i="34"/>
  <c r="D232" i="34"/>
  <c r="F215" i="18"/>
  <c r="E215" i="18"/>
  <c r="D215" i="18"/>
  <c r="L15" i="23"/>
  <c r="C61" i="24"/>
  <c r="E61" i="24"/>
  <c r="D299" i="40"/>
  <c r="F299" i="40"/>
  <c r="E299" i="40"/>
  <c r="L57" i="39"/>
  <c r="C215" i="10"/>
  <c r="K30" i="31"/>
  <c r="C147" i="32"/>
  <c r="J68" i="41"/>
  <c r="D1524" i="42"/>
  <c r="F1524" i="42"/>
  <c r="E1524" i="42"/>
  <c r="C62" i="24"/>
  <c r="E62" i="24"/>
  <c r="K14" i="23"/>
  <c r="F7" i="17"/>
  <c r="C232" i="18"/>
  <c r="D300" i="40"/>
  <c r="F300" i="40"/>
  <c r="E300" i="40"/>
  <c r="K58" i="39"/>
  <c r="E215" i="10"/>
  <c r="D215" i="10"/>
  <c r="F215" i="10"/>
  <c r="F147" i="32"/>
  <c r="E147" i="32"/>
  <c r="D147" i="32"/>
  <c r="L30" i="31"/>
  <c r="C163" i="32"/>
  <c r="E163" i="32"/>
  <c r="D163" i="32"/>
  <c r="K68" i="41"/>
  <c r="D1540" i="42"/>
  <c r="F1540" i="42"/>
  <c r="E1540" i="42"/>
  <c r="F1537" i="42"/>
  <c r="E232" i="18"/>
  <c r="D232" i="18"/>
  <c r="F232" i="18"/>
  <c r="L14" i="23"/>
  <c r="C44" i="24"/>
  <c r="E44" i="24"/>
  <c r="D316" i="40"/>
  <c r="F316" i="40"/>
  <c r="E316" i="40"/>
  <c r="L58" i="39"/>
  <c r="K31" i="31"/>
  <c r="C164" i="32"/>
  <c r="D1541" i="42"/>
  <c r="F1541" i="42"/>
  <c r="E1541" i="42"/>
  <c r="C61" i="41"/>
  <c r="K13" i="23"/>
  <c r="C45" i="24"/>
  <c r="E45" i="24"/>
  <c r="K59" i="39"/>
  <c r="D317" i="40"/>
  <c r="F317" i="40"/>
  <c r="E317" i="40"/>
  <c r="F164" i="32"/>
  <c r="E164" i="32"/>
  <c r="D164" i="32"/>
  <c r="L31" i="31"/>
  <c r="C180" i="32"/>
  <c r="E180" i="32"/>
  <c r="D180" i="32"/>
  <c r="C10" i="10"/>
  <c r="E10" i="10"/>
  <c r="D10" i="10"/>
  <c r="C27" i="24"/>
  <c r="E27" i="24"/>
  <c r="L13" i="23"/>
  <c r="L59" i="39"/>
  <c r="D333" i="40"/>
  <c r="F333" i="40"/>
  <c r="E333" i="40"/>
  <c r="C10" i="20"/>
  <c r="E10" i="20"/>
  <c r="D10" i="20"/>
  <c r="K32" i="31"/>
  <c r="C181" i="32"/>
  <c r="C11" i="10"/>
  <c r="C28" i="24"/>
  <c r="E28" i="24"/>
  <c r="K60" i="39"/>
  <c r="L60" i="39"/>
  <c r="K61" i="39"/>
  <c r="L61" i="39"/>
  <c r="K62" i="39"/>
  <c r="L62" i="39"/>
  <c r="K63" i="39"/>
  <c r="D334" i="40"/>
  <c r="F334" i="40"/>
  <c r="E334" i="40"/>
  <c r="C11" i="20"/>
  <c r="C198" i="20"/>
  <c r="E11" i="20"/>
  <c r="D11" i="20"/>
  <c r="F11" i="20"/>
  <c r="C231" i="10"/>
  <c r="E231" i="10"/>
  <c r="D231" i="10"/>
  <c r="F181" i="32"/>
  <c r="E181" i="32"/>
  <c r="D181" i="32"/>
  <c r="L32" i="31"/>
  <c r="C197" i="32"/>
  <c r="E197" i="32"/>
  <c r="D197" i="32"/>
  <c r="F11" i="10"/>
  <c r="E11" i="10"/>
  <c r="D11" i="10"/>
  <c r="C10" i="24"/>
  <c r="E10" i="24"/>
  <c r="C11" i="24"/>
  <c r="E11" i="24"/>
  <c r="D350" i="40"/>
  <c r="F350" i="40"/>
  <c r="E350" i="40"/>
  <c r="L63" i="39"/>
  <c r="F198" i="20"/>
  <c r="E198" i="20"/>
  <c r="D198" i="20"/>
  <c r="C232" i="10"/>
  <c r="K33" i="31"/>
  <c r="C198" i="32"/>
  <c r="K64" i="39"/>
  <c r="D351" i="40"/>
  <c r="F351" i="40"/>
  <c r="E351" i="40"/>
  <c r="F232" i="10"/>
  <c r="E232" i="10"/>
  <c r="D232" i="10"/>
  <c r="F198" i="32"/>
  <c r="E198" i="32"/>
  <c r="D198" i="32"/>
  <c r="L33" i="31"/>
  <c r="C214" i="32"/>
  <c r="E214" i="32"/>
  <c r="D214" i="32"/>
  <c r="D367" i="40"/>
  <c r="F367" i="40"/>
  <c r="E367" i="40"/>
  <c r="L64" i="39"/>
  <c r="C215" i="32"/>
  <c r="C6" i="31"/>
  <c r="E23" i="6"/>
  <c r="E24" i="6"/>
  <c r="D368" i="40"/>
  <c r="F368" i="40"/>
  <c r="E368" i="40"/>
  <c r="K65" i="39"/>
  <c r="F215" i="32"/>
  <c r="E215" i="32"/>
  <c r="D215" i="32"/>
  <c r="D384" i="40"/>
  <c r="F384" i="40"/>
  <c r="E384" i="40"/>
  <c r="L65" i="39"/>
  <c r="D385" i="40"/>
  <c r="F385" i="40"/>
  <c r="E385" i="40"/>
  <c r="K66" i="39"/>
  <c r="C249" i="10"/>
  <c r="C248" i="10"/>
  <c r="E248" i="10"/>
  <c r="D248" i="10"/>
  <c r="L66" i="39"/>
  <c r="D401" i="40"/>
  <c r="F401" i="40"/>
  <c r="E401" i="40"/>
  <c r="E249" i="10"/>
  <c r="D249" i="10"/>
  <c r="F249" i="10"/>
  <c r="K67" i="39"/>
  <c r="D402" i="40"/>
  <c r="F402" i="40"/>
  <c r="E402" i="40"/>
  <c r="L67" i="39"/>
  <c r="D418" i="40"/>
  <c r="F418" i="40"/>
  <c r="E418" i="40"/>
  <c r="K68" i="39"/>
  <c r="L68" i="39"/>
  <c r="K69" i="39"/>
  <c r="L69" i="39"/>
  <c r="K70" i="39"/>
  <c r="D419" i="40"/>
  <c r="F419" i="40"/>
  <c r="E419" i="40"/>
  <c r="L70" i="39"/>
  <c r="D435" i="40"/>
  <c r="F435" i="40"/>
  <c r="E435" i="40"/>
  <c r="D436" i="40"/>
  <c r="F436" i="40"/>
  <c r="E436" i="40"/>
  <c r="C79" i="39"/>
  <c r="K86" i="39"/>
  <c r="C30" i="39"/>
  <c r="L86" i="39"/>
  <c r="D452" i="40"/>
  <c r="F452" i="40"/>
  <c r="E452" i="40"/>
  <c r="K87" i="39"/>
  <c r="D453" i="40"/>
  <c r="F453" i="40"/>
  <c r="E453" i="40"/>
  <c r="D469" i="40"/>
  <c r="F469" i="40"/>
  <c r="E469" i="40"/>
  <c r="L87" i="39"/>
  <c r="D470" i="40"/>
  <c r="F470" i="40"/>
  <c r="E470" i="40"/>
  <c r="K88" i="39"/>
  <c r="D486" i="40"/>
  <c r="F486" i="40"/>
  <c r="E486" i="40"/>
  <c r="L88" i="39"/>
  <c r="K89" i="39"/>
  <c r="D487" i="40"/>
  <c r="F487" i="40"/>
  <c r="E487" i="40"/>
  <c r="D503" i="40"/>
  <c r="F503" i="40"/>
  <c r="E503" i="40"/>
  <c r="L89" i="39"/>
  <c r="D504" i="40"/>
  <c r="F504" i="40"/>
  <c r="E504" i="40"/>
  <c r="K90" i="39"/>
  <c r="L90" i="39"/>
  <c r="K91" i="39"/>
  <c r="D520" i="40"/>
  <c r="F520" i="40"/>
  <c r="E520" i="40"/>
  <c r="L91" i="39"/>
  <c r="D521" i="40"/>
  <c r="F521" i="40"/>
  <c r="E521" i="40"/>
  <c r="K92" i="39"/>
  <c r="D537" i="40"/>
  <c r="F537" i="40"/>
  <c r="E537" i="40"/>
  <c r="L92" i="39"/>
  <c r="K93" i="39"/>
  <c r="D538" i="40"/>
  <c r="F538" i="40"/>
  <c r="E538" i="40"/>
  <c r="L93" i="39"/>
  <c r="D554" i="40"/>
  <c r="F554" i="40"/>
  <c r="E554" i="40"/>
  <c r="D555" i="40"/>
  <c r="F555" i="40"/>
  <c r="E555" i="40"/>
  <c r="K94" i="39"/>
  <c r="L94" i="39"/>
  <c r="K95" i="39"/>
  <c r="L95" i="39"/>
  <c r="K96" i="39"/>
  <c r="L96" i="39"/>
  <c r="K97" i="39"/>
  <c r="L97" i="39"/>
  <c r="D571" i="40"/>
  <c r="F571" i="40"/>
  <c r="E571" i="40"/>
  <c r="K98" i="39"/>
  <c r="D572" i="40"/>
  <c r="F572" i="40"/>
  <c r="E572" i="40"/>
  <c r="D588" i="40"/>
  <c r="F588" i="40"/>
  <c r="E588" i="40"/>
  <c r="L98" i="39"/>
  <c r="D589" i="40"/>
  <c r="F589" i="40"/>
  <c r="E589" i="40"/>
  <c r="K99" i="39"/>
  <c r="D605" i="40"/>
  <c r="F605" i="40"/>
  <c r="E605" i="40"/>
  <c r="L99" i="39"/>
  <c r="D606" i="40"/>
  <c r="F606" i="40"/>
  <c r="E606" i="40"/>
  <c r="K100" i="39"/>
  <c r="L100" i="39"/>
  <c r="D622" i="40"/>
  <c r="F622" i="40"/>
  <c r="E622" i="40"/>
  <c r="K101" i="39"/>
  <c r="D623" i="40"/>
  <c r="F623" i="40"/>
  <c r="E623" i="40"/>
  <c r="L101" i="39"/>
  <c r="D639" i="40"/>
  <c r="F639" i="40"/>
  <c r="E639" i="40"/>
  <c r="K102" i="39"/>
  <c r="D640" i="40"/>
  <c r="F640" i="40"/>
  <c r="E640" i="40"/>
  <c r="C6" i="9"/>
  <c r="F8" i="9"/>
  <c r="E12" i="6"/>
  <c r="D656" i="40"/>
  <c r="F656" i="40"/>
  <c r="E656" i="40"/>
  <c r="L102" i="39"/>
  <c r="D657" i="40"/>
  <c r="F657" i="40"/>
  <c r="E657" i="40"/>
  <c r="K103" i="39"/>
  <c r="D673" i="40"/>
  <c r="F673" i="40"/>
  <c r="E673" i="40"/>
  <c r="L103" i="39"/>
  <c r="D674" i="40"/>
  <c r="F674" i="40"/>
  <c r="E674" i="40"/>
  <c r="K104" i="39"/>
  <c r="D690" i="40"/>
  <c r="F690" i="40"/>
  <c r="E690" i="40"/>
  <c r="L104" i="39"/>
  <c r="D691" i="40"/>
  <c r="F691" i="40"/>
  <c r="E691" i="40"/>
  <c r="K105" i="39"/>
  <c r="L105" i="39"/>
  <c r="K106" i="39"/>
  <c r="L106" i="39"/>
  <c r="D707" i="40"/>
  <c r="F707" i="40"/>
  <c r="E707" i="40"/>
  <c r="D708" i="40"/>
  <c r="F708" i="40"/>
  <c r="E708" i="40"/>
  <c r="K107" i="39"/>
  <c r="D724" i="40"/>
  <c r="F724" i="40"/>
  <c r="E724" i="40"/>
  <c r="L107" i="39"/>
  <c r="D725" i="40"/>
  <c r="F725" i="40"/>
  <c r="E725" i="40"/>
  <c r="K108" i="39"/>
  <c r="L108" i="39"/>
  <c r="D741" i="40"/>
  <c r="F741" i="40"/>
  <c r="E741" i="40"/>
  <c r="D742" i="40"/>
  <c r="F742" i="40"/>
  <c r="E742" i="40"/>
  <c r="K109" i="39"/>
  <c r="D758" i="40"/>
  <c r="F758" i="40"/>
  <c r="E758" i="40"/>
  <c r="L109" i="39"/>
  <c r="D759" i="40"/>
  <c r="F759" i="40"/>
  <c r="E759" i="40"/>
  <c r="K110" i="39"/>
  <c r="L110" i="39"/>
  <c r="D775" i="40"/>
  <c r="F775" i="40"/>
  <c r="E775" i="40"/>
  <c r="D776" i="40"/>
  <c r="F776" i="40"/>
  <c r="E776" i="40"/>
  <c r="K111" i="39"/>
  <c r="L111" i="39"/>
  <c r="K112" i="39"/>
  <c r="L112" i="39"/>
  <c r="K113" i="39"/>
  <c r="L113" i="39"/>
  <c r="K114" i="39"/>
  <c r="L114" i="39"/>
  <c r="K115" i="39"/>
  <c r="L115" i="39"/>
  <c r="K116" i="39"/>
  <c r="L116" i="39"/>
  <c r="K117" i="39"/>
  <c r="L117" i="39"/>
  <c r="K118" i="39"/>
  <c r="L118" i="39"/>
  <c r="K119" i="39"/>
  <c r="L119" i="39"/>
  <c r="K120" i="39"/>
  <c r="L120" i="39"/>
  <c r="D792" i="40"/>
  <c r="F792" i="40"/>
  <c r="E792" i="40"/>
  <c r="K121" i="39"/>
  <c r="D793" i="40"/>
  <c r="F793" i="40"/>
  <c r="E793" i="40"/>
  <c r="L121" i="39"/>
  <c r="D809" i="40"/>
  <c r="F809" i="40"/>
  <c r="E809" i="40"/>
  <c r="K122" i="39"/>
  <c r="D810" i="40"/>
  <c r="F810" i="40"/>
  <c r="E810" i="40"/>
  <c r="L122" i="39"/>
  <c r="D826" i="40"/>
  <c r="F826" i="40"/>
  <c r="E826" i="40"/>
  <c r="K123" i="39"/>
  <c r="D827" i="40"/>
  <c r="F827" i="40"/>
  <c r="E827" i="40"/>
  <c r="L123" i="39"/>
  <c r="D843" i="40"/>
  <c r="F843" i="40"/>
  <c r="E843" i="40"/>
  <c r="C134" i="39"/>
  <c r="K142" i="39"/>
  <c r="C80" i="39"/>
  <c r="D844" i="40"/>
  <c r="F844" i="40"/>
  <c r="E844" i="40"/>
  <c r="L142" i="39"/>
  <c r="D860" i="40"/>
  <c r="F860" i="40"/>
  <c r="E860" i="40"/>
  <c r="D861" i="40"/>
  <c r="F861" i="40"/>
  <c r="E861" i="40"/>
  <c r="K143" i="39"/>
  <c r="L143" i="39"/>
  <c r="D877" i="40"/>
  <c r="F877" i="40"/>
  <c r="E877" i="40"/>
  <c r="K144" i="39"/>
  <c r="D878" i="40"/>
  <c r="F878" i="40"/>
  <c r="E878" i="40"/>
  <c r="L144" i="39"/>
  <c r="D894" i="40"/>
  <c r="F894" i="40"/>
  <c r="E894" i="40"/>
  <c r="D895" i="40"/>
  <c r="F895" i="40"/>
  <c r="E895" i="40"/>
  <c r="K145" i="39"/>
  <c r="L145" i="39"/>
  <c r="D911" i="40"/>
  <c r="F911" i="40"/>
  <c r="E911" i="40"/>
  <c r="D912" i="40"/>
  <c r="F912" i="40"/>
  <c r="E912" i="40"/>
  <c r="K146" i="39"/>
  <c r="L146" i="39"/>
  <c r="D928" i="40"/>
  <c r="F928" i="40"/>
  <c r="E928" i="40"/>
  <c r="K147" i="39"/>
  <c r="D929" i="40"/>
  <c r="F929" i="40"/>
  <c r="E929" i="40"/>
  <c r="L147" i="39"/>
  <c r="D945" i="40"/>
  <c r="F945" i="40"/>
  <c r="E945" i="40"/>
  <c r="D946" i="40"/>
  <c r="F946" i="40"/>
  <c r="E946" i="40"/>
  <c r="K148" i="39"/>
  <c r="L148" i="39"/>
  <c r="D962" i="40"/>
  <c r="F962" i="40"/>
  <c r="E962" i="40"/>
  <c r="K149" i="39"/>
  <c r="D963" i="40"/>
  <c r="F963" i="40"/>
  <c r="E963" i="40"/>
  <c r="L149" i="39"/>
  <c r="D979" i="40"/>
  <c r="F979" i="40"/>
  <c r="E979" i="40"/>
  <c r="D980" i="40"/>
  <c r="F980" i="40"/>
  <c r="E980" i="40"/>
  <c r="K150" i="39"/>
  <c r="L150" i="39"/>
  <c r="K151" i="39"/>
  <c r="D996" i="40"/>
  <c r="F996" i="40"/>
  <c r="E996" i="40"/>
  <c r="L151" i="39"/>
  <c r="D997" i="40"/>
  <c r="F997" i="40"/>
  <c r="E997" i="40"/>
  <c r="K152" i="39"/>
  <c r="D1013" i="40"/>
  <c r="F1013" i="40"/>
  <c r="E1013" i="40"/>
  <c r="L152" i="39"/>
  <c r="K153" i="39"/>
  <c r="D1014" i="40"/>
  <c r="F1014" i="40"/>
  <c r="E1014" i="40"/>
  <c r="L153" i="39"/>
  <c r="D1030" i="40"/>
  <c r="F1030" i="40"/>
  <c r="E1030" i="40"/>
  <c r="K154" i="39"/>
  <c r="D1031" i="40"/>
  <c r="F1031" i="40"/>
  <c r="E1031" i="40"/>
  <c r="L154" i="39"/>
  <c r="D1047" i="40"/>
  <c r="F1047" i="40"/>
  <c r="E1047" i="40"/>
  <c r="K155" i="39"/>
  <c r="L155" i="39"/>
  <c r="K156" i="39"/>
  <c r="L156" i="39"/>
  <c r="K157" i="39"/>
  <c r="L157" i="39"/>
  <c r="K158" i="39"/>
  <c r="D1048" i="40"/>
  <c r="F1048" i="40"/>
  <c r="E1048" i="40"/>
  <c r="L158" i="39"/>
  <c r="D1064" i="40"/>
  <c r="F1064" i="40"/>
  <c r="E1064" i="40"/>
  <c r="C170" i="39"/>
  <c r="K178" i="39"/>
  <c r="C135" i="39"/>
  <c r="D1065" i="40"/>
  <c r="F1065" i="40"/>
  <c r="E1065" i="40"/>
  <c r="L178" i="39"/>
  <c r="D1081" i="40"/>
  <c r="F1081" i="40"/>
  <c r="E1081" i="40"/>
  <c r="D1082" i="40"/>
  <c r="F1082" i="40"/>
  <c r="E1082" i="40"/>
  <c r="K179" i="39"/>
  <c r="L179" i="39"/>
  <c r="D1098" i="40"/>
  <c r="F1098" i="40"/>
  <c r="E1098" i="40"/>
  <c r="K180" i="39"/>
  <c r="D1099" i="40"/>
  <c r="F1099" i="40"/>
  <c r="E1099" i="40"/>
  <c r="L180" i="39"/>
  <c r="D1115" i="40"/>
  <c r="F1115" i="40"/>
  <c r="E1115" i="40"/>
  <c r="D1116" i="40"/>
  <c r="F1116" i="40"/>
  <c r="E1116" i="40"/>
  <c r="K181" i="39"/>
  <c r="L181" i="39"/>
  <c r="D1132" i="40"/>
  <c r="F1132" i="40"/>
  <c r="E1132" i="40"/>
  <c r="K182" i="39"/>
  <c r="D1133" i="40"/>
  <c r="F1133" i="40"/>
  <c r="E1133" i="40"/>
  <c r="L182" i="39"/>
  <c r="D1149" i="40"/>
  <c r="F1149" i="40"/>
  <c r="E1149" i="40"/>
  <c r="D1150" i="40"/>
  <c r="F1150" i="40"/>
  <c r="E1150" i="40"/>
  <c r="K183" i="39"/>
  <c r="L183" i="39"/>
  <c r="D1166" i="40"/>
  <c r="F1166" i="40"/>
  <c r="E1166" i="40"/>
  <c r="K184" i="39"/>
  <c r="D1167" i="40"/>
  <c r="F1167" i="40"/>
  <c r="E1167" i="40"/>
  <c r="D1183" i="40"/>
  <c r="F1183" i="40"/>
  <c r="E1183" i="40"/>
  <c r="L184" i="39"/>
  <c r="C196" i="39"/>
  <c r="K204" i="39"/>
  <c r="C171" i="39"/>
  <c r="D1184" i="40"/>
  <c r="F1184" i="40"/>
  <c r="E1184" i="40"/>
  <c r="L204" i="39"/>
  <c r="D1200" i="40"/>
  <c r="F1200" i="40"/>
  <c r="E1200" i="40"/>
  <c r="D1201" i="40"/>
  <c r="F1201" i="40"/>
  <c r="E1201" i="40"/>
  <c r="K205" i="39"/>
  <c r="L205" i="39"/>
  <c r="K206" i="39"/>
  <c r="L206" i="39"/>
  <c r="D1217" i="40"/>
  <c r="F1217" i="40"/>
  <c r="E1217" i="40"/>
  <c r="K207" i="39"/>
  <c r="D1218" i="40"/>
  <c r="F1218" i="40"/>
  <c r="E1218" i="40"/>
  <c r="D1234" i="40"/>
  <c r="F1234" i="40"/>
  <c r="E1234" i="40"/>
  <c r="L207" i="39"/>
  <c r="D1235" i="40"/>
  <c r="F1235" i="40"/>
  <c r="E1235" i="40"/>
  <c r="K208" i="39"/>
  <c r="D1251" i="40"/>
  <c r="F1251" i="40"/>
  <c r="E1251" i="40"/>
  <c r="L208" i="39"/>
  <c r="D1252" i="40"/>
  <c r="F1252" i="40"/>
  <c r="E1252" i="40"/>
  <c r="K209" i="39"/>
  <c r="L209" i="39"/>
  <c r="D1268" i="40"/>
  <c r="F1268" i="40"/>
  <c r="E1268" i="40"/>
  <c r="D1269" i="40"/>
  <c r="F1269" i="40"/>
  <c r="E1269" i="40"/>
  <c r="K210" i="39"/>
  <c r="D1285" i="40"/>
  <c r="F1285" i="40"/>
  <c r="E1285" i="40"/>
  <c r="L210" i="39"/>
  <c r="K211" i="39"/>
  <c r="D1286" i="40"/>
  <c r="F1286" i="40"/>
  <c r="E1286" i="40"/>
  <c r="D1302" i="40"/>
  <c r="F1302" i="40"/>
  <c r="E1302" i="40"/>
  <c r="L211" i="39"/>
  <c r="K212" i="39"/>
  <c r="D1303" i="40"/>
  <c r="F1303" i="40"/>
  <c r="E1303" i="40"/>
  <c r="L212" i="39"/>
  <c r="D1319" i="40"/>
  <c r="F1319" i="40"/>
  <c r="E1319" i="40"/>
  <c r="K213" i="39"/>
  <c r="D1320" i="40"/>
  <c r="F1320" i="40"/>
  <c r="E1320" i="40"/>
  <c r="L213" i="39"/>
  <c r="D1336" i="40"/>
  <c r="F1336" i="40"/>
  <c r="E1336" i="40"/>
  <c r="D1337" i="40"/>
  <c r="F1337" i="40"/>
  <c r="E1337" i="40"/>
  <c r="K214" i="39"/>
  <c r="L214" i="39"/>
  <c r="D1353" i="40"/>
  <c r="F1353" i="40"/>
  <c r="E1353" i="40"/>
  <c r="D1354" i="40"/>
  <c r="F1354" i="40"/>
  <c r="E1354" i="40"/>
  <c r="K215" i="39"/>
  <c r="L215" i="39"/>
  <c r="D1370" i="40"/>
  <c r="F1370" i="40"/>
  <c r="E1370" i="40"/>
  <c r="K216" i="39"/>
  <c r="D1371" i="40"/>
  <c r="F1371" i="40"/>
  <c r="E1371" i="40"/>
  <c r="D1387" i="40"/>
  <c r="F1387" i="40"/>
  <c r="E1387" i="40"/>
  <c r="L216" i="39"/>
  <c r="D1388" i="40"/>
  <c r="F1388" i="40"/>
  <c r="E1388" i="40"/>
  <c r="K217" i="39"/>
  <c r="L217" i="39"/>
  <c r="K218" i="39"/>
  <c r="L218" i="39"/>
  <c r="D1404" i="40"/>
  <c r="F1404" i="40"/>
  <c r="E1404" i="40"/>
  <c r="D1405" i="40"/>
  <c r="F1405" i="40"/>
  <c r="E1405" i="40"/>
  <c r="K219" i="39"/>
  <c r="L219" i="39"/>
  <c r="D1421" i="40"/>
  <c r="F1421" i="40"/>
  <c r="E1421" i="40"/>
  <c r="K220" i="39"/>
  <c r="D1422" i="40"/>
  <c r="F1422" i="40"/>
  <c r="E1422" i="40"/>
  <c r="D1438" i="40"/>
  <c r="F1438" i="40"/>
  <c r="E1438" i="40"/>
  <c r="L220" i="39"/>
  <c r="K221" i="39"/>
  <c r="D1439" i="40"/>
  <c r="F1439" i="40"/>
  <c r="E1439" i="40"/>
  <c r="D1455" i="40"/>
  <c r="F1455" i="40"/>
  <c r="E1455" i="40"/>
  <c r="L221" i="39"/>
  <c r="D1456" i="40"/>
  <c r="F1456" i="40"/>
  <c r="E1456" i="40"/>
  <c r="K222" i="39"/>
  <c r="L222" i="39"/>
  <c r="D1472" i="40"/>
  <c r="F1472" i="40"/>
  <c r="E1472" i="40"/>
  <c r="D1473" i="40"/>
  <c r="F1473" i="40"/>
  <c r="E1473" i="40"/>
  <c r="K223" i="39"/>
  <c r="L223" i="39"/>
  <c r="D1489" i="40"/>
  <c r="F1489" i="40"/>
  <c r="E1489" i="40"/>
  <c r="K224" i="39"/>
  <c r="D1490" i="40"/>
  <c r="F1490" i="40"/>
  <c r="E1490" i="40"/>
  <c r="L224" i="39"/>
  <c r="D1506" i="40"/>
  <c r="F1506" i="40"/>
  <c r="E1506" i="40"/>
  <c r="K225" i="39"/>
  <c r="D1507" i="40"/>
  <c r="F1507" i="40"/>
  <c r="E1507" i="40"/>
  <c r="L225" i="39"/>
  <c r="D1523" i="40"/>
  <c r="F1523" i="40"/>
  <c r="E1523" i="40"/>
  <c r="K226" i="39"/>
  <c r="D1524" i="40"/>
  <c r="F1524" i="40"/>
  <c r="E1524" i="40"/>
  <c r="D1540" i="40"/>
  <c r="F1540" i="40"/>
  <c r="E1540" i="40"/>
  <c r="L226" i="39"/>
  <c r="D1541" i="40"/>
  <c r="F1541" i="40"/>
  <c r="E1541" i="40"/>
  <c r="K227" i="39"/>
  <c r="D1557" i="40"/>
  <c r="F1557" i="40"/>
  <c r="E1557" i="40"/>
  <c r="L227" i="39"/>
  <c r="D1558" i="40"/>
  <c r="F1558" i="40"/>
  <c r="E1558" i="40"/>
  <c r="K228" i="39"/>
  <c r="L228" i="39"/>
  <c r="D1574" i="40"/>
  <c r="F1574" i="40"/>
  <c r="E1574" i="40"/>
  <c r="K229" i="39"/>
  <c r="D1575" i="40"/>
  <c r="F1575" i="40"/>
  <c r="E1575" i="40"/>
  <c r="L229" i="39"/>
  <c r="D1591" i="40"/>
  <c r="F1591" i="40"/>
  <c r="E1591" i="40"/>
  <c r="K230" i="39"/>
  <c r="D1592" i="40"/>
  <c r="F1592" i="40"/>
  <c r="E1592" i="40"/>
  <c r="L230" i="39"/>
  <c r="D1608" i="40"/>
  <c r="F1608" i="40"/>
  <c r="E1608" i="40"/>
  <c r="K231" i="39"/>
  <c r="D1609" i="40"/>
  <c r="F1609" i="40"/>
  <c r="E1609" i="40"/>
  <c r="L231" i="39"/>
  <c r="D1625" i="40"/>
  <c r="F1625" i="40"/>
  <c r="E1625" i="40"/>
  <c r="K232" i="39"/>
  <c r="D1626" i="40"/>
  <c r="F1626" i="40"/>
  <c r="E1626" i="40"/>
  <c r="D1642" i="40"/>
  <c r="F1642" i="40"/>
  <c r="E1642" i="40"/>
  <c r="L232" i="39"/>
  <c r="D1643" i="40"/>
  <c r="F1643" i="40"/>
  <c r="E1643" i="40"/>
  <c r="K233" i="39"/>
  <c r="D1659" i="40"/>
  <c r="F1659" i="40"/>
  <c r="E1659" i="40"/>
  <c r="L233" i="39"/>
  <c r="D1660" i="40"/>
  <c r="F1660" i="40"/>
  <c r="E1660" i="40"/>
  <c r="K234" i="39"/>
  <c r="L234" i="39"/>
  <c r="D1676" i="40"/>
  <c r="F1676" i="40"/>
  <c r="E1676" i="40"/>
  <c r="D1677" i="40"/>
  <c r="F1677" i="40"/>
  <c r="E1677" i="40"/>
  <c r="K235" i="39"/>
  <c r="L235" i="39"/>
  <c r="K236" i="39"/>
  <c r="L236" i="39"/>
  <c r="K237" i="39"/>
  <c r="D1693" i="40"/>
  <c r="F1693" i="40"/>
  <c r="E1693" i="40"/>
  <c r="L237" i="39"/>
  <c r="K238" i="39"/>
  <c r="D1694" i="40"/>
  <c r="F1694" i="40"/>
  <c r="E1694" i="40"/>
  <c r="D1710" i="40"/>
  <c r="F1710" i="40"/>
  <c r="E1710" i="40"/>
  <c r="L238" i="39"/>
  <c r="C197" i="39"/>
  <c r="C248" i="39"/>
  <c r="K256" i="39"/>
  <c r="D1711" i="40"/>
  <c r="F1711" i="40"/>
  <c r="E1711" i="40"/>
  <c r="D1727" i="40"/>
  <c r="F1727" i="40"/>
  <c r="E1727" i="40"/>
  <c r="L256" i="39"/>
  <c r="K257" i="39"/>
  <c r="D1728" i="40"/>
  <c r="F1728" i="40"/>
  <c r="E1728" i="40"/>
  <c r="L257" i="39"/>
  <c r="D1744" i="40"/>
  <c r="F1744" i="40"/>
  <c r="E1744" i="40"/>
  <c r="K258" i="39"/>
  <c r="D1745" i="40"/>
  <c r="F1745" i="40"/>
  <c r="E1745" i="40"/>
  <c r="L258" i="39"/>
  <c r="D1761" i="40"/>
  <c r="F1761" i="40"/>
  <c r="E1761" i="40"/>
  <c r="K259" i="39"/>
  <c r="D1762" i="40"/>
  <c r="F1762" i="40"/>
  <c r="E1762" i="40"/>
  <c r="D1778" i="40"/>
  <c r="F1778" i="40"/>
  <c r="E1778" i="40"/>
  <c r="L259" i="39"/>
  <c r="K260" i="39"/>
  <c r="D1779" i="40"/>
  <c r="F1779" i="40"/>
  <c r="E1779" i="40"/>
  <c r="D1795" i="40"/>
  <c r="F1795" i="40"/>
  <c r="E1795" i="40"/>
  <c r="L260" i="39"/>
  <c r="K261" i="39"/>
  <c r="L261" i="39"/>
  <c r="K262" i="39"/>
  <c r="D1796" i="40"/>
  <c r="F1796" i="40"/>
  <c r="E1796" i="40"/>
  <c r="D1812" i="40"/>
  <c r="F1812" i="40"/>
  <c r="E1812" i="40"/>
  <c r="L262" i="39"/>
  <c r="D1813" i="40"/>
  <c r="F1813" i="40"/>
  <c r="E1813" i="40"/>
  <c r="K263" i="39"/>
  <c r="D1829" i="40"/>
  <c r="F1829" i="40"/>
  <c r="E1829" i="40"/>
  <c r="L263" i="39"/>
  <c r="K264" i="39"/>
  <c r="D1830" i="40"/>
  <c r="F1830" i="40"/>
  <c r="E1830" i="40"/>
  <c r="L264" i="39"/>
  <c r="D1846" i="40"/>
  <c r="F1846" i="40"/>
  <c r="E1846" i="40"/>
  <c r="D1847" i="40"/>
  <c r="F1847" i="40"/>
  <c r="E1847" i="40"/>
  <c r="K265" i="39"/>
  <c r="D1863" i="40"/>
  <c r="F1863" i="40"/>
  <c r="E1863" i="40"/>
  <c r="L265" i="39"/>
  <c r="D1864" i="40"/>
  <c r="F1864" i="40"/>
  <c r="E1864" i="40"/>
  <c r="K266" i="39"/>
  <c r="L266" i="39"/>
  <c r="D1880" i="40"/>
  <c r="F1880" i="40"/>
  <c r="E1880" i="40"/>
  <c r="D1881" i="40"/>
  <c r="F1881" i="40"/>
  <c r="E1881" i="40"/>
  <c r="K267" i="39"/>
  <c r="L267" i="39"/>
  <c r="D1897" i="40"/>
  <c r="F1897" i="40"/>
  <c r="E1897" i="40"/>
  <c r="K268" i="39"/>
  <c r="D1898" i="40"/>
  <c r="F1898" i="40"/>
  <c r="E1898" i="40"/>
  <c r="L268" i="39"/>
  <c r="D1914" i="40"/>
  <c r="F1914" i="40"/>
  <c r="E1914" i="40"/>
  <c r="D1915" i="40"/>
  <c r="F1915" i="40"/>
  <c r="E1915" i="40"/>
  <c r="K269" i="39"/>
  <c r="D1931" i="40"/>
  <c r="F1931" i="40"/>
  <c r="E1931" i="40"/>
  <c r="L269" i="39"/>
  <c r="K270" i="39"/>
  <c r="D1932" i="40"/>
  <c r="F1932" i="40"/>
  <c r="E1932" i="40"/>
  <c r="D1948" i="40"/>
  <c r="F1948" i="40"/>
  <c r="E1948" i="40"/>
  <c r="L270" i="39"/>
  <c r="K271" i="39"/>
  <c r="D1949" i="40"/>
  <c r="F1949" i="40"/>
  <c r="E1949" i="40"/>
  <c r="D1965" i="40"/>
  <c r="F1965" i="40"/>
  <c r="E1965" i="40"/>
  <c r="L271" i="39"/>
  <c r="K272" i="39"/>
  <c r="D1966" i="40"/>
  <c r="F1966" i="40"/>
  <c r="E1966" i="40"/>
  <c r="L272" i="39"/>
  <c r="D1982" i="40"/>
  <c r="F1982" i="40"/>
  <c r="E1982" i="40"/>
  <c r="K273" i="39"/>
  <c r="D1983" i="40"/>
  <c r="F1983" i="40"/>
  <c r="E1983" i="40"/>
  <c r="D1999" i="40"/>
  <c r="F1999" i="40"/>
  <c r="E1999" i="40"/>
  <c r="L273" i="39"/>
  <c r="D2000" i="40"/>
  <c r="F2000" i="40"/>
  <c r="E2000" i="40"/>
  <c r="K274" i="39"/>
  <c r="D2016" i="40"/>
  <c r="F2016" i="40"/>
  <c r="E2016" i="40"/>
  <c r="L274" i="39"/>
  <c r="D2017" i="40"/>
  <c r="F2017" i="40"/>
  <c r="E2017" i="40"/>
  <c r="K275" i="39"/>
  <c r="L275" i="39"/>
  <c r="D2033" i="40"/>
  <c r="F2033" i="40"/>
  <c r="E2033" i="40"/>
  <c r="K276" i="39"/>
  <c r="L276" i="39"/>
  <c r="K277" i="39"/>
  <c r="D2034" i="40"/>
  <c r="F2034" i="40"/>
  <c r="E2034" i="40"/>
  <c r="L277" i="39"/>
  <c r="D2050" i="40"/>
  <c r="F2050" i="40"/>
  <c r="E2050" i="40"/>
  <c r="K278" i="39"/>
  <c r="D2051" i="40"/>
  <c r="F2051" i="40"/>
  <c r="E2051" i="40"/>
  <c r="L278" i="39"/>
  <c r="D2067" i="40"/>
  <c r="F2067" i="40"/>
  <c r="E2067" i="40"/>
  <c r="K279" i="39"/>
  <c r="D2068" i="40"/>
  <c r="F2068" i="40"/>
  <c r="E2068" i="40"/>
  <c r="D2084" i="40"/>
  <c r="F2084" i="40"/>
  <c r="E2084" i="40"/>
  <c r="L279" i="39"/>
  <c r="C249" i="39"/>
  <c r="D2085" i="40"/>
  <c r="F2085" i="40"/>
  <c r="E2085" i="40"/>
  <c r="C78" i="14"/>
  <c r="E78" i="14"/>
  <c r="D78" i="14"/>
  <c r="E14" i="6"/>
  <c r="G8" i="13"/>
  <c r="C79" i="14"/>
  <c r="E79" i="14"/>
  <c r="D79" i="14"/>
  <c r="F79" i="14"/>
  <c r="C61" i="14"/>
  <c r="E61" i="14"/>
  <c r="D61" i="14"/>
  <c r="C62" i="14"/>
  <c r="C44" i="14"/>
  <c r="E44" i="14"/>
  <c r="D44" i="14"/>
  <c r="F62" i="14"/>
  <c r="E62" i="14"/>
  <c r="D62" i="14"/>
  <c r="C45" i="14"/>
  <c r="F45" i="14"/>
  <c r="E45" i="14"/>
  <c r="D45" i="14"/>
  <c r="C27" i="14"/>
  <c r="E27" i="14"/>
  <c r="D27" i="14"/>
  <c r="C28" i="14"/>
  <c r="E28" i="14"/>
  <c r="D28" i="14"/>
  <c r="F28" i="14"/>
  <c r="C10" i="14"/>
  <c r="E10" i="14"/>
  <c r="D10" i="14"/>
  <c r="C11" i="14"/>
  <c r="F11" i="14"/>
  <c r="E11" i="14"/>
  <c r="D1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ISMOLINA</author>
  </authors>
  <commentList>
    <comment ref="B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ISMOLINA:</t>
        </r>
        <r>
          <rPr>
            <sz val="8"/>
            <color indexed="81"/>
            <rFont val="Tahoma"/>
            <family val="2"/>
          </rPr>
          <t xml:space="preserve">
DEUDA BAJADA EL 04/10
/07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Insmolina</author>
  </authors>
  <commentList>
    <comment ref="B19" authorId="0" shapeId="0" xr:uid="{00000000-0006-0000-0500-000001000000}">
      <text>
        <r>
          <rPr>
            <sz val="8"/>
            <color indexed="81"/>
            <rFont val="Tahoma"/>
            <family val="2"/>
          </rPr>
          <t xml:space="preserve">TURNO POR MEDIO SE INVIERTE EL ORDEN DE RIEGO
</t>
        </r>
      </text>
    </comment>
    <comment ref="B24" authorId="0" shapeId="0" xr:uid="{00000000-0006-0000-0500-000002000000}">
      <text>
        <r>
          <rPr>
            <sz val="8"/>
            <color indexed="81"/>
            <rFont val="Tahoma"/>
            <family val="2"/>
          </rPr>
          <t xml:space="preserve">TURNO POR MEDIO SE INVIERTE EL ORDEN DE RIEGO
</t>
        </r>
      </text>
    </comment>
    <comment ref="B2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 xml:space="preserve">TURNO POR MEDIO SE INVIERTE EL ORDEN DE RIEGO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Asoc. Insp. Costa de Araujo</author>
  </authors>
  <commentList>
    <comment ref="I21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Asoc. Insp. Costa de Araujo:</t>
        </r>
        <r>
          <rPr>
            <sz val="8"/>
            <color indexed="81"/>
            <rFont val="Tahoma"/>
            <family val="2"/>
          </rPr>
          <t xml:space="preserve">
20 minutos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19" authorId="0" shapeId="0" xr:uid="{00000000-0006-0000-1600-000001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PASE DE AGUA HIJ MORON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E37" authorId="0" shapeId="0" xr:uid="{00000000-0006-0000-2000-000001000000}">
      <text>
        <r>
          <rPr>
            <b/>
            <sz val="8"/>
            <color indexed="81"/>
            <rFont val="Tahoma"/>
            <family val="2"/>
          </rPr>
          <t>PC:</t>
        </r>
        <r>
          <rPr>
            <sz val="8"/>
            <color indexed="81"/>
            <rFont val="Tahoma"/>
            <family val="2"/>
          </rPr>
          <t xml:space="preserve">
pase de hij gelvez
</t>
        </r>
      </text>
    </comment>
  </commentList>
</comments>
</file>

<file path=xl/sharedStrings.xml><?xml version="1.0" encoding="utf-8"?>
<sst xmlns="http://schemas.openxmlformats.org/spreadsheetml/2006/main" count="7476" uniqueCount="754">
  <si>
    <t>HIJUELA LOTTERO</t>
  </si>
  <si>
    <t>HIJUELA RILLI</t>
  </si>
  <si>
    <t>HIJUELA QUINTEROS</t>
  </si>
  <si>
    <t>HIJUELA JARA</t>
  </si>
  <si>
    <t>HIJUELA HERAS</t>
  </si>
  <si>
    <t>HIJUELA SUR ADRIANO</t>
  </si>
  <si>
    <t>HIJUELA CUBELLS</t>
  </si>
  <si>
    <t>HIJUELA NUÑEZ</t>
  </si>
  <si>
    <t>HIJUELA VILLEGAS</t>
  </si>
  <si>
    <t>HIJUELA 1ra. ARAUJO</t>
  </si>
  <si>
    <t>cm</t>
  </si>
  <si>
    <t>l/s</t>
  </si>
  <si>
    <t>CANAL Directos</t>
  </si>
  <si>
    <t>CAUCE</t>
  </si>
  <si>
    <t>k1</t>
  </si>
  <si>
    <t>k2</t>
  </si>
  <si>
    <t>u</t>
  </si>
  <si>
    <t xml:space="preserve">Superficie Total </t>
  </si>
  <si>
    <t>Superficie de Riego</t>
  </si>
  <si>
    <t>Escala Fórmula</t>
  </si>
  <si>
    <t>Corrección</t>
  </si>
  <si>
    <t>Caudal l/s</t>
  </si>
  <si>
    <t>Escala cm</t>
  </si>
  <si>
    <t>Marañón</t>
  </si>
  <si>
    <t>Araujo bis</t>
  </si>
  <si>
    <t>Sancho</t>
  </si>
  <si>
    <t>Angeleri</t>
  </si>
  <si>
    <t>Loteo Araujo</t>
  </si>
  <si>
    <t>Sanjurjo</t>
  </si>
  <si>
    <t>Jara</t>
  </si>
  <si>
    <t>Galdeano</t>
  </si>
  <si>
    <t>Segovia</t>
  </si>
  <si>
    <t>HIJUELAS</t>
  </si>
  <si>
    <t>1ª Araujo</t>
  </si>
  <si>
    <t>Sur o Adriano Araujo</t>
  </si>
  <si>
    <t>Heras</t>
  </si>
  <si>
    <t>Cubells</t>
  </si>
  <si>
    <t>2ª Araujo</t>
  </si>
  <si>
    <t>Nuñez</t>
  </si>
  <si>
    <t>Villegas</t>
  </si>
  <si>
    <t>Lotero</t>
  </si>
  <si>
    <t>Rilli</t>
  </si>
  <si>
    <t>Superficie total</t>
  </si>
  <si>
    <t>Caudal disponible p/ riego</t>
  </si>
  <si>
    <t>Coef de riego</t>
  </si>
  <si>
    <t>Ibañez</t>
  </si>
  <si>
    <t>Irusta Baro</t>
  </si>
  <si>
    <t>Argumedo</t>
  </si>
  <si>
    <t>Giangiulio</t>
  </si>
  <si>
    <t>Barros</t>
  </si>
  <si>
    <t>Gelvez</t>
  </si>
  <si>
    <t>Morón</t>
  </si>
  <si>
    <t>has al día</t>
  </si>
  <si>
    <t>CC-PP</t>
  </si>
  <si>
    <t>CC</t>
  </si>
  <si>
    <t>PP</t>
  </si>
  <si>
    <t>Ha si-no</t>
  </si>
  <si>
    <t>Cuotas</t>
  </si>
  <si>
    <t>Deuda</t>
  </si>
  <si>
    <t>Fech-Not</t>
  </si>
  <si>
    <t>Fech - Corta</t>
  </si>
  <si>
    <t>Total Deuda</t>
  </si>
  <si>
    <t>Día</t>
  </si>
  <si>
    <t>Deuda / Ha</t>
  </si>
  <si>
    <t>INSPECCIÓN DE CAUCE CANAL BAJADA DE ARAUJO</t>
  </si>
  <si>
    <t>CUADRO DE TURNOS rotación</t>
  </si>
  <si>
    <t>fecha de ingreso</t>
  </si>
  <si>
    <t>Durac. Turno a:</t>
  </si>
  <si>
    <t>Entrega de agua:</t>
  </si>
  <si>
    <t>POR FRACCIÓN</t>
  </si>
  <si>
    <t>Aplica Cat. Derecho:</t>
  </si>
  <si>
    <t>SI</t>
  </si>
  <si>
    <t>Cauce</t>
  </si>
  <si>
    <t xml:space="preserve">Nº </t>
  </si>
  <si>
    <t>Hora Inicio</t>
  </si>
  <si>
    <t>Hora de Fin</t>
  </si>
  <si>
    <t>N° Regantes</t>
  </si>
  <si>
    <t>Min/Ha</t>
  </si>
  <si>
    <t>Sup. Emp.</t>
  </si>
  <si>
    <t>HAS RIEGO</t>
  </si>
  <si>
    <t>% Ha SI</t>
  </si>
  <si>
    <t>% Ha NO</t>
  </si>
  <si>
    <t>Canal (Directos)</t>
  </si>
  <si>
    <t>1° Araujo</t>
  </si>
  <si>
    <t>Sur</t>
  </si>
  <si>
    <t>2° Araujo</t>
  </si>
  <si>
    <t>Baro</t>
  </si>
  <si>
    <t>Lourdes</t>
  </si>
  <si>
    <t>Quinteros</t>
  </si>
  <si>
    <t>Bajada de Araujo</t>
  </si>
  <si>
    <t xml:space="preserve">CUADRO DE TURNO CANAL BAJADA DE ARAUJO </t>
  </si>
  <si>
    <t>Hijuela DIRECTAS</t>
  </si>
  <si>
    <t>Día de llegada</t>
  </si>
  <si>
    <t>Durac. Turno</t>
  </si>
  <si>
    <t>Día de corta</t>
  </si>
  <si>
    <t>Reccorr. Canal</t>
  </si>
  <si>
    <t>Reccorr. Hijuela</t>
  </si>
  <si>
    <t>Horas turno:</t>
  </si>
  <si>
    <t>Min.total:</t>
  </si>
  <si>
    <t>Has Total:</t>
  </si>
  <si>
    <t>Min/Ha:</t>
  </si>
  <si>
    <t xml:space="preserve"> </t>
  </si>
  <si>
    <t>ORDEN</t>
  </si>
  <si>
    <t>C.C</t>
  </si>
  <si>
    <t>P.P</t>
  </si>
  <si>
    <t>CD</t>
  </si>
  <si>
    <t>SUP. EMP.</t>
  </si>
  <si>
    <t>SUP. SI/NO</t>
  </si>
  <si>
    <t>NOMBRE-RAZON SOCIAL</t>
  </si>
  <si>
    <t>SUP.RIEGO</t>
  </si>
  <si>
    <t>HORAS</t>
  </si>
  <si>
    <t>HORA ENTREGA</t>
  </si>
  <si>
    <t>HORA CORTA</t>
  </si>
  <si>
    <t>FECHA HORA NOTIFICACION</t>
  </si>
  <si>
    <t>FIRMA</t>
  </si>
  <si>
    <t>MENSAJE</t>
  </si>
  <si>
    <t>OBSERVACIONES</t>
  </si>
  <si>
    <t>CCPP</t>
  </si>
  <si>
    <t>ha si no</t>
  </si>
  <si>
    <t>n_cuot</t>
  </si>
  <si>
    <t>deuda $</t>
  </si>
  <si>
    <t>fech_not</t>
  </si>
  <si>
    <t>fech_corta</t>
  </si>
  <si>
    <t>SEGOVIA, CARLOS ADRIAN</t>
  </si>
  <si>
    <t>RIOS, OSCAR DANIEL</t>
  </si>
  <si>
    <t>GALDEANO, JOSE MATIAS</t>
  </si>
  <si>
    <t>ORIHUELA, DIONISIO HUARACHI</t>
  </si>
  <si>
    <t>VARGAS FERNADEZ, JOSE</t>
  </si>
  <si>
    <t>AMADEO ,MARAÑON</t>
  </si>
  <si>
    <t>RAFAEL GIMENEZ</t>
  </si>
  <si>
    <t>ARAUJO, CENTENO MARTI</t>
  </si>
  <si>
    <t>ARAUJO, CENTENO BERNARDO IGNACIO</t>
  </si>
  <si>
    <t>ANGILLERI, FRANCISCO</t>
  </si>
  <si>
    <t>VIÑAS ARGENTINAS S.A</t>
  </si>
  <si>
    <t>SANCHO, EDUARDO RAMON Y SANCHO</t>
  </si>
  <si>
    <t>JUTER S.A</t>
  </si>
  <si>
    <t>has total</t>
  </si>
  <si>
    <t>coeficente</t>
  </si>
  <si>
    <t>dotación l/s/ha</t>
  </si>
  <si>
    <t>Usuario</t>
  </si>
  <si>
    <t>Codigo:</t>
  </si>
  <si>
    <t>Tiempo Turnado:</t>
  </si>
  <si>
    <t>PP:</t>
  </si>
  <si>
    <t>Superficie:</t>
  </si>
  <si>
    <t>Has:</t>
  </si>
  <si>
    <t xml:space="preserve">Cat. Derecho: </t>
  </si>
  <si>
    <t>Inicio:</t>
  </si>
  <si>
    <t>Fin:</t>
  </si>
  <si>
    <t>74-75</t>
  </si>
  <si>
    <t>1-63-26</t>
  </si>
  <si>
    <t>Hijuela 1ra. Araujo</t>
  </si>
  <si>
    <t xml:space="preserve">Min/ha: </t>
  </si>
  <si>
    <t>Horas  Hijuela:</t>
  </si>
  <si>
    <t>HAS SI/NO</t>
  </si>
  <si>
    <t>HAS.RIEGO</t>
  </si>
  <si>
    <t xml:space="preserve">Rec. </t>
  </si>
  <si>
    <t>HORAENTREGA</t>
  </si>
  <si>
    <t>HORACORTA</t>
  </si>
  <si>
    <t>MENSAJE INDIVIDUAL</t>
  </si>
  <si>
    <t xml:space="preserve">QUIROGA DE PERALTA, JUANA </t>
  </si>
  <si>
    <t xml:space="preserve">FALGUEYRETTE, JOSE </t>
  </si>
  <si>
    <t>ARGUMEDO, LUPO</t>
  </si>
  <si>
    <t>QUIROGA, NICOLAS DA</t>
  </si>
  <si>
    <t>ARAUJO, GREGORIO JU</t>
  </si>
  <si>
    <t>ARAUJO, ROMULO</t>
  </si>
  <si>
    <t>ARAUJO, JUAN</t>
  </si>
  <si>
    <t>ARAUJO, MARIO SELED</t>
  </si>
  <si>
    <t>ARAUJO, CESAR ANIBAL</t>
  </si>
  <si>
    <t>CANTOS, JUAN RAMON</t>
  </si>
  <si>
    <t>ARABEL, ANTONIO JESUS</t>
  </si>
  <si>
    <t>ARAUJO, PABLA ANA</t>
  </si>
  <si>
    <t>ARAUJO, AGUSTINA ROS</t>
  </si>
  <si>
    <t>PEINADO, ANDRES</t>
  </si>
  <si>
    <t>NO</t>
  </si>
  <si>
    <t>ALVARADO DE QUIROG</t>
  </si>
  <si>
    <t>ARAUJO, LINO</t>
  </si>
  <si>
    <t>ARAUJO, MARIA GRACIA</t>
  </si>
  <si>
    <t>ARAUJO, CARLOS ATAL</t>
  </si>
  <si>
    <t>,</t>
  </si>
  <si>
    <t>76-42</t>
  </si>
  <si>
    <t>53-54</t>
  </si>
  <si>
    <t>45-51</t>
  </si>
  <si>
    <t>56-57</t>
  </si>
  <si>
    <t>52-55</t>
  </si>
  <si>
    <t>79-78-77</t>
  </si>
  <si>
    <t>5-43-59</t>
  </si>
  <si>
    <t>76-72</t>
  </si>
  <si>
    <t>CUADRO DE TURNO CANAL BAJADA DE ARAUJO</t>
  </si>
  <si>
    <t>Hijuela Adriano Araujo ( SUR )</t>
  </si>
  <si>
    <t xml:space="preserve">  </t>
  </si>
  <si>
    <t>REC.</t>
  </si>
  <si>
    <t>FERNANDEZ, RODOLFO ANDRES</t>
  </si>
  <si>
    <t>AMADEO MARAÑON</t>
  </si>
  <si>
    <t>GIMENEZ,  RAFAEL SALVADOR</t>
  </si>
  <si>
    <t>GIMENEZ, RAFAEL</t>
  </si>
  <si>
    <t>ELASKAR, CAMILO</t>
  </si>
  <si>
    <t>AMICO, SEBASTIAN JUA</t>
  </si>
  <si>
    <t>25-27</t>
  </si>
  <si>
    <t>22-26</t>
  </si>
  <si>
    <t>Hijuela Heras</t>
  </si>
  <si>
    <t>Rec.</t>
  </si>
  <si>
    <t>Horas</t>
  </si>
  <si>
    <t>PETRICH PEDRO</t>
  </si>
  <si>
    <t>PETRICH, PEDRO</t>
  </si>
  <si>
    <t>PETRICH, DINCO NICOLAS</t>
  </si>
  <si>
    <t>PETRICH, JUAN ANTONIO</t>
  </si>
  <si>
    <t>PETRICH, ANTONIO JUAN</t>
  </si>
  <si>
    <t xml:space="preserve">FALGUEYRETY, MARIO </t>
  </si>
  <si>
    <t>LUCERO, PEDRO LORE</t>
  </si>
  <si>
    <t>TOTAL</t>
  </si>
  <si>
    <t>1ra. ARAUJO</t>
  </si>
  <si>
    <t>HERAS</t>
  </si>
  <si>
    <t>2da araujo</t>
  </si>
  <si>
    <t>HAS</t>
  </si>
  <si>
    <t>MINUTOS</t>
  </si>
  <si>
    <t>MIN/HA</t>
  </si>
  <si>
    <t>29-34</t>
  </si>
  <si>
    <t>30-40</t>
  </si>
  <si>
    <t>Hijuela 1ª Araujo - Ramo 1 ( Cubells )</t>
  </si>
  <si>
    <t>PASTOR, GABRIEL</t>
  </si>
  <si>
    <t>CUBELLS, MIGUEL</t>
  </si>
  <si>
    <t>HIDALGO, ATANACIO</t>
  </si>
  <si>
    <t>ARAUJO, MARIO</t>
  </si>
  <si>
    <t>ARAUJO, MARCELINA</t>
  </si>
  <si>
    <t>ARAUJO, ABERTANO</t>
  </si>
  <si>
    <t>SACCONE, LUIS</t>
  </si>
  <si>
    <t>FALGUEYRETTE, JOSE MARIO</t>
  </si>
  <si>
    <t>GIUSEPPONI BGAS.Y VDOS.HNOS.S.R.L.</t>
  </si>
  <si>
    <t>1-14-18</t>
  </si>
  <si>
    <t>L</t>
  </si>
  <si>
    <t>Hijuela 2ª Araujo</t>
  </si>
  <si>
    <t>RECORRIDO</t>
  </si>
  <si>
    <t>DALVIT, ROBERTO ARMA</t>
  </si>
  <si>
    <t>NASIVERA, ANTONIO</t>
  </si>
  <si>
    <t>VAZQUEZ, HIPOLITO ALB</t>
  </si>
  <si>
    <t>MARTIN, JOSE LUIS</t>
  </si>
  <si>
    <t>CICHINELLI, ANGEL EDUA</t>
  </si>
  <si>
    <t>MAMANI, LINO</t>
  </si>
  <si>
    <t>VILLEGAS, RAMON LAZA</t>
  </si>
  <si>
    <t>VENIER, MARIO NICOLAS</t>
  </si>
  <si>
    <t>GONZALEZ ROMERO, SA</t>
  </si>
  <si>
    <t>TALQUENCA, LILIANA NA</t>
  </si>
  <si>
    <t>ANGELERI, ANTONIO MIG</t>
  </si>
  <si>
    <t>PRAVATA, CIRO</t>
  </si>
  <si>
    <t>RUPPI DE GOMEZ, NELID</t>
  </si>
  <si>
    <t>GONZALEZ, BIBIANA</t>
  </si>
  <si>
    <t>ESPER, FERNANDO</t>
  </si>
  <si>
    <t>CAMINO, ESTEBAN</t>
  </si>
  <si>
    <t>24-6-13</t>
  </si>
  <si>
    <t>40-65</t>
  </si>
  <si>
    <t>39-30</t>
  </si>
  <si>
    <t>Hijuela Ibañez</t>
  </si>
  <si>
    <t>GONZALE LA RIVA ARISTEGUI FELIPE</t>
  </si>
  <si>
    <t>MATEU DE ARIZU, ESPERANZA</t>
  </si>
  <si>
    <t>VITIVINICOLA LOS ROBLES S.A.</t>
  </si>
  <si>
    <t>SONI, MATYAS</t>
  </si>
  <si>
    <t>SANJURJO FRANCISCO ANTONIO</t>
  </si>
  <si>
    <t>SANJURJO, JULIO ARGENTINO</t>
  </si>
  <si>
    <t>SANJURJO, HUGO HORACIO</t>
  </si>
  <si>
    <t>SANJURJO, ALDO BENITO</t>
  </si>
  <si>
    <t>SANJURJO, HORACIO HUGO</t>
  </si>
  <si>
    <t>CICHINELLI, PEDRO INOCENCIO</t>
  </si>
  <si>
    <t>ELASKAR, IBRAHIM ABIB</t>
  </si>
  <si>
    <t>BETRA POL S.A</t>
  </si>
  <si>
    <t xml:space="preserve">NAZAR ELASKAR, JOSE Y ELASKAR, </t>
  </si>
  <si>
    <t>MICCA D ANGELO, CARMELA</t>
  </si>
  <si>
    <t>ORTEGA, JUAN</t>
  </si>
  <si>
    <t xml:space="preserve">TARATETA VDA.DE GAGLIARDI </t>
  </si>
  <si>
    <t>GAGLIARDI FRANCISCO</t>
  </si>
  <si>
    <t>ASOCIACION VECINAL LA BAJADA</t>
  </si>
  <si>
    <t>33-11-6</t>
  </si>
  <si>
    <t>24-38</t>
  </si>
  <si>
    <t>37-34</t>
  </si>
  <si>
    <t>14-19</t>
  </si>
  <si>
    <t>22-9051</t>
  </si>
  <si>
    <t>Hijuela BARO</t>
  </si>
  <si>
    <t>C.D</t>
  </si>
  <si>
    <t>rec.</t>
  </si>
  <si>
    <t>BARO, HUGO EDGARDO</t>
  </si>
  <si>
    <t>IRUSTA, BENITO JORGE</t>
  </si>
  <si>
    <t>28-30</t>
  </si>
  <si>
    <t>Hijuela Nuñez</t>
  </si>
  <si>
    <t>TURNO RECORRIDO DE ARRIBA</t>
  </si>
  <si>
    <t>AMADEO MARAÑON BG</t>
  </si>
  <si>
    <t>BARO, JOSE LUIS</t>
  </si>
  <si>
    <t>GALLARDO, CARLOS</t>
  </si>
  <si>
    <t>CICHINELLI,  MIRTA FRANCISCA</t>
  </si>
  <si>
    <t>CICHINELLI, RAFAEL ALB</t>
  </si>
  <si>
    <t>GUIÑAZU, ARALDO AMIL</t>
  </si>
  <si>
    <t>GATANI, JUAN Y GATANI</t>
  </si>
  <si>
    <t>PELEGRINA, DIEGO</t>
  </si>
  <si>
    <t>NAVARRO,  ARMANDO MIGUEL</t>
  </si>
  <si>
    <t>OJEDA, RUFINO-SUCES</t>
  </si>
  <si>
    <t>MILLAN, ANDRES ANTON</t>
  </si>
  <si>
    <t>PEÑAFORT, PEDRO MAR</t>
  </si>
  <si>
    <t>CICHINELLI, ANGEL RAM</t>
  </si>
  <si>
    <t>CICHINELLI, PEDRO INOC</t>
  </si>
  <si>
    <t>GIANGIULIO, VIRGILIO</t>
  </si>
  <si>
    <t>VANRELL, JOSEFINA</t>
  </si>
  <si>
    <t>SANCHO, EDUARDO RA</t>
  </si>
  <si>
    <t>15-16-45</t>
  </si>
  <si>
    <t>34-41</t>
  </si>
  <si>
    <t>1-7-28</t>
  </si>
  <si>
    <t>Hijuela Villegas</t>
  </si>
  <si>
    <t>MIN.P/HA</t>
  </si>
  <si>
    <t>SARDI, ALEJANDRO JUAN Y SARDI, ALDO MARIO</t>
  </si>
  <si>
    <t>ALVAREZ, ORLANDO ALEJANDRO</t>
  </si>
  <si>
    <t>MATEU DE LOTTERO, ANTONIA MIRTA</t>
  </si>
  <si>
    <t>PATACÓN S.R.L.</t>
  </si>
  <si>
    <t>MATEU DE ARIZU, ESPERANZA ALICIA</t>
  </si>
  <si>
    <t>ARGUMEDO MORALES JUAN</t>
  </si>
  <si>
    <t>ARGUMEDO MORALES DE ROSSI, BLANCA FIOLETA</t>
  </si>
  <si>
    <t>PELLEGRINA, JUAN</t>
  </si>
  <si>
    <t>MORALES VDA.DE NU#EZ, JUANA MARIA</t>
  </si>
  <si>
    <t>Hijuela ARGUMEDO</t>
  </si>
  <si>
    <t xml:space="preserve">C.D. </t>
  </si>
  <si>
    <t>MIN.</t>
  </si>
  <si>
    <t>ARGUMEDO MORALES, JUAN IGNACIO</t>
  </si>
  <si>
    <t>SANJURJO, JUAN MANUEL</t>
  </si>
  <si>
    <t>MICCA DE SANJURJO, CARMELA</t>
  </si>
  <si>
    <t>13-19</t>
  </si>
  <si>
    <t>Hijuela Lourdes</t>
  </si>
  <si>
    <t>C.D.</t>
  </si>
  <si>
    <t>NIETO MENDOZA, JOSE</t>
  </si>
  <si>
    <t>1,456,144.25</t>
  </si>
  <si>
    <t>PATACON SA</t>
  </si>
  <si>
    <t>16-40-42-44-41-43-45-47-46-41</t>
  </si>
  <si>
    <t>Hijuela Maldonado ( Riili )</t>
  </si>
  <si>
    <t>SEGOVIA, ROSA CARMEN</t>
  </si>
  <si>
    <t>SEGOVIA, DANIEL</t>
  </si>
  <si>
    <t>SEGOVIA, JOSE MIGUEL</t>
  </si>
  <si>
    <t>SEGOVIA, CARLOS ANTONIO</t>
  </si>
  <si>
    <t>NAIR LA STAZIONE</t>
  </si>
  <si>
    <t>VERA, FRANCISCO</t>
  </si>
  <si>
    <t>SANTIAGO RIILI S.E.C.P.A.</t>
  </si>
  <si>
    <t>ASTORICA, YOLANDA ELBA</t>
  </si>
  <si>
    <t>BASILIO, EUGENIO DANIEL</t>
  </si>
  <si>
    <t>JULIO, EDUARDO ENRIQUE</t>
  </si>
  <si>
    <t>BRAVO, MARIO</t>
  </si>
  <si>
    <t>BUSTENCIO SAIRE ARMINDA</t>
  </si>
  <si>
    <t>ROSSINI, SONIA ELIZABETH</t>
  </si>
  <si>
    <t>HUARACHI VAZQUEZ, PAMELA</t>
  </si>
  <si>
    <t>SCHMIDT, ELLA MARGARITA</t>
  </si>
  <si>
    <t>BRUNACCI, VICENTE</t>
  </si>
  <si>
    <t>SANJURJO, GUSTAVO HORACIO</t>
  </si>
  <si>
    <t>5-1-12</t>
  </si>
  <si>
    <t>16-15</t>
  </si>
  <si>
    <t>7-17-19-14-13</t>
  </si>
  <si>
    <t>21-4</t>
  </si>
  <si>
    <t>Hijuela Quinteros</t>
  </si>
  <si>
    <t>RECORRIDO DE ARRIBA</t>
  </si>
  <si>
    <t>SUP.</t>
  </si>
  <si>
    <t>REC</t>
  </si>
  <si>
    <t>CASTRO, DIONISIO GER</t>
  </si>
  <si>
    <t>GOMEZ, ISABEL ELADIA</t>
  </si>
  <si>
    <t>CICHINELLI, RAFAEL</t>
  </si>
  <si>
    <t>QUINTEROS, RAFAEL</t>
  </si>
  <si>
    <t>PETRONGARI, ANTONIO</t>
  </si>
  <si>
    <t>ESPER, ANTONIO Y E</t>
  </si>
  <si>
    <t>SABATINI, VALENTIN</t>
  </si>
  <si>
    <t xml:space="preserve">ALDAYA, BONIFACIO Y </t>
  </si>
  <si>
    <t>GAMBOA DE FERNAND</t>
  </si>
  <si>
    <t>CORTEZ, ROMUALDO</t>
  </si>
  <si>
    <t>CORTEZ, ANTONIO ROM</t>
  </si>
  <si>
    <t xml:space="preserve">CORTEZ, JUAN </t>
  </si>
  <si>
    <t xml:space="preserve">CORTEZ, ARMANDO </t>
  </si>
  <si>
    <t xml:space="preserve">CORTEZ, ISABEL </t>
  </si>
  <si>
    <t>MUNICIPALIDAD DE LAVALLE</t>
  </si>
  <si>
    <t>si</t>
  </si>
  <si>
    <t>QUINTEROS, RITA Y A</t>
  </si>
  <si>
    <t>HERAS, ALDO VICTOR Y</t>
  </si>
  <si>
    <t>ZUCCATTO MACAGNAN</t>
  </si>
  <si>
    <t>VILLEGAS, RUBEN FEL</t>
  </si>
  <si>
    <t>ALLENDES, ESTEBAN</t>
  </si>
  <si>
    <t>DIUMENJO, RAUL HORA</t>
  </si>
  <si>
    <t>OZCARIZ, FRANCISCO</t>
  </si>
  <si>
    <t>3-17-57-21-30</t>
  </si>
  <si>
    <t>23-52-53-54-55-56</t>
  </si>
  <si>
    <t>45-44</t>
  </si>
  <si>
    <t>24-47-48-49-50</t>
  </si>
  <si>
    <t>8-15-16</t>
  </si>
  <si>
    <t>Toma exclusiva ( Giangiulio )</t>
  </si>
  <si>
    <t>GIANGIULIO, GILDO</t>
  </si>
  <si>
    <t>GIANGIULIO, JUAN ANTONIO</t>
  </si>
  <si>
    <t>SARTORIO DE GIANGIULIO</t>
  </si>
  <si>
    <t>MONTAÑA, EMILIO ABEL</t>
  </si>
  <si>
    <t>GIANGIULIO, ESTELA JU</t>
  </si>
  <si>
    <t>YERDEO EDGARDO</t>
  </si>
  <si>
    <t>GIANGIULIO, ALDO ANTONIO</t>
  </si>
  <si>
    <t>ESTRELLA, HAYDEE CECILIA</t>
  </si>
  <si>
    <t>10-21-9-37-40</t>
  </si>
  <si>
    <t>26-38-41</t>
  </si>
  <si>
    <t>3-27-30</t>
  </si>
  <si>
    <t>29-31-32</t>
  </si>
  <si>
    <t>Hijuela Barros</t>
  </si>
  <si>
    <t>QUATROCCHI DE FRANCO, MICAELA ARCANGELA</t>
  </si>
  <si>
    <t>VAZQUEZ, ANGEL HUMBERTO</t>
  </si>
  <si>
    <t>QUIROGA ROJAS, DORALIZA</t>
  </si>
  <si>
    <t>QUIROGA, MERCEDES</t>
  </si>
  <si>
    <t>ROJAS VDA.DE QUIROGA, GUILLERMINA</t>
  </si>
  <si>
    <t>ROJAS VDA.DE QUIROGA, GUILLERMINA Y QUATROCCHI, JOSE</t>
  </si>
  <si>
    <t>1-14-18-19-20</t>
  </si>
  <si>
    <t>Hijuela Gelvez</t>
  </si>
  <si>
    <t xml:space="preserve">     HIJUELAS</t>
  </si>
  <si>
    <t>RECO CL</t>
  </si>
  <si>
    <t>RECO HIJ</t>
  </si>
  <si>
    <t>DIRECTOS</t>
  </si>
  <si>
    <t>CUBELLS</t>
  </si>
  <si>
    <t>ARTERO</t>
  </si>
  <si>
    <t>DIAZ</t>
  </si>
  <si>
    <t>CABRERA</t>
  </si>
  <si>
    <t>SALOMON</t>
  </si>
  <si>
    <t>Hijuela Gelvez - DIRECTOS</t>
  </si>
  <si>
    <t>CUADRO DE TURNO CANAL BAJADA DE ARAUJO - Hijuela Gelvez</t>
  </si>
  <si>
    <t>SUP.P/RIEGO</t>
  </si>
  <si>
    <t>HAS.SI/NO</t>
  </si>
  <si>
    <t>AMADEO MARAÑON BGAS.Y VDOS.S.A.I.C.A.</t>
  </si>
  <si>
    <t>GOMEZ, DIEGO</t>
  </si>
  <si>
    <t>MENGONI, HECTOR NELSON</t>
  </si>
  <si>
    <t>DIAZ, GERONCIO</t>
  </si>
  <si>
    <t>MEDINA, ANGELINO</t>
  </si>
  <si>
    <t>CAMPIONE, ORLANDO SALVADOR</t>
  </si>
  <si>
    <t>ANDRE GUAQUINCHAY, DEMETRIO JOSE CIRILO</t>
  </si>
  <si>
    <t>TEJERO, JOSE MARIA</t>
  </si>
  <si>
    <t>TEJERO, MANUEL HUMBERTO</t>
  </si>
  <si>
    <t>TEJERO, CARLOS GREGORIO</t>
  </si>
  <si>
    <t>TEJERO, HECTOR MARTINIANO</t>
  </si>
  <si>
    <t>VILLEGAS, JUAN LAZARO</t>
  </si>
  <si>
    <t>ALONSO, ERNESTO</t>
  </si>
  <si>
    <t>FICARRA, CASPERO</t>
  </si>
  <si>
    <t>CALDERON VIUDA DE ARAUJO, MAGDALENA</t>
  </si>
  <si>
    <t>VILLEGAS, RUBEN FELIPE</t>
  </si>
  <si>
    <t>GUARDIA, DANIEL</t>
  </si>
  <si>
    <t>DIRECCION GENERAL DE ESCUELAS-(ESC.1-183-CORREO ARGENTINO-LAVALLE)</t>
  </si>
  <si>
    <t>ARGUMEDO MORALES, MARINA ARGENTINA</t>
  </si>
  <si>
    <t>HUMBERTO, IGNACIO PIO</t>
  </si>
  <si>
    <t>TOMERA, JUAN BAUTISTA</t>
  </si>
  <si>
    <t>CIPPOLLETTA DE TOMERA, ROSA</t>
  </si>
  <si>
    <t>CICHINELLI, RAFAEL ALBINO</t>
  </si>
  <si>
    <t>Hijuela Gelvez - CUBELLS</t>
  </si>
  <si>
    <t>GELVEZ, ARNULFO</t>
  </si>
  <si>
    <t>ROSSI, ANACLETO</t>
  </si>
  <si>
    <t>MARTINO, ESTEBAN</t>
  </si>
  <si>
    <t>SERPOLLI, VICENTE</t>
  </si>
  <si>
    <t>ARAUJO, MARIA ROSA</t>
  </si>
  <si>
    <t>ARAUJO, ANIBAL HERMES</t>
  </si>
  <si>
    <t>ARAUJO, MARTHA ROSARIO</t>
  </si>
  <si>
    <t>ZANIOLO, JOSE LORENZO</t>
  </si>
  <si>
    <t>DIAZ, FRANCISCO-SUCESORES-(HIJUEL DE PAGOS)</t>
  </si>
  <si>
    <t>NICOLOSI, FILADELFO</t>
  </si>
  <si>
    <t>DAFFUNCHIO, LUIS DELFIN</t>
  </si>
  <si>
    <t>LUCESOLE, MARTA</t>
  </si>
  <si>
    <t>ARAUJO QUIROGA, FERNANDO ALBERTO</t>
  </si>
  <si>
    <t>CALDENTEY, ANTONIO</t>
  </si>
  <si>
    <t>PASCOLO, ARTURO ALBERTO</t>
  </si>
  <si>
    <t>NUËEZ VERAS, ALFREDO</t>
  </si>
  <si>
    <t>NUÑEZ VERAS, ALFREDO INGUINIO</t>
  </si>
  <si>
    <t>CRUZ, PEDRO</t>
  </si>
  <si>
    <t>LODI DE GRECO, MARIA CRISTINA</t>
  </si>
  <si>
    <t>ARCE, ANTONIO JUAN</t>
  </si>
  <si>
    <t>BULGARELLI DE PASCOLO, PAULINA</t>
  </si>
  <si>
    <t>DIUMENJO GRIMALT, PEDRO</t>
  </si>
  <si>
    <t>DIUMENJO GRECO, PEDRO</t>
  </si>
  <si>
    <t>VERON, RAMON DIMAS</t>
  </si>
  <si>
    <t>AHUMADA, GREGORIO BERNARDINO</t>
  </si>
  <si>
    <t>DE LA LLANA, NICOLAS PASCUAL</t>
  </si>
  <si>
    <t>METLIP, EMILIO</t>
  </si>
  <si>
    <t>Hijuela Gelvez - Díaz</t>
  </si>
  <si>
    <t>BLANCHARD, REYNALDO</t>
  </si>
  <si>
    <t>YANZON, ELEODORO Y YANZON, ADELAIDA L. DE</t>
  </si>
  <si>
    <t>MARTI, BERNARDO</t>
  </si>
  <si>
    <t>MANVIELLI, EDUARDO</t>
  </si>
  <si>
    <t>MORALES, NICASIO SEGUNDO</t>
  </si>
  <si>
    <t>ROSSI VDA. DE DURI, JULIA</t>
  </si>
  <si>
    <t>MALDONADO, FRANCISCO</t>
  </si>
  <si>
    <t>PIZARRO, RAFAEL FLORINDO</t>
  </si>
  <si>
    <t>GONZALEZ, ERCILIA Y GONZALEZ, JUAN BAUTISTA</t>
  </si>
  <si>
    <t>DIAZ, AGUSTIN NOLBERTO</t>
  </si>
  <si>
    <t>0.0502</t>
  </si>
  <si>
    <t>DIAZ HERRERA, HERIBERTO; DIAZ HERRERA, ISABEL; DIAZ HERRERA, CESAR; DIA</t>
  </si>
  <si>
    <t>DIAZ HERRERA, NICOLASA</t>
  </si>
  <si>
    <t>DIAZ, FRANCISCO-SUCESORES</t>
  </si>
  <si>
    <t>Hijuela Gelvez - Artero</t>
  </si>
  <si>
    <t>PECETTI, JOSE</t>
  </si>
  <si>
    <t>PESCETTI, JOSE</t>
  </si>
  <si>
    <t>GARCIA, LUIS</t>
  </si>
  <si>
    <t>BARELLO, MARCELO</t>
  </si>
  <si>
    <t>BLANCHARD MONTES DE ROSSI, HILDA</t>
  </si>
  <si>
    <t>ROJAS, HECTOR ALFREDO</t>
  </si>
  <si>
    <t>Hijuela Gelvez - Cabrera</t>
  </si>
  <si>
    <t>OJEDA, DANIEL WALDINO Y OJEDA, JUAN RUFINO</t>
  </si>
  <si>
    <t>UNION VECINAL EL PARAISO DE LA COSTA</t>
  </si>
  <si>
    <t>SIMON, EDUARDO DANIEL Y RUAY, PATRICIA SUSANA</t>
  </si>
  <si>
    <t>ALANIZ, WALTER RUBEN</t>
  </si>
  <si>
    <t>LORENZO, PABLO DANIEL</t>
  </si>
  <si>
    <t>ALANIZ, OMAR ERNESTO</t>
  </si>
  <si>
    <t>SANTAMARINA, JOSE ALBERTO</t>
  </si>
  <si>
    <t>HERAS, PABLO Y HERAS, GUILLERMO</t>
  </si>
  <si>
    <t>SABATINI DE RODRIGUEZ, ELENA</t>
  </si>
  <si>
    <t>HERAS, GUILLERMO Y HERAS, PABLO</t>
  </si>
  <si>
    <t>SABATINI DE RODRIGUEZ, ELENA; DALLOSTA DE RIVERO, MARIA ROSA; DALLOSTA</t>
  </si>
  <si>
    <t>MANRESA, CRISTOBAL HUGO</t>
  </si>
  <si>
    <t>MANRESA, CRISTOBAL HUGO (Iglesias)</t>
  </si>
  <si>
    <t>GOMEZ, MARIA ISABEL Y GOMEZ, JULIA ESTER</t>
  </si>
  <si>
    <t>DALESIO, ORLANDO ITALO</t>
  </si>
  <si>
    <t>DIUMENJO, PEDRO Y DIUMENJO, RAUL HORACIO</t>
  </si>
  <si>
    <t>GIL, ELBA FORTUNATA</t>
  </si>
  <si>
    <t>CARMONA, MARTA ALBERTINA</t>
  </si>
  <si>
    <t>PEREZ, TERESA OLGA</t>
  </si>
  <si>
    <t>GALDEANO, JUAN DE DIOS</t>
  </si>
  <si>
    <t>DIAZ, PABLO ROBERTO</t>
  </si>
  <si>
    <t>DIAZ CARMONA DE QUINTEROS, ELISA A.</t>
  </si>
  <si>
    <t>DIAZ, RAMON AMADEO</t>
  </si>
  <si>
    <t>VILLEGAS, DIONISIO</t>
  </si>
  <si>
    <t>VITORIA DE BIANCHI, DIANA</t>
  </si>
  <si>
    <t>BIANCHI, JORGE ALBERTO</t>
  </si>
  <si>
    <t>SURACI GRASSO, ANTONIO DANIEL Y SURACI GRASSO, JOSE ALBERTO</t>
  </si>
  <si>
    <t>ARAUJO, JUAN ISIDRO</t>
  </si>
  <si>
    <t>Hijuela Gelvez - Salomón</t>
  </si>
  <si>
    <t>CLEMEN PELLEGRINI, CARLOS BENITO; CLEMEN PELLEGRINI, MARIO ANTONIO Y CL</t>
  </si>
  <si>
    <t>NEIDDU, JOSE ANDRES Y MARANO DE NEIDDU, ELVIRA</t>
  </si>
  <si>
    <t>MENDEZ VERA, SEBASTIANA</t>
  </si>
  <si>
    <t>COOPERATIVA CUYUM LTDA.(DE VIVIENDA,URBANIZACION Y CONSUMO)</t>
  </si>
  <si>
    <t>CORDOBA, MARTA ESTELA</t>
  </si>
  <si>
    <t>FERROCARRIL GENERAL SAN MARTIN-(ESTACION COSTA DE ARAUJO)</t>
  </si>
  <si>
    <t>MONTERO, VICTOR EMILIO</t>
  </si>
  <si>
    <t>NUÑEZ, LISANDRO</t>
  </si>
  <si>
    <t>NIEDDU, VICTORIO ROQUE</t>
  </si>
  <si>
    <t>GAROFOLI, PACIFICO</t>
  </si>
  <si>
    <t>DIAZ, FRANCISCO - SUC HIJOS</t>
  </si>
  <si>
    <t>HABJAN ANDRES ALEJANDRO</t>
  </si>
  <si>
    <t>PIAI, FRANCISCO ANGEL</t>
  </si>
  <si>
    <t>GELVEZ, BALDOMERA</t>
  </si>
  <si>
    <t>VILLEGAS, JOSE</t>
  </si>
  <si>
    <t>AZAGUATTE, AGUSTINA E. DE</t>
  </si>
  <si>
    <t>ZANI, JOSE-SUCESORES</t>
  </si>
  <si>
    <t>ZANNI, ALMIRO</t>
  </si>
  <si>
    <t>SABATTINI, JOSE ENRIQUE</t>
  </si>
  <si>
    <t>SABATTINI, JOSE ENRIQUE; VAZQUEZ, OSVALDO NOE FELIPE Y VAZQUEZ, BRIGIDA</t>
  </si>
  <si>
    <t>1-2-3</t>
  </si>
  <si>
    <t>140-184</t>
  </si>
  <si>
    <t>243-248-283-247</t>
  </si>
  <si>
    <t>292-293-297</t>
  </si>
  <si>
    <t>7-71</t>
  </si>
  <si>
    <t>303-308-88-159</t>
  </si>
  <si>
    <t>101-209</t>
  </si>
  <si>
    <t>89-104-106-108-109-110-111-112-113-122</t>
  </si>
  <si>
    <t>298-299</t>
  </si>
  <si>
    <t>314-315-316-317</t>
  </si>
  <si>
    <t>307-274</t>
  </si>
  <si>
    <t>138-170-256</t>
  </si>
  <si>
    <t>276-333-334-277</t>
  </si>
  <si>
    <t>332-331</t>
  </si>
  <si>
    <t>31-309</t>
  </si>
  <si>
    <t>Hijuela Morón</t>
  </si>
  <si>
    <t>Reccorr. Hijuelas</t>
  </si>
  <si>
    <t>DIRECTOS A</t>
  </si>
  <si>
    <t>DIRECTOS B</t>
  </si>
  <si>
    <t>ARAUJO</t>
  </si>
  <si>
    <t>AVENA</t>
  </si>
  <si>
    <t>PLAZA</t>
  </si>
  <si>
    <t>ARROZ</t>
  </si>
  <si>
    <t>BELGRANO</t>
  </si>
  <si>
    <t>PELEGRINA</t>
  </si>
  <si>
    <t>Hijuela Morón - DIRECTOS A</t>
  </si>
  <si>
    <t>CUADRO DE TURNO CANAL BAJADA DE ARAUJO - Hijuela Morón</t>
  </si>
  <si>
    <t>C.C.</t>
  </si>
  <si>
    <t>SUP.EMP.</t>
  </si>
  <si>
    <t>SUP. P/RIEGO</t>
  </si>
  <si>
    <t>NOMBRE- RAZON SOCIAL</t>
  </si>
  <si>
    <t>HAS. SI</t>
  </si>
  <si>
    <t>ZANCANELLA, JOSE MARIO Y ZANCANELLA, JORGE MARIO</t>
  </si>
  <si>
    <t>SIFUENTES, FRANCISCO-SUCESORES</t>
  </si>
  <si>
    <t>MANRESA, BARTOLOME</t>
  </si>
  <si>
    <t>LARRIQUETA, MARIO LAZARO</t>
  </si>
  <si>
    <t>LARRIQUETA DE MARAñON, NELLY ANGELA</t>
  </si>
  <si>
    <t>LOS VASCOS AGROPECUARIA S.A.</t>
  </si>
  <si>
    <t>ALLENDE, GABRIEL CARLOS</t>
  </si>
  <si>
    <t>MAS, ROLANDO BARTOLO Y MAS, FERNANDO DOMINGO</t>
  </si>
  <si>
    <t>Hijuela Morón - BELGRANO</t>
  </si>
  <si>
    <t>TEJERO MOLINA, ELISEO</t>
  </si>
  <si>
    <t>LOPEZ, SERAFIN</t>
  </si>
  <si>
    <t>FAMA, JOSE</t>
  </si>
  <si>
    <t>TARIFA, JUAN Y DE LA TORRES DE TARIFA, ELENA</t>
  </si>
  <si>
    <t>TARIFA DE PELEGRINA, GLADYS ELENA</t>
  </si>
  <si>
    <t>WOLFAR, ENRIQUE</t>
  </si>
  <si>
    <t>HITA, ROBERTO FERMIN</t>
  </si>
  <si>
    <t>GOMEZ ROMAN, MANUELA</t>
  </si>
  <si>
    <t>RODRIGUEZ DE GONZALEZ, GERONIMA Y RODRIGUEZ, SILVIA DEL CARMEN</t>
  </si>
  <si>
    <t>GIMENEZ ALONSO, IGNACIO</t>
  </si>
  <si>
    <t>CICCHINELLI, RAFAEL ALBINO Y MITRE, NAZRE EDUARDO</t>
  </si>
  <si>
    <t>Hijuela Morón - PELLEGRINA</t>
  </si>
  <si>
    <t>MOLINA VDA.DE TEJERO, MARIA</t>
  </si>
  <si>
    <t>MOLINA VDA. DE TEJERO, MARIA</t>
  </si>
  <si>
    <t>SANJURJO, ALDO BENITO Y VICO DE SANJURJO, NORMA GLORA</t>
  </si>
  <si>
    <t>VICO DE SANJURJO, NORMA GLORIA</t>
  </si>
  <si>
    <t>VICO DE BOREL, VICTORIA EDDA</t>
  </si>
  <si>
    <t>BONILLA, RAFAEL Y BONILLA, MANUEL</t>
  </si>
  <si>
    <t>MARTIN, JOSE ALONSO</t>
  </si>
  <si>
    <t>PELEGRINA, OSCAR</t>
  </si>
  <si>
    <t>PELEGRINA, ANTONIO Y PELEGRINA, JUAN</t>
  </si>
  <si>
    <t>LOPEZ, FRANCISCO MARCOS Y MARTINEZ, VICTORIA ESTELA</t>
  </si>
  <si>
    <t>Hijuela Morón - DIRECTOS B</t>
  </si>
  <si>
    <t>YERDEO ALEJANDRO</t>
  </si>
  <si>
    <t>SACCAVINO, GINO BONIFACIO</t>
  </si>
  <si>
    <t>SACCAVINO, ROBERTO EPIFANIO</t>
  </si>
  <si>
    <t>FIGUEROA, BIENVENIDO</t>
  </si>
  <si>
    <t>SANCHEZ CASARA, JOSE ANGEL</t>
  </si>
  <si>
    <t>MATTOLINI, OSCAR LEANDRO</t>
  </si>
  <si>
    <t>SANCHEZ, ISABEL ELENA</t>
  </si>
  <si>
    <t>GIMENEZ, TERESA</t>
  </si>
  <si>
    <t>PUGA, ELIO ERNESTO</t>
  </si>
  <si>
    <t>LEONFORTE, RAUL GUILLERMO</t>
  </si>
  <si>
    <t>CASTRO, ROLANDO EXEQUIEL</t>
  </si>
  <si>
    <t>CASTRO, ROLANDO EXEQUIEL(Guaquinchay)</t>
  </si>
  <si>
    <t>SANCHEZ DE MARTINO, JOSEFINA</t>
  </si>
  <si>
    <t>Hijuela Morón - ARAUJO</t>
  </si>
  <si>
    <t>MANRESA, ROSALIO ENRIQUE</t>
  </si>
  <si>
    <t>CASTRO, MARIA EVA</t>
  </si>
  <si>
    <t>HERAS, PABLO</t>
  </si>
  <si>
    <t>LUIS TONELLI LTDA.S.A.; DONDERO VDA.DE CAVAGNARO, TERESA; CAVAGANARO DE</t>
  </si>
  <si>
    <t>LUIS TONELLI S.A.LTDA.</t>
  </si>
  <si>
    <t>CIPOLLETTA, ROBERTO LUIS</t>
  </si>
  <si>
    <t>GRIMALT, JOSE</t>
  </si>
  <si>
    <t>ALONSO, MARIELA</t>
  </si>
  <si>
    <t>YGLESIAS, ROGELIO</t>
  </si>
  <si>
    <t>Hijuela Morón - RAMA AVENA</t>
  </si>
  <si>
    <t>MAURO, ALEJANDRO Y RUIZ DE MAURO, HILDA</t>
  </si>
  <si>
    <t>CALDERON LAURIANO ALCIDES</t>
  </si>
  <si>
    <t>HERAS, ALDO DUILIO</t>
  </si>
  <si>
    <t>SANCHEZ CASARA, JUAN ROMULO</t>
  </si>
  <si>
    <t>SANCHEZ, JOSE ANGEL</t>
  </si>
  <si>
    <t>BONILLA, ALONSO NICOLAS</t>
  </si>
  <si>
    <t>COSTA DE ARAUJO -COOPERATIVA VITIVINICOLA</t>
  </si>
  <si>
    <t>LOPEZ, JUAN JOSE Y LOPEZ, IGNACIO</t>
  </si>
  <si>
    <t>YGLESIA, ROGELIO</t>
  </si>
  <si>
    <t>LOPEZ ROSA, IGNACIO</t>
  </si>
  <si>
    <t>Hijuela Morón - RAMA PLAZA</t>
  </si>
  <si>
    <t>MEDINA MORALES, JULIO CESAR; MEDINA MORALES, JUANA FILOMENA; MEDINA MOR</t>
  </si>
  <si>
    <t>BOREL, PABLO</t>
  </si>
  <si>
    <t>ALBERTTI, JUAN</t>
  </si>
  <si>
    <t>MANRESA, BARTOLOME EDGARDO</t>
  </si>
  <si>
    <t>VILLEGAS, ANASTACIO</t>
  </si>
  <si>
    <t>BARROSO, CARINA GABRIELA Y BARROSO, IVANA HAYDEE</t>
  </si>
  <si>
    <t>OLAIZ, FELIX</t>
  </si>
  <si>
    <t>OLAIZ, ALEJANDRO FELIX</t>
  </si>
  <si>
    <t>LOPEZ, ROMULO</t>
  </si>
  <si>
    <t>GARCIA SANCHEZ, DOMINGO</t>
  </si>
  <si>
    <t>GARCIA SANCHEZ, DOMINGO; GARCIA SANCHEZ, GERARDO; GARCIA SANCHEZ, ODULI</t>
  </si>
  <si>
    <t>ZANIOLO, MICHELE Y GRIFFOULIER DE ZANIOLO, LEONTINA ALICIA</t>
  </si>
  <si>
    <t>TERRANOVA DE MARIANETTI, MARIA Y MARIANETTI, EMILIO</t>
  </si>
  <si>
    <t>Hijuela Morón - RAMA ARROZ</t>
  </si>
  <si>
    <t>SANCHEZ, FRANCISCO APOLINARIO</t>
  </si>
  <si>
    <t>SANCHEZ, ELVIRA ANICETA</t>
  </si>
  <si>
    <t>OVIEDO, JORGE OMAR</t>
  </si>
  <si>
    <t>ZIMINO, ANGELA AMELIA; ZIMINO, MARIA ISABEL Y ZIMINO, PASCUAL ALBERTO</t>
  </si>
  <si>
    <t>AZCURRA, ELIO CARLOS</t>
  </si>
  <si>
    <t>FERNANDEZ, ANGEL DEL ROSARIO</t>
  </si>
  <si>
    <t>MIRANDA, PEDRO ANTONIO-SUCESORES</t>
  </si>
  <si>
    <t>ROSALES, GABRIEL</t>
  </si>
  <si>
    <t>Hijuela Morón - DIRECTOS C</t>
  </si>
  <si>
    <t>NICOLOSI SCORDO, ANTONIO</t>
  </si>
  <si>
    <t>DIAZ, JORGE ADRIANO</t>
  </si>
  <si>
    <t>ALANIZ, CARLOS</t>
  </si>
  <si>
    <t>RODRIGUEZ, ISMAEL ENRIQUE</t>
  </si>
  <si>
    <t>DON ENRIQUE S.R.L.</t>
  </si>
  <si>
    <t>YERDEO, ALEJANDRO AMADO</t>
  </si>
  <si>
    <t>209-283</t>
  </si>
  <si>
    <t>60-69</t>
  </si>
  <si>
    <t>64-87</t>
  </si>
  <si>
    <t>263-264</t>
  </si>
  <si>
    <t>185-186-246-252-255-75</t>
  </si>
  <si>
    <t>194-195</t>
  </si>
  <si>
    <t>279-215</t>
  </si>
  <si>
    <t>11-257</t>
  </si>
  <si>
    <t>12-181</t>
  </si>
  <si>
    <t>13-281</t>
  </si>
  <si>
    <t>101-112-167-169</t>
  </si>
  <si>
    <t>170-211</t>
  </si>
  <si>
    <t>9-20</t>
  </si>
  <si>
    <t>180-233-234-235</t>
  </si>
  <si>
    <t>269-270</t>
  </si>
  <si>
    <t>51-86</t>
  </si>
  <si>
    <t>221-222</t>
  </si>
  <si>
    <t>151-216-217</t>
  </si>
  <si>
    <t>40-224-225-227-228-229</t>
  </si>
  <si>
    <t>203-204</t>
  </si>
  <si>
    <r>
      <t xml:space="preserve">                                                                 </t>
    </r>
    <r>
      <rPr>
        <i/>
        <u/>
        <sz val="12"/>
        <rFont val="Arial CE"/>
        <family val="2"/>
        <charset val="238"/>
      </rPr>
      <t>N   O   T   I   F   I   C   A   C   I   O   N</t>
    </r>
  </si>
  <si>
    <t xml:space="preserve">                                                                          ASAMBLEA ORDINARIA</t>
  </si>
  <si>
    <t xml:space="preserve">                                          INSPECCION CANAL BAJADA DE ARAUJO</t>
  </si>
  <si>
    <t xml:space="preserve">                                                         En Lavalle, a los  …..dias del mes de Mayo de dos mil cinco,se recibe constancia de notificacion  de Asamblea Ordinaria</t>
  </si>
  <si>
    <t xml:space="preserve">                                                      a realizarce el día 30 de Mayo de 2.005 a las 18:00 hs., en "Salon Don Nicola", sito en calle Belgrano 465, </t>
  </si>
  <si>
    <t xml:space="preserve">                                                                                                                      Costa de Araujo - Lavalle.</t>
  </si>
  <si>
    <t>TITULAR</t>
  </si>
  <si>
    <t>ACLARACION</t>
  </si>
  <si>
    <t>ORIHURLA, DIONISIO HUARACHI</t>
  </si>
  <si>
    <t>CORNEJO, BERNABE</t>
  </si>
  <si>
    <t>MIGUEZ, FRANCISCA NORA</t>
  </si>
  <si>
    <t>CAGGIANO DE MORAL</t>
  </si>
  <si>
    <t xml:space="preserve">HILBING, ROLANDO </t>
  </si>
  <si>
    <t>ARAUJO,MARTIN SUCESO</t>
  </si>
  <si>
    <t>QUIROGA, ALFREDO ENZ</t>
  </si>
  <si>
    <t xml:space="preserve">FERNANDEZ, FERNANDO </t>
  </si>
  <si>
    <t>NASSIVERA, ANTONIO</t>
  </si>
  <si>
    <t>LANFRANCONI, CARLOS</t>
  </si>
  <si>
    <t>BONILLA, JOSE JOAQUIN</t>
  </si>
  <si>
    <t>MATEU RIERA, MIGUEL</t>
  </si>
  <si>
    <t>SANCHEZ, MANUEL Y MARTINEZ, LUIS</t>
  </si>
  <si>
    <t>SANCHEZ, EUGENIO EMI</t>
  </si>
  <si>
    <t>NADAL DE FERNANDEZ</t>
  </si>
  <si>
    <t>CICHINELLI, ANTONIO DE</t>
  </si>
  <si>
    <t>E.C.U.-S.R.L.</t>
  </si>
  <si>
    <t>PRAVATA, JOSE</t>
  </si>
  <si>
    <t>COMECO LTDA.</t>
  </si>
  <si>
    <t>VAZQUEZ, SEGUNDO</t>
  </si>
  <si>
    <t>CAPPELLO, CESAR HUM</t>
  </si>
  <si>
    <t xml:space="preserve">GIANGIULIO, NELIDA DE </t>
  </si>
  <si>
    <t>DIRECCION GENERAL DE ESCUELAS-(ESC.1-183-CORREO</t>
  </si>
  <si>
    <t xml:space="preserve">DIAZ HERRERA, HERIBERTO; DIAZ HERRERA, ISABEL; </t>
  </si>
  <si>
    <t>SABATINI DE RODRIGUEZ, ELENA; DALLOSTA DE RIVERO</t>
  </si>
  <si>
    <t>307 Y 274</t>
  </si>
  <si>
    <t>CLEMEN PELLEGRINI, CARLOS BENITO; CLEMEN PELLEG</t>
  </si>
  <si>
    <t>COOPERATIVA CUYUM LTDA.(DE VIVIENDA,URBANIZA</t>
  </si>
  <si>
    <t>FERROCARRIL GENERAL SAN MARTIN-(ESTACION C</t>
  </si>
  <si>
    <t>SABATTINI, JOSE ENRIQUE; VAZQUEZ, OSVALDO NOE FEL</t>
  </si>
  <si>
    <t>RODRIGUEZ DE GONZALEZ, GERONIMA Y RODRIGUEZ</t>
  </si>
  <si>
    <t>RODRIGUEZ DE GONZALEZ, GERONIMA Y RODRIGUE</t>
  </si>
  <si>
    <t>RODRIGUEZ DE GONZALEZ, GERONIMA Y RODRIGU</t>
  </si>
  <si>
    <t>215 Y 279</t>
  </si>
  <si>
    <t>LUIS TONELLI LTDA.S.A.; DONDERO VDA.DE CAVAGNARO</t>
  </si>
  <si>
    <t>RIGHI, VICTORIO Y RIGHI, ANGEL VICENTE</t>
  </si>
  <si>
    <t xml:space="preserve">MEDINA MORALES, JULIO CESAR; MEDINA MORALES, </t>
  </si>
  <si>
    <t>GARCIA SANCHEZ, DOMINGO; GARCIA SANCHEZ, GERAR</t>
  </si>
  <si>
    <t>ZIMINO, ANGELA AMELIA; ZIMINO, MARIA ISABEL Y ZIMI</t>
  </si>
  <si>
    <t>217 y 216</t>
  </si>
  <si>
    <t>RODRIGUEZ DE GONZALEZ, GERONIMA Y RODRIGUEZ, S</t>
  </si>
  <si>
    <t>SEGUNDA ARAUJO</t>
  </si>
  <si>
    <t>DISTRIBUCION DE CUPOS</t>
  </si>
  <si>
    <t>MTS. TOTALES</t>
  </si>
  <si>
    <t>Has total</t>
  </si>
  <si>
    <t>mts/has.</t>
  </si>
  <si>
    <t>N°ORDEN</t>
  </si>
  <si>
    <t>Directos</t>
  </si>
  <si>
    <t>mts</t>
  </si>
  <si>
    <t>Díaz</t>
  </si>
  <si>
    <t>Artero</t>
  </si>
  <si>
    <t>Cabrera</t>
  </si>
  <si>
    <t>Mts. totales</t>
  </si>
  <si>
    <t>mts/has</t>
  </si>
  <si>
    <t>Salomón</t>
  </si>
  <si>
    <t>Mts.totales</t>
  </si>
  <si>
    <t>Horas turno</t>
  </si>
  <si>
    <t>Min. Total</t>
  </si>
  <si>
    <t xml:space="preserve">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</si>
</sst>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 &quot;$&quot;\ * #,##0.00_ ;_ &quot;$&quot;\ * \-#,##0.00_ ;_ &quot;$&quot;\ * &quot;-&quot;??_ ;_ @_ "/>
    <numFmt numFmtId="164" formatCode="_-* #,##0.00_-;\-* #,##0.00_-;_-* &quot;-&quot;??_-;_-@_-"/>
    <numFmt numFmtId="165" formatCode="0.0000"/>
    <numFmt numFmtId="166" formatCode="_ * #,##0_ ;_ * \-#,##0_ ;_ * &quot;-&quot;??_ ;_ @_ "/>
    <numFmt numFmtId="167" formatCode="_-* #,##0\ _p_t_a_-;\-* #,##0\ _p_t_a_-;_-* &quot;-&quot;??\ _p_t_a_-;_-@_-"/>
    <numFmt numFmtId="168" formatCode="0.0000;[Red]0.0000"/>
    <numFmt numFmtId="169" formatCode="0.000"/>
    <numFmt numFmtId="170" formatCode="0.0"/>
    <numFmt numFmtId="171" formatCode="[h]:mm"/>
    <numFmt numFmtId="172" formatCode="_-* #,##0.000\ _p_t_a_-;\-* #,##0.000\ _p_t_a_-;_-* &quot;-&quot;??\ _p_t_a_-;_-@_-"/>
    <numFmt numFmtId="173" formatCode="_-* #,##0.0000\ _p_t_a_-;\-* #,##0.0000\ _p_t_a_-;_-* &quot;-&quot;??\ _p_t_a_-;_-@_-"/>
    <numFmt numFmtId="174" formatCode="mm"/>
    <numFmt numFmtId="175" formatCode="[h]"/>
  </numFmts>
  <fonts count="32">
    <font>
      <sz val="10"/>
      <name val="Arial"/>
    </font>
    <font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name val="Arial CE"/>
      <family val="2"/>
      <charset val="238"/>
    </font>
    <font>
      <i/>
      <sz val="12"/>
      <name val="Arial CE"/>
      <family val="2"/>
      <charset val="238"/>
    </font>
    <font>
      <i/>
      <u/>
      <sz val="12"/>
      <name val="Arial CE"/>
      <family val="2"/>
      <charset val="238"/>
    </font>
    <font>
      <b/>
      <i/>
      <sz val="10"/>
      <name val="Comic Sans MS"/>
      <family val="4"/>
    </font>
    <font>
      <i/>
      <sz val="9"/>
      <name val="Arial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sz val="11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48"/>
      <name val="Arial"/>
      <family val="2"/>
    </font>
    <font>
      <b/>
      <sz val="12"/>
      <color indexed="48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98">
    <xf numFmtId="0" fontId="0" fillId="0" borderId="0" xfId="0"/>
    <xf numFmtId="0" fontId="2" fillId="0" borderId="0" xfId="0" applyFont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165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1" fontId="5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1" applyNumberFormat="1" applyFont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4" xfId="0" applyBorder="1"/>
    <xf numFmtId="165" fontId="0" fillId="0" borderId="0" xfId="0" applyNumberFormat="1" applyBorder="1" applyAlignment="1">
      <alignment horizontal="center"/>
    </xf>
    <xf numFmtId="0" fontId="4" fillId="0" borderId="0" xfId="0" applyFont="1" applyBorder="1"/>
    <xf numFmtId="165" fontId="0" fillId="0" borderId="1" xfId="0" applyNumberFormat="1" applyFill="1" applyBorder="1" applyAlignment="1">
      <alignment horizontal="center"/>
    </xf>
    <xf numFmtId="165" fontId="0" fillId="0" borderId="1" xfId="0" applyNumberFormat="1" applyBorder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1" xfId="0" applyNumberFormat="1" applyBorder="1"/>
    <xf numFmtId="0" fontId="0" fillId="0" borderId="9" xfId="0" applyBorder="1"/>
    <xf numFmtId="0" fontId="0" fillId="0" borderId="10" xfId="0" applyBorder="1"/>
    <xf numFmtId="165" fontId="0" fillId="0" borderId="10" xfId="0" applyNumberFormat="1" applyBorder="1"/>
    <xf numFmtId="0" fontId="0" fillId="0" borderId="11" xfId="0" applyBorder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" fontId="4" fillId="0" borderId="0" xfId="0" applyNumberFormat="1" applyFont="1" applyBorder="1"/>
    <xf numFmtId="20" fontId="0" fillId="0" borderId="0" xfId="0" applyNumberFormat="1" applyBorder="1"/>
    <xf numFmtId="165" fontId="0" fillId="0" borderId="10" xfId="0" applyNumberFormat="1" applyBorder="1" applyAlignment="1">
      <alignment horizontal="center"/>
    </xf>
    <xf numFmtId="0" fontId="0" fillId="0" borderId="13" xfId="0" applyBorder="1"/>
    <xf numFmtId="165" fontId="0" fillId="0" borderId="10" xfId="1" applyNumberFormat="1" applyFont="1" applyBorder="1" applyAlignment="1">
      <alignment horizontal="center"/>
    </xf>
    <xf numFmtId="1" fontId="0" fillId="0" borderId="1" xfId="0" applyNumberFormat="1" applyBorder="1"/>
    <xf numFmtId="165" fontId="0" fillId="0" borderId="14" xfId="0" applyNumberFormat="1" applyBorder="1" applyAlignment="1">
      <alignment horizontal="right"/>
    </xf>
    <xf numFmtId="168" fontId="0" fillId="0" borderId="1" xfId="0" applyNumberFormat="1" applyBorder="1" applyAlignment="1">
      <alignment horizontal="center"/>
    </xf>
    <xf numFmtId="165" fontId="0" fillId="0" borderId="10" xfId="0" applyNumberFormat="1" applyBorder="1" applyAlignment="1">
      <alignment horizontal="right"/>
    </xf>
    <xf numFmtId="0" fontId="5" fillId="0" borderId="0" xfId="0" applyFont="1"/>
    <xf numFmtId="167" fontId="0" fillId="0" borderId="1" xfId="0" applyNumberFormat="1" applyBorder="1"/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4" xfId="0" applyBorder="1"/>
    <xf numFmtId="0" fontId="0" fillId="0" borderId="18" xfId="0" applyBorder="1"/>
    <xf numFmtId="0" fontId="0" fillId="0" borderId="16" xfId="0" applyBorder="1"/>
    <xf numFmtId="0" fontId="0" fillId="2" borderId="18" xfId="0" applyFill="1" applyBorder="1" applyAlignment="1">
      <alignment horizontal="justify" vertical="top"/>
    </xf>
    <xf numFmtId="0" fontId="0" fillId="2" borderId="15" xfId="0" applyFill="1" applyBorder="1" applyAlignment="1">
      <alignment horizontal="justify" vertical="top"/>
    </xf>
    <xf numFmtId="0" fontId="0" fillId="2" borderId="16" xfId="0" applyFill="1" applyBorder="1" applyAlignment="1">
      <alignment horizontal="justify" vertical="top"/>
    </xf>
    <xf numFmtId="0" fontId="0" fillId="2" borderId="0" xfId="0" applyFill="1" applyAlignment="1">
      <alignment horizontal="justify" vertical="top"/>
    </xf>
    <xf numFmtId="0" fontId="0" fillId="0" borderId="15" xfId="0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1" xfId="0" applyFill="1" applyBorder="1"/>
    <xf numFmtId="165" fontId="0" fillId="0" borderId="3" xfId="0" applyNumberFormat="1" applyBorder="1"/>
    <xf numFmtId="0" fontId="0" fillId="2" borderId="19" xfId="0" applyFill="1" applyBorder="1"/>
    <xf numFmtId="0" fontId="0" fillId="2" borderId="14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4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171" fontId="0" fillId="0" borderId="0" xfId="0" applyNumberFormat="1"/>
    <xf numFmtId="165" fontId="0" fillId="0" borderId="0" xfId="0" applyNumberFormat="1" applyBorder="1"/>
    <xf numFmtId="0" fontId="5" fillId="0" borderId="0" xfId="0" applyFont="1" applyBorder="1"/>
    <xf numFmtId="0" fontId="0" fillId="0" borderId="8" xfId="0" applyFill="1" applyBorder="1" applyAlignment="1">
      <alignment horizontal="center"/>
    </xf>
    <xf numFmtId="0" fontId="0" fillId="0" borderId="1" xfId="0" applyFill="1" applyBorder="1"/>
    <xf numFmtId="165" fontId="0" fillId="0" borderId="1" xfId="0" applyNumberFormat="1" applyFill="1" applyBorder="1" applyAlignment="1">
      <alignment horizontal="right"/>
    </xf>
    <xf numFmtId="0" fontId="0" fillId="0" borderId="0" xfId="0" applyFill="1"/>
    <xf numFmtId="1" fontId="0" fillId="0" borderId="2" xfId="0" applyNumberFormat="1" applyBorder="1"/>
    <xf numFmtId="0" fontId="0" fillId="2" borderId="4" xfId="0" applyFill="1" applyBorder="1"/>
    <xf numFmtId="0" fontId="0" fillId="2" borderId="0" xfId="0" applyFill="1" applyBorder="1"/>
    <xf numFmtId="0" fontId="0" fillId="2" borderId="25" xfId="0" applyFill="1" applyBorder="1"/>
    <xf numFmtId="0" fontId="0" fillId="2" borderId="24" xfId="0" applyFill="1" applyBorder="1"/>
    <xf numFmtId="4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73" fontId="0" fillId="0" borderId="1" xfId="0" applyNumberFormat="1" applyBorder="1"/>
    <xf numFmtId="165" fontId="0" fillId="0" borderId="19" xfId="0" applyNumberFormat="1" applyBorder="1" applyAlignment="1">
      <alignment horizontal="right"/>
    </xf>
    <xf numFmtId="1" fontId="0" fillId="0" borderId="0" xfId="0" applyNumberFormat="1" applyBorder="1"/>
    <xf numFmtId="171" fontId="0" fillId="0" borderId="0" xfId="0" applyNumberFormat="1" applyBorder="1"/>
    <xf numFmtId="171" fontId="0" fillId="0" borderId="14" xfId="0" applyNumberFormat="1" applyBorder="1"/>
    <xf numFmtId="0" fontId="0" fillId="0" borderId="26" xfId="0" applyBorder="1" applyAlignment="1">
      <alignment horizontal="center"/>
    </xf>
    <xf numFmtId="0" fontId="0" fillId="0" borderId="19" xfId="0" applyBorder="1"/>
    <xf numFmtId="165" fontId="0" fillId="0" borderId="14" xfId="0" applyNumberFormat="1" applyBorder="1"/>
    <xf numFmtId="173" fontId="0" fillId="0" borderId="1" xfId="0" applyNumberFormat="1" applyFill="1" applyBorder="1"/>
    <xf numFmtId="172" fontId="0" fillId="0" borderId="1" xfId="0" applyNumberFormat="1" applyBorder="1"/>
    <xf numFmtId="173" fontId="0" fillId="0" borderId="1" xfId="0" applyNumberFormat="1" applyBorder="1" applyAlignment="1"/>
    <xf numFmtId="173" fontId="0" fillId="0" borderId="0" xfId="0" applyNumberFormat="1" applyBorder="1"/>
    <xf numFmtId="166" fontId="0" fillId="0" borderId="0" xfId="0" applyNumberFormat="1" applyBorder="1"/>
    <xf numFmtId="1" fontId="0" fillId="0" borderId="0" xfId="0" applyNumberFormat="1" applyBorder="1" applyAlignment="1">
      <alignment horizontal="right"/>
    </xf>
    <xf numFmtId="0" fontId="0" fillId="0" borderId="1" xfId="0" applyBorder="1" applyAlignment="1">
      <alignment horizontal="justify" vertical="top"/>
    </xf>
    <xf numFmtId="173" fontId="0" fillId="0" borderId="1" xfId="0" applyNumberFormat="1" applyBorder="1" applyAlignment="1">
      <alignment horizontal="center"/>
    </xf>
    <xf numFmtId="0" fontId="0" fillId="0" borderId="0" xfId="0" applyFill="1" applyBorder="1"/>
    <xf numFmtId="165" fontId="0" fillId="0" borderId="14" xfId="0" applyNumberForma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6" fontId="0" fillId="0" borderId="0" xfId="1" applyNumberFormat="1" applyFont="1" applyBorder="1"/>
    <xf numFmtId="0" fontId="4" fillId="0" borderId="1" xfId="0" applyFont="1" applyBorder="1"/>
    <xf numFmtId="0" fontId="0" fillId="0" borderId="1" xfId="0" applyBorder="1" applyAlignment="1"/>
    <xf numFmtId="0" fontId="0" fillId="2" borderId="20" xfId="0" applyFill="1" applyBorder="1"/>
    <xf numFmtId="0" fontId="0" fillId="2" borderId="27" xfId="0" applyFill="1" applyBorder="1"/>
    <xf numFmtId="0" fontId="0" fillId="2" borderId="21" xfId="0" applyFill="1" applyBorder="1"/>
    <xf numFmtId="0" fontId="0" fillId="2" borderId="22" xfId="0" applyFill="1" applyBorder="1"/>
    <xf numFmtId="0" fontId="6" fillId="2" borderId="4" xfId="0" applyFont="1" applyFill="1" applyBorder="1"/>
    <xf numFmtId="0" fontId="6" fillId="2" borderId="0" xfId="0" applyFont="1" applyFill="1" applyBorder="1"/>
    <xf numFmtId="0" fontId="7" fillId="2" borderId="0" xfId="0" applyFont="1" applyFill="1" applyBorder="1"/>
    <xf numFmtId="0" fontId="9" fillId="2" borderId="0" xfId="0" applyFont="1" applyFill="1" applyBorder="1"/>
    <xf numFmtId="0" fontId="10" fillId="2" borderId="4" xfId="0" applyFont="1" applyFill="1" applyBorder="1"/>
    <xf numFmtId="0" fontId="11" fillId="2" borderId="0" xfId="0" applyFont="1" applyFill="1" applyBorder="1"/>
    <xf numFmtId="0" fontId="11" fillId="2" borderId="4" xfId="0" applyFont="1" applyFill="1" applyBorder="1"/>
    <xf numFmtId="0" fontId="11" fillId="2" borderId="23" xfId="0" applyFont="1" applyFill="1" applyBorder="1"/>
    <xf numFmtId="0" fontId="11" fillId="2" borderId="25" xfId="0" applyFont="1" applyFill="1" applyBorder="1"/>
    <xf numFmtId="0" fontId="0" fillId="0" borderId="22" xfId="0" applyBorder="1"/>
    <xf numFmtId="173" fontId="0" fillId="0" borderId="19" xfId="0" applyNumberFormat="1" applyBorder="1"/>
    <xf numFmtId="173" fontId="0" fillId="0" borderId="14" xfId="0" applyNumberFormat="1" applyBorder="1"/>
    <xf numFmtId="22" fontId="0" fillId="0" borderId="0" xfId="0" applyNumberFormat="1"/>
    <xf numFmtId="22" fontId="0" fillId="0" borderId="1" xfId="0" applyNumberFormat="1" applyBorder="1"/>
    <xf numFmtId="22" fontId="0" fillId="0" borderId="7" xfId="0" applyNumberFormat="1" applyBorder="1"/>
    <xf numFmtId="22" fontId="0" fillId="0" borderId="10" xfId="0" applyNumberFormat="1" applyBorder="1"/>
    <xf numFmtId="4" fontId="0" fillId="0" borderId="0" xfId="0" applyNumberFormat="1"/>
    <xf numFmtId="0" fontId="0" fillId="0" borderId="28" xfId="0" applyBorder="1"/>
    <xf numFmtId="0" fontId="0" fillId="0" borderId="29" xfId="0" applyBorder="1" applyAlignment="1">
      <alignment horizontal="center"/>
    </xf>
    <xf numFmtId="1" fontId="0" fillId="0" borderId="30" xfId="0" applyNumberFormat="1" applyBorder="1"/>
    <xf numFmtId="0" fontId="0" fillId="0" borderId="12" xfId="0" applyBorder="1"/>
    <xf numFmtId="0" fontId="0" fillId="0" borderId="17" xfId="0" applyBorder="1"/>
    <xf numFmtId="167" fontId="0" fillId="0" borderId="14" xfId="0" applyNumberFormat="1" applyBorder="1"/>
    <xf numFmtId="0" fontId="0" fillId="0" borderId="8" xfId="0" applyFill="1" applyBorder="1"/>
    <xf numFmtId="173" fontId="0" fillId="0" borderId="10" xfId="0" applyNumberFormat="1" applyBorder="1"/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23" xfId="0" applyFill="1" applyBorder="1"/>
    <xf numFmtId="20" fontId="0" fillId="2" borderId="0" xfId="0" applyNumberForma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3" fillId="2" borderId="0" xfId="0" applyFont="1" applyFill="1"/>
    <xf numFmtId="0" fontId="2" fillId="2" borderId="0" xfId="0" applyFont="1" applyFill="1"/>
    <xf numFmtId="22" fontId="13" fillId="2" borderId="0" xfId="0" applyNumberFormat="1" applyFont="1" applyFill="1" applyBorder="1"/>
    <xf numFmtId="0" fontId="5" fillId="2" borderId="0" xfId="0" applyFont="1" applyFill="1" applyBorder="1"/>
    <xf numFmtId="0" fontId="14" fillId="2" borderId="0" xfId="0" applyFont="1" applyFill="1" applyBorder="1"/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0" fontId="0" fillId="4" borderId="8" xfId="0" applyFill="1" applyBorder="1" applyAlignment="1">
      <alignment horizontal="center"/>
    </xf>
    <xf numFmtId="0" fontId="0" fillId="0" borderId="30" xfId="0" applyBorder="1"/>
    <xf numFmtId="49" fontId="0" fillId="0" borderId="30" xfId="0" applyNumberFormat="1" applyBorder="1" applyAlignment="1">
      <alignment horizontal="right"/>
    </xf>
    <xf numFmtId="165" fontId="0" fillId="0" borderId="30" xfId="0" applyNumberFormat="1" applyBorder="1" applyAlignment="1">
      <alignment horizontal="right"/>
    </xf>
    <xf numFmtId="165" fontId="0" fillId="0" borderId="30" xfId="0" applyNumberFormat="1" applyBorder="1"/>
    <xf numFmtId="171" fontId="0" fillId="0" borderId="30" xfId="0" applyNumberFormat="1" applyBorder="1"/>
    <xf numFmtId="166" fontId="0" fillId="0" borderId="30" xfId="0" applyNumberFormat="1" applyBorder="1"/>
    <xf numFmtId="167" fontId="0" fillId="0" borderId="0" xfId="0" applyNumberFormat="1" applyBorder="1"/>
    <xf numFmtId="0" fontId="0" fillId="0" borderId="1" xfId="0" applyBorder="1" applyAlignment="1">
      <alignment horizontal="right" vertical="top"/>
    </xf>
    <xf numFmtId="0" fontId="15" fillId="2" borderId="0" xfId="0" applyFont="1" applyFill="1"/>
    <xf numFmtId="1" fontId="5" fillId="0" borderId="0" xfId="0" applyNumberFormat="1" applyFont="1" applyAlignment="1">
      <alignment horizontal="left"/>
    </xf>
    <xf numFmtId="171" fontId="5" fillId="0" borderId="0" xfId="0" applyNumberFormat="1" applyFont="1" applyAlignment="1">
      <alignment horizontal="left"/>
    </xf>
    <xf numFmtId="175" fontId="5" fillId="0" borderId="0" xfId="0" applyNumberFormat="1" applyFont="1" applyAlignment="1">
      <alignment horizontal="left"/>
    </xf>
    <xf numFmtId="171" fontId="0" fillId="4" borderId="32" xfId="0" applyNumberFormat="1" applyFill="1" applyBorder="1"/>
    <xf numFmtId="171" fontId="0" fillId="0" borderId="9" xfId="0" applyNumberFormat="1" applyBorder="1"/>
    <xf numFmtId="171" fontId="0" fillId="0" borderId="11" xfId="0" applyNumberFormat="1" applyBorder="1"/>
    <xf numFmtId="165" fontId="5" fillId="0" borderId="0" xfId="0" applyNumberFormat="1" applyFont="1" applyAlignment="1">
      <alignment horizontal="left"/>
    </xf>
    <xf numFmtId="22" fontId="0" fillId="0" borderId="14" xfId="0" applyNumberFormat="1" applyBorder="1"/>
    <xf numFmtId="165" fontId="1" fillId="5" borderId="1" xfId="0" applyNumberFormat="1" applyFont="1" applyFill="1" applyBorder="1"/>
    <xf numFmtId="0" fontId="1" fillId="2" borderId="33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34" xfId="0" applyFont="1" applyFill="1" applyBorder="1" applyAlignment="1">
      <alignment horizontal="left"/>
    </xf>
    <xf numFmtId="0" fontId="0" fillId="3" borderId="1" xfId="0" applyFill="1" applyBorder="1"/>
    <xf numFmtId="0" fontId="0" fillId="3" borderId="10" xfId="0" applyFill="1" applyBorder="1"/>
    <xf numFmtId="22" fontId="0" fillId="0" borderId="0" xfId="0" applyNumberFormat="1" applyBorder="1"/>
    <xf numFmtId="0" fontId="5" fillId="0" borderId="7" xfId="0" applyFont="1" applyBorder="1" applyAlignment="1">
      <alignment horizontal="justify" vertical="top"/>
    </xf>
    <xf numFmtId="165" fontId="5" fillId="0" borderId="7" xfId="0" applyNumberFormat="1" applyFont="1" applyBorder="1" applyAlignment="1">
      <alignment horizontal="justify" vertical="top"/>
    </xf>
    <xf numFmtId="0" fontId="0" fillId="0" borderId="7" xfId="0" applyFill="1" applyBorder="1" applyAlignment="1">
      <alignment horizontal="center"/>
    </xf>
    <xf numFmtId="0" fontId="0" fillId="0" borderId="32" xfId="0" applyBorder="1" applyAlignment="1">
      <alignment horizontal="center"/>
    </xf>
    <xf numFmtId="173" fontId="0" fillId="6" borderId="1" xfId="0" applyNumberFormat="1" applyFill="1" applyBorder="1"/>
    <xf numFmtId="165" fontId="0" fillId="0" borderId="30" xfId="0" applyNumberFormat="1" applyBorder="1" applyAlignment="1">
      <alignment horizontal="center"/>
    </xf>
    <xf numFmtId="0" fontId="5" fillId="2" borderId="25" xfId="0" applyFont="1" applyFill="1" applyBorder="1"/>
    <xf numFmtId="0" fontId="17" fillId="2" borderId="0" xfId="0" applyFont="1" applyFill="1" applyBorder="1" applyProtection="1"/>
    <xf numFmtId="0" fontId="12" fillId="2" borderId="0" xfId="0" applyFont="1" applyFill="1" applyBorder="1" applyAlignment="1" applyProtection="1">
      <alignment horizontal="center"/>
    </xf>
    <xf numFmtId="1" fontId="0" fillId="0" borderId="1" xfId="0" applyNumberFormat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20" fontId="0" fillId="4" borderId="10" xfId="0" applyNumberFormat="1" applyFill="1" applyBorder="1" applyAlignment="1">
      <alignment horizontal="center"/>
    </xf>
    <xf numFmtId="171" fontId="0" fillId="0" borderId="32" xfId="0" applyNumberFormat="1" applyFill="1" applyBorder="1"/>
    <xf numFmtId="171" fontId="0" fillId="0" borderId="11" xfId="0" applyNumberFormat="1" applyFill="1" applyBorder="1"/>
    <xf numFmtId="0" fontId="0" fillId="0" borderId="0" xfId="0" applyFill="1" applyAlignment="1">
      <alignment horizontal="right"/>
    </xf>
    <xf numFmtId="0" fontId="0" fillId="0" borderId="7" xfId="0" applyFill="1" applyBorder="1"/>
    <xf numFmtId="20" fontId="0" fillId="4" borderId="7" xfId="0" applyNumberFormat="1" applyFill="1" applyBorder="1" applyAlignment="1">
      <alignment horizontal="center"/>
    </xf>
    <xf numFmtId="49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49" fontId="0" fillId="2" borderId="0" xfId="0" applyNumberFormat="1" applyFill="1" applyBorder="1" applyAlignment="1">
      <alignment horizontal="left"/>
    </xf>
    <xf numFmtId="0" fontId="1" fillId="2" borderId="37" xfId="0" applyFont="1" applyFill="1" applyBorder="1" applyAlignment="1"/>
    <xf numFmtId="0" fontId="0" fillId="2" borderId="1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32" xfId="0" applyBorder="1"/>
    <xf numFmtId="0" fontId="0" fillId="0" borderId="24" xfId="0" applyBorder="1"/>
    <xf numFmtId="22" fontId="0" fillId="0" borderId="9" xfId="0" applyNumberFormat="1" applyBorder="1"/>
    <xf numFmtId="22" fontId="0" fillId="0" borderId="11" xfId="0" applyNumberFormat="1" applyBorder="1"/>
    <xf numFmtId="172" fontId="0" fillId="0" borderId="0" xfId="0" applyNumberFormat="1"/>
    <xf numFmtId="0" fontId="1" fillId="2" borderId="0" xfId="0" applyFont="1" applyFill="1" applyBorder="1" applyAlignment="1">
      <alignment horizontal="left"/>
    </xf>
    <xf numFmtId="0" fontId="5" fillId="2" borderId="0" xfId="0" applyFont="1" applyFill="1"/>
    <xf numFmtId="0" fontId="0" fillId="2" borderId="8" xfId="0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12" fillId="2" borderId="0" xfId="0" applyFont="1" applyFill="1"/>
    <xf numFmtId="0" fontId="3" fillId="2" borderId="0" xfId="0" applyFont="1" applyFill="1"/>
    <xf numFmtId="165" fontId="12" fillId="2" borderId="0" xfId="0" applyNumberFormat="1" applyFont="1" applyFill="1"/>
    <xf numFmtId="0" fontId="5" fillId="2" borderId="38" xfId="0" applyFont="1" applyFill="1" applyBorder="1" applyAlignment="1">
      <alignment horizontal="right"/>
    </xf>
    <xf numFmtId="44" fontId="5" fillId="2" borderId="29" xfId="0" applyNumberFormat="1" applyFont="1" applyFill="1" applyBorder="1" applyAlignment="1">
      <alignment horizontal="left"/>
    </xf>
    <xf numFmtId="171" fontId="0" fillId="0" borderId="0" xfId="0" applyNumberForma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14" xfId="0" applyFill="1" applyBorder="1"/>
    <xf numFmtId="1" fontId="0" fillId="0" borderId="14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20" fontId="0" fillId="4" borderId="14" xfId="0" applyNumberFormat="1" applyFill="1" applyBorder="1" applyAlignment="1">
      <alignment horizontal="center"/>
    </xf>
    <xf numFmtId="22" fontId="0" fillId="0" borderId="31" xfId="0" applyNumberFormat="1" applyBorder="1"/>
    <xf numFmtId="0" fontId="0" fillId="6" borderId="28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20" fontId="0" fillId="6" borderId="14" xfId="0" applyNumberFormat="1" applyFill="1" applyBorder="1"/>
    <xf numFmtId="20" fontId="0" fillId="6" borderId="1" xfId="0" applyNumberFormat="1" applyFill="1" applyBorder="1"/>
    <xf numFmtId="20" fontId="0" fillId="6" borderId="10" xfId="0" applyNumberFormat="1" applyFill="1" applyBorder="1"/>
    <xf numFmtId="0" fontId="5" fillId="0" borderId="0" xfId="0" applyFont="1" applyAlignment="1">
      <alignment horizontal="left"/>
    </xf>
    <xf numFmtId="0" fontId="13" fillId="0" borderId="0" xfId="0" applyFont="1"/>
    <xf numFmtId="175" fontId="0" fillId="0" borderId="30" xfId="0" applyNumberFormat="1" applyBorder="1" applyAlignment="1">
      <alignment horizontal="center"/>
    </xf>
    <xf numFmtId="22" fontId="0" fillId="0" borderId="3" xfId="0" applyNumberFormat="1" applyBorder="1"/>
    <xf numFmtId="22" fontId="0" fillId="0" borderId="13" xfId="0" applyNumberFormat="1" applyBorder="1"/>
    <xf numFmtId="20" fontId="0" fillId="6" borderId="1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0" fontId="0" fillId="6" borderId="7" xfId="0" applyNumberFormat="1" applyFill="1" applyBorder="1" applyAlignment="1">
      <alignment horizontal="center"/>
    </xf>
    <xf numFmtId="22" fontId="0" fillId="0" borderId="39" xfId="0" applyNumberFormat="1" applyBorder="1"/>
    <xf numFmtId="22" fontId="0" fillId="0" borderId="32" xfId="0" applyNumberFormat="1" applyBorder="1"/>
    <xf numFmtId="20" fontId="0" fillId="6" borderId="10" xfId="0" applyNumberFormat="1" applyFill="1" applyBorder="1" applyAlignment="1">
      <alignment horizontal="center"/>
    </xf>
    <xf numFmtId="20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71" fontId="5" fillId="0" borderId="0" xfId="0" applyNumberFormat="1" applyFont="1" applyAlignment="1">
      <alignment horizontal="center"/>
    </xf>
    <xf numFmtId="175" fontId="0" fillId="0" borderId="0" xfId="0" applyNumberFormat="1" applyAlignment="1">
      <alignment horizontal="center"/>
    </xf>
    <xf numFmtId="0" fontId="0" fillId="0" borderId="39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173" fontId="0" fillId="0" borderId="1" xfId="0" applyNumberFormat="1" applyBorder="1" applyAlignment="1">
      <alignment horizontal="right"/>
    </xf>
    <xf numFmtId="0" fontId="5" fillId="0" borderId="28" xfId="0" applyFont="1" applyBorder="1" applyAlignment="1">
      <alignment horizontal="justify" vertical="top"/>
    </xf>
    <xf numFmtId="0" fontId="5" fillId="0" borderId="28" xfId="0" applyFont="1" applyBorder="1" applyAlignment="1">
      <alignment horizontal="justify" vertical="top" wrapText="1"/>
    </xf>
    <xf numFmtId="0" fontId="0" fillId="0" borderId="28" xfId="0" applyFill="1" applyBorder="1"/>
    <xf numFmtId="1" fontId="0" fillId="0" borderId="41" xfId="0" applyNumberFormat="1" applyFill="1" applyBorder="1"/>
    <xf numFmtId="171" fontId="0" fillId="0" borderId="41" xfId="0" applyNumberFormat="1" applyFill="1" applyBorder="1"/>
    <xf numFmtId="0" fontId="5" fillId="2" borderId="42" xfId="0" applyFont="1" applyFill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170" fontId="5" fillId="0" borderId="43" xfId="0" applyNumberFormat="1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2" fontId="5" fillId="0" borderId="44" xfId="0" applyNumberFormat="1" applyFont="1" applyBorder="1" applyAlignment="1">
      <alignment horizontal="center" vertical="center" wrapText="1"/>
    </xf>
    <xf numFmtId="169" fontId="0" fillId="0" borderId="1" xfId="0" applyNumberFormat="1" applyFill="1" applyBorder="1" applyAlignment="1">
      <alignment horizontal="center"/>
    </xf>
    <xf numFmtId="0" fontId="13" fillId="2" borderId="0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9" fontId="0" fillId="0" borderId="10" xfId="0" applyNumberFormat="1" applyFill="1" applyBorder="1" applyAlignment="1">
      <alignment horizontal="center"/>
    </xf>
    <xf numFmtId="169" fontId="5" fillId="0" borderId="45" xfId="0" applyNumberFormat="1" applyFont="1" applyBorder="1" applyAlignment="1">
      <alignment horizontal="center" vertical="center" wrapText="1"/>
    </xf>
    <xf numFmtId="170" fontId="0" fillId="0" borderId="0" xfId="0" applyNumberFormat="1"/>
    <xf numFmtId="2" fontId="0" fillId="0" borderId="0" xfId="0" applyNumberFormat="1"/>
    <xf numFmtId="0" fontId="18" fillId="0" borderId="8" xfId="0" applyFont="1" applyBorder="1" applyAlignment="1">
      <alignment horizontal="center"/>
    </xf>
    <xf numFmtId="2" fontId="18" fillId="0" borderId="1" xfId="0" applyNumberFormat="1" applyFont="1" applyBorder="1" applyAlignment="1">
      <alignment horizontal="center"/>
    </xf>
    <xf numFmtId="1" fontId="18" fillId="0" borderId="1" xfId="0" applyNumberFormat="1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2" fontId="18" fillId="0" borderId="1" xfId="0" applyNumberFormat="1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/>
    </xf>
    <xf numFmtId="2" fontId="19" fillId="0" borderId="1" xfId="0" applyNumberFormat="1" applyFont="1" applyFill="1" applyBorder="1" applyAlignment="1">
      <alignment horizontal="center"/>
    </xf>
    <xf numFmtId="1" fontId="19" fillId="0" borderId="1" xfId="0" applyNumberFormat="1" applyFont="1" applyFill="1" applyBorder="1" applyAlignment="1">
      <alignment horizontal="center"/>
    </xf>
    <xf numFmtId="169" fontId="18" fillId="0" borderId="1" xfId="0" applyNumberFormat="1" applyFont="1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20" fillId="0" borderId="47" xfId="0" applyFont="1" applyBorder="1" applyAlignment="1">
      <alignment horizontal="center"/>
    </xf>
    <xf numFmtId="1" fontId="13" fillId="0" borderId="9" xfId="0" applyNumberFormat="1" applyFont="1" applyBorder="1" applyAlignment="1">
      <alignment horizontal="center"/>
    </xf>
    <xf numFmtId="1" fontId="13" fillId="0" borderId="11" xfId="0" applyNumberFormat="1" applyFont="1" applyBorder="1" applyAlignment="1">
      <alignment horizontal="center"/>
    </xf>
    <xf numFmtId="1" fontId="21" fillId="0" borderId="9" xfId="0" applyNumberFormat="1" applyFont="1" applyBorder="1" applyAlignment="1">
      <alignment horizontal="center"/>
    </xf>
    <xf numFmtId="1" fontId="16" fillId="0" borderId="9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" fontId="15" fillId="0" borderId="14" xfId="0" applyNumberFormat="1" applyFont="1" applyBorder="1" applyAlignment="1">
      <alignment horizontal="center"/>
    </xf>
    <xf numFmtId="1" fontId="15" fillId="0" borderId="9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1" xfId="0" applyBorder="1" applyAlignment="1">
      <alignment horizontal="center"/>
    </xf>
    <xf numFmtId="1" fontId="19" fillId="0" borderId="2" xfId="0" applyNumberFormat="1" applyFont="1" applyFill="1" applyBorder="1" applyAlignment="1">
      <alignment horizontal="center"/>
    </xf>
    <xf numFmtId="0" fontId="19" fillId="0" borderId="8" xfId="0" applyFont="1" applyFill="1" applyBorder="1" applyAlignment="1">
      <alignment horizontal="center"/>
    </xf>
    <xf numFmtId="0" fontId="22" fillId="0" borderId="46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18" fillId="0" borderId="1" xfId="0" applyFont="1" applyBorder="1"/>
    <xf numFmtId="0" fontId="18" fillId="0" borderId="0" xfId="0" applyFont="1"/>
    <xf numFmtId="174" fontId="5" fillId="0" borderId="0" xfId="0" applyNumberFormat="1" applyFont="1" applyAlignment="1">
      <alignment horizontal="left"/>
    </xf>
    <xf numFmtId="165" fontId="0" fillId="0" borderId="9" xfId="0" applyNumberFormat="1" applyBorder="1" applyAlignment="1">
      <alignment horizontal="center"/>
    </xf>
    <xf numFmtId="165" fontId="5" fillId="0" borderId="7" xfId="0" applyNumberFormat="1" applyFont="1" applyBorder="1"/>
    <xf numFmtId="0" fontId="5" fillId="0" borderId="7" xfId="0" applyFont="1" applyFill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8" xfId="0" applyFont="1" applyBorder="1"/>
    <xf numFmtId="0" fontId="5" fillId="0" borderId="12" xfId="0" applyFont="1" applyBorder="1"/>
    <xf numFmtId="168" fontId="0" fillId="0" borderId="14" xfId="0" applyNumberFormat="1" applyBorder="1" applyAlignment="1">
      <alignment horizontal="center"/>
    </xf>
    <xf numFmtId="2" fontId="0" fillId="0" borderId="32" xfId="0" applyNumberFormat="1" applyBorder="1"/>
    <xf numFmtId="0" fontId="5" fillId="2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43" xfId="0" applyFont="1" applyBorder="1" applyAlignment="1">
      <alignment horizontal="center"/>
    </xf>
    <xf numFmtId="0" fontId="23" fillId="0" borderId="44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1" fontId="15" fillId="0" borderId="0" xfId="0" applyNumberFormat="1" applyFont="1" applyBorder="1" applyAlignment="1">
      <alignment horizontal="center"/>
    </xf>
    <xf numFmtId="0" fontId="19" fillId="2" borderId="0" xfId="0" applyFont="1" applyFill="1" applyBorder="1" applyAlignment="1">
      <alignment horizontal="center" vertical="center"/>
    </xf>
    <xf numFmtId="1" fontId="21" fillId="0" borderId="0" xfId="0" applyNumberFormat="1" applyFont="1" applyBorder="1" applyAlignment="1">
      <alignment horizontal="center"/>
    </xf>
    <xf numFmtId="20" fontId="0" fillId="2" borderId="0" xfId="0" applyNumberFormat="1" applyFill="1"/>
    <xf numFmtId="0" fontId="0" fillId="2" borderId="6" xfId="0" applyFill="1" applyBorder="1"/>
    <xf numFmtId="171" fontId="0" fillId="2" borderId="32" xfId="0" applyNumberFormat="1" applyFill="1" applyBorder="1"/>
    <xf numFmtId="0" fontId="0" fillId="2" borderId="8" xfId="0" applyFill="1" applyBorder="1"/>
    <xf numFmtId="0" fontId="0" fillId="2" borderId="12" xfId="0" applyFill="1" applyBorder="1"/>
    <xf numFmtId="171" fontId="0" fillId="2" borderId="11" xfId="0" applyNumberFormat="1" applyFill="1" applyBorder="1"/>
    <xf numFmtId="175" fontId="5" fillId="2" borderId="0" xfId="0" applyNumberFormat="1" applyFont="1" applyFill="1" applyAlignment="1">
      <alignment horizontal="left"/>
    </xf>
    <xf numFmtId="1" fontId="5" fillId="2" borderId="0" xfId="0" applyNumberFormat="1" applyFont="1" applyFill="1" applyAlignment="1">
      <alignment horizontal="left"/>
    </xf>
    <xf numFmtId="165" fontId="0" fillId="0" borderId="49" xfId="0" applyNumberFormat="1" applyBorder="1" applyAlignment="1">
      <alignment horizontal="center"/>
    </xf>
    <xf numFmtId="165" fontId="0" fillId="0" borderId="50" xfId="0" applyNumberFormat="1" applyBorder="1" applyAlignment="1">
      <alignment horizontal="center"/>
    </xf>
    <xf numFmtId="171" fontId="0" fillId="2" borderId="9" xfId="0" applyNumberFormat="1" applyFill="1" applyBorder="1"/>
    <xf numFmtId="165" fontId="0" fillId="0" borderId="1" xfId="1" applyNumberFormat="1" applyFont="1" applyBorder="1" applyAlignment="1">
      <alignment horizontal="center"/>
    </xf>
    <xf numFmtId="165" fontId="0" fillId="0" borderId="14" xfId="1" applyNumberFormat="1" applyFont="1" applyBorder="1" applyAlignment="1">
      <alignment horizontal="center"/>
    </xf>
    <xf numFmtId="0" fontId="23" fillId="0" borderId="42" xfId="0" applyFont="1" applyBorder="1" applyAlignment="1">
      <alignment horizontal="center"/>
    </xf>
    <xf numFmtId="165" fontId="5" fillId="0" borderId="14" xfId="0" applyNumberFormat="1" applyFont="1" applyBorder="1" applyAlignment="1">
      <alignment horizontal="center"/>
    </xf>
    <xf numFmtId="168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168" fontId="0" fillId="0" borderId="10" xfId="0" applyNumberFormat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" fontId="16" fillId="0" borderId="1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9" fontId="0" fillId="0" borderId="7" xfId="0" applyNumberFormat="1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15" fillId="0" borderId="7" xfId="0" applyNumberFormat="1" applyFont="1" applyBorder="1" applyAlignment="1">
      <alignment horizontal="center"/>
    </xf>
    <xf numFmtId="1" fontId="13" fillId="0" borderId="32" xfId="0" applyNumberFormat="1" applyFont="1" applyBorder="1" applyAlignment="1">
      <alignment horizontal="center"/>
    </xf>
    <xf numFmtId="1" fontId="0" fillId="0" borderId="10" xfId="0" applyNumberFormat="1" applyFill="1" applyBorder="1" applyAlignment="1">
      <alignment horizontal="center"/>
    </xf>
    <xf numFmtId="1" fontId="13" fillId="0" borderId="10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3" xfId="0" applyFont="1" applyBorder="1"/>
    <xf numFmtId="0" fontId="5" fillId="6" borderId="43" xfId="0" applyFont="1" applyFill="1" applyBorder="1" applyAlignment="1">
      <alignment horizontal="center"/>
    </xf>
    <xf numFmtId="0" fontId="5" fillId="4" borderId="43" xfId="0" applyFont="1" applyFill="1" applyBorder="1" applyAlignment="1">
      <alignment horizontal="center"/>
    </xf>
    <xf numFmtId="0" fontId="5" fillId="0" borderId="44" xfId="0" applyFont="1" applyBorder="1"/>
    <xf numFmtId="165" fontId="5" fillId="0" borderId="0" xfId="0" applyNumberFormat="1" applyFont="1" applyBorder="1"/>
    <xf numFmtId="171" fontId="0" fillId="2" borderId="0" xfId="0" applyNumberFormat="1" applyFill="1" applyBorder="1"/>
    <xf numFmtId="0" fontId="24" fillId="0" borderId="43" xfId="0" applyFont="1" applyBorder="1" applyAlignment="1">
      <alignment horizontal="center"/>
    </xf>
    <xf numFmtId="0" fontId="24" fillId="0" borderId="44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22" fontId="0" fillId="2" borderId="0" xfId="0" applyNumberFormat="1" applyFill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171" fontId="5" fillId="0" borderId="0" xfId="0" applyNumberFormat="1" applyFont="1" applyBorder="1"/>
    <xf numFmtId="0" fontId="27" fillId="0" borderId="43" xfId="0" applyFont="1" applyBorder="1" applyAlignment="1">
      <alignment horizontal="center"/>
    </xf>
    <xf numFmtId="0" fontId="27" fillId="0" borderId="43" xfId="0" applyFont="1" applyFill="1" applyBorder="1" applyAlignment="1">
      <alignment horizontal="center"/>
    </xf>
    <xf numFmtId="0" fontId="27" fillId="0" borderId="44" xfId="0" applyFont="1" applyBorder="1" applyAlignment="1">
      <alignment horizontal="center"/>
    </xf>
    <xf numFmtId="0" fontId="27" fillId="0" borderId="42" xfId="0" applyFont="1" applyBorder="1" applyAlignment="1">
      <alignment horizontal="center"/>
    </xf>
    <xf numFmtId="0" fontId="23" fillId="0" borderId="43" xfId="0" applyFont="1" applyBorder="1" applyAlignment="1">
      <alignment horizontal="center" vertical="top"/>
    </xf>
    <xf numFmtId="165" fontId="23" fillId="0" borderId="43" xfId="0" applyNumberFormat="1" applyFont="1" applyBorder="1" applyAlignment="1">
      <alignment horizontal="center" vertical="top"/>
    </xf>
    <xf numFmtId="0" fontId="27" fillId="0" borderId="52" xfId="0" applyFont="1" applyBorder="1" applyAlignment="1">
      <alignment horizontal="center"/>
    </xf>
    <xf numFmtId="173" fontId="0" fillId="0" borderId="14" xfId="0" applyNumberFormat="1" applyBorder="1" applyAlignment="1">
      <alignment horizontal="center"/>
    </xf>
    <xf numFmtId="0" fontId="5" fillId="0" borderId="43" xfId="0" applyFont="1" applyFill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43" xfId="0" applyFont="1" applyBorder="1" applyAlignment="1">
      <alignment horizontal="center" vertical="top"/>
    </xf>
    <xf numFmtId="0" fontId="5" fillId="0" borderId="52" xfId="0" applyFont="1" applyBorder="1" applyAlignment="1">
      <alignment horizontal="center"/>
    </xf>
    <xf numFmtId="22" fontId="0" fillId="0" borderId="1" xfId="0" applyNumberFormat="1" applyBorder="1" applyAlignment="1">
      <alignment horizontal="right"/>
    </xf>
    <xf numFmtId="165" fontId="0" fillId="0" borderId="0" xfId="0" applyNumberFormat="1" applyAlignment="1">
      <alignment horizontal="left"/>
    </xf>
    <xf numFmtId="0" fontId="5" fillId="0" borderId="42" xfId="0" applyFont="1" applyBorder="1" applyAlignment="1">
      <alignment horizontal="center"/>
    </xf>
    <xf numFmtId="165" fontId="5" fillId="0" borderId="49" xfId="0" applyNumberFormat="1" applyFont="1" applyBorder="1" applyAlignment="1">
      <alignment horizontal="center"/>
    </xf>
    <xf numFmtId="171" fontId="5" fillId="0" borderId="50" xfId="0" applyNumberFormat="1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2" borderId="17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2" fontId="0" fillId="2" borderId="1" xfId="0" applyNumberFormat="1" applyFill="1" applyBorder="1"/>
    <xf numFmtId="0" fontId="0" fillId="2" borderId="10" xfId="0" applyFill="1" applyBorder="1"/>
    <xf numFmtId="165" fontId="0" fillId="2" borderId="10" xfId="0" applyNumberForma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0" fontId="24" fillId="2" borderId="0" xfId="0" applyFont="1" applyFill="1" applyBorder="1"/>
    <xf numFmtId="165" fontId="24" fillId="2" borderId="0" xfId="0" applyNumberFormat="1" applyFont="1" applyFill="1" applyBorder="1"/>
    <xf numFmtId="171" fontId="5" fillId="2" borderId="14" xfId="0" applyNumberFormat="1" applyFont="1" applyFill="1" applyBorder="1"/>
    <xf numFmtId="0" fontId="5" fillId="0" borderId="43" xfId="0" applyFont="1" applyBorder="1" applyAlignment="1"/>
    <xf numFmtId="0" fontId="5" fillId="0" borderId="44" xfId="0" applyFont="1" applyBorder="1" applyAlignment="1"/>
    <xf numFmtId="1" fontId="4" fillId="2" borderId="0" xfId="0" applyNumberFormat="1" applyFont="1" applyFill="1" applyBorder="1"/>
    <xf numFmtId="20" fontId="0" fillId="2" borderId="0" xfId="0" applyNumberFormat="1" applyFill="1" applyBorder="1"/>
    <xf numFmtId="165" fontId="0" fillId="2" borderId="14" xfId="0" applyNumberFormat="1" applyFill="1" applyBorder="1" applyAlignment="1">
      <alignment horizontal="center"/>
    </xf>
    <xf numFmtId="0" fontId="5" fillId="2" borderId="42" xfId="0" applyFont="1" applyFill="1" applyBorder="1" applyAlignment="1">
      <alignment horizontal="center"/>
    </xf>
    <xf numFmtId="0" fontId="5" fillId="2" borderId="43" xfId="0" applyFont="1" applyFill="1" applyBorder="1" applyAlignment="1">
      <alignment horizontal="center"/>
    </xf>
    <xf numFmtId="0" fontId="0" fillId="0" borderId="23" xfId="0" applyBorder="1"/>
    <xf numFmtId="0" fontId="0" fillId="0" borderId="34" xfId="0" applyBorder="1"/>
    <xf numFmtId="0" fontId="24" fillId="0" borderId="45" xfId="0" applyFont="1" applyBorder="1" applyAlignment="1">
      <alignment horizontal="center"/>
    </xf>
    <xf numFmtId="0" fontId="24" fillId="0" borderId="54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4" fillId="0" borderId="7" xfId="0" applyFont="1" applyBorder="1" applyAlignment="1">
      <alignment horizontal="center"/>
    </xf>
    <xf numFmtId="0" fontId="5" fillId="0" borderId="55" xfId="0" applyFont="1" applyBorder="1"/>
    <xf numFmtId="0" fontId="27" fillId="0" borderId="0" xfId="0" applyFont="1"/>
    <xf numFmtId="0" fontId="23" fillId="0" borderId="42" xfId="0" applyFont="1" applyBorder="1"/>
    <xf numFmtId="0" fontId="23" fillId="0" borderId="43" xfId="0" applyFont="1" applyBorder="1"/>
    <xf numFmtId="0" fontId="23" fillId="2" borderId="43" xfId="0" applyFont="1" applyFill="1" applyBorder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23" fillId="2" borderId="42" xfId="0" applyFont="1" applyFill="1" applyBorder="1" applyAlignment="1">
      <alignment horizontal="center"/>
    </xf>
    <xf numFmtId="171" fontId="0" fillId="2" borderId="14" xfId="0" applyNumberFormat="1" applyFill="1" applyBorder="1"/>
    <xf numFmtId="0" fontId="4" fillId="2" borderId="1" xfId="0" applyFont="1" applyFill="1" applyBorder="1"/>
    <xf numFmtId="0" fontId="0" fillId="2" borderId="1" xfId="0" applyFill="1" applyBorder="1" applyAlignment="1"/>
    <xf numFmtId="165" fontId="5" fillId="2" borderId="0" xfId="0" applyNumberFormat="1" applyFont="1" applyFill="1" applyAlignment="1">
      <alignment horizontal="center"/>
    </xf>
    <xf numFmtId="171" fontId="0" fillId="2" borderId="0" xfId="0" applyNumberFormat="1" applyFill="1"/>
    <xf numFmtId="168" fontId="5" fillId="2" borderId="0" xfId="0" applyNumberFormat="1" applyFont="1" applyFill="1" applyAlignment="1">
      <alignment horizontal="left"/>
    </xf>
    <xf numFmtId="0" fontId="5" fillId="0" borderId="42" xfId="0" applyFont="1" applyBorder="1"/>
    <xf numFmtId="171" fontId="0" fillId="2" borderId="10" xfId="0" applyNumberFormat="1" applyFill="1" applyBorder="1"/>
    <xf numFmtId="0" fontId="23" fillId="0" borderId="45" xfId="0" applyFont="1" applyBorder="1" applyAlignment="1">
      <alignment horizontal="center"/>
    </xf>
    <xf numFmtId="0" fontId="0" fillId="0" borderId="14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10" xfId="0" applyBorder="1" applyAlignment="1">
      <alignment wrapText="1"/>
    </xf>
    <xf numFmtId="0" fontId="23" fillId="0" borderId="0" xfId="0" applyFont="1" applyBorder="1" applyAlignment="1">
      <alignment horizontal="center"/>
    </xf>
    <xf numFmtId="0" fontId="0" fillId="2" borderId="15" xfId="0" applyFill="1" applyBorder="1"/>
    <xf numFmtId="0" fontId="0" fillId="2" borderId="30" xfId="0" applyFill="1" applyBorder="1"/>
    <xf numFmtId="0" fontId="0" fillId="2" borderId="16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7" xfId="0" applyFill="1" applyBorder="1" applyAlignment="1">
      <alignment horizontal="center"/>
    </xf>
    <xf numFmtId="0" fontId="12" fillId="2" borderId="57" xfId="0" applyFont="1" applyFill="1" applyBorder="1" applyAlignment="1">
      <alignment horizontal="center"/>
    </xf>
    <xf numFmtId="0" fontId="5" fillId="2" borderId="58" xfId="0" applyFont="1" applyFill="1" applyBorder="1"/>
    <xf numFmtId="0" fontId="0" fillId="2" borderId="58" xfId="0" applyFill="1" applyBorder="1"/>
    <xf numFmtId="0" fontId="0" fillId="2" borderId="59" xfId="0" applyFill="1" applyBorder="1"/>
    <xf numFmtId="20" fontId="5" fillId="2" borderId="0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23" fillId="2" borderId="0" xfId="0" applyFont="1" applyFill="1" applyBorder="1" applyAlignment="1">
      <alignment horizontal="left"/>
    </xf>
    <xf numFmtId="171" fontId="5" fillId="2" borderId="0" xfId="0" applyNumberFormat="1" applyFont="1" applyFill="1" applyBorder="1" applyAlignment="1">
      <alignment horizontal="left"/>
    </xf>
    <xf numFmtId="49" fontId="5" fillId="2" borderId="0" xfId="0" applyNumberFormat="1" applyFont="1" applyFill="1" applyBorder="1" applyAlignment="1">
      <alignment horizontal="left"/>
    </xf>
    <xf numFmtId="165" fontId="5" fillId="2" borderId="0" xfId="0" applyNumberFormat="1" applyFont="1" applyFill="1" applyBorder="1" applyAlignment="1">
      <alignment horizontal="left"/>
    </xf>
    <xf numFmtId="0" fontId="5" fillId="0" borderId="60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14" fillId="2" borderId="56" xfId="0" applyFont="1" applyFill="1" applyBorder="1"/>
    <xf numFmtId="0" fontId="0" fillId="2" borderId="56" xfId="0" applyFill="1" applyBorder="1" applyAlignment="1">
      <alignment horizontal="right"/>
    </xf>
    <xf numFmtId="0" fontId="5" fillId="2" borderId="8" xfId="0" applyFont="1" applyFill="1" applyBorder="1" applyAlignment="1">
      <alignment horizontal="center"/>
    </xf>
    <xf numFmtId="0" fontId="0" fillId="0" borderId="49" xfId="0" applyBorder="1"/>
    <xf numFmtId="0" fontId="0" fillId="0" borderId="59" xfId="0" applyBorder="1"/>
    <xf numFmtId="0" fontId="24" fillId="2" borderId="56" xfId="0" applyFont="1" applyFill="1" applyBorder="1"/>
    <xf numFmtId="0" fontId="5" fillId="2" borderId="56" xfId="0" applyFont="1" applyFill="1" applyBorder="1"/>
    <xf numFmtId="0" fontId="23" fillId="2" borderId="56" xfId="0" applyFont="1" applyFill="1" applyBorder="1"/>
    <xf numFmtId="0" fontId="5" fillId="2" borderId="49" xfId="0" applyFont="1" applyFill="1" applyBorder="1"/>
    <xf numFmtId="0" fontId="0" fillId="0" borderId="58" xfId="0" applyBorder="1"/>
    <xf numFmtId="171" fontId="5" fillId="0" borderId="0" xfId="0" applyNumberFormat="1" applyFont="1" applyBorder="1" applyAlignment="1">
      <alignment horizontal="left"/>
    </xf>
    <xf numFmtId="0" fontId="23" fillId="2" borderId="0" xfId="0" applyFont="1" applyFill="1" applyBorder="1"/>
    <xf numFmtId="22" fontId="13" fillId="2" borderId="0" xfId="0" applyNumberFormat="1" applyFont="1" applyFill="1" applyBorder="1" applyAlignment="1">
      <alignment horizontal="left"/>
    </xf>
    <xf numFmtId="0" fontId="17" fillId="2" borderId="0" xfId="0" applyFont="1" applyFill="1" applyBorder="1" applyAlignment="1" applyProtection="1">
      <alignment horizontal="left"/>
    </xf>
    <xf numFmtId="175" fontId="5" fillId="0" borderId="0" xfId="0" applyNumberFormat="1" applyFont="1" applyBorder="1" applyAlignment="1">
      <alignment horizontal="left"/>
    </xf>
    <xf numFmtId="14" fontId="0" fillId="2" borderId="0" xfId="0" applyNumberFormat="1" applyFill="1" applyBorder="1"/>
    <xf numFmtId="165" fontId="0" fillId="2" borderId="0" xfId="0" applyNumberFormat="1" applyFill="1" applyBorder="1"/>
    <xf numFmtId="9" fontId="15" fillId="2" borderId="14" xfId="2" applyFont="1" applyFill="1" applyBorder="1" applyAlignment="1">
      <alignment horizontal="center" vertical="center"/>
    </xf>
    <xf numFmtId="9" fontId="16" fillId="2" borderId="14" xfId="2" applyFont="1" applyFill="1" applyBorder="1" applyAlignment="1">
      <alignment horizontal="center" vertical="center"/>
    </xf>
    <xf numFmtId="0" fontId="0" fillId="2" borderId="10" xfId="0" applyFill="1" applyBorder="1" applyAlignment="1"/>
    <xf numFmtId="0" fontId="4" fillId="2" borderId="14" xfId="0" applyFont="1" applyFill="1" applyBorder="1"/>
    <xf numFmtId="165" fontId="0" fillId="0" borderId="14" xfId="0" applyNumberFormat="1" applyFill="1" applyBorder="1" applyAlignment="1">
      <alignment horizontal="center"/>
    </xf>
    <xf numFmtId="0" fontId="13" fillId="7" borderId="42" xfId="0" applyFont="1" applyFill="1" applyBorder="1" applyAlignment="1">
      <alignment horizontal="center" vertical="center"/>
    </xf>
    <xf numFmtId="0" fontId="13" fillId="7" borderId="61" xfId="0" applyFont="1" applyFill="1" applyBorder="1" applyAlignment="1">
      <alignment horizontal="center" vertical="center"/>
    </xf>
    <xf numFmtId="0" fontId="13" fillId="7" borderId="43" xfId="0" applyFont="1" applyFill="1" applyBorder="1" applyAlignment="1">
      <alignment horizontal="center" vertical="center"/>
    </xf>
    <xf numFmtId="0" fontId="13" fillId="7" borderId="44" xfId="0" applyFont="1" applyFill="1" applyBorder="1" applyAlignment="1">
      <alignment horizontal="center" vertical="center"/>
    </xf>
    <xf numFmtId="0" fontId="13" fillId="8" borderId="17" xfId="0" applyFont="1" applyFill="1" applyBorder="1" applyAlignment="1">
      <alignment vertical="center"/>
    </xf>
    <xf numFmtId="0" fontId="13" fillId="8" borderId="24" xfId="0" applyFont="1" applyFill="1" applyBorder="1" applyAlignment="1">
      <alignment horizontal="center" vertical="center"/>
    </xf>
    <xf numFmtId="22" fontId="13" fillId="8" borderId="14" xfId="0" applyNumberFormat="1" applyFont="1" applyFill="1" applyBorder="1" applyAlignment="1">
      <alignment vertical="center"/>
    </xf>
    <xf numFmtId="0" fontId="13" fillId="8" borderId="14" xfId="0" applyFont="1" applyFill="1" applyBorder="1" applyAlignment="1">
      <alignment horizontal="center" vertical="center"/>
    </xf>
    <xf numFmtId="175" fontId="13" fillId="8" borderId="14" xfId="0" applyNumberFormat="1" applyFont="1" applyFill="1" applyBorder="1" applyAlignment="1">
      <alignment horizontal="center" vertical="center"/>
    </xf>
    <xf numFmtId="9" fontId="15" fillId="8" borderId="14" xfId="2" applyFont="1" applyFill="1" applyBorder="1" applyAlignment="1">
      <alignment horizontal="center" vertical="center"/>
    </xf>
    <xf numFmtId="9" fontId="16" fillId="8" borderId="31" xfId="2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175" fontId="13" fillId="8" borderId="1" xfId="0" applyNumberFormat="1" applyFont="1" applyFill="1" applyBorder="1" applyAlignment="1">
      <alignment horizontal="center" vertical="center"/>
    </xf>
    <xf numFmtId="1" fontId="13" fillId="8" borderId="1" xfId="0" applyNumberFormat="1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vertical="center"/>
    </xf>
    <xf numFmtId="0" fontId="13" fillId="9" borderId="24" xfId="0" applyFont="1" applyFill="1" applyBorder="1" applyAlignment="1">
      <alignment horizontal="center" vertical="center"/>
    </xf>
    <xf numFmtId="22" fontId="13" fillId="9" borderId="14" xfId="0" applyNumberFormat="1" applyFont="1" applyFill="1" applyBorder="1" applyAlignment="1">
      <alignment vertical="center"/>
    </xf>
    <xf numFmtId="0" fontId="13" fillId="9" borderId="1" xfId="0" applyFont="1" applyFill="1" applyBorder="1" applyAlignment="1">
      <alignment horizontal="center" vertical="center"/>
    </xf>
    <xf numFmtId="175" fontId="13" fillId="9" borderId="1" xfId="0" applyNumberFormat="1" applyFont="1" applyFill="1" applyBorder="1" applyAlignment="1">
      <alignment horizontal="center" vertical="center"/>
    </xf>
    <xf numFmtId="9" fontId="15" fillId="9" borderId="14" xfId="2" applyFont="1" applyFill="1" applyBorder="1" applyAlignment="1">
      <alignment horizontal="center" vertical="center"/>
    </xf>
    <xf numFmtId="9" fontId="16" fillId="9" borderId="31" xfId="2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vertical="center"/>
    </xf>
    <xf numFmtId="0" fontId="13" fillId="8" borderId="62" xfId="0" applyFont="1" applyFill="1" applyBorder="1" applyAlignment="1">
      <alignment horizontal="center" vertical="center"/>
    </xf>
    <xf numFmtId="22" fontId="13" fillId="8" borderId="40" xfId="0" applyNumberFormat="1" applyFont="1" applyFill="1" applyBorder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175" fontId="13" fillId="8" borderId="10" xfId="0" applyNumberFormat="1" applyFont="1" applyFill="1" applyBorder="1" applyAlignment="1">
      <alignment horizontal="center" vertical="center"/>
    </xf>
    <xf numFmtId="9" fontId="15" fillId="8" borderId="40" xfId="2" applyFont="1" applyFill="1" applyBorder="1" applyAlignment="1">
      <alignment horizontal="center" vertical="center"/>
    </xf>
    <xf numFmtId="9" fontId="16" fillId="8" borderId="50" xfId="2" applyFont="1" applyFill="1" applyBorder="1" applyAlignment="1">
      <alignment horizontal="center" vertical="center"/>
    </xf>
    <xf numFmtId="0" fontId="0" fillId="10" borderId="6" xfId="0" applyFill="1" applyBorder="1"/>
    <xf numFmtId="171" fontId="5" fillId="4" borderId="9" xfId="0" applyNumberFormat="1" applyFont="1" applyFill="1" applyBorder="1" applyAlignment="1">
      <alignment horizontal="center"/>
    </xf>
    <xf numFmtId="0" fontId="0" fillId="10" borderId="8" xfId="0" applyFill="1" applyBorder="1"/>
    <xf numFmtId="0" fontId="5" fillId="10" borderId="9" xfId="0" applyFont="1" applyFill="1" applyBorder="1" applyAlignment="1">
      <alignment horizontal="center"/>
    </xf>
    <xf numFmtId="0" fontId="0" fillId="11" borderId="12" xfId="0" applyFill="1" applyBorder="1"/>
    <xf numFmtId="0" fontId="5" fillId="11" borderId="11" xfId="0" applyFont="1" applyFill="1" applyBorder="1" applyAlignment="1">
      <alignment horizontal="center"/>
    </xf>
    <xf numFmtId="22" fontId="5" fillId="8" borderId="32" xfId="0" applyNumberFormat="1" applyFont="1" applyFill="1" applyBorder="1" applyAlignment="1">
      <alignment vertical="center"/>
    </xf>
    <xf numFmtId="171" fontId="23" fillId="2" borderId="0" xfId="0" applyNumberFormat="1" applyFont="1" applyFill="1" applyAlignment="1">
      <alignment horizontal="left"/>
    </xf>
    <xf numFmtId="0" fontId="18" fillId="4" borderId="0" xfId="0" applyFont="1" applyFill="1"/>
    <xf numFmtId="22" fontId="0" fillId="2" borderId="0" xfId="0" applyNumberFormat="1" applyFill="1"/>
    <xf numFmtId="165" fontId="0" fillId="0" borderId="58" xfId="1" applyNumberFormat="1" applyFont="1" applyBorder="1" applyAlignment="1">
      <alignment horizontal="center"/>
    </xf>
    <xf numFmtId="165" fontId="0" fillId="0" borderId="40" xfId="0" applyNumberFormat="1" applyBorder="1" applyAlignment="1">
      <alignment horizontal="center"/>
    </xf>
    <xf numFmtId="0" fontId="0" fillId="0" borderId="40" xfId="0" applyBorder="1"/>
    <xf numFmtId="0" fontId="0" fillId="0" borderId="40" xfId="0" applyBorder="1" applyAlignment="1">
      <alignment horizontal="center"/>
    </xf>
    <xf numFmtId="14" fontId="0" fillId="0" borderId="40" xfId="0" applyNumberFormat="1" applyBorder="1" applyAlignment="1">
      <alignment horizontal="center"/>
    </xf>
    <xf numFmtId="22" fontId="0" fillId="0" borderId="19" xfId="0" applyNumberFormat="1" applyBorder="1"/>
    <xf numFmtId="0" fontId="23" fillId="0" borderId="61" xfId="0" applyFont="1" applyBorder="1" applyAlignment="1">
      <alignment horizontal="center"/>
    </xf>
    <xf numFmtId="0" fontId="28" fillId="2" borderId="0" xfId="0" applyFont="1" applyFill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41" xfId="0" applyBorder="1"/>
    <xf numFmtId="165" fontId="0" fillId="0" borderId="41" xfId="0" applyNumberFormat="1" applyBorder="1" applyAlignment="1">
      <alignment horizontal="center"/>
    </xf>
    <xf numFmtId="22" fontId="0" fillId="0" borderId="41" xfId="0" applyNumberFormat="1" applyBorder="1"/>
    <xf numFmtId="0" fontId="0" fillId="0" borderId="14" xfId="0" applyFill="1" applyBorder="1"/>
    <xf numFmtId="22" fontId="0" fillId="0" borderId="0" xfId="0" applyNumberFormat="1" applyFill="1"/>
    <xf numFmtId="1" fontId="0" fillId="0" borderId="14" xfId="0" applyNumberFormat="1" applyBorder="1"/>
    <xf numFmtId="0" fontId="0" fillId="2" borderId="5" xfId="0" applyFill="1" applyBorder="1" applyAlignment="1">
      <alignment horizontal="justify" vertical="top"/>
    </xf>
    <xf numFmtId="0" fontId="0" fillId="2" borderId="37" xfId="0" applyFill="1" applyBorder="1" applyAlignment="1">
      <alignment horizontal="justify" vertical="top"/>
    </xf>
    <xf numFmtId="0" fontId="0" fillId="2" borderId="54" xfId="0" applyFill="1" applyBorder="1" applyAlignment="1">
      <alignment horizontal="justify" vertical="top"/>
    </xf>
    <xf numFmtId="0" fontId="31" fillId="0" borderId="69" xfId="0" applyFont="1" applyBorder="1" applyAlignment="1">
      <alignment wrapText="1"/>
    </xf>
    <xf numFmtId="0" fontId="31" fillId="0" borderId="0" xfId="0" applyFont="1" applyAlignment="1">
      <alignment wrapText="1"/>
    </xf>
    <xf numFmtId="0" fontId="31" fillId="0" borderId="70" xfId="0" applyFont="1" applyBorder="1" applyAlignment="1">
      <alignment wrapText="1"/>
    </xf>
    <xf numFmtId="0" fontId="31" fillId="0" borderId="71" xfId="0" applyFont="1" applyBorder="1" applyAlignment="1">
      <alignment wrapText="1"/>
    </xf>
    <xf numFmtId="0" fontId="30" fillId="2" borderId="0" xfId="0" applyFont="1" applyFill="1" applyAlignment="1">
      <alignment horizontal="right"/>
    </xf>
    <xf numFmtId="168" fontId="0" fillId="0" borderId="19" xfId="0" applyNumberFormat="1" applyBorder="1" applyAlignment="1">
      <alignment horizontal="center"/>
    </xf>
    <xf numFmtId="0" fontId="1" fillId="0" borderId="1" xfId="0" applyFont="1" applyBorder="1"/>
    <xf numFmtId="4" fontId="31" fillId="0" borderId="0" xfId="0" applyNumberFormat="1" applyFont="1" applyAlignment="1">
      <alignment wrapText="1"/>
    </xf>
    <xf numFmtId="4" fontId="31" fillId="0" borderId="71" xfId="0" applyNumberFormat="1" applyFont="1" applyBorder="1" applyAlignment="1">
      <alignment wrapText="1"/>
    </xf>
    <xf numFmtId="0" fontId="24" fillId="0" borderId="43" xfId="0" applyFont="1" applyBorder="1" applyAlignment="1">
      <alignment horizontal="justify" vertical="justify"/>
    </xf>
    <xf numFmtId="0" fontId="0" fillId="2" borderId="0" xfId="0" applyFill="1" applyAlignment="1">
      <alignment horizontal="right"/>
    </xf>
    <xf numFmtId="171" fontId="5" fillId="2" borderId="0" xfId="0" applyNumberFormat="1" applyFont="1" applyFill="1" applyAlignment="1">
      <alignment horizontal="left"/>
    </xf>
    <xf numFmtId="171" fontId="5" fillId="2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28" xfId="0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17" xfId="0" applyFont="1" applyBorder="1"/>
    <xf numFmtId="0" fontId="1" fillId="0" borderId="8" xfId="0" applyFont="1" applyBorder="1"/>
    <xf numFmtId="0" fontId="1" fillId="0" borderId="8" xfId="0" applyFont="1" applyFill="1" applyBorder="1"/>
    <xf numFmtId="0" fontId="1" fillId="0" borderId="8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1" fillId="4" borderId="11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0" xfId="0" applyFont="1" applyFill="1"/>
    <xf numFmtId="0" fontId="1" fillId="3" borderId="8" xfId="0" applyFont="1" applyFill="1" applyBorder="1" applyAlignment="1">
      <alignment horizontal="center"/>
    </xf>
    <xf numFmtId="0" fontId="17" fillId="2" borderId="0" xfId="0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165" fontId="1" fillId="0" borderId="14" xfId="0" applyNumberFormat="1" applyFont="1" applyBorder="1"/>
    <xf numFmtId="171" fontId="1" fillId="0" borderId="14" xfId="0" applyNumberFormat="1" applyFont="1" applyBorder="1" applyAlignment="1">
      <alignment horizontal="center"/>
    </xf>
    <xf numFmtId="0" fontId="1" fillId="2" borderId="10" xfId="0" applyFont="1" applyFill="1" applyBorder="1"/>
    <xf numFmtId="165" fontId="1" fillId="0" borderId="51" xfId="0" applyNumberFormat="1" applyFont="1" applyBorder="1"/>
    <xf numFmtId="0" fontId="1" fillId="2" borderId="57" xfId="0" applyFont="1" applyFill="1" applyBorder="1"/>
    <xf numFmtId="0" fontId="1" fillId="2" borderId="0" xfId="0" applyFont="1" applyFill="1" applyBorder="1"/>
    <xf numFmtId="0" fontId="1" fillId="0" borderId="43" xfId="0" applyFont="1" applyFill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Fill="1" applyBorder="1"/>
    <xf numFmtId="165" fontId="1" fillId="0" borderId="1" xfId="0" applyNumberFormat="1" applyFont="1" applyBorder="1" applyAlignment="1">
      <alignment horizontal="center"/>
    </xf>
    <xf numFmtId="171" fontId="1" fillId="0" borderId="14" xfId="0" applyNumberFormat="1" applyFont="1" applyBorder="1"/>
    <xf numFmtId="22" fontId="1" fillId="0" borderId="1" xfId="0" applyNumberFormat="1" applyFont="1" applyBorder="1"/>
    <xf numFmtId="0" fontId="1" fillId="2" borderId="1" xfId="0" applyFont="1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14" fontId="1" fillId="0" borderId="14" xfId="0" applyNumberFormat="1" applyFont="1" applyBorder="1" applyAlignment="1">
      <alignment horizontal="center"/>
    </xf>
    <xf numFmtId="14" fontId="1" fillId="0" borderId="31" xfId="0" applyNumberFormat="1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0" fontId="1" fillId="2" borderId="14" xfId="0" applyFont="1" applyFill="1" applyBorder="1"/>
    <xf numFmtId="0" fontId="1" fillId="2" borderId="2" xfId="0" applyFont="1" applyFill="1" applyBorder="1"/>
    <xf numFmtId="0" fontId="1" fillId="0" borderId="24" xfId="0" applyFont="1" applyBorder="1"/>
    <xf numFmtId="171" fontId="1" fillId="0" borderId="1" xfId="0" applyNumberFormat="1" applyFont="1" applyBorder="1"/>
    <xf numFmtId="165" fontId="1" fillId="0" borderId="1" xfId="0" applyNumberFormat="1" applyFont="1" applyFill="1" applyBorder="1" applyAlignment="1">
      <alignment horizontal="center"/>
    </xf>
    <xf numFmtId="0" fontId="1" fillId="0" borderId="10" xfId="0" applyFont="1" applyBorder="1"/>
    <xf numFmtId="1" fontId="1" fillId="2" borderId="8" xfId="0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71" fontId="1" fillId="2" borderId="14" xfId="0" applyNumberFormat="1" applyFont="1" applyFill="1" applyBorder="1"/>
    <xf numFmtId="171" fontId="1" fillId="2" borderId="1" xfId="0" applyNumberFormat="1" applyFont="1" applyFill="1" applyBorder="1"/>
    <xf numFmtId="171" fontId="1" fillId="2" borderId="10" xfId="0" applyNumberFormat="1" applyFont="1" applyFill="1" applyBorder="1"/>
    <xf numFmtId="171" fontId="1" fillId="2" borderId="14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65" fontId="1" fillId="2" borderId="0" xfId="0" applyNumberFormat="1" applyFont="1" applyFill="1" applyBorder="1"/>
    <xf numFmtId="171" fontId="1" fillId="2" borderId="1" xfId="0" applyNumberFormat="1" applyFont="1" applyFill="1" applyBorder="1" applyAlignment="1">
      <alignment horizontal="center"/>
    </xf>
    <xf numFmtId="171" fontId="1" fillId="2" borderId="10" xfId="0" applyNumberFormat="1" applyFont="1" applyFill="1" applyBorder="1" applyAlignment="1">
      <alignment horizontal="center"/>
    </xf>
    <xf numFmtId="171" fontId="1" fillId="2" borderId="0" xfId="0" applyNumberFormat="1" applyFont="1" applyFill="1" applyBorder="1"/>
    <xf numFmtId="1" fontId="1" fillId="2" borderId="0" xfId="0" applyNumberFormat="1" applyFont="1" applyFill="1" applyBorder="1"/>
    <xf numFmtId="171" fontId="1" fillId="2" borderId="0" xfId="0" applyNumberFormat="1" applyFont="1" applyFill="1" applyBorder="1" applyAlignment="1">
      <alignment horizontal="center"/>
    </xf>
    <xf numFmtId="171" fontId="1" fillId="0" borderId="1" xfId="0" applyNumberFormat="1" applyFont="1" applyBorder="1" applyAlignment="1">
      <alignment horizontal="center"/>
    </xf>
    <xf numFmtId="171" fontId="1" fillId="0" borderId="9" xfId="0" applyNumberFormat="1" applyFont="1" applyBorder="1" applyAlignment="1">
      <alignment horizontal="center"/>
    </xf>
    <xf numFmtId="175" fontId="1" fillId="0" borderId="1" xfId="0" applyNumberFormat="1" applyFont="1" applyBorder="1" applyAlignment="1">
      <alignment horizontal="center"/>
    </xf>
    <xf numFmtId="171" fontId="1" fillId="0" borderId="10" xfId="0" applyNumberFormat="1" applyFont="1" applyBorder="1" applyAlignment="1">
      <alignment horizontal="center"/>
    </xf>
    <xf numFmtId="171" fontId="1" fillId="0" borderId="11" xfId="0" applyNumberFormat="1" applyFont="1" applyBorder="1" applyAlignment="1">
      <alignment horizontal="center"/>
    </xf>
    <xf numFmtId="171" fontId="1" fillId="0" borderId="10" xfId="0" applyNumberFormat="1" applyFont="1" applyBorder="1"/>
    <xf numFmtId="165" fontId="1" fillId="2" borderId="10" xfId="0" applyNumberFormat="1" applyFont="1" applyFill="1" applyBorder="1"/>
    <xf numFmtId="171" fontId="1" fillId="0" borderId="1" xfId="0" applyNumberFormat="1" applyFont="1" applyFill="1" applyBorder="1" applyAlignment="1">
      <alignment horizontal="center"/>
    </xf>
    <xf numFmtId="165" fontId="1" fillId="0" borderId="41" xfId="0" applyNumberFormat="1" applyFont="1" applyBorder="1"/>
    <xf numFmtId="165" fontId="1" fillId="0" borderId="40" xfId="0" applyNumberFormat="1" applyFont="1" applyBorder="1"/>
    <xf numFmtId="165" fontId="1" fillId="0" borderId="58" xfId="0" applyNumberFormat="1" applyFont="1" applyBorder="1"/>
    <xf numFmtId="175" fontId="1" fillId="0" borderId="14" xfId="0" applyNumberFormat="1" applyFont="1" applyBorder="1" applyAlignment="1">
      <alignment horizontal="center"/>
    </xf>
    <xf numFmtId="175" fontId="1" fillId="0" borderId="10" xfId="0" applyNumberFormat="1" applyFont="1" applyBorder="1" applyAlignment="1">
      <alignment horizontal="center"/>
    </xf>
    <xf numFmtId="0" fontId="1" fillId="2" borderId="56" xfId="0" applyFont="1" applyFill="1" applyBorder="1" applyAlignment="1">
      <alignment horizontal="right"/>
    </xf>
    <xf numFmtId="0" fontId="1" fillId="0" borderId="10" xfId="0" applyFont="1" applyFill="1" applyBorder="1"/>
    <xf numFmtId="171" fontId="1" fillId="0" borderId="19" xfId="0" applyNumberFormat="1" applyFont="1" applyBorder="1" applyAlignment="1">
      <alignment horizontal="center"/>
    </xf>
    <xf numFmtId="171" fontId="1" fillId="0" borderId="9" xfId="0" applyNumberFormat="1" applyFont="1" applyFill="1" applyBorder="1"/>
    <xf numFmtId="22" fontId="1" fillId="0" borderId="0" xfId="0" applyNumberFormat="1" applyFont="1" applyBorder="1" applyAlignment="1">
      <alignment horizontal="center"/>
    </xf>
    <xf numFmtId="165" fontId="1" fillId="0" borderId="1" xfId="0" applyNumberFormat="1" applyFont="1" applyBorder="1"/>
    <xf numFmtId="165" fontId="1" fillId="0" borderId="10" xfId="0" applyNumberFormat="1" applyFont="1" applyBorder="1"/>
    <xf numFmtId="165" fontId="1" fillId="0" borderId="7" xfId="0" applyNumberFormat="1" applyFont="1" applyBorder="1"/>
    <xf numFmtId="175" fontId="1" fillId="0" borderId="7" xfId="0" applyNumberFormat="1" applyFont="1" applyBorder="1" applyAlignment="1">
      <alignment horizontal="center"/>
    </xf>
    <xf numFmtId="171" fontId="1" fillId="0" borderId="7" xfId="0" applyNumberFormat="1" applyFont="1" applyBorder="1" applyAlignment="1">
      <alignment horizontal="center"/>
    </xf>
    <xf numFmtId="175" fontId="1" fillId="0" borderId="40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22" fillId="0" borderId="64" xfId="0" applyFont="1" applyBorder="1" applyAlignment="1">
      <alignment horizontal="center"/>
    </xf>
    <xf numFmtId="0" fontId="22" fillId="0" borderId="65" xfId="0" applyFont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5" fillId="2" borderId="5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2" borderId="66" xfId="0" applyFill="1" applyBorder="1" applyAlignment="1" applyProtection="1">
      <alignment horizontal="left"/>
      <protection locked="0"/>
    </xf>
    <xf numFmtId="0" fontId="0" fillId="2" borderId="67" xfId="0" applyFill="1" applyBorder="1" applyAlignment="1" applyProtection="1">
      <alignment horizontal="left"/>
      <protection locked="0"/>
    </xf>
    <xf numFmtId="0" fontId="0" fillId="2" borderId="68" xfId="0" applyFill="1" applyBorder="1" applyAlignment="1" applyProtection="1">
      <alignment horizontal="left"/>
      <protection locked="0"/>
    </xf>
    <xf numFmtId="0" fontId="29" fillId="2" borderId="66" xfId="0" applyFont="1" applyFill="1" applyBorder="1" applyAlignment="1" applyProtection="1">
      <alignment horizontal="left"/>
      <protection locked="0"/>
    </xf>
    <xf numFmtId="0" fontId="29" fillId="2" borderId="67" xfId="0" applyFont="1" applyFill="1" applyBorder="1" applyAlignment="1" applyProtection="1">
      <alignment horizontal="left"/>
      <protection locked="0"/>
    </xf>
    <xf numFmtId="0" fontId="29" fillId="2" borderId="68" xfId="0" applyFont="1" applyFill="1" applyBorder="1" applyAlignment="1" applyProtection="1">
      <alignment horizontal="left"/>
      <protection locked="0"/>
    </xf>
    <xf numFmtId="22" fontId="0" fillId="2" borderId="7" xfId="0" applyNumberFormat="1" applyFill="1" applyBorder="1" applyAlignment="1">
      <alignment horizontal="center"/>
    </xf>
    <xf numFmtId="22" fontId="0" fillId="2" borderId="33" xfId="0" applyNumberFormat="1" applyFill="1" applyBorder="1" applyAlignment="1">
      <alignment horizontal="center"/>
    </xf>
    <xf numFmtId="22" fontId="0" fillId="2" borderId="32" xfId="0" applyNumberFormat="1" applyFill="1" applyBorder="1" applyAlignment="1">
      <alignment horizontal="center"/>
    </xf>
    <xf numFmtId="22" fontId="0" fillId="2" borderId="10" xfId="0" applyNumberFormat="1" applyFill="1" applyBorder="1" applyAlignment="1">
      <alignment horizontal="center"/>
    </xf>
    <xf numFmtId="22" fontId="0" fillId="2" borderId="34" xfId="0" applyNumberFormat="1" applyFill="1" applyBorder="1" applyAlignment="1">
      <alignment horizontal="center"/>
    </xf>
    <xf numFmtId="22" fontId="0" fillId="2" borderId="11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58" xfId="0" applyFill="1" applyBorder="1" applyAlignment="1">
      <alignment horizontal="right"/>
    </xf>
    <xf numFmtId="0" fontId="23" fillId="2" borderId="56" xfId="0" applyFont="1" applyFill="1" applyBorder="1" applyAlignment="1">
      <alignment horizontal="left" vertical="center" wrapText="1"/>
    </xf>
    <xf numFmtId="0" fontId="23" fillId="2" borderId="0" xfId="0" applyFont="1" applyFill="1" applyBorder="1" applyAlignment="1">
      <alignment horizontal="left" vertical="center" wrapText="1"/>
    </xf>
    <xf numFmtId="0" fontId="23" fillId="2" borderId="57" xfId="0" applyFont="1" applyFill="1" applyBorder="1" applyAlignment="1">
      <alignment horizontal="left" vertical="center" wrapText="1"/>
    </xf>
    <xf numFmtId="22" fontId="27" fillId="2" borderId="7" xfId="0" applyNumberFormat="1" applyFont="1" applyFill="1" applyBorder="1" applyAlignment="1">
      <alignment horizontal="center"/>
    </xf>
    <xf numFmtId="22" fontId="27" fillId="2" borderId="32" xfId="0" applyNumberFormat="1" applyFont="1" applyFill="1" applyBorder="1" applyAlignment="1">
      <alignment horizontal="center"/>
    </xf>
    <xf numFmtId="22" fontId="27" fillId="2" borderId="10" xfId="0" applyNumberFormat="1" applyFont="1" applyFill="1" applyBorder="1" applyAlignment="1">
      <alignment horizontal="center"/>
    </xf>
    <xf numFmtId="22" fontId="27" fillId="2" borderId="11" xfId="0" applyNumberFormat="1" applyFont="1" applyFill="1" applyBorder="1" applyAlignment="1">
      <alignment horizontal="center"/>
    </xf>
    <xf numFmtId="171" fontId="5" fillId="2" borderId="0" xfId="0" applyNumberFormat="1" applyFont="1" applyFill="1" applyAlignment="1">
      <alignment horizontal="left"/>
    </xf>
    <xf numFmtId="171" fontId="5" fillId="2" borderId="0" xfId="0" applyNumberFormat="1" applyFont="1" applyFill="1" applyAlignment="1">
      <alignment horizontal="center"/>
    </xf>
    <xf numFmtId="0" fontId="0" fillId="0" borderId="28" xfId="0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22" fontId="0" fillId="0" borderId="7" xfId="0" applyNumberFormat="1" applyBorder="1" applyAlignment="1">
      <alignment horizontal="center"/>
    </xf>
    <xf numFmtId="22" fontId="0" fillId="0" borderId="32" xfId="0" applyNumberFormat="1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22" fontId="0" fillId="0" borderId="10" xfId="0" applyNumberFormat="1" applyBorder="1" applyAlignment="1">
      <alignment horizontal="center"/>
    </xf>
    <xf numFmtId="22" fontId="0" fillId="0" borderId="11" xfId="0" applyNumberFormat="1" applyBorder="1" applyAlignment="1">
      <alignment horizontal="center"/>
    </xf>
    <xf numFmtId="0" fontId="0" fillId="0" borderId="0" xfId="0" applyAlignment="1">
      <alignment horizontal="right"/>
    </xf>
    <xf numFmtId="16" fontId="0" fillId="2" borderId="0" xfId="0" applyNumberFormat="1" applyFill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Porcentajes de Ha Si y Ha No por hijuelas</a:t>
            </a:r>
          </a:p>
        </c:rich>
      </c:tx>
      <c:layout>
        <c:manualLayout>
          <c:xMode val="edge"/>
          <c:yMode val="edge"/>
          <c:x val="0.33382352941176469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1764705882353"/>
          <c:y val="0.16137607829054618"/>
          <c:w val="0.78823529411764703"/>
          <c:h val="0.71693306912685273"/>
        </c:manualLayout>
      </c:layout>
      <c:barChart>
        <c:barDir val="col"/>
        <c:grouping val="percentStacked"/>
        <c:varyColors val="0"/>
        <c:ser>
          <c:idx val="0"/>
          <c:order val="0"/>
          <c:tx>
            <c:v>Ha Si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FFFF" mc:Ignorable="a14" a14:legacySpreadsheetColorIndex="15"/>
                </a:gs>
                <a:gs pos="100000">
                  <a:srgbClr xmlns:mc="http://schemas.openxmlformats.org/markup-compatibility/2006" xmlns:a14="http://schemas.microsoft.com/office/drawing/2010/main" val="08FFFF" mc:Ignorable="a14" a14:legacySpreadsheetColorIndex="15">
                    <a:gamma/>
                    <a:tint val="96863"/>
                    <a:invGamma/>
                  </a:srgbClr>
                </a:gs>
              </a:gsLst>
              <a:path path="rect">
                <a:fillToRect l="50000" t="50000" r="50000" b="50000"/>
              </a:path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Hijuelas!$B$11:$B$26</c:f>
              <c:strCache>
                <c:ptCount val="16"/>
                <c:pt idx="0">
                  <c:v>Canal (Directos)</c:v>
                </c:pt>
                <c:pt idx="1">
                  <c:v>1° Araujo</c:v>
                </c:pt>
                <c:pt idx="2">
                  <c:v>Sur</c:v>
                </c:pt>
                <c:pt idx="3">
                  <c:v>Heras</c:v>
                </c:pt>
                <c:pt idx="4">
                  <c:v>Cubells</c:v>
                </c:pt>
                <c:pt idx="5">
                  <c:v>2° Araujo</c:v>
                </c:pt>
                <c:pt idx="6">
                  <c:v>Ibañez</c:v>
                </c:pt>
                <c:pt idx="7">
                  <c:v>Baro</c:v>
                </c:pt>
                <c:pt idx="8">
                  <c:v>Nuñez</c:v>
                </c:pt>
                <c:pt idx="9">
                  <c:v>Villegas</c:v>
                </c:pt>
                <c:pt idx="10">
                  <c:v>Argumedo</c:v>
                </c:pt>
                <c:pt idx="11">
                  <c:v>Lourdes</c:v>
                </c:pt>
                <c:pt idx="12">
                  <c:v>Rilli</c:v>
                </c:pt>
                <c:pt idx="13">
                  <c:v>Quinteros</c:v>
                </c:pt>
                <c:pt idx="14">
                  <c:v>Giangiulio</c:v>
                </c:pt>
                <c:pt idx="15">
                  <c:v>Barros</c:v>
                </c:pt>
              </c:strCache>
            </c:strRef>
          </c:cat>
          <c:val>
            <c:numRef>
              <c:f>Hijuelas!$J$11:$J$26</c:f>
              <c:numCache>
                <c:formatCode>0%</c:formatCode>
                <c:ptCount val="16"/>
                <c:pt idx="0">
                  <c:v>0.84661630710840208</c:v>
                </c:pt>
                <c:pt idx="1">
                  <c:v>0.70858272572278447</c:v>
                </c:pt>
                <c:pt idx="2">
                  <c:v>0.93302248323400216</c:v>
                </c:pt>
                <c:pt idx="3">
                  <c:v>1</c:v>
                </c:pt>
                <c:pt idx="4">
                  <c:v>0.88389889876544403</c:v>
                </c:pt>
                <c:pt idx="5">
                  <c:v>0.85620625549993312</c:v>
                </c:pt>
                <c:pt idx="6">
                  <c:v>0.83980985121784091</c:v>
                </c:pt>
                <c:pt idx="7">
                  <c:v>0.39292883051026511</c:v>
                </c:pt>
                <c:pt idx="8">
                  <c:v>0.8832369197888249</c:v>
                </c:pt>
                <c:pt idx="9">
                  <c:v>0.97243057660597687</c:v>
                </c:pt>
                <c:pt idx="10">
                  <c:v>1</c:v>
                </c:pt>
                <c:pt idx="11">
                  <c:v>0.8175063030514238</c:v>
                </c:pt>
                <c:pt idx="12">
                  <c:v>11.053539932656008</c:v>
                </c:pt>
                <c:pt idx="13">
                  <c:v>0.89552464108077567</c:v>
                </c:pt>
                <c:pt idx="14">
                  <c:v>1.3724067986071211</c:v>
                </c:pt>
                <c:pt idx="15">
                  <c:v>0.93931788216231671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93F-9136-639398E29179}"/>
            </c:ext>
          </c:extLst>
        </c:ser>
        <c:ser>
          <c:idx val="1"/>
          <c:order val="1"/>
          <c:tx>
            <c:v>ha No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FF2929" mc:Ignorable="a14" a14:legacySpreadsheetColorIndex="10">
                    <a:gamma/>
                    <a:tint val="83922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Hijuelas!$B$11:$B$26</c:f>
              <c:strCache>
                <c:ptCount val="16"/>
                <c:pt idx="0">
                  <c:v>Canal (Directos)</c:v>
                </c:pt>
                <c:pt idx="1">
                  <c:v>1° Araujo</c:v>
                </c:pt>
                <c:pt idx="2">
                  <c:v>Sur</c:v>
                </c:pt>
                <c:pt idx="3">
                  <c:v>Heras</c:v>
                </c:pt>
                <c:pt idx="4">
                  <c:v>Cubells</c:v>
                </c:pt>
                <c:pt idx="5">
                  <c:v>2° Araujo</c:v>
                </c:pt>
                <c:pt idx="6">
                  <c:v>Ibañez</c:v>
                </c:pt>
                <c:pt idx="7">
                  <c:v>Baro</c:v>
                </c:pt>
                <c:pt idx="8">
                  <c:v>Nuñez</c:v>
                </c:pt>
                <c:pt idx="9">
                  <c:v>Villegas</c:v>
                </c:pt>
                <c:pt idx="10">
                  <c:v>Argumedo</c:v>
                </c:pt>
                <c:pt idx="11">
                  <c:v>Lourdes</c:v>
                </c:pt>
                <c:pt idx="12">
                  <c:v>Rilli</c:v>
                </c:pt>
                <c:pt idx="13">
                  <c:v>Quinteros</c:v>
                </c:pt>
                <c:pt idx="14">
                  <c:v>Giangiulio</c:v>
                </c:pt>
                <c:pt idx="15">
                  <c:v>Barros</c:v>
                </c:pt>
              </c:strCache>
            </c:strRef>
          </c:cat>
          <c:val>
            <c:numRef>
              <c:f>Hijuelas!$K$11:$K$26</c:f>
              <c:numCache>
                <c:formatCode>0%</c:formatCode>
                <c:ptCount val="16"/>
                <c:pt idx="0">
                  <c:v>0.15338369289159792</c:v>
                </c:pt>
                <c:pt idx="1">
                  <c:v>0.29141727427721553</c:v>
                </c:pt>
                <c:pt idx="2">
                  <c:v>6.6977516765997835E-2</c:v>
                </c:pt>
                <c:pt idx="3">
                  <c:v>0</c:v>
                </c:pt>
                <c:pt idx="4">
                  <c:v>0.11610110123455597</c:v>
                </c:pt>
                <c:pt idx="5">
                  <c:v>0.14379374450006688</c:v>
                </c:pt>
                <c:pt idx="6">
                  <c:v>0.16019014878215909</c:v>
                </c:pt>
                <c:pt idx="7">
                  <c:v>0.60707116948973483</c:v>
                </c:pt>
                <c:pt idx="8">
                  <c:v>0.1167630802111751</c:v>
                </c:pt>
                <c:pt idx="9">
                  <c:v>2.7569423394023129E-2</c:v>
                </c:pt>
                <c:pt idx="10">
                  <c:v>0</c:v>
                </c:pt>
                <c:pt idx="11">
                  <c:v>0.1824936969485762</c:v>
                </c:pt>
                <c:pt idx="12">
                  <c:v>-10.053539932656008</c:v>
                </c:pt>
                <c:pt idx="13">
                  <c:v>0.10447535891922433</c:v>
                </c:pt>
                <c:pt idx="14">
                  <c:v>-0.37240679860712111</c:v>
                </c:pt>
                <c:pt idx="15">
                  <c:v>6.0682117837683291E-2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61-493F-9136-639398E29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44448"/>
        <c:axId val="170746624"/>
      </c:barChart>
      <c:catAx>
        <c:axId val="17074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Hijuelas</a:t>
                </a:r>
              </a:p>
            </c:rich>
          </c:tx>
          <c:layout>
            <c:manualLayout>
              <c:xMode val="edge"/>
              <c:yMode val="edge"/>
              <c:x val="0.47647058823529409"/>
              <c:y val="0.904764126706383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746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746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60000" vert="horz"/>
              <a:lstStyle/>
              <a:p>
                <a:pPr algn="ctr"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%</a:t>
                </a:r>
              </a:p>
            </c:rich>
          </c:tx>
          <c:layout>
            <c:manualLayout>
              <c:xMode val="edge"/>
              <c:yMode val="edge"/>
              <c:x val="3.5294117647058823E-2"/>
              <c:y val="0.2328047882903525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7444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205882352941176"/>
          <c:y val="0.48412837284228366"/>
          <c:w val="0.98823529411764699"/>
          <c:h val="0.587303253759946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Estado de Deuda General</a:t>
            </a:r>
          </a:p>
        </c:rich>
      </c:tx>
      <c:layout>
        <c:manualLayout>
          <c:xMode val="edge"/>
          <c:yMode val="edge"/>
          <c:x val="0.1548117154811715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25523012552302"/>
          <c:y val="0.16886565291274958"/>
          <c:w val="0.35564853556485354"/>
          <c:h val="0.62005356928900235"/>
        </c:manualLayout>
      </c:layout>
      <c:barChart>
        <c:barDir val="col"/>
        <c:grouping val="stacked"/>
        <c:varyColors val="0"/>
        <c:ser>
          <c:idx val="0"/>
          <c:order val="0"/>
          <c:tx>
            <c:v>Ha Si</c:v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Hijuelas!$G$27</c:f>
              <c:strCache>
                <c:ptCount val="1"/>
                <c:pt idx="0">
                  <c:v>Bajada de Araujo</c:v>
                </c:pt>
              </c:strCache>
            </c:strRef>
          </c:cat>
          <c:val>
            <c:numRef>
              <c:f>Hijuelas!$J$27</c:f>
              <c:numCache>
                <c:formatCode>0%</c:formatCode>
                <c:ptCount val="1"/>
                <c:pt idx="0">
                  <c:v>1.5246892753756951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D9-4D2C-BA40-ACF7202487C2}"/>
            </c:ext>
          </c:extLst>
        </c:ser>
        <c:ser>
          <c:idx val="1"/>
          <c:order val="1"/>
          <c:tx>
            <c:v>Ha No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Hijuelas!$G$27</c:f>
              <c:strCache>
                <c:ptCount val="1"/>
                <c:pt idx="0">
                  <c:v>Bajada de Araujo</c:v>
                </c:pt>
              </c:strCache>
            </c:strRef>
          </c:cat>
          <c:val>
            <c:numRef>
              <c:f>Hijuelas!$K$27</c:f>
              <c:numCache>
                <c:formatCode>0%</c:formatCode>
                <c:ptCount val="1"/>
                <c:pt idx="0">
                  <c:v>-0.52468927537569499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D9-4D2C-BA40-ACF720248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406528"/>
        <c:axId val="158408704"/>
      </c:barChart>
      <c:catAx>
        <c:axId val="1584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Canal</a:t>
                </a:r>
              </a:p>
            </c:rich>
          </c:tx>
          <c:layout>
            <c:manualLayout>
              <c:xMode val="edge"/>
              <c:yMode val="edge"/>
              <c:x val="0.39330543933054396"/>
              <c:y val="0.89973725579817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408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40870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%</a:t>
                </a:r>
              </a:p>
            </c:rich>
          </c:tx>
          <c:layout>
            <c:manualLayout>
              <c:xMode val="edge"/>
              <c:yMode val="edge"/>
              <c:x val="6.6945606694560664E-2"/>
              <c:y val="0.435356754548161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4065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0292887029288698"/>
          <c:y val="0.41688709755607722"/>
          <c:w val="0.96652719665271958"/>
          <c:h val="0.54089792865601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0</xdr:row>
      <xdr:rowOff>28575</xdr:rowOff>
    </xdr:from>
    <xdr:to>
      <xdr:col>9</xdr:col>
      <xdr:colOff>447675</xdr:colOff>
      <xdr:row>3</xdr:row>
      <xdr:rowOff>142875</xdr:rowOff>
    </xdr:to>
    <xdr:sp macro="" textlink="">
      <xdr:nvSpPr>
        <xdr:cNvPr id="2055" name="CommandButton1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8</xdr:col>
      <xdr:colOff>142875</xdr:colOff>
      <xdr:row>0</xdr:row>
      <xdr:rowOff>28575</xdr:rowOff>
    </xdr:from>
    <xdr:to>
      <xdr:col>9</xdr:col>
      <xdr:colOff>447675</xdr:colOff>
      <xdr:row>3</xdr:row>
      <xdr:rowOff>142875</xdr:rowOff>
    </xdr:to>
    <xdr:sp macro="" textlink="">
      <xdr:nvSpPr>
        <xdr:cNvPr id="2089" name="CommandButton2" hidden="1">
          <a:extLst>
            <a:ext uri="{63B3BB69-23CF-44E3-9099-C40C66FF867C}">
              <a14:compatExt xmlns:a14="http://schemas.microsoft.com/office/drawing/2010/main" spid="_x0000_s2089"/>
            </a:ext>
            <a:ext uri="{FF2B5EF4-FFF2-40B4-BE49-F238E27FC236}">
              <a16:creationId xmlns:a16="http://schemas.microsoft.com/office/drawing/2014/main" id="{00000000-0008-0000-0200-000029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0</xdr:row>
      <xdr:rowOff>95250</xdr:rowOff>
    </xdr:from>
    <xdr:to>
      <xdr:col>8</xdr:col>
      <xdr:colOff>428625</xdr:colOff>
      <xdr:row>4</xdr:row>
      <xdr:rowOff>9525</xdr:rowOff>
    </xdr:to>
    <xdr:sp macro="" textlink="">
      <xdr:nvSpPr>
        <xdr:cNvPr id="41985" name="CommandButton1" hidden="1">
          <a:extLst>
            <a:ext uri="{63B3BB69-23CF-44E3-9099-C40C66FF867C}">
              <a14:compatExt xmlns:a14="http://schemas.microsoft.com/office/drawing/2010/main" spid="_x0000_s41985"/>
            </a:ext>
            <a:ext uri="{FF2B5EF4-FFF2-40B4-BE49-F238E27FC236}">
              <a16:creationId xmlns:a16="http://schemas.microsoft.com/office/drawing/2014/main" id="{00000000-0008-0000-0300-000001A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152400</xdr:rowOff>
    </xdr:from>
    <xdr:to>
      <xdr:col>8</xdr:col>
      <xdr:colOff>438150</xdr:colOff>
      <xdr:row>27</xdr:row>
      <xdr:rowOff>28575</xdr:rowOff>
    </xdr:to>
    <xdr:graphicFrame macro="">
      <xdr:nvGraphicFramePr>
        <xdr:cNvPr id="6255" name="Gráfico 1">
          <a:extLst>
            <a:ext uri="{FF2B5EF4-FFF2-40B4-BE49-F238E27FC236}">
              <a16:creationId xmlns:a16="http://schemas.microsoft.com/office/drawing/2014/main" id="{00000000-0008-0000-0400-00006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752475</xdr:colOff>
      <xdr:row>0</xdr:row>
      <xdr:rowOff>66675</xdr:rowOff>
    </xdr:from>
    <xdr:to>
      <xdr:col>6</xdr:col>
      <xdr:colOff>276225</xdr:colOff>
      <xdr:row>4</xdr:row>
      <xdr:rowOff>19050</xdr:rowOff>
    </xdr:to>
    <xdr:sp macro="" textlink="">
      <xdr:nvSpPr>
        <xdr:cNvPr id="6147" name="CommandButton1" hidden="1">
          <a:extLst>
            <a:ext uri="{63B3BB69-23CF-44E3-9099-C40C66FF867C}">
              <a14:compatExt xmlns:a14="http://schemas.microsoft.com/office/drawing/2010/main" spid="_x0000_s6147"/>
            </a:ext>
            <a:ext uri="{FF2B5EF4-FFF2-40B4-BE49-F238E27FC236}">
              <a16:creationId xmlns:a16="http://schemas.microsoft.com/office/drawing/2014/main" id="{00000000-0008-0000-0400-0000031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>
    <xdr:from>
      <xdr:col>8</xdr:col>
      <xdr:colOff>581025</xdr:colOff>
      <xdr:row>4</xdr:row>
      <xdr:rowOff>142875</xdr:rowOff>
    </xdr:from>
    <xdr:to>
      <xdr:col>11</xdr:col>
      <xdr:colOff>571500</xdr:colOff>
      <xdr:row>27</xdr:row>
      <xdr:rowOff>28575</xdr:rowOff>
    </xdr:to>
    <xdr:graphicFrame macro="">
      <xdr:nvGraphicFramePr>
        <xdr:cNvPr id="6256" name="Gráfico 4">
          <a:extLst>
            <a:ext uri="{FF2B5EF4-FFF2-40B4-BE49-F238E27FC236}">
              <a16:creationId xmlns:a16="http://schemas.microsoft.com/office/drawing/2014/main" id="{00000000-0008-0000-0400-00007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5</xdr:row>
      <xdr:rowOff>123825</xdr:rowOff>
    </xdr:from>
    <xdr:to>
      <xdr:col>1</xdr:col>
      <xdr:colOff>1114425</xdr:colOff>
      <xdr:row>7</xdr:row>
      <xdr:rowOff>47625</xdr:rowOff>
    </xdr:to>
    <xdr:sp macro="" textlink="">
      <xdr:nvSpPr>
        <xdr:cNvPr id="4097" name="CommandButton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323850</xdr:colOff>
      <xdr:row>5</xdr:row>
      <xdr:rowOff>123825</xdr:rowOff>
    </xdr:from>
    <xdr:to>
      <xdr:col>3</xdr:col>
      <xdr:colOff>1219200</xdr:colOff>
      <xdr:row>7</xdr:row>
      <xdr:rowOff>47625</xdr:rowOff>
    </xdr:to>
    <xdr:sp macro="" textlink="">
      <xdr:nvSpPr>
        <xdr:cNvPr id="4098" name="CommandButton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5</xdr:row>
      <xdr:rowOff>104775</xdr:rowOff>
    </xdr:from>
    <xdr:to>
      <xdr:col>4</xdr:col>
      <xdr:colOff>1152525</xdr:colOff>
      <xdr:row>7</xdr:row>
      <xdr:rowOff>28575</xdr:rowOff>
    </xdr:to>
    <xdr:sp macro="" textlink="">
      <xdr:nvSpPr>
        <xdr:cNvPr id="4099" name="CommandButton3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10</xdr:row>
      <xdr:rowOff>47625</xdr:rowOff>
    </xdr:from>
    <xdr:to>
      <xdr:col>0</xdr:col>
      <xdr:colOff>771525</xdr:colOff>
      <xdr:row>10</xdr:row>
      <xdr:rowOff>295275</xdr:rowOff>
    </xdr:to>
    <xdr:sp macro="" textlink="">
      <xdr:nvSpPr>
        <xdr:cNvPr id="4101" name="CommandButton5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500-000005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11</xdr:row>
      <xdr:rowOff>38100</xdr:rowOff>
    </xdr:from>
    <xdr:to>
      <xdr:col>0</xdr:col>
      <xdr:colOff>771525</xdr:colOff>
      <xdr:row>11</xdr:row>
      <xdr:rowOff>314325</xdr:rowOff>
    </xdr:to>
    <xdr:sp macro="" textlink="">
      <xdr:nvSpPr>
        <xdr:cNvPr id="4102" name="CommandButton6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500-000006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12</xdr:row>
      <xdr:rowOff>38100</xdr:rowOff>
    </xdr:from>
    <xdr:to>
      <xdr:col>0</xdr:col>
      <xdr:colOff>771525</xdr:colOff>
      <xdr:row>12</xdr:row>
      <xdr:rowOff>295275</xdr:rowOff>
    </xdr:to>
    <xdr:sp macro="" textlink="">
      <xdr:nvSpPr>
        <xdr:cNvPr id="4103" name="CommandButton9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13</xdr:row>
      <xdr:rowOff>38100</xdr:rowOff>
    </xdr:from>
    <xdr:to>
      <xdr:col>0</xdr:col>
      <xdr:colOff>771525</xdr:colOff>
      <xdr:row>13</xdr:row>
      <xdr:rowOff>295275</xdr:rowOff>
    </xdr:to>
    <xdr:sp macro="" textlink="">
      <xdr:nvSpPr>
        <xdr:cNvPr id="4104" name="CommandButton7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500-000008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9525</xdr:colOff>
      <xdr:row>14</xdr:row>
      <xdr:rowOff>38100</xdr:rowOff>
    </xdr:from>
    <xdr:to>
      <xdr:col>0</xdr:col>
      <xdr:colOff>781050</xdr:colOff>
      <xdr:row>14</xdr:row>
      <xdr:rowOff>295275</xdr:rowOff>
    </xdr:to>
    <xdr:sp macro="" textlink="">
      <xdr:nvSpPr>
        <xdr:cNvPr id="4105" name="CommandButton8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500-000009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771525</xdr:colOff>
      <xdr:row>27</xdr:row>
      <xdr:rowOff>57150</xdr:rowOff>
    </xdr:to>
    <xdr:sp macro="" textlink="">
      <xdr:nvSpPr>
        <xdr:cNvPr id="4106" name="CommandButton10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500-00000A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9525</xdr:colOff>
      <xdr:row>26</xdr:row>
      <xdr:rowOff>0</xdr:rowOff>
    </xdr:from>
    <xdr:to>
      <xdr:col>0</xdr:col>
      <xdr:colOff>771525</xdr:colOff>
      <xdr:row>27</xdr:row>
      <xdr:rowOff>57150</xdr:rowOff>
    </xdr:to>
    <xdr:sp macro="" textlink="">
      <xdr:nvSpPr>
        <xdr:cNvPr id="4107" name="CommandButton11" hidden="1">
          <a:extLst>
            <a:ext uri="{63B3BB69-23CF-44E3-9099-C40C66FF867C}">
              <a14:compatExt xmlns:a14="http://schemas.microsoft.com/office/drawing/2010/main" spid="_x0000_s4107"/>
            </a:ext>
            <a:ext uri="{FF2B5EF4-FFF2-40B4-BE49-F238E27FC236}">
              <a16:creationId xmlns:a16="http://schemas.microsoft.com/office/drawing/2014/main" id="{00000000-0008-0000-0500-00000B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25</xdr:row>
      <xdr:rowOff>38100</xdr:rowOff>
    </xdr:from>
    <xdr:to>
      <xdr:col>0</xdr:col>
      <xdr:colOff>771525</xdr:colOff>
      <xdr:row>25</xdr:row>
      <xdr:rowOff>295275</xdr:rowOff>
    </xdr:to>
    <xdr:sp macro="" textlink="">
      <xdr:nvSpPr>
        <xdr:cNvPr id="4108" name="CommandButton12" hidden="1">
          <a:extLst>
            <a:ext uri="{63B3BB69-23CF-44E3-9099-C40C66FF867C}">
              <a14:compatExt xmlns:a14="http://schemas.microsoft.com/office/drawing/2010/main" spid="_x0000_s4108"/>
            </a:ext>
            <a:ext uri="{FF2B5EF4-FFF2-40B4-BE49-F238E27FC236}">
              <a16:creationId xmlns:a16="http://schemas.microsoft.com/office/drawing/2014/main" id="{00000000-0008-0000-0500-00000C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15</xdr:row>
      <xdr:rowOff>38100</xdr:rowOff>
    </xdr:from>
    <xdr:to>
      <xdr:col>0</xdr:col>
      <xdr:colOff>771525</xdr:colOff>
      <xdr:row>15</xdr:row>
      <xdr:rowOff>295275</xdr:rowOff>
    </xdr:to>
    <xdr:sp macro="" textlink="">
      <xdr:nvSpPr>
        <xdr:cNvPr id="4109" name="CommandButton13" hidden="1">
          <a:extLst>
            <a:ext uri="{63B3BB69-23CF-44E3-9099-C40C66FF867C}">
              <a14:compatExt xmlns:a14="http://schemas.microsoft.com/office/drawing/2010/main" spid="_x0000_s4109"/>
            </a:ext>
            <a:ext uri="{FF2B5EF4-FFF2-40B4-BE49-F238E27FC236}">
              <a16:creationId xmlns:a16="http://schemas.microsoft.com/office/drawing/2014/main" id="{00000000-0008-0000-0500-00000D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16</xdr:row>
      <xdr:rowOff>47625</xdr:rowOff>
    </xdr:from>
    <xdr:to>
      <xdr:col>0</xdr:col>
      <xdr:colOff>781050</xdr:colOff>
      <xdr:row>16</xdr:row>
      <xdr:rowOff>304800</xdr:rowOff>
    </xdr:to>
    <xdr:sp macro="" textlink="">
      <xdr:nvSpPr>
        <xdr:cNvPr id="4110" name="CommandButton14" hidden="1">
          <a:extLst>
            <a:ext uri="{63B3BB69-23CF-44E3-9099-C40C66FF867C}">
              <a14:compatExt xmlns:a14="http://schemas.microsoft.com/office/drawing/2010/main" spid="_x0000_s4110"/>
            </a:ext>
            <a:ext uri="{FF2B5EF4-FFF2-40B4-BE49-F238E27FC236}">
              <a16:creationId xmlns:a16="http://schemas.microsoft.com/office/drawing/2014/main" id="{00000000-0008-0000-0500-00000E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47625</xdr:rowOff>
    </xdr:from>
    <xdr:to>
      <xdr:col>0</xdr:col>
      <xdr:colOff>771525</xdr:colOff>
      <xdr:row>17</xdr:row>
      <xdr:rowOff>304800</xdr:rowOff>
    </xdr:to>
    <xdr:sp macro="" textlink="">
      <xdr:nvSpPr>
        <xdr:cNvPr id="4111" name="CommandButton15" hidden="1">
          <a:extLst>
            <a:ext uri="{63B3BB69-23CF-44E3-9099-C40C66FF867C}">
              <a14:compatExt xmlns:a14="http://schemas.microsoft.com/office/drawing/2010/main" spid="_x0000_s4111"/>
            </a:ext>
            <a:ext uri="{FF2B5EF4-FFF2-40B4-BE49-F238E27FC236}">
              <a16:creationId xmlns:a16="http://schemas.microsoft.com/office/drawing/2014/main" id="{00000000-0008-0000-0500-00000F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9525</xdr:colOff>
      <xdr:row>18</xdr:row>
      <xdr:rowOff>38100</xdr:rowOff>
    </xdr:from>
    <xdr:to>
      <xdr:col>0</xdr:col>
      <xdr:colOff>771525</xdr:colOff>
      <xdr:row>18</xdr:row>
      <xdr:rowOff>295275</xdr:rowOff>
    </xdr:to>
    <xdr:sp macro="" textlink="">
      <xdr:nvSpPr>
        <xdr:cNvPr id="4112" name="CommandButton16" hidden="1">
          <a:extLst>
            <a:ext uri="{63B3BB69-23CF-44E3-9099-C40C66FF867C}">
              <a14:compatExt xmlns:a14="http://schemas.microsoft.com/office/drawing/2010/main" spid="_x0000_s4112"/>
            </a:ext>
            <a:ext uri="{FF2B5EF4-FFF2-40B4-BE49-F238E27FC236}">
              <a16:creationId xmlns:a16="http://schemas.microsoft.com/office/drawing/2014/main" id="{00000000-0008-0000-0500-000010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19</xdr:row>
      <xdr:rowOff>38100</xdr:rowOff>
    </xdr:from>
    <xdr:to>
      <xdr:col>0</xdr:col>
      <xdr:colOff>771525</xdr:colOff>
      <xdr:row>19</xdr:row>
      <xdr:rowOff>295275</xdr:rowOff>
    </xdr:to>
    <xdr:sp macro="" textlink="">
      <xdr:nvSpPr>
        <xdr:cNvPr id="4113" name="CommandButton17" hidden="1">
          <a:extLst>
            <a:ext uri="{63B3BB69-23CF-44E3-9099-C40C66FF867C}">
              <a14:compatExt xmlns:a14="http://schemas.microsoft.com/office/drawing/2010/main" spid="_x0000_s4113"/>
            </a:ext>
            <a:ext uri="{FF2B5EF4-FFF2-40B4-BE49-F238E27FC236}">
              <a16:creationId xmlns:a16="http://schemas.microsoft.com/office/drawing/2014/main" id="{00000000-0008-0000-0500-000011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28575</xdr:colOff>
      <xdr:row>20</xdr:row>
      <xdr:rowOff>28575</xdr:rowOff>
    </xdr:from>
    <xdr:to>
      <xdr:col>0</xdr:col>
      <xdr:colOff>771525</xdr:colOff>
      <xdr:row>20</xdr:row>
      <xdr:rowOff>285750</xdr:rowOff>
    </xdr:to>
    <xdr:sp macro="" textlink="">
      <xdr:nvSpPr>
        <xdr:cNvPr id="4114" name="CommandButton18" hidden="1">
          <a:extLst>
            <a:ext uri="{63B3BB69-23CF-44E3-9099-C40C66FF867C}">
              <a14:compatExt xmlns:a14="http://schemas.microsoft.com/office/drawing/2010/main" spid="_x0000_s4114"/>
            </a:ext>
            <a:ext uri="{FF2B5EF4-FFF2-40B4-BE49-F238E27FC236}">
              <a16:creationId xmlns:a16="http://schemas.microsoft.com/office/drawing/2014/main" id="{00000000-0008-0000-0500-000012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21</xdr:row>
      <xdr:rowOff>38100</xdr:rowOff>
    </xdr:from>
    <xdr:to>
      <xdr:col>0</xdr:col>
      <xdr:colOff>771525</xdr:colOff>
      <xdr:row>21</xdr:row>
      <xdr:rowOff>295275</xdr:rowOff>
    </xdr:to>
    <xdr:sp macro="" textlink="">
      <xdr:nvSpPr>
        <xdr:cNvPr id="4115" name="CommandButton19" hidden="1">
          <a:extLst>
            <a:ext uri="{63B3BB69-23CF-44E3-9099-C40C66FF867C}">
              <a14:compatExt xmlns:a14="http://schemas.microsoft.com/office/drawing/2010/main" spid="_x0000_s4115"/>
            </a:ext>
            <a:ext uri="{FF2B5EF4-FFF2-40B4-BE49-F238E27FC236}">
              <a16:creationId xmlns:a16="http://schemas.microsoft.com/office/drawing/2014/main" id="{00000000-0008-0000-0500-000013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22</xdr:row>
      <xdr:rowOff>47625</xdr:rowOff>
    </xdr:from>
    <xdr:to>
      <xdr:col>0</xdr:col>
      <xdr:colOff>771525</xdr:colOff>
      <xdr:row>22</xdr:row>
      <xdr:rowOff>304800</xdr:rowOff>
    </xdr:to>
    <xdr:sp macro="" textlink="">
      <xdr:nvSpPr>
        <xdr:cNvPr id="4116" name="CommandButton20" hidden="1">
          <a:extLst>
            <a:ext uri="{63B3BB69-23CF-44E3-9099-C40C66FF867C}">
              <a14:compatExt xmlns:a14="http://schemas.microsoft.com/office/drawing/2010/main" spid="_x0000_s4116"/>
            </a:ext>
            <a:ext uri="{FF2B5EF4-FFF2-40B4-BE49-F238E27FC236}">
              <a16:creationId xmlns:a16="http://schemas.microsoft.com/office/drawing/2014/main" id="{00000000-0008-0000-0500-000014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19050</xdr:colOff>
      <xdr:row>23</xdr:row>
      <xdr:rowOff>47625</xdr:rowOff>
    </xdr:from>
    <xdr:to>
      <xdr:col>0</xdr:col>
      <xdr:colOff>771525</xdr:colOff>
      <xdr:row>23</xdr:row>
      <xdr:rowOff>304800</xdr:rowOff>
    </xdr:to>
    <xdr:sp macro="" textlink="">
      <xdr:nvSpPr>
        <xdr:cNvPr id="4117" name="CommandButton21" hidden="1">
          <a:extLst>
            <a:ext uri="{63B3BB69-23CF-44E3-9099-C40C66FF867C}">
              <a14:compatExt xmlns:a14="http://schemas.microsoft.com/office/drawing/2010/main" spid="_x0000_s4117"/>
            </a:ext>
            <a:ext uri="{FF2B5EF4-FFF2-40B4-BE49-F238E27FC236}">
              <a16:creationId xmlns:a16="http://schemas.microsoft.com/office/drawing/2014/main" id="{00000000-0008-0000-0500-000015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24</xdr:row>
      <xdr:rowOff>38100</xdr:rowOff>
    </xdr:from>
    <xdr:to>
      <xdr:col>0</xdr:col>
      <xdr:colOff>771525</xdr:colOff>
      <xdr:row>24</xdr:row>
      <xdr:rowOff>295275</xdr:rowOff>
    </xdr:to>
    <xdr:sp macro="" textlink="">
      <xdr:nvSpPr>
        <xdr:cNvPr id="4118" name="CommandButton22" hidden="1">
          <a:extLst>
            <a:ext uri="{63B3BB69-23CF-44E3-9099-C40C66FF867C}">
              <a14:compatExt xmlns:a14="http://schemas.microsoft.com/office/drawing/2010/main" spid="_x0000_s4118"/>
            </a:ext>
            <a:ext uri="{FF2B5EF4-FFF2-40B4-BE49-F238E27FC236}">
              <a16:creationId xmlns:a16="http://schemas.microsoft.com/office/drawing/2014/main" id="{00000000-0008-0000-0500-000016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161925</xdr:colOff>
      <xdr:row>1</xdr:row>
      <xdr:rowOff>66675</xdr:rowOff>
    </xdr:from>
    <xdr:to>
      <xdr:col>0</xdr:col>
      <xdr:colOff>752475</xdr:colOff>
      <xdr:row>5</xdr:row>
      <xdr:rowOff>85725</xdr:rowOff>
    </xdr:to>
    <xdr:pic>
      <xdr:nvPicPr>
        <xdr:cNvPr id="4263" name="Picture 23" descr="LOGO DGI">
          <a:extLst>
            <a:ext uri="{FF2B5EF4-FFF2-40B4-BE49-F238E27FC236}">
              <a16:creationId xmlns:a16="http://schemas.microsoft.com/office/drawing/2014/main" id="{00000000-0008-0000-0500-0000A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28600"/>
          <a:ext cx="59055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209550</xdr:colOff>
      <xdr:row>3</xdr:row>
      <xdr:rowOff>38100</xdr:rowOff>
    </xdr:from>
    <xdr:to>
      <xdr:col>9</xdr:col>
      <xdr:colOff>219075</xdr:colOff>
      <xdr:row>6</xdr:row>
      <xdr:rowOff>85725</xdr:rowOff>
    </xdr:to>
    <xdr:sp macro="" textlink="">
      <xdr:nvSpPr>
        <xdr:cNvPr id="4126" name="CommandButton4" hidden="1">
          <a:extLst>
            <a:ext uri="{63B3BB69-23CF-44E3-9099-C40C66FF867C}">
              <a14:compatExt xmlns:a14="http://schemas.microsoft.com/office/drawing/2010/main" spid="_x0000_s4126"/>
            </a:ext>
            <a:ext uri="{FF2B5EF4-FFF2-40B4-BE49-F238E27FC236}">
              <a16:creationId xmlns:a16="http://schemas.microsoft.com/office/drawing/2014/main" id="{00000000-0008-0000-0500-00001E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400050</xdr:colOff>
      <xdr:row>3</xdr:row>
      <xdr:rowOff>47625</xdr:rowOff>
    </xdr:from>
    <xdr:to>
      <xdr:col>10</xdr:col>
      <xdr:colOff>552450</xdr:colOff>
      <xdr:row>6</xdr:row>
      <xdr:rowOff>76200</xdr:rowOff>
    </xdr:to>
    <xdr:sp macro="" textlink="">
      <xdr:nvSpPr>
        <xdr:cNvPr id="4128" name="CommandButton24" hidden="1">
          <a:extLst>
            <a:ext uri="{63B3BB69-23CF-44E3-9099-C40C66FF867C}">
              <a14:compatExt xmlns:a14="http://schemas.microsoft.com/office/drawing/2010/main" spid="_x0000_s4128"/>
            </a:ext>
            <a:ext uri="{FF2B5EF4-FFF2-40B4-BE49-F238E27FC236}">
              <a16:creationId xmlns:a16="http://schemas.microsoft.com/office/drawing/2014/main" id="{00000000-0008-0000-0500-000020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485775</xdr:colOff>
      <xdr:row>1</xdr:row>
      <xdr:rowOff>66675</xdr:rowOff>
    </xdr:from>
    <xdr:to>
      <xdr:col>10</xdr:col>
      <xdr:colOff>295275</xdr:colOff>
      <xdr:row>5</xdr:row>
      <xdr:rowOff>9525</xdr:rowOff>
    </xdr:to>
    <xdr:sp macro="" textlink="">
      <xdr:nvSpPr>
        <xdr:cNvPr id="5181" name="CommandButton2" hidden="1">
          <a:extLst>
            <a:ext uri="{63B3BB69-23CF-44E3-9099-C40C66FF867C}">
              <a14:compatExt xmlns:a14="http://schemas.microsoft.com/office/drawing/2010/main" spid="_x0000_s5181"/>
            </a:ext>
            <a:ext uri="{FF2B5EF4-FFF2-40B4-BE49-F238E27FC236}">
              <a16:creationId xmlns:a16="http://schemas.microsoft.com/office/drawing/2014/main" id="{00000000-0008-0000-0600-00003D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1019175</xdr:colOff>
      <xdr:row>1</xdr:row>
      <xdr:rowOff>76200</xdr:rowOff>
    </xdr:from>
    <xdr:to>
      <xdr:col>11</xdr:col>
      <xdr:colOff>962025</xdr:colOff>
      <xdr:row>5</xdr:row>
      <xdr:rowOff>47625</xdr:rowOff>
    </xdr:to>
    <xdr:sp macro="" textlink="">
      <xdr:nvSpPr>
        <xdr:cNvPr id="5182" name="CommandButton1" hidden="1">
          <a:extLst>
            <a:ext uri="{63B3BB69-23CF-44E3-9099-C40C66FF867C}">
              <a14:compatExt xmlns:a14="http://schemas.microsoft.com/office/drawing/2010/main" spid="_x0000_s5182"/>
            </a:ext>
            <a:ext uri="{FF2B5EF4-FFF2-40B4-BE49-F238E27FC236}">
              <a16:creationId xmlns:a16="http://schemas.microsoft.com/office/drawing/2014/main" id="{00000000-0008-0000-0600-00003E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9</xdr:col>
      <xdr:colOff>419100</xdr:colOff>
      <xdr:row>5</xdr:row>
      <xdr:rowOff>104775</xdr:rowOff>
    </xdr:from>
    <xdr:to>
      <xdr:col>10</xdr:col>
      <xdr:colOff>247650</xdr:colOff>
      <xdr:row>9</xdr:row>
      <xdr:rowOff>38100</xdr:rowOff>
    </xdr:to>
    <xdr:sp macro="" textlink="">
      <xdr:nvSpPr>
        <xdr:cNvPr id="5183" name="CommandButton3" hidden="1">
          <a:extLst>
            <a:ext uri="{63B3BB69-23CF-44E3-9099-C40C66FF867C}">
              <a14:compatExt xmlns:a14="http://schemas.microsoft.com/office/drawing/2010/main" spid="_x0000_s5183"/>
            </a:ext>
            <a:ext uri="{FF2B5EF4-FFF2-40B4-BE49-F238E27FC236}">
              <a16:creationId xmlns:a16="http://schemas.microsoft.com/office/drawing/2014/main" id="{00000000-0008-0000-0600-00003F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1028700</xdr:colOff>
      <xdr:row>5</xdr:row>
      <xdr:rowOff>104775</xdr:rowOff>
    </xdr:from>
    <xdr:to>
      <xdr:col>11</xdr:col>
      <xdr:colOff>981075</xdr:colOff>
      <xdr:row>9</xdr:row>
      <xdr:rowOff>19050</xdr:rowOff>
    </xdr:to>
    <xdr:sp macro="" textlink="">
      <xdr:nvSpPr>
        <xdr:cNvPr id="5184" name="CommandButton4" hidden="1">
          <a:extLst>
            <a:ext uri="{63B3BB69-23CF-44E3-9099-C40C66FF867C}">
              <a14:compatExt xmlns:a14="http://schemas.microsoft.com/office/drawing/2010/main" spid="_x0000_s5184"/>
            </a:ext>
            <a:ext uri="{FF2B5EF4-FFF2-40B4-BE49-F238E27FC236}">
              <a16:creationId xmlns:a16="http://schemas.microsoft.com/office/drawing/2014/main" id="{00000000-0008-0000-0600-000040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5</xdr:row>
      <xdr:rowOff>85725</xdr:rowOff>
    </xdr:from>
    <xdr:to>
      <xdr:col>2</xdr:col>
      <xdr:colOff>895350</xdr:colOff>
      <xdr:row>8</xdr:row>
      <xdr:rowOff>85725</xdr:rowOff>
    </xdr:to>
    <xdr:pic>
      <xdr:nvPicPr>
        <xdr:cNvPr id="8886" name="Picture 1" descr="LOGO DGI">
          <a:extLst>
            <a:ext uri="{FF2B5EF4-FFF2-40B4-BE49-F238E27FC236}">
              <a16:creationId xmlns:a16="http://schemas.microsoft.com/office/drawing/2014/main" id="{00000000-0008-0000-0700-0000B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895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8215" name="CommandButton1" hidden="1">
          <a:extLst>
            <a:ext uri="{63B3BB69-23CF-44E3-9099-C40C66FF867C}">
              <a14:compatExt xmlns:a14="http://schemas.microsoft.com/office/drawing/2010/main" spid="_x0000_s8215"/>
            </a:ext>
            <a:ext uri="{FF2B5EF4-FFF2-40B4-BE49-F238E27FC236}">
              <a16:creationId xmlns:a16="http://schemas.microsoft.com/office/drawing/2014/main" id="{00000000-0008-0000-0700-0000172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95250</xdr:rowOff>
    </xdr:from>
    <xdr:to>
      <xdr:col>9</xdr:col>
      <xdr:colOff>638175</xdr:colOff>
      <xdr:row>7</xdr:row>
      <xdr:rowOff>0</xdr:rowOff>
    </xdr:to>
    <xdr:sp macro="" textlink="">
      <xdr:nvSpPr>
        <xdr:cNvPr id="8216" name="CommandButton2" hidden="1">
          <a:extLst>
            <a:ext uri="{63B3BB69-23CF-44E3-9099-C40C66FF867C}">
              <a14:compatExt xmlns:a14="http://schemas.microsoft.com/office/drawing/2010/main" spid="_x0000_s8216"/>
            </a:ext>
            <a:ext uri="{FF2B5EF4-FFF2-40B4-BE49-F238E27FC236}">
              <a16:creationId xmlns:a16="http://schemas.microsoft.com/office/drawing/2014/main" id="{00000000-0008-0000-0700-0000182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504825</xdr:colOff>
      <xdr:row>22</xdr:row>
      <xdr:rowOff>85725</xdr:rowOff>
    </xdr:from>
    <xdr:to>
      <xdr:col>2</xdr:col>
      <xdr:colOff>895350</xdr:colOff>
      <xdr:row>25</xdr:row>
      <xdr:rowOff>85725</xdr:rowOff>
    </xdr:to>
    <xdr:pic>
      <xdr:nvPicPr>
        <xdr:cNvPr id="8887" name="Picture 47" descr="LOGO DGI">
          <a:extLst>
            <a:ext uri="{FF2B5EF4-FFF2-40B4-BE49-F238E27FC236}">
              <a16:creationId xmlns:a16="http://schemas.microsoft.com/office/drawing/2014/main" id="{00000000-0008-0000-0700-0000B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3743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39</xdr:row>
      <xdr:rowOff>85725</xdr:rowOff>
    </xdr:from>
    <xdr:to>
      <xdr:col>2</xdr:col>
      <xdr:colOff>895350</xdr:colOff>
      <xdr:row>42</xdr:row>
      <xdr:rowOff>85725</xdr:rowOff>
    </xdr:to>
    <xdr:pic>
      <xdr:nvPicPr>
        <xdr:cNvPr id="8888" name="Picture 48" descr="LOGO DGI">
          <a:extLst>
            <a:ext uri="{FF2B5EF4-FFF2-40B4-BE49-F238E27FC236}">
              <a16:creationId xmlns:a16="http://schemas.microsoft.com/office/drawing/2014/main" id="{00000000-0008-0000-0700-0000B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6591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56</xdr:row>
      <xdr:rowOff>85725</xdr:rowOff>
    </xdr:from>
    <xdr:to>
      <xdr:col>2</xdr:col>
      <xdr:colOff>895350</xdr:colOff>
      <xdr:row>59</xdr:row>
      <xdr:rowOff>85725</xdr:rowOff>
    </xdr:to>
    <xdr:pic>
      <xdr:nvPicPr>
        <xdr:cNvPr id="8889" name="Picture 49" descr="LOGO DGI">
          <a:extLst>
            <a:ext uri="{FF2B5EF4-FFF2-40B4-BE49-F238E27FC236}">
              <a16:creationId xmlns:a16="http://schemas.microsoft.com/office/drawing/2014/main" id="{00000000-0008-0000-0700-0000B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9439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73</xdr:row>
      <xdr:rowOff>85725</xdr:rowOff>
    </xdr:from>
    <xdr:to>
      <xdr:col>2</xdr:col>
      <xdr:colOff>895350</xdr:colOff>
      <xdr:row>76</xdr:row>
      <xdr:rowOff>85725</xdr:rowOff>
    </xdr:to>
    <xdr:pic>
      <xdr:nvPicPr>
        <xdr:cNvPr id="8890" name="Picture 50" descr="LOGO DGI">
          <a:extLst>
            <a:ext uri="{FF2B5EF4-FFF2-40B4-BE49-F238E27FC236}">
              <a16:creationId xmlns:a16="http://schemas.microsoft.com/office/drawing/2014/main" id="{00000000-0008-0000-0700-0000B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2287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90</xdr:row>
      <xdr:rowOff>85725</xdr:rowOff>
    </xdr:from>
    <xdr:to>
      <xdr:col>2</xdr:col>
      <xdr:colOff>895350</xdr:colOff>
      <xdr:row>93</xdr:row>
      <xdr:rowOff>85725</xdr:rowOff>
    </xdr:to>
    <xdr:pic>
      <xdr:nvPicPr>
        <xdr:cNvPr id="8891" name="Picture 51" descr="LOGO DGI">
          <a:extLst>
            <a:ext uri="{FF2B5EF4-FFF2-40B4-BE49-F238E27FC236}">
              <a16:creationId xmlns:a16="http://schemas.microsoft.com/office/drawing/2014/main" id="{00000000-0008-0000-0700-0000B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5135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107</xdr:row>
      <xdr:rowOff>85725</xdr:rowOff>
    </xdr:from>
    <xdr:to>
      <xdr:col>2</xdr:col>
      <xdr:colOff>895350</xdr:colOff>
      <xdr:row>110</xdr:row>
      <xdr:rowOff>85725</xdr:rowOff>
    </xdr:to>
    <xdr:pic>
      <xdr:nvPicPr>
        <xdr:cNvPr id="8892" name="Picture 52" descr="LOGO DGI">
          <a:extLst>
            <a:ext uri="{FF2B5EF4-FFF2-40B4-BE49-F238E27FC236}">
              <a16:creationId xmlns:a16="http://schemas.microsoft.com/office/drawing/2014/main" id="{00000000-0008-0000-0700-0000B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7983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124</xdr:row>
      <xdr:rowOff>85725</xdr:rowOff>
    </xdr:from>
    <xdr:to>
      <xdr:col>2</xdr:col>
      <xdr:colOff>895350</xdr:colOff>
      <xdr:row>127</xdr:row>
      <xdr:rowOff>85725</xdr:rowOff>
    </xdr:to>
    <xdr:pic>
      <xdr:nvPicPr>
        <xdr:cNvPr id="8893" name="Picture 53" descr="LOGO DGI">
          <a:extLst>
            <a:ext uri="{FF2B5EF4-FFF2-40B4-BE49-F238E27FC236}">
              <a16:creationId xmlns:a16="http://schemas.microsoft.com/office/drawing/2014/main" id="{00000000-0008-0000-0700-0000B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20831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141</xdr:row>
      <xdr:rowOff>85725</xdr:rowOff>
    </xdr:from>
    <xdr:to>
      <xdr:col>2</xdr:col>
      <xdr:colOff>895350</xdr:colOff>
      <xdr:row>144</xdr:row>
      <xdr:rowOff>85725</xdr:rowOff>
    </xdr:to>
    <xdr:pic>
      <xdr:nvPicPr>
        <xdr:cNvPr id="8894" name="Picture 54" descr="LOGO DGI">
          <a:extLst>
            <a:ext uri="{FF2B5EF4-FFF2-40B4-BE49-F238E27FC236}">
              <a16:creationId xmlns:a16="http://schemas.microsoft.com/office/drawing/2014/main" id="{00000000-0008-0000-0700-0000B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23679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158</xdr:row>
      <xdr:rowOff>85725</xdr:rowOff>
    </xdr:from>
    <xdr:to>
      <xdr:col>2</xdr:col>
      <xdr:colOff>895350</xdr:colOff>
      <xdr:row>161</xdr:row>
      <xdr:rowOff>85725</xdr:rowOff>
    </xdr:to>
    <xdr:pic>
      <xdr:nvPicPr>
        <xdr:cNvPr id="8895" name="Picture 55" descr="LOGO DGI">
          <a:extLst>
            <a:ext uri="{FF2B5EF4-FFF2-40B4-BE49-F238E27FC236}">
              <a16:creationId xmlns:a16="http://schemas.microsoft.com/office/drawing/2014/main" id="{00000000-0008-0000-0700-0000B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265271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175</xdr:row>
      <xdr:rowOff>85725</xdr:rowOff>
    </xdr:from>
    <xdr:to>
      <xdr:col>2</xdr:col>
      <xdr:colOff>895350</xdr:colOff>
      <xdr:row>178</xdr:row>
      <xdr:rowOff>85725</xdr:rowOff>
    </xdr:to>
    <xdr:pic>
      <xdr:nvPicPr>
        <xdr:cNvPr id="8896" name="Picture 56" descr="LOGO DGI">
          <a:extLst>
            <a:ext uri="{FF2B5EF4-FFF2-40B4-BE49-F238E27FC236}">
              <a16:creationId xmlns:a16="http://schemas.microsoft.com/office/drawing/2014/main" id="{00000000-0008-0000-0700-0000C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29375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504825</xdr:colOff>
      <xdr:row>192</xdr:row>
      <xdr:rowOff>85725</xdr:rowOff>
    </xdr:from>
    <xdr:to>
      <xdr:col>2</xdr:col>
      <xdr:colOff>895350</xdr:colOff>
      <xdr:row>195</xdr:row>
      <xdr:rowOff>85725</xdr:rowOff>
    </xdr:to>
    <xdr:pic>
      <xdr:nvPicPr>
        <xdr:cNvPr id="8897" name="Picture 57" descr="LOGO DGI">
          <a:extLst>
            <a:ext uri="{FF2B5EF4-FFF2-40B4-BE49-F238E27FC236}">
              <a16:creationId xmlns:a16="http://schemas.microsoft.com/office/drawing/2014/main" id="{00000000-0008-0000-0700-0000C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32223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447675</xdr:colOff>
      <xdr:row>1</xdr:row>
      <xdr:rowOff>104775</xdr:rowOff>
    </xdr:from>
    <xdr:to>
      <xdr:col>11</xdr:col>
      <xdr:colOff>381000</xdr:colOff>
      <xdr:row>5</xdr:row>
      <xdr:rowOff>47625</xdr:rowOff>
    </xdr:to>
    <xdr:sp macro="" textlink="">
      <xdr:nvSpPr>
        <xdr:cNvPr id="26629" name="CommandButton2" hidden="1">
          <a:extLst>
            <a:ext uri="{63B3BB69-23CF-44E3-9099-C40C66FF867C}">
              <a14:compatExt xmlns:a14="http://schemas.microsoft.com/office/drawing/2010/main" spid="_x0000_s26629"/>
            </a:ext>
            <a:ext uri="{FF2B5EF4-FFF2-40B4-BE49-F238E27FC236}">
              <a16:creationId xmlns:a16="http://schemas.microsoft.com/office/drawing/2014/main" id="{00000000-0008-0000-0800-0000056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9</xdr:col>
      <xdr:colOff>504825</xdr:colOff>
      <xdr:row>1</xdr:row>
      <xdr:rowOff>66675</xdr:rowOff>
    </xdr:from>
    <xdr:to>
      <xdr:col>10</xdr:col>
      <xdr:colOff>314325</xdr:colOff>
      <xdr:row>5</xdr:row>
      <xdr:rowOff>38100</xdr:rowOff>
    </xdr:to>
    <xdr:sp macro="" textlink="">
      <xdr:nvSpPr>
        <xdr:cNvPr id="26630" name="CommandButton1" hidden="1">
          <a:extLst>
            <a:ext uri="{63B3BB69-23CF-44E3-9099-C40C66FF867C}">
              <a14:compatExt xmlns:a14="http://schemas.microsoft.com/office/drawing/2010/main" spid="_x0000_s26630"/>
            </a:ext>
            <a:ext uri="{FF2B5EF4-FFF2-40B4-BE49-F238E27FC236}">
              <a16:creationId xmlns:a16="http://schemas.microsoft.com/office/drawing/2014/main" id="{00000000-0008-0000-0800-0000066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466725</xdr:colOff>
      <xdr:row>4</xdr:row>
      <xdr:rowOff>152400</xdr:rowOff>
    </xdr:from>
    <xdr:to>
      <xdr:col>11</xdr:col>
      <xdr:colOff>419100</xdr:colOff>
      <xdr:row>8</xdr:row>
      <xdr:rowOff>85725</xdr:rowOff>
    </xdr:to>
    <xdr:sp macro="" textlink="">
      <xdr:nvSpPr>
        <xdr:cNvPr id="26631" name="CommandButton3" hidden="1">
          <a:extLst>
            <a:ext uri="{63B3BB69-23CF-44E3-9099-C40C66FF867C}">
              <a14:compatExt xmlns:a14="http://schemas.microsoft.com/office/drawing/2010/main" spid="_x0000_s26631"/>
            </a:ext>
            <a:ext uri="{FF2B5EF4-FFF2-40B4-BE49-F238E27FC236}">
              <a16:creationId xmlns:a16="http://schemas.microsoft.com/office/drawing/2014/main" id="{00000000-0008-0000-0800-0000076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457200</xdr:colOff>
      <xdr:row>4</xdr:row>
      <xdr:rowOff>142875</xdr:rowOff>
    </xdr:from>
    <xdr:to>
      <xdr:col>12</xdr:col>
      <xdr:colOff>47625</xdr:colOff>
      <xdr:row>8</xdr:row>
      <xdr:rowOff>57150</xdr:rowOff>
    </xdr:to>
    <xdr:sp macro="" textlink="">
      <xdr:nvSpPr>
        <xdr:cNvPr id="26632" name="CommandButton4" hidden="1">
          <a:extLst>
            <a:ext uri="{63B3BB69-23CF-44E3-9099-C40C66FF867C}">
              <a14:compatExt xmlns:a14="http://schemas.microsoft.com/office/drawing/2010/main" spid="_x0000_s26632"/>
            </a:ext>
            <a:ext uri="{FF2B5EF4-FFF2-40B4-BE49-F238E27FC236}">
              <a16:creationId xmlns:a16="http://schemas.microsoft.com/office/drawing/2014/main" id="{00000000-0008-0000-0800-0000086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561975</xdr:colOff>
      <xdr:row>5</xdr:row>
      <xdr:rowOff>9525</xdr:rowOff>
    </xdr:from>
    <xdr:to>
      <xdr:col>2</xdr:col>
      <xdr:colOff>952500</xdr:colOff>
      <xdr:row>8</xdr:row>
      <xdr:rowOff>9525</xdr:rowOff>
    </xdr:to>
    <xdr:pic>
      <xdr:nvPicPr>
        <xdr:cNvPr id="186908" name="Picture 1" descr="LOGO DGI">
          <a:extLst>
            <a:ext uri="{FF2B5EF4-FFF2-40B4-BE49-F238E27FC236}">
              <a16:creationId xmlns:a16="http://schemas.microsoft.com/office/drawing/2014/main" id="{00000000-0008-0000-0900-00001C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819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180975</xdr:colOff>
      <xdr:row>1</xdr:row>
      <xdr:rowOff>28575</xdr:rowOff>
    </xdr:from>
    <xdr:to>
      <xdr:col>8</xdr:col>
      <xdr:colOff>304800</xdr:colOff>
      <xdr:row>4</xdr:row>
      <xdr:rowOff>76200</xdr:rowOff>
    </xdr:to>
    <xdr:sp macro="" textlink="">
      <xdr:nvSpPr>
        <xdr:cNvPr id="1159" name="CommandButton1" hidden="1">
          <a:extLst>
            <a:ext uri="{63B3BB69-23CF-44E3-9099-C40C66FF867C}">
              <a14:compatExt xmlns:a14="http://schemas.microsoft.com/office/drawing/2010/main" spid="_x0000_s1159"/>
            </a:ext>
            <a:ext uri="{FF2B5EF4-FFF2-40B4-BE49-F238E27FC236}">
              <a16:creationId xmlns:a16="http://schemas.microsoft.com/office/drawing/2014/main" id="{00000000-0008-0000-0900-000087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171450</xdr:colOff>
      <xdr:row>4</xdr:row>
      <xdr:rowOff>104775</xdr:rowOff>
    </xdr:from>
    <xdr:to>
      <xdr:col>9</xdr:col>
      <xdr:colOff>47625</xdr:colOff>
      <xdr:row>7</xdr:row>
      <xdr:rowOff>9525</xdr:rowOff>
    </xdr:to>
    <xdr:sp macro="" textlink="">
      <xdr:nvSpPr>
        <xdr:cNvPr id="1160" name="CommandButton2" hidden="1">
          <a:extLst>
            <a:ext uri="{63B3BB69-23CF-44E3-9099-C40C66FF867C}">
              <a14:compatExt xmlns:a14="http://schemas.microsoft.com/office/drawing/2010/main" spid="_x0000_s1160"/>
            </a:ext>
            <a:ext uri="{FF2B5EF4-FFF2-40B4-BE49-F238E27FC236}">
              <a16:creationId xmlns:a16="http://schemas.microsoft.com/office/drawing/2014/main" id="{00000000-0008-0000-0900-000088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09" name="Picture 212" descr="LOGO DGI">
          <a:extLst>
            <a:ext uri="{FF2B5EF4-FFF2-40B4-BE49-F238E27FC236}">
              <a16:creationId xmlns:a16="http://schemas.microsoft.com/office/drawing/2014/main" id="{00000000-0008-0000-0900-00001D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0" name="Picture 213" descr="LOGO DGI">
          <a:extLst>
            <a:ext uri="{FF2B5EF4-FFF2-40B4-BE49-F238E27FC236}">
              <a16:creationId xmlns:a16="http://schemas.microsoft.com/office/drawing/2014/main" id="{00000000-0008-0000-0900-00001E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1" name="Picture 214" descr="LOGO DGI">
          <a:extLst>
            <a:ext uri="{FF2B5EF4-FFF2-40B4-BE49-F238E27FC236}">
              <a16:creationId xmlns:a16="http://schemas.microsoft.com/office/drawing/2014/main" id="{00000000-0008-0000-0900-00001F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2" name="Picture 215" descr="LOGO DGI">
          <a:extLst>
            <a:ext uri="{FF2B5EF4-FFF2-40B4-BE49-F238E27FC236}">
              <a16:creationId xmlns:a16="http://schemas.microsoft.com/office/drawing/2014/main" id="{00000000-0008-0000-0900-000020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3" name="Picture 216" descr="LOGO DGI">
          <a:extLst>
            <a:ext uri="{FF2B5EF4-FFF2-40B4-BE49-F238E27FC236}">
              <a16:creationId xmlns:a16="http://schemas.microsoft.com/office/drawing/2014/main" id="{00000000-0008-0000-0900-000021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4" name="Picture 217" descr="LOGO DGI">
          <a:extLst>
            <a:ext uri="{FF2B5EF4-FFF2-40B4-BE49-F238E27FC236}">
              <a16:creationId xmlns:a16="http://schemas.microsoft.com/office/drawing/2014/main" id="{00000000-0008-0000-0900-000022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5" name="Picture 218" descr="LOGO DGI">
          <a:extLst>
            <a:ext uri="{FF2B5EF4-FFF2-40B4-BE49-F238E27FC236}">
              <a16:creationId xmlns:a16="http://schemas.microsoft.com/office/drawing/2014/main" id="{00000000-0008-0000-0900-000023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6" name="Picture 219" descr="LOGO DGI">
          <a:extLst>
            <a:ext uri="{FF2B5EF4-FFF2-40B4-BE49-F238E27FC236}">
              <a16:creationId xmlns:a16="http://schemas.microsoft.com/office/drawing/2014/main" id="{00000000-0008-0000-0900-000024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7" name="Picture 220" descr="LOGO DGI">
          <a:extLst>
            <a:ext uri="{FF2B5EF4-FFF2-40B4-BE49-F238E27FC236}">
              <a16:creationId xmlns:a16="http://schemas.microsoft.com/office/drawing/2014/main" id="{00000000-0008-0000-0900-000025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8" name="Picture 221" descr="LOGO DGI">
          <a:extLst>
            <a:ext uri="{FF2B5EF4-FFF2-40B4-BE49-F238E27FC236}">
              <a16:creationId xmlns:a16="http://schemas.microsoft.com/office/drawing/2014/main" id="{00000000-0008-0000-0900-000026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19" name="Picture 222" descr="LOGO DGI">
          <a:extLst>
            <a:ext uri="{FF2B5EF4-FFF2-40B4-BE49-F238E27FC236}">
              <a16:creationId xmlns:a16="http://schemas.microsoft.com/office/drawing/2014/main" id="{00000000-0008-0000-0900-000027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0" name="Picture 223" descr="LOGO DGI">
          <a:extLst>
            <a:ext uri="{FF2B5EF4-FFF2-40B4-BE49-F238E27FC236}">
              <a16:creationId xmlns:a16="http://schemas.microsoft.com/office/drawing/2014/main" id="{00000000-0008-0000-0900-000028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1" name="Picture 224" descr="LOGO DGI">
          <a:extLst>
            <a:ext uri="{FF2B5EF4-FFF2-40B4-BE49-F238E27FC236}">
              <a16:creationId xmlns:a16="http://schemas.microsoft.com/office/drawing/2014/main" id="{00000000-0008-0000-0900-000029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2" name="Picture 225" descr="LOGO DGI">
          <a:extLst>
            <a:ext uri="{FF2B5EF4-FFF2-40B4-BE49-F238E27FC236}">
              <a16:creationId xmlns:a16="http://schemas.microsoft.com/office/drawing/2014/main" id="{00000000-0008-0000-0900-00002A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3" name="Picture 227" descr="LOGO DGI">
          <a:extLst>
            <a:ext uri="{FF2B5EF4-FFF2-40B4-BE49-F238E27FC236}">
              <a16:creationId xmlns:a16="http://schemas.microsoft.com/office/drawing/2014/main" id="{00000000-0008-0000-0900-00002B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4" name="Picture 228" descr="LOGO DGI">
          <a:extLst>
            <a:ext uri="{FF2B5EF4-FFF2-40B4-BE49-F238E27FC236}">
              <a16:creationId xmlns:a16="http://schemas.microsoft.com/office/drawing/2014/main" id="{00000000-0008-0000-0900-00002C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5" name="Picture 229" descr="LOGO DGI">
          <a:extLst>
            <a:ext uri="{FF2B5EF4-FFF2-40B4-BE49-F238E27FC236}">
              <a16:creationId xmlns:a16="http://schemas.microsoft.com/office/drawing/2014/main" id="{00000000-0008-0000-0900-00002D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6" name="Picture 230" descr="LOGO DGI">
          <a:extLst>
            <a:ext uri="{FF2B5EF4-FFF2-40B4-BE49-F238E27FC236}">
              <a16:creationId xmlns:a16="http://schemas.microsoft.com/office/drawing/2014/main" id="{00000000-0008-0000-0900-00002E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7" name="Picture 231" descr="LOGO DGI">
          <a:extLst>
            <a:ext uri="{FF2B5EF4-FFF2-40B4-BE49-F238E27FC236}">
              <a16:creationId xmlns:a16="http://schemas.microsoft.com/office/drawing/2014/main" id="{00000000-0008-0000-0900-00002F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8" name="Picture 232" descr="LOGO DGI">
          <a:extLst>
            <a:ext uri="{FF2B5EF4-FFF2-40B4-BE49-F238E27FC236}">
              <a16:creationId xmlns:a16="http://schemas.microsoft.com/office/drawing/2014/main" id="{00000000-0008-0000-0900-000030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29" name="Picture 233" descr="LOGO DGI">
          <a:extLst>
            <a:ext uri="{FF2B5EF4-FFF2-40B4-BE49-F238E27FC236}">
              <a16:creationId xmlns:a16="http://schemas.microsoft.com/office/drawing/2014/main" id="{00000000-0008-0000-0900-000031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0" name="Picture 234" descr="LOGO DGI">
          <a:extLst>
            <a:ext uri="{FF2B5EF4-FFF2-40B4-BE49-F238E27FC236}">
              <a16:creationId xmlns:a16="http://schemas.microsoft.com/office/drawing/2014/main" id="{00000000-0008-0000-0900-000032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1" name="Picture 235" descr="LOGO DGI">
          <a:extLst>
            <a:ext uri="{FF2B5EF4-FFF2-40B4-BE49-F238E27FC236}">
              <a16:creationId xmlns:a16="http://schemas.microsoft.com/office/drawing/2014/main" id="{00000000-0008-0000-0900-000033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2" name="Picture 236" descr="LOGO DGI">
          <a:extLst>
            <a:ext uri="{FF2B5EF4-FFF2-40B4-BE49-F238E27FC236}">
              <a16:creationId xmlns:a16="http://schemas.microsoft.com/office/drawing/2014/main" id="{00000000-0008-0000-0900-000034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3" name="Picture 237" descr="LOGO DGI">
          <a:extLst>
            <a:ext uri="{FF2B5EF4-FFF2-40B4-BE49-F238E27FC236}">
              <a16:creationId xmlns:a16="http://schemas.microsoft.com/office/drawing/2014/main" id="{00000000-0008-0000-0900-000035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4" name="Picture 238" descr="LOGO DGI">
          <a:extLst>
            <a:ext uri="{FF2B5EF4-FFF2-40B4-BE49-F238E27FC236}">
              <a16:creationId xmlns:a16="http://schemas.microsoft.com/office/drawing/2014/main" id="{00000000-0008-0000-0900-000036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5" name="Picture 239" descr="LOGO DGI">
          <a:extLst>
            <a:ext uri="{FF2B5EF4-FFF2-40B4-BE49-F238E27FC236}">
              <a16:creationId xmlns:a16="http://schemas.microsoft.com/office/drawing/2014/main" id="{00000000-0008-0000-0900-000037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095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6" name="Picture 240" descr="LOGO DGI">
          <a:extLst>
            <a:ext uri="{FF2B5EF4-FFF2-40B4-BE49-F238E27FC236}">
              <a16:creationId xmlns:a16="http://schemas.microsoft.com/office/drawing/2014/main" id="{00000000-0008-0000-0900-000038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914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7" name="Picture 241" descr="LOGO DGI">
          <a:extLst>
            <a:ext uri="{FF2B5EF4-FFF2-40B4-BE49-F238E27FC236}">
              <a16:creationId xmlns:a16="http://schemas.microsoft.com/office/drawing/2014/main" id="{00000000-0008-0000-0900-000039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6962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8" name="Picture 242" descr="LOGO DGI">
          <a:extLst>
            <a:ext uri="{FF2B5EF4-FFF2-40B4-BE49-F238E27FC236}">
              <a16:creationId xmlns:a16="http://schemas.microsoft.com/office/drawing/2014/main" id="{00000000-0008-0000-0900-00003A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9810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39" name="Picture 243" descr="LOGO DGI">
          <a:extLst>
            <a:ext uri="{FF2B5EF4-FFF2-40B4-BE49-F238E27FC236}">
              <a16:creationId xmlns:a16="http://schemas.microsoft.com/office/drawing/2014/main" id="{00000000-0008-0000-0900-00003B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12658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0" name="Picture 244" descr="LOGO DGI">
          <a:extLst>
            <a:ext uri="{FF2B5EF4-FFF2-40B4-BE49-F238E27FC236}">
              <a16:creationId xmlns:a16="http://schemas.microsoft.com/office/drawing/2014/main" id="{00000000-0008-0000-0900-00003C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15506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1" name="Picture 245" descr="LOGO DGI">
          <a:extLst>
            <a:ext uri="{FF2B5EF4-FFF2-40B4-BE49-F238E27FC236}">
              <a16:creationId xmlns:a16="http://schemas.microsoft.com/office/drawing/2014/main" id="{00000000-0008-0000-0900-00003D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18354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2" name="Picture 246" descr="LOGO DGI">
          <a:extLst>
            <a:ext uri="{FF2B5EF4-FFF2-40B4-BE49-F238E27FC236}">
              <a16:creationId xmlns:a16="http://schemas.microsoft.com/office/drawing/2014/main" id="{00000000-0008-0000-0900-00003E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21202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3" name="Picture 247" descr="LOGO DGI">
          <a:extLst>
            <a:ext uri="{FF2B5EF4-FFF2-40B4-BE49-F238E27FC236}">
              <a16:creationId xmlns:a16="http://schemas.microsoft.com/office/drawing/2014/main" id="{00000000-0008-0000-0900-00003F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24050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4" name="Picture 248" descr="LOGO DGI">
          <a:extLst>
            <a:ext uri="{FF2B5EF4-FFF2-40B4-BE49-F238E27FC236}">
              <a16:creationId xmlns:a16="http://schemas.microsoft.com/office/drawing/2014/main" id="{00000000-0008-0000-0900-000040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26898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5" name="Picture 249" descr="LOGO DGI">
          <a:extLst>
            <a:ext uri="{FF2B5EF4-FFF2-40B4-BE49-F238E27FC236}">
              <a16:creationId xmlns:a16="http://schemas.microsoft.com/office/drawing/2014/main" id="{00000000-0008-0000-0900-000041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29746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6" name="Picture 250" descr="LOGO DGI">
          <a:extLst>
            <a:ext uri="{FF2B5EF4-FFF2-40B4-BE49-F238E27FC236}">
              <a16:creationId xmlns:a16="http://schemas.microsoft.com/office/drawing/2014/main" id="{00000000-0008-0000-0900-000042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2594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7" name="Picture 251" descr="LOGO DGI">
          <a:extLst>
            <a:ext uri="{FF2B5EF4-FFF2-40B4-BE49-F238E27FC236}">
              <a16:creationId xmlns:a16="http://schemas.microsoft.com/office/drawing/2014/main" id="{00000000-0008-0000-0900-000043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5442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8" name="Picture 252" descr="LOGO DGI">
          <a:extLst>
            <a:ext uri="{FF2B5EF4-FFF2-40B4-BE49-F238E27FC236}">
              <a16:creationId xmlns:a16="http://schemas.microsoft.com/office/drawing/2014/main" id="{00000000-0008-0000-0900-000044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38290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49" name="Picture 253" descr="LOGO DGI">
          <a:extLst>
            <a:ext uri="{FF2B5EF4-FFF2-40B4-BE49-F238E27FC236}">
              <a16:creationId xmlns:a16="http://schemas.microsoft.com/office/drawing/2014/main" id="{00000000-0008-0000-0900-000045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40309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50" name="Picture 254" descr="LOGO DGI">
          <a:extLst>
            <a:ext uri="{FF2B5EF4-FFF2-40B4-BE49-F238E27FC236}">
              <a16:creationId xmlns:a16="http://schemas.microsoft.com/office/drawing/2014/main" id="{00000000-0008-0000-0900-000046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40309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</xdr:row>
      <xdr:rowOff>0</xdr:rowOff>
    </xdr:from>
    <xdr:to>
      <xdr:col>2</xdr:col>
      <xdr:colOff>952500</xdr:colOff>
      <xdr:row>20</xdr:row>
      <xdr:rowOff>0</xdr:rowOff>
    </xdr:to>
    <xdr:pic>
      <xdr:nvPicPr>
        <xdr:cNvPr id="186951" name="Picture 255" descr="LOGO DGI">
          <a:extLst>
            <a:ext uri="{FF2B5EF4-FFF2-40B4-BE49-F238E27FC236}">
              <a16:creationId xmlns:a16="http://schemas.microsoft.com/office/drawing/2014/main" id="{00000000-0008-0000-0900-000047D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40309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22</xdr:row>
      <xdr:rowOff>9525</xdr:rowOff>
    </xdr:from>
    <xdr:to>
      <xdr:col>2</xdr:col>
      <xdr:colOff>952500</xdr:colOff>
      <xdr:row>25</xdr:row>
      <xdr:rowOff>9525</xdr:rowOff>
    </xdr:to>
    <xdr:pic>
      <xdr:nvPicPr>
        <xdr:cNvPr id="53" name="Picture 1" descr="LOGO DGI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39</xdr:row>
      <xdr:rowOff>9525</xdr:rowOff>
    </xdr:from>
    <xdr:to>
      <xdr:col>2</xdr:col>
      <xdr:colOff>952500</xdr:colOff>
      <xdr:row>42</xdr:row>
      <xdr:rowOff>9525</xdr:rowOff>
    </xdr:to>
    <xdr:pic>
      <xdr:nvPicPr>
        <xdr:cNvPr id="54" name="Picture 1" descr="LOGO DGI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56</xdr:row>
      <xdr:rowOff>9525</xdr:rowOff>
    </xdr:from>
    <xdr:to>
      <xdr:col>2</xdr:col>
      <xdr:colOff>952500</xdr:colOff>
      <xdr:row>59</xdr:row>
      <xdr:rowOff>9525</xdr:rowOff>
    </xdr:to>
    <xdr:pic>
      <xdr:nvPicPr>
        <xdr:cNvPr id="55" name="Picture 1" descr="LOGO DGI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73</xdr:row>
      <xdr:rowOff>9525</xdr:rowOff>
    </xdr:from>
    <xdr:to>
      <xdr:col>2</xdr:col>
      <xdr:colOff>952500</xdr:colOff>
      <xdr:row>76</xdr:row>
      <xdr:rowOff>9525</xdr:rowOff>
    </xdr:to>
    <xdr:pic>
      <xdr:nvPicPr>
        <xdr:cNvPr id="56" name="Picture 1" descr="LOGO DGI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90</xdr:row>
      <xdr:rowOff>9525</xdr:rowOff>
    </xdr:from>
    <xdr:to>
      <xdr:col>2</xdr:col>
      <xdr:colOff>952500</xdr:colOff>
      <xdr:row>93</xdr:row>
      <xdr:rowOff>9525</xdr:rowOff>
    </xdr:to>
    <xdr:pic>
      <xdr:nvPicPr>
        <xdr:cNvPr id="57" name="Picture 1" descr="LOGO DGI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107</xdr:row>
      <xdr:rowOff>9525</xdr:rowOff>
    </xdr:from>
    <xdr:to>
      <xdr:col>2</xdr:col>
      <xdr:colOff>952500</xdr:colOff>
      <xdr:row>110</xdr:row>
      <xdr:rowOff>9525</xdr:rowOff>
    </xdr:to>
    <xdr:pic>
      <xdr:nvPicPr>
        <xdr:cNvPr id="58" name="Picture 1" descr="LOGO DGI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124</xdr:row>
      <xdr:rowOff>9525</xdr:rowOff>
    </xdr:from>
    <xdr:to>
      <xdr:col>2</xdr:col>
      <xdr:colOff>952500</xdr:colOff>
      <xdr:row>127</xdr:row>
      <xdr:rowOff>9525</xdr:rowOff>
    </xdr:to>
    <xdr:pic>
      <xdr:nvPicPr>
        <xdr:cNvPr id="59" name="Picture 1" descr="LOGO DGI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141</xdr:row>
      <xdr:rowOff>9525</xdr:rowOff>
    </xdr:from>
    <xdr:to>
      <xdr:col>2</xdr:col>
      <xdr:colOff>952500</xdr:colOff>
      <xdr:row>144</xdr:row>
      <xdr:rowOff>9525</xdr:rowOff>
    </xdr:to>
    <xdr:pic>
      <xdr:nvPicPr>
        <xdr:cNvPr id="60" name="Picture 1" descr="LOGO DGI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158</xdr:row>
      <xdr:rowOff>9525</xdr:rowOff>
    </xdr:from>
    <xdr:to>
      <xdr:col>2</xdr:col>
      <xdr:colOff>952500</xdr:colOff>
      <xdr:row>161</xdr:row>
      <xdr:rowOff>9525</xdr:rowOff>
    </xdr:to>
    <xdr:pic>
      <xdr:nvPicPr>
        <xdr:cNvPr id="61" name="Picture 1" descr="LOGO DGI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175</xdr:row>
      <xdr:rowOff>9525</xdr:rowOff>
    </xdr:from>
    <xdr:to>
      <xdr:col>2</xdr:col>
      <xdr:colOff>952500</xdr:colOff>
      <xdr:row>178</xdr:row>
      <xdr:rowOff>9525</xdr:rowOff>
    </xdr:to>
    <xdr:pic>
      <xdr:nvPicPr>
        <xdr:cNvPr id="62" name="Picture 1" descr="LOGO DGI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192</xdr:row>
      <xdr:rowOff>9525</xdr:rowOff>
    </xdr:from>
    <xdr:to>
      <xdr:col>2</xdr:col>
      <xdr:colOff>952500</xdr:colOff>
      <xdr:row>195</xdr:row>
      <xdr:rowOff>9525</xdr:rowOff>
    </xdr:to>
    <xdr:pic>
      <xdr:nvPicPr>
        <xdr:cNvPr id="63" name="Picture 1" descr="LOGO DGI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209</xdr:row>
      <xdr:rowOff>9525</xdr:rowOff>
    </xdr:from>
    <xdr:to>
      <xdr:col>2</xdr:col>
      <xdr:colOff>952500</xdr:colOff>
      <xdr:row>212</xdr:row>
      <xdr:rowOff>9525</xdr:rowOff>
    </xdr:to>
    <xdr:pic>
      <xdr:nvPicPr>
        <xdr:cNvPr id="64" name="Picture 1" descr="LOGO DGI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226</xdr:row>
      <xdr:rowOff>9525</xdr:rowOff>
    </xdr:from>
    <xdr:to>
      <xdr:col>2</xdr:col>
      <xdr:colOff>952500</xdr:colOff>
      <xdr:row>229</xdr:row>
      <xdr:rowOff>9525</xdr:rowOff>
    </xdr:to>
    <xdr:pic>
      <xdr:nvPicPr>
        <xdr:cNvPr id="65" name="Picture 1" descr="LOGO DGI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561975</xdr:colOff>
      <xdr:row>243</xdr:row>
      <xdr:rowOff>9525</xdr:rowOff>
    </xdr:from>
    <xdr:to>
      <xdr:col>2</xdr:col>
      <xdr:colOff>952500</xdr:colOff>
      <xdr:row>246</xdr:row>
      <xdr:rowOff>9525</xdr:rowOff>
    </xdr:to>
    <xdr:pic>
      <xdr:nvPicPr>
        <xdr:cNvPr id="66" name="Picture 1" descr="LOGO DGI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575" y="8350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114300</xdr:rowOff>
    </xdr:from>
    <xdr:to>
      <xdr:col>11</xdr:col>
      <xdr:colOff>28575</xdr:colOff>
      <xdr:row>4</xdr:row>
      <xdr:rowOff>57150</xdr:rowOff>
    </xdr:to>
    <xdr:sp macro="" textlink="">
      <xdr:nvSpPr>
        <xdr:cNvPr id="27649" name="CommandButton2" hidden="1">
          <a:extLst>
            <a:ext uri="{63B3BB69-23CF-44E3-9099-C40C66FF867C}">
              <a14:compatExt xmlns:a14="http://schemas.microsoft.com/office/drawing/2010/main" spid="_x0000_s27649"/>
            </a:ext>
            <a:ext uri="{FF2B5EF4-FFF2-40B4-BE49-F238E27FC236}">
              <a16:creationId xmlns:a16="http://schemas.microsoft.com/office/drawing/2014/main" id="{00000000-0008-0000-0A00-0000016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152400</xdr:colOff>
      <xdr:row>0</xdr:row>
      <xdr:rowOff>76200</xdr:rowOff>
    </xdr:from>
    <xdr:to>
      <xdr:col>12</xdr:col>
      <xdr:colOff>104775</xdr:colOff>
      <xdr:row>4</xdr:row>
      <xdr:rowOff>47625</xdr:rowOff>
    </xdr:to>
    <xdr:sp macro="" textlink="">
      <xdr:nvSpPr>
        <xdr:cNvPr id="27650" name="CommandButton1" hidden="1">
          <a:extLst>
            <a:ext uri="{63B3BB69-23CF-44E3-9099-C40C66FF867C}">
              <a14:compatExt xmlns:a14="http://schemas.microsoft.com/office/drawing/2010/main" spid="_x0000_s27650"/>
            </a:ext>
            <a:ext uri="{FF2B5EF4-FFF2-40B4-BE49-F238E27FC236}">
              <a16:creationId xmlns:a16="http://schemas.microsoft.com/office/drawing/2014/main" id="{00000000-0008-0000-0A00-0000026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0</xdr:colOff>
      <xdr:row>5</xdr:row>
      <xdr:rowOff>28575</xdr:rowOff>
    </xdr:from>
    <xdr:to>
      <xdr:col>11</xdr:col>
      <xdr:colOff>47625</xdr:colOff>
      <xdr:row>8</xdr:row>
      <xdr:rowOff>123825</xdr:rowOff>
    </xdr:to>
    <xdr:sp macro="" textlink="">
      <xdr:nvSpPr>
        <xdr:cNvPr id="27651" name="CommandButton3" hidden="1">
          <a:extLst>
            <a:ext uri="{63B3BB69-23CF-44E3-9099-C40C66FF867C}">
              <a14:compatExt xmlns:a14="http://schemas.microsoft.com/office/drawing/2010/main" spid="_x0000_s27651"/>
            </a:ext>
            <a:ext uri="{FF2B5EF4-FFF2-40B4-BE49-F238E27FC236}">
              <a16:creationId xmlns:a16="http://schemas.microsoft.com/office/drawing/2014/main" id="{00000000-0008-0000-0A00-0000036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142875</xdr:colOff>
      <xdr:row>5</xdr:row>
      <xdr:rowOff>38100</xdr:rowOff>
    </xdr:from>
    <xdr:to>
      <xdr:col>12</xdr:col>
      <xdr:colOff>104775</xdr:colOff>
      <xdr:row>8</xdr:row>
      <xdr:rowOff>114300</xdr:rowOff>
    </xdr:to>
    <xdr:sp macro="" textlink="">
      <xdr:nvSpPr>
        <xdr:cNvPr id="27652" name="CommandButton4" hidden="1">
          <a:extLst>
            <a:ext uri="{63B3BB69-23CF-44E3-9099-C40C66FF867C}">
              <a14:compatExt xmlns:a14="http://schemas.microsoft.com/office/drawing/2010/main" spid="_x0000_s27652"/>
            </a:ext>
            <a:ext uri="{FF2B5EF4-FFF2-40B4-BE49-F238E27FC236}">
              <a16:creationId xmlns:a16="http://schemas.microsoft.com/office/drawing/2014/main" id="{00000000-0008-0000-0A00-0000046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5</xdr:row>
      <xdr:rowOff>114300</xdr:rowOff>
    </xdr:from>
    <xdr:to>
      <xdr:col>2</xdr:col>
      <xdr:colOff>742950</xdr:colOff>
      <xdr:row>8</xdr:row>
      <xdr:rowOff>114300</xdr:rowOff>
    </xdr:to>
    <xdr:pic>
      <xdr:nvPicPr>
        <xdr:cNvPr id="9953" name="Picture 1" descr="LOGO DGI">
          <a:extLst>
            <a:ext uri="{FF2B5EF4-FFF2-40B4-BE49-F238E27FC236}">
              <a16:creationId xmlns:a16="http://schemas.microsoft.com/office/drawing/2014/main" id="{00000000-0008-0000-0B00-0000E1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92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9234" name="CommandButton1" hidden="1">
          <a:extLst>
            <a:ext uri="{63B3BB69-23CF-44E3-9099-C40C66FF867C}">
              <a14:compatExt xmlns:a14="http://schemas.microsoft.com/office/drawing/2010/main" spid="_x0000_s9234"/>
            </a:ext>
            <a:ext uri="{FF2B5EF4-FFF2-40B4-BE49-F238E27FC236}">
              <a16:creationId xmlns:a16="http://schemas.microsoft.com/office/drawing/2014/main" id="{00000000-0008-0000-0B00-0000122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95250</xdr:rowOff>
    </xdr:from>
    <xdr:to>
      <xdr:col>9</xdr:col>
      <xdr:colOff>638175</xdr:colOff>
      <xdr:row>7</xdr:row>
      <xdr:rowOff>0</xdr:rowOff>
    </xdr:to>
    <xdr:sp macro="" textlink="">
      <xdr:nvSpPr>
        <xdr:cNvPr id="9235" name="CommandButton2" hidden="1">
          <a:extLst>
            <a:ext uri="{63B3BB69-23CF-44E3-9099-C40C66FF867C}">
              <a14:compatExt xmlns:a14="http://schemas.microsoft.com/office/drawing/2010/main" spid="_x0000_s9235"/>
            </a:ext>
            <a:ext uri="{FF2B5EF4-FFF2-40B4-BE49-F238E27FC236}">
              <a16:creationId xmlns:a16="http://schemas.microsoft.com/office/drawing/2014/main" id="{00000000-0008-0000-0B00-0000132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352425</xdr:colOff>
      <xdr:row>19</xdr:row>
      <xdr:rowOff>0</xdr:rowOff>
    </xdr:from>
    <xdr:to>
      <xdr:col>2</xdr:col>
      <xdr:colOff>742950</xdr:colOff>
      <xdr:row>22</xdr:row>
      <xdr:rowOff>28575</xdr:rowOff>
    </xdr:to>
    <xdr:pic>
      <xdr:nvPicPr>
        <xdr:cNvPr id="9954" name="Picture 36" descr="LOGO DGI">
          <a:extLst>
            <a:ext uri="{FF2B5EF4-FFF2-40B4-BE49-F238E27FC236}">
              <a16:creationId xmlns:a16="http://schemas.microsoft.com/office/drawing/2014/main" id="{00000000-0008-0000-0B00-0000E2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3181350"/>
          <a:ext cx="3905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19</xdr:row>
      <xdr:rowOff>0</xdr:rowOff>
    </xdr:from>
    <xdr:to>
      <xdr:col>2</xdr:col>
      <xdr:colOff>742950</xdr:colOff>
      <xdr:row>22</xdr:row>
      <xdr:rowOff>28575</xdr:rowOff>
    </xdr:to>
    <xdr:pic>
      <xdr:nvPicPr>
        <xdr:cNvPr id="9955" name="Picture 37" descr="LOGO DGI">
          <a:extLst>
            <a:ext uri="{FF2B5EF4-FFF2-40B4-BE49-F238E27FC236}">
              <a16:creationId xmlns:a16="http://schemas.microsoft.com/office/drawing/2014/main" id="{00000000-0008-0000-0B00-0000E3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3181350"/>
          <a:ext cx="3905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19</xdr:row>
      <xdr:rowOff>0</xdr:rowOff>
    </xdr:from>
    <xdr:to>
      <xdr:col>2</xdr:col>
      <xdr:colOff>742950</xdr:colOff>
      <xdr:row>22</xdr:row>
      <xdr:rowOff>28575</xdr:rowOff>
    </xdr:to>
    <xdr:pic>
      <xdr:nvPicPr>
        <xdr:cNvPr id="9956" name="Picture 38" descr="LOGO DGI">
          <a:extLst>
            <a:ext uri="{FF2B5EF4-FFF2-40B4-BE49-F238E27FC236}">
              <a16:creationId xmlns:a16="http://schemas.microsoft.com/office/drawing/2014/main" id="{00000000-0008-0000-0B00-0000E4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3181350"/>
          <a:ext cx="3905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19</xdr:row>
      <xdr:rowOff>0</xdr:rowOff>
    </xdr:from>
    <xdr:to>
      <xdr:col>2</xdr:col>
      <xdr:colOff>742950</xdr:colOff>
      <xdr:row>22</xdr:row>
      <xdr:rowOff>28575</xdr:rowOff>
    </xdr:to>
    <xdr:pic>
      <xdr:nvPicPr>
        <xdr:cNvPr id="9957" name="Picture 39" descr="LOGO DGI">
          <a:extLst>
            <a:ext uri="{FF2B5EF4-FFF2-40B4-BE49-F238E27FC236}">
              <a16:creationId xmlns:a16="http://schemas.microsoft.com/office/drawing/2014/main" id="{00000000-0008-0000-0B00-0000E5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3181350"/>
          <a:ext cx="3905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19</xdr:row>
      <xdr:rowOff>0</xdr:rowOff>
    </xdr:from>
    <xdr:to>
      <xdr:col>2</xdr:col>
      <xdr:colOff>742950</xdr:colOff>
      <xdr:row>22</xdr:row>
      <xdr:rowOff>28575</xdr:rowOff>
    </xdr:to>
    <xdr:pic>
      <xdr:nvPicPr>
        <xdr:cNvPr id="9958" name="Picture 40" descr="LOGO DGI">
          <a:extLst>
            <a:ext uri="{FF2B5EF4-FFF2-40B4-BE49-F238E27FC236}">
              <a16:creationId xmlns:a16="http://schemas.microsoft.com/office/drawing/2014/main" id="{00000000-0008-0000-0B00-0000E6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3181350"/>
          <a:ext cx="3905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19</xdr:row>
      <xdr:rowOff>0</xdr:rowOff>
    </xdr:from>
    <xdr:to>
      <xdr:col>2</xdr:col>
      <xdr:colOff>752475</xdr:colOff>
      <xdr:row>22</xdr:row>
      <xdr:rowOff>28575</xdr:rowOff>
    </xdr:to>
    <xdr:pic>
      <xdr:nvPicPr>
        <xdr:cNvPr id="9959" name="Picture 41" descr="LOGO DGI">
          <a:extLst>
            <a:ext uri="{FF2B5EF4-FFF2-40B4-BE49-F238E27FC236}">
              <a16:creationId xmlns:a16="http://schemas.microsoft.com/office/drawing/2014/main" id="{00000000-0008-0000-0B00-0000E7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3181350"/>
          <a:ext cx="400050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24</xdr:row>
      <xdr:rowOff>114300</xdr:rowOff>
    </xdr:from>
    <xdr:to>
      <xdr:col>2</xdr:col>
      <xdr:colOff>752475</xdr:colOff>
      <xdr:row>27</xdr:row>
      <xdr:rowOff>114300</xdr:rowOff>
    </xdr:to>
    <xdr:pic>
      <xdr:nvPicPr>
        <xdr:cNvPr id="9960" name="Picture 42" descr="LOGO DGI">
          <a:extLst>
            <a:ext uri="{FF2B5EF4-FFF2-40B4-BE49-F238E27FC236}">
              <a16:creationId xmlns:a16="http://schemas.microsoft.com/office/drawing/2014/main" id="{00000000-0008-0000-0B00-0000E8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4105275"/>
          <a:ext cx="4000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43</xdr:row>
      <xdr:rowOff>114300</xdr:rowOff>
    </xdr:from>
    <xdr:to>
      <xdr:col>2</xdr:col>
      <xdr:colOff>752475</xdr:colOff>
      <xdr:row>46</xdr:row>
      <xdr:rowOff>114300</xdr:rowOff>
    </xdr:to>
    <xdr:pic>
      <xdr:nvPicPr>
        <xdr:cNvPr id="9961" name="Picture 43" descr="LOGO DGI">
          <a:extLst>
            <a:ext uri="{FF2B5EF4-FFF2-40B4-BE49-F238E27FC236}">
              <a16:creationId xmlns:a16="http://schemas.microsoft.com/office/drawing/2014/main" id="{00000000-0008-0000-0B00-0000E9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7277100"/>
          <a:ext cx="4000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62</xdr:row>
      <xdr:rowOff>114300</xdr:rowOff>
    </xdr:from>
    <xdr:to>
      <xdr:col>2</xdr:col>
      <xdr:colOff>752475</xdr:colOff>
      <xdr:row>65</xdr:row>
      <xdr:rowOff>114300</xdr:rowOff>
    </xdr:to>
    <xdr:pic>
      <xdr:nvPicPr>
        <xdr:cNvPr id="9962" name="Picture 44" descr="LOGO DGI">
          <a:extLst>
            <a:ext uri="{FF2B5EF4-FFF2-40B4-BE49-F238E27FC236}">
              <a16:creationId xmlns:a16="http://schemas.microsoft.com/office/drawing/2014/main" id="{00000000-0008-0000-0B00-0000EA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10448925"/>
          <a:ext cx="4000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81</xdr:row>
      <xdr:rowOff>114300</xdr:rowOff>
    </xdr:from>
    <xdr:to>
      <xdr:col>2</xdr:col>
      <xdr:colOff>752475</xdr:colOff>
      <xdr:row>84</xdr:row>
      <xdr:rowOff>114300</xdr:rowOff>
    </xdr:to>
    <xdr:pic>
      <xdr:nvPicPr>
        <xdr:cNvPr id="9963" name="Picture 45" descr="LOGO DGI">
          <a:extLst>
            <a:ext uri="{FF2B5EF4-FFF2-40B4-BE49-F238E27FC236}">
              <a16:creationId xmlns:a16="http://schemas.microsoft.com/office/drawing/2014/main" id="{00000000-0008-0000-0B00-0000EB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13620750"/>
          <a:ext cx="4000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100</xdr:row>
      <xdr:rowOff>114300</xdr:rowOff>
    </xdr:from>
    <xdr:to>
      <xdr:col>2</xdr:col>
      <xdr:colOff>752475</xdr:colOff>
      <xdr:row>103</xdr:row>
      <xdr:rowOff>114300</xdr:rowOff>
    </xdr:to>
    <xdr:pic>
      <xdr:nvPicPr>
        <xdr:cNvPr id="9964" name="Picture 46" descr="LOGO DGI">
          <a:extLst>
            <a:ext uri="{FF2B5EF4-FFF2-40B4-BE49-F238E27FC236}">
              <a16:creationId xmlns:a16="http://schemas.microsoft.com/office/drawing/2014/main" id="{00000000-0008-0000-0B00-0000EC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16792575"/>
          <a:ext cx="4000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352425</xdr:colOff>
      <xdr:row>119</xdr:row>
      <xdr:rowOff>114300</xdr:rowOff>
    </xdr:from>
    <xdr:to>
      <xdr:col>2</xdr:col>
      <xdr:colOff>752475</xdr:colOff>
      <xdr:row>122</xdr:row>
      <xdr:rowOff>114300</xdr:rowOff>
    </xdr:to>
    <xdr:pic>
      <xdr:nvPicPr>
        <xdr:cNvPr id="9965" name="Picture 47" descr="LOGO DGI">
          <a:extLst>
            <a:ext uri="{FF2B5EF4-FFF2-40B4-BE49-F238E27FC236}">
              <a16:creationId xmlns:a16="http://schemas.microsoft.com/office/drawing/2014/main" id="{00000000-0008-0000-0B00-0000ED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19964400"/>
          <a:ext cx="4000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1047750</xdr:colOff>
      <xdr:row>3</xdr:row>
      <xdr:rowOff>114300</xdr:rowOff>
    </xdr:to>
    <xdr:sp macro="" textlink="">
      <xdr:nvSpPr>
        <xdr:cNvPr id="28673" name="CommandButton2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0000000-0008-0000-0C00-000001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342900</xdr:colOff>
      <xdr:row>0</xdr:row>
      <xdr:rowOff>0</xdr:rowOff>
    </xdr:from>
    <xdr:to>
      <xdr:col>12</xdr:col>
      <xdr:colOff>314325</xdr:colOff>
      <xdr:row>3</xdr:row>
      <xdr:rowOff>142875</xdr:rowOff>
    </xdr:to>
    <xdr:sp macro="" textlink="">
      <xdr:nvSpPr>
        <xdr:cNvPr id="28674" name="CommandButton1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00000000-0008-0000-0C00-000002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38100</xdr:colOff>
      <xdr:row>4</xdr:row>
      <xdr:rowOff>152400</xdr:rowOff>
    </xdr:from>
    <xdr:to>
      <xdr:col>11</xdr:col>
      <xdr:colOff>50800</xdr:colOff>
      <xdr:row>8</xdr:row>
      <xdr:rowOff>85725</xdr:rowOff>
    </xdr:to>
    <xdr:sp macro="" textlink="">
      <xdr:nvSpPr>
        <xdr:cNvPr id="28675" name="CommandButton3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C00-000003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381000</xdr:colOff>
      <xdr:row>4</xdr:row>
      <xdr:rowOff>133350</xdr:rowOff>
    </xdr:from>
    <xdr:to>
      <xdr:col>12</xdr:col>
      <xdr:colOff>361950</xdr:colOff>
      <xdr:row>8</xdr:row>
      <xdr:rowOff>47625</xdr:rowOff>
    </xdr:to>
    <xdr:sp macro="" textlink="">
      <xdr:nvSpPr>
        <xdr:cNvPr id="28676" name="CommandButton4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:a16="http://schemas.microsoft.com/office/drawing/2014/main" id="{00000000-0008-0000-0C00-000004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5</xdr:row>
      <xdr:rowOff>104775</xdr:rowOff>
    </xdr:from>
    <xdr:to>
      <xdr:col>2</xdr:col>
      <xdr:colOff>847725</xdr:colOff>
      <xdr:row>8</xdr:row>
      <xdr:rowOff>104775</xdr:rowOff>
    </xdr:to>
    <xdr:pic>
      <xdr:nvPicPr>
        <xdr:cNvPr id="10923" name="Picture 1" descr="LOGO DGI">
          <a:extLst>
            <a:ext uri="{FF2B5EF4-FFF2-40B4-BE49-F238E27FC236}">
              <a16:creationId xmlns:a16="http://schemas.microsoft.com/office/drawing/2014/main" id="{00000000-0008-0000-0D00-0000AB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914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3</xdr:row>
      <xdr:rowOff>85725</xdr:rowOff>
    </xdr:to>
    <xdr:sp macro="" textlink="">
      <xdr:nvSpPr>
        <xdr:cNvPr id="10252" name="CommandButton1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D00-00000C2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133350</xdr:rowOff>
    </xdr:from>
    <xdr:to>
      <xdr:col>9</xdr:col>
      <xdr:colOff>638175</xdr:colOff>
      <xdr:row>7</xdr:row>
      <xdr:rowOff>104775</xdr:rowOff>
    </xdr:to>
    <xdr:sp macro="" textlink="">
      <xdr:nvSpPr>
        <xdr:cNvPr id="10253" name="CommandButton2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D00-00000D2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0924" name="Picture 36" descr="LOGO DGI">
          <a:extLst>
            <a:ext uri="{FF2B5EF4-FFF2-40B4-BE49-F238E27FC236}">
              <a16:creationId xmlns:a16="http://schemas.microsoft.com/office/drawing/2014/main" id="{00000000-0008-0000-0D00-0000AC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0925" name="Picture 37" descr="LOGO DGI">
          <a:extLst>
            <a:ext uri="{FF2B5EF4-FFF2-40B4-BE49-F238E27FC236}">
              <a16:creationId xmlns:a16="http://schemas.microsoft.com/office/drawing/2014/main" id="{00000000-0008-0000-0D00-0000AD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0926" name="Picture 38" descr="LOGO DGI">
          <a:extLst>
            <a:ext uri="{FF2B5EF4-FFF2-40B4-BE49-F238E27FC236}">
              <a16:creationId xmlns:a16="http://schemas.microsoft.com/office/drawing/2014/main" id="{00000000-0008-0000-0D00-0000AE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0927" name="Picture 39" descr="LOGO DGI">
          <a:extLst>
            <a:ext uri="{FF2B5EF4-FFF2-40B4-BE49-F238E27FC236}">
              <a16:creationId xmlns:a16="http://schemas.microsoft.com/office/drawing/2014/main" id="{00000000-0008-0000-0D00-0000AF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0928" name="Picture 40" descr="LOGO DGI">
          <a:extLst>
            <a:ext uri="{FF2B5EF4-FFF2-40B4-BE49-F238E27FC236}">
              <a16:creationId xmlns:a16="http://schemas.microsoft.com/office/drawing/2014/main" id="{00000000-0008-0000-0D00-0000B0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0929" name="Picture 41" descr="LOGO DGI">
          <a:extLst>
            <a:ext uri="{FF2B5EF4-FFF2-40B4-BE49-F238E27FC236}">
              <a16:creationId xmlns:a16="http://schemas.microsoft.com/office/drawing/2014/main" id="{00000000-0008-0000-0D00-0000B1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22</xdr:row>
      <xdr:rowOff>104775</xdr:rowOff>
    </xdr:from>
    <xdr:to>
      <xdr:col>2</xdr:col>
      <xdr:colOff>847725</xdr:colOff>
      <xdr:row>25</xdr:row>
      <xdr:rowOff>104775</xdr:rowOff>
    </xdr:to>
    <xdr:pic>
      <xdr:nvPicPr>
        <xdr:cNvPr id="10930" name="Picture 42" descr="LOGO DGI">
          <a:extLst>
            <a:ext uri="{FF2B5EF4-FFF2-40B4-BE49-F238E27FC236}">
              <a16:creationId xmlns:a16="http://schemas.microsoft.com/office/drawing/2014/main" id="{00000000-0008-0000-0D00-0000B2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3762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39</xdr:row>
      <xdr:rowOff>104775</xdr:rowOff>
    </xdr:from>
    <xdr:to>
      <xdr:col>2</xdr:col>
      <xdr:colOff>847725</xdr:colOff>
      <xdr:row>42</xdr:row>
      <xdr:rowOff>104775</xdr:rowOff>
    </xdr:to>
    <xdr:pic>
      <xdr:nvPicPr>
        <xdr:cNvPr id="10931" name="Picture 43" descr="LOGO DGI">
          <a:extLst>
            <a:ext uri="{FF2B5EF4-FFF2-40B4-BE49-F238E27FC236}">
              <a16:creationId xmlns:a16="http://schemas.microsoft.com/office/drawing/2014/main" id="{00000000-0008-0000-0D00-0000B3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6610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56</xdr:row>
      <xdr:rowOff>104775</xdr:rowOff>
    </xdr:from>
    <xdr:to>
      <xdr:col>2</xdr:col>
      <xdr:colOff>847725</xdr:colOff>
      <xdr:row>59</xdr:row>
      <xdr:rowOff>104775</xdr:rowOff>
    </xdr:to>
    <xdr:pic>
      <xdr:nvPicPr>
        <xdr:cNvPr id="10932" name="Picture 44" descr="LOGO DGI">
          <a:extLst>
            <a:ext uri="{FF2B5EF4-FFF2-40B4-BE49-F238E27FC236}">
              <a16:creationId xmlns:a16="http://schemas.microsoft.com/office/drawing/2014/main" id="{00000000-0008-0000-0D00-0000B4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9458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73</xdr:row>
      <xdr:rowOff>104775</xdr:rowOff>
    </xdr:from>
    <xdr:to>
      <xdr:col>2</xdr:col>
      <xdr:colOff>847725</xdr:colOff>
      <xdr:row>76</xdr:row>
      <xdr:rowOff>104775</xdr:rowOff>
    </xdr:to>
    <xdr:pic>
      <xdr:nvPicPr>
        <xdr:cNvPr id="10933" name="Picture 45" descr="LOGO DGI">
          <a:extLst>
            <a:ext uri="{FF2B5EF4-FFF2-40B4-BE49-F238E27FC236}">
              <a16:creationId xmlns:a16="http://schemas.microsoft.com/office/drawing/2014/main" id="{00000000-0008-0000-0D00-0000B5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2306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90</xdr:row>
      <xdr:rowOff>104775</xdr:rowOff>
    </xdr:from>
    <xdr:to>
      <xdr:col>2</xdr:col>
      <xdr:colOff>847725</xdr:colOff>
      <xdr:row>93</xdr:row>
      <xdr:rowOff>104775</xdr:rowOff>
    </xdr:to>
    <xdr:pic>
      <xdr:nvPicPr>
        <xdr:cNvPr id="10934" name="Picture 46" descr="LOGO DGI">
          <a:extLst>
            <a:ext uri="{FF2B5EF4-FFF2-40B4-BE49-F238E27FC236}">
              <a16:creationId xmlns:a16="http://schemas.microsoft.com/office/drawing/2014/main" id="{00000000-0008-0000-0D00-0000B62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5154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152400</xdr:rowOff>
    </xdr:from>
    <xdr:to>
      <xdr:col>11</xdr:col>
      <xdr:colOff>1047750</xdr:colOff>
      <xdr:row>4</xdr:row>
      <xdr:rowOff>95250</xdr:rowOff>
    </xdr:to>
    <xdr:sp macro="" textlink="">
      <xdr:nvSpPr>
        <xdr:cNvPr id="29697" name="CommandButton2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0E00-0000017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428625</xdr:colOff>
      <xdr:row>0</xdr:row>
      <xdr:rowOff>114300</xdr:rowOff>
    </xdr:from>
    <xdr:to>
      <xdr:col>13</xdr:col>
      <xdr:colOff>1416050</xdr:colOff>
      <xdr:row>4</xdr:row>
      <xdr:rowOff>85725</xdr:rowOff>
    </xdr:to>
    <xdr:sp macro="" textlink="">
      <xdr:nvSpPr>
        <xdr:cNvPr id="29698" name="CommandButton1" hidden="1">
          <a:extLst>
            <a:ext uri="{63B3BB69-23CF-44E3-9099-C40C66FF867C}">
              <a14:compatExt xmlns:a14="http://schemas.microsoft.com/office/drawing/2010/main" spid="_x0000_s29698"/>
            </a:ext>
            <a:ext uri="{FF2B5EF4-FFF2-40B4-BE49-F238E27FC236}">
              <a16:creationId xmlns:a16="http://schemas.microsoft.com/office/drawing/2014/main" id="{00000000-0008-0000-0E00-0000027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0</xdr:colOff>
      <xdr:row>5</xdr:row>
      <xdr:rowOff>104775</xdr:rowOff>
    </xdr:from>
    <xdr:to>
      <xdr:col>11</xdr:col>
      <xdr:colOff>1066800</xdr:colOff>
      <xdr:row>9</xdr:row>
      <xdr:rowOff>38100</xdr:rowOff>
    </xdr:to>
    <xdr:sp macro="" textlink="">
      <xdr:nvSpPr>
        <xdr:cNvPr id="29699" name="CommandButton3" hidden="1">
          <a:extLst>
            <a:ext uri="{63B3BB69-23CF-44E3-9099-C40C66FF867C}">
              <a14:compatExt xmlns:a14="http://schemas.microsoft.com/office/drawing/2010/main" spid="_x0000_s29699"/>
            </a:ext>
            <a:ext uri="{FF2B5EF4-FFF2-40B4-BE49-F238E27FC236}">
              <a16:creationId xmlns:a16="http://schemas.microsoft.com/office/drawing/2014/main" id="{00000000-0008-0000-0E00-0000037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419100</xdr:colOff>
      <xdr:row>5</xdr:row>
      <xdr:rowOff>114300</xdr:rowOff>
    </xdr:from>
    <xdr:to>
      <xdr:col>13</xdr:col>
      <xdr:colOff>1416050</xdr:colOff>
      <xdr:row>9</xdr:row>
      <xdr:rowOff>28575</xdr:rowOff>
    </xdr:to>
    <xdr:sp macro="" textlink="">
      <xdr:nvSpPr>
        <xdr:cNvPr id="29700" name="CommandButton4" hidden="1">
          <a:extLst>
            <a:ext uri="{63B3BB69-23CF-44E3-9099-C40C66FF867C}">
              <a14:compatExt xmlns:a14="http://schemas.microsoft.com/office/drawing/2010/main" spid="_x0000_s29700"/>
            </a:ext>
            <a:ext uri="{FF2B5EF4-FFF2-40B4-BE49-F238E27FC236}">
              <a16:creationId xmlns:a16="http://schemas.microsoft.com/office/drawing/2014/main" id="{00000000-0008-0000-0E00-0000047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0</xdr:col>
      <xdr:colOff>66675</xdr:colOff>
      <xdr:row>0</xdr:row>
      <xdr:rowOff>47625</xdr:rowOff>
    </xdr:from>
    <xdr:to>
      <xdr:col>0</xdr:col>
      <xdr:colOff>457200</xdr:colOff>
      <xdr:row>3</xdr:row>
      <xdr:rowOff>47625</xdr:rowOff>
    </xdr:to>
    <xdr:pic>
      <xdr:nvPicPr>
        <xdr:cNvPr id="29765" name="Picture 5" descr="LOGO DGI">
          <a:extLst>
            <a:ext uri="{FF2B5EF4-FFF2-40B4-BE49-F238E27FC236}">
              <a16:creationId xmlns:a16="http://schemas.microsoft.com/office/drawing/2014/main" id="{00000000-0008-0000-0E00-0000457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47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5</xdr:row>
      <xdr:rowOff>114300</xdr:rowOff>
    </xdr:from>
    <xdr:to>
      <xdr:col>2</xdr:col>
      <xdr:colOff>781050</xdr:colOff>
      <xdr:row>8</xdr:row>
      <xdr:rowOff>114300</xdr:rowOff>
    </xdr:to>
    <xdr:pic>
      <xdr:nvPicPr>
        <xdr:cNvPr id="11732" name="Picture 1" descr="LOGO DGI">
          <a:extLst>
            <a:ext uri="{FF2B5EF4-FFF2-40B4-BE49-F238E27FC236}">
              <a16:creationId xmlns:a16="http://schemas.microsoft.com/office/drawing/2014/main" id="{00000000-0008-0000-0F00-0000D4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92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11284" name="CommandButton1" hidden="1">
          <a:extLst>
            <a:ext uri="{63B3BB69-23CF-44E3-9099-C40C66FF867C}">
              <a14:compatExt xmlns:a14="http://schemas.microsoft.com/office/drawing/2010/main" spid="_x0000_s11284"/>
            </a:ext>
            <a:ext uri="{FF2B5EF4-FFF2-40B4-BE49-F238E27FC236}">
              <a16:creationId xmlns:a16="http://schemas.microsoft.com/office/drawing/2014/main" id="{00000000-0008-0000-0F00-0000142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619125</xdr:colOff>
      <xdr:row>7</xdr:row>
      <xdr:rowOff>47625</xdr:rowOff>
    </xdr:from>
    <xdr:to>
      <xdr:col>9</xdr:col>
      <xdr:colOff>495300</xdr:colOff>
      <xdr:row>9</xdr:row>
      <xdr:rowOff>114300</xdr:rowOff>
    </xdr:to>
    <xdr:sp macro="" textlink="">
      <xdr:nvSpPr>
        <xdr:cNvPr id="11285" name="CommandButton2" hidden="1">
          <a:extLst>
            <a:ext uri="{63B3BB69-23CF-44E3-9099-C40C66FF867C}">
              <a14:compatExt xmlns:a14="http://schemas.microsoft.com/office/drawing/2010/main" spid="_x0000_s11285"/>
            </a:ext>
            <a:ext uri="{FF2B5EF4-FFF2-40B4-BE49-F238E27FC236}">
              <a16:creationId xmlns:a16="http://schemas.microsoft.com/office/drawing/2014/main" id="{00000000-0008-0000-0F00-0000152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390525</xdr:colOff>
      <xdr:row>22</xdr:row>
      <xdr:rowOff>114300</xdr:rowOff>
    </xdr:from>
    <xdr:to>
      <xdr:col>2</xdr:col>
      <xdr:colOff>781050</xdr:colOff>
      <xdr:row>25</xdr:row>
      <xdr:rowOff>114300</xdr:rowOff>
    </xdr:to>
    <xdr:pic>
      <xdr:nvPicPr>
        <xdr:cNvPr id="11733" name="Picture 37" descr="LOGO DGI">
          <a:extLst>
            <a:ext uri="{FF2B5EF4-FFF2-40B4-BE49-F238E27FC236}">
              <a16:creationId xmlns:a16="http://schemas.microsoft.com/office/drawing/2014/main" id="{00000000-0008-0000-0F00-0000D5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377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39</xdr:row>
      <xdr:rowOff>114300</xdr:rowOff>
    </xdr:from>
    <xdr:to>
      <xdr:col>2</xdr:col>
      <xdr:colOff>781050</xdr:colOff>
      <xdr:row>42</xdr:row>
      <xdr:rowOff>114300</xdr:rowOff>
    </xdr:to>
    <xdr:pic>
      <xdr:nvPicPr>
        <xdr:cNvPr id="11734" name="Picture 38" descr="LOGO DGI">
          <a:extLst>
            <a:ext uri="{FF2B5EF4-FFF2-40B4-BE49-F238E27FC236}">
              <a16:creationId xmlns:a16="http://schemas.microsoft.com/office/drawing/2014/main" id="{00000000-0008-0000-0F00-0000D6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661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56</xdr:row>
      <xdr:rowOff>114300</xdr:rowOff>
    </xdr:from>
    <xdr:to>
      <xdr:col>2</xdr:col>
      <xdr:colOff>781050</xdr:colOff>
      <xdr:row>59</xdr:row>
      <xdr:rowOff>114300</xdr:rowOff>
    </xdr:to>
    <xdr:pic>
      <xdr:nvPicPr>
        <xdr:cNvPr id="11735" name="Picture 39" descr="LOGO DGI">
          <a:extLst>
            <a:ext uri="{FF2B5EF4-FFF2-40B4-BE49-F238E27FC236}">
              <a16:creationId xmlns:a16="http://schemas.microsoft.com/office/drawing/2014/main" id="{00000000-0008-0000-0F00-0000D7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946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73</xdr:row>
      <xdr:rowOff>114300</xdr:rowOff>
    </xdr:from>
    <xdr:to>
      <xdr:col>2</xdr:col>
      <xdr:colOff>781050</xdr:colOff>
      <xdr:row>76</xdr:row>
      <xdr:rowOff>114300</xdr:rowOff>
    </xdr:to>
    <xdr:pic>
      <xdr:nvPicPr>
        <xdr:cNvPr id="11736" name="Picture 40" descr="LOGO DGI">
          <a:extLst>
            <a:ext uri="{FF2B5EF4-FFF2-40B4-BE49-F238E27FC236}">
              <a16:creationId xmlns:a16="http://schemas.microsoft.com/office/drawing/2014/main" id="{00000000-0008-0000-0F00-0000D8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1231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90</xdr:row>
      <xdr:rowOff>114300</xdr:rowOff>
    </xdr:from>
    <xdr:to>
      <xdr:col>2</xdr:col>
      <xdr:colOff>781050</xdr:colOff>
      <xdr:row>93</xdr:row>
      <xdr:rowOff>114300</xdr:rowOff>
    </xdr:to>
    <xdr:pic>
      <xdr:nvPicPr>
        <xdr:cNvPr id="11737" name="Picture 41" descr="LOGO DGI">
          <a:extLst>
            <a:ext uri="{FF2B5EF4-FFF2-40B4-BE49-F238E27FC236}">
              <a16:creationId xmlns:a16="http://schemas.microsoft.com/office/drawing/2014/main" id="{00000000-0008-0000-0F00-0000D9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1516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107</xdr:row>
      <xdr:rowOff>114300</xdr:rowOff>
    </xdr:from>
    <xdr:to>
      <xdr:col>2</xdr:col>
      <xdr:colOff>781050</xdr:colOff>
      <xdr:row>110</xdr:row>
      <xdr:rowOff>114300</xdr:rowOff>
    </xdr:to>
    <xdr:pic>
      <xdr:nvPicPr>
        <xdr:cNvPr id="11738" name="Picture 42" descr="LOGO DGI">
          <a:extLst>
            <a:ext uri="{FF2B5EF4-FFF2-40B4-BE49-F238E27FC236}">
              <a16:creationId xmlns:a16="http://schemas.microsoft.com/office/drawing/2014/main" id="{00000000-0008-0000-0F00-0000DA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1801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124</xdr:row>
      <xdr:rowOff>114300</xdr:rowOff>
    </xdr:from>
    <xdr:to>
      <xdr:col>2</xdr:col>
      <xdr:colOff>781050</xdr:colOff>
      <xdr:row>127</xdr:row>
      <xdr:rowOff>114300</xdr:rowOff>
    </xdr:to>
    <xdr:pic>
      <xdr:nvPicPr>
        <xdr:cNvPr id="11739" name="Picture 43" descr="LOGO DGI">
          <a:extLst>
            <a:ext uri="{FF2B5EF4-FFF2-40B4-BE49-F238E27FC236}">
              <a16:creationId xmlns:a16="http://schemas.microsoft.com/office/drawing/2014/main" id="{00000000-0008-0000-0F00-0000DB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2085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104775</xdr:rowOff>
    </xdr:from>
    <xdr:to>
      <xdr:col>12</xdr:col>
      <xdr:colOff>28575</xdr:colOff>
      <xdr:row>4</xdr:row>
      <xdr:rowOff>47625</xdr:rowOff>
    </xdr:to>
    <xdr:sp macro="" textlink="">
      <xdr:nvSpPr>
        <xdr:cNvPr id="30721" name="CommandButton2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00000000-0008-0000-1000-0000017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123825</xdr:colOff>
      <xdr:row>0</xdr:row>
      <xdr:rowOff>66675</xdr:rowOff>
    </xdr:from>
    <xdr:to>
      <xdr:col>13</xdr:col>
      <xdr:colOff>1114425</xdr:colOff>
      <xdr:row>4</xdr:row>
      <xdr:rowOff>38100</xdr:rowOff>
    </xdr:to>
    <xdr:sp macro="" textlink="">
      <xdr:nvSpPr>
        <xdr:cNvPr id="30722" name="CommandButton1" hidden="1">
          <a:extLst>
            <a:ext uri="{63B3BB69-23CF-44E3-9099-C40C66FF867C}">
              <a14:compatExt xmlns:a14="http://schemas.microsoft.com/office/drawing/2010/main" spid="_x0000_s30722"/>
            </a:ext>
            <a:ext uri="{FF2B5EF4-FFF2-40B4-BE49-F238E27FC236}">
              <a16:creationId xmlns:a16="http://schemas.microsoft.com/office/drawing/2014/main" id="{00000000-0008-0000-1000-0000027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0</xdr:colOff>
      <xdr:row>5</xdr:row>
      <xdr:rowOff>19050</xdr:rowOff>
    </xdr:from>
    <xdr:to>
      <xdr:col>12</xdr:col>
      <xdr:colOff>47625</xdr:colOff>
      <xdr:row>8</xdr:row>
      <xdr:rowOff>114300</xdr:rowOff>
    </xdr:to>
    <xdr:sp macro="" textlink="">
      <xdr:nvSpPr>
        <xdr:cNvPr id="30723" name="CommandButton3" hidden="1">
          <a:extLst>
            <a:ext uri="{63B3BB69-23CF-44E3-9099-C40C66FF867C}">
              <a14:compatExt xmlns:a14="http://schemas.microsoft.com/office/drawing/2010/main" spid="_x0000_s30723"/>
            </a:ext>
            <a:ext uri="{FF2B5EF4-FFF2-40B4-BE49-F238E27FC236}">
              <a16:creationId xmlns:a16="http://schemas.microsoft.com/office/drawing/2014/main" id="{00000000-0008-0000-1000-0000037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114300</xdr:colOff>
      <xdr:row>5</xdr:row>
      <xdr:rowOff>28575</xdr:rowOff>
    </xdr:from>
    <xdr:to>
      <xdr:col>13</xdr:col>
      <xdr:colOff>1114425</xdr:colOff>
      <xdr:row>8</xdr:row>
      <xdr:rowOff>104775</xdr:rowOff>
    </xdr:to>
    <xdr:sp macro="" textlink="">
      <xdr:nvSpPr>
        <xdr:cNvPr id="30724" name="CommandButton4" hidden="1">
          <a:extLst>
            <a:ext uri="{63B3BB69-23CF-44E3-9099-C40C66FF867C}">
              <a14:compatExt xmlns:a14="http://schemas.microsoft.com/office/drawing/2010/main" spid="_x0000_s30724"/>
            </a:ext>
            <a:ext uri="{FF2B5EF4-FFF2-40B4-BE49-F238E27FC236}">
              <a16:creationId xmlns:a16="http://schemas.microsoft.com/office/drawing/2014/main" id="{00000000-0008-0000-1000-0000047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5</xdr:row>
      <xdr:rowOff>95250</xdr:rowOff>
    </xdr:from>
    <xdr:to>
      <xdr:col>2</xdr:col>
      <xdr:colOff>885825</xdr:colOff>
      <xdr:row>8</xdr:row>
      <xdr:rowOff>95250</xdr:rowOff>
    </xdr:to>
    <xdr:pic>
      <xdr:nvPicPr>
        <xdr:cNvPr id="13130" name="Picture 1" descr="LOGO DGI">
          <a:extLst>
            <a:ext uri="{FF2B5EF4-FFF2-40B4-BE49-F238E27FC236}">
              <a16:creationId xmlns:a16="http://schemas.microsoft.com/office/drawing/2014/main" id="{00000000-0008-0000-1100-00004A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904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12319" name="CommandButton1" hidden="1">
          <a:extLst>
            <a:ext uri="{63B3BB69-23CF-44E3-9099-C40C66FF867C}">
              <a14:compatExt xmlns:a14="http://schemas.microsoft.com/office/drawing/2010/main" spid="_x0000_s12319"/>
            </a:ext>
            <a:ext uri="{FF2B5EF4-FFF2-40B4-BE49-F238E27FC236}">
              <a16:creationId xmlns:a16="http://schemas.microsoft.com/office/drawing/2014/main" id="{00000000-0008-0000-1100-00001F3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95250</xdr:rowOff>
    </xdr:from>
    <xdr:to>
      <xdr:col>9</xdr:col>
      <xdr:colOff>638175</xdr:colOff>
      <xdr:row>7</xdr:row>
      <xdr:rowOff>0</xdr:rowOff>
    </xdr:to>
    <xdr:sp macro="" textlink="">
      <xdr:nvSpPr>
        <xdr:cNvPr id="12320" name="CommandButton2" hidden="1">
          <a:extLst>
            <a:ext uri="{63B3BB69-23CF-44E3-9099-C40C66FF867C}">
              <a14:compatExt xmlns:a14="http://schemas.microsoft.com/office/drawing/2010/main" spid="_x0000_s12320"/>
            </a:ext>
            <a:ext uri="{FF2B5EF4-FFF2-40B4-BE49-F238E27FC236}">
              <a16:creationId xmlns:a16="http://schemas.microsoft.com/office/drawing/2014/main" id="{00000000-0008-0000-1100-0000203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495300</xdr:colOff>
      <xdr:row>22</xdr:row>
      <xdr:rowOff>95250</xdr:rowOff>
    </xdr:from>
    <xdr:to>
      <xdr:col>2</xdr:col>
      <xdr:colOff>885825</xdr:colOff>
      <xdr:row>25</xdr:row>
      <xdr:rowOff>95250</xdr:rowOff>
    </xdr:to>
    <xdr:pic>
      <xdr:nvPicPr>
        <xdr:cNvPr id="13131" name="Picture 33" descr="LOGO DGI">
          <a:extLst>
            <a:ext uri="{FF2B5EF4-FFF2-40B4-BE49-F238E27FC236}">
              <a16:creationId xmlns:a16="http://schemas.microsoft.com/office/drawing/2014/main" id="{00000000-0008-0000-1100-00004B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752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39</xdr:row>
      <xdr:rowOff>95250</xdr:rowOff>
    </xdr:from>
    <xdr:to>
      <xdr:col>2</xdr:col>
      <xdr:colOff>885825</xdr:colOff>
      <xdr:row>42</xdr:row>
      <xdr:rowOff>95250</xdr:rowOff>
    </xdr:to>
    <xdr:pic>
      <xdr:nvPicPr>
        <xdr:cNvPr id="13132" name="Picture 34" descr="LOGO DGI">
          <a:extLst>
            <a:ext uri="{FF2B5EF4-FFF2-40B4-BE49-F238E27FC236}">
              <a16:creationId xmlns:a16="http://schemas.microsoft.com/office/drawing/2014/main" id="{00000000-0008-0000-1100-00004C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6600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56</xdr:row>
      <xdr:rowOff>95250</xdr:rowOff>
    </xdr:from>
    <xdr:to>
      <xdr:col>2</xdr:col>
      <xdr:colOff>885825</xdr:colOff>
      <xdr:row>59</xdr:row>
      <xdr:rowOff>95250</xdr:rowOff>
    </xdr:to>
    <xdr:pic>
      <xdr:nvPicPr>
        <xdr:cNvPr id="13133" name="Picture 35" descr="LOGO DGI">
          <a:extLst>
            <a:ext uri="{FF2B5EF4-FFF2-40B4-BE49-F238E27FC236}">
              <a16:creationId xmlns:a16="http://schemas.microsoft.com/office/drawing/2014/main" id="{00000000-0008-0000-1100-00004D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9448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73</xdr:row>
      <xdr:rowOff>95250</xdr:rowOff>
    </xdr:from>
    <xdr:to>
      <xdr:col>2</xdr:col>
      <xdr:colOff>885825</xdr:colOff>
      <xdr:row>76</xdr:row>
      <xdr:rowOff>95250</xdr:rowOff>
    </xdr:to>
    <xdr:pic>
      <xdr:nvPicPr>
        <xdr:cNvPr id="13134" name="Picture 36" descr="LOGO DGI">
          <a:extLst>
            <a:ext uri="{FF2B5EF4-FFF2-40B4-BE49-F238E27FC236}">
              <a16:creationId xmlns:a16="http://schemas.microsoft.com/office/drawing/2014/main" id="{00000000-0008-0000-1100-00004E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2296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90</xdr:row>
      <xdr:rowOff>95250</xdr:rowOff>
    </xdr:from>
    <xdr:to>
      <xdr:col>2</xdr:col>
      <xdr:colOff>885825</xdr:colOff>
      <xdr:row>93</xdr:row>
      <xdr:rowOff>95250</xdr:rowOff>
    </xdr:to>
    <xdr:pic>
      <xdr:nvPicPr>
        <xdr:cNvPr id="13135" name="Picture 37" descr="LOGO DGI">
          <a:extLst>
            <a:ext uri="{FF2B5EF4-FFF2-40B4-BE49-F238E27FC236}">
              <a16:creationId xmlns:a16="http://schemas.microsoft.com/office/drawing/2014/main" id="{00000000-0008-0000-1100-00004F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5144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107</xdr:row>
      <xdr:rowOff>95250</xdr:rowOff>
    </xdr:from>
    <xdr:to>
      <xdr:col>2</xdr:col>
      <xdr:colOff>885825</xdr:colOff>
      <xdr:row>110</xdr:row>
      <xdr:rowOff>95250</xdr:rowOff>
    </xdr:to>
    <xdr:pic>
      <xdr:nvPicPr>
        <xdr:cNvPr id="13136" name="Picture 38" descr="LOGO DGI">
          <a:extLst>
            <a:ext uri="{FF2B5EF4-FFF2-40B4-BE49-F238E27FC236}">
              <a16:creationId xmlns:a16="http://schemas.microsoft.com/office/drawing/2014/main" id="{00000000-0008-0000-1100-000050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7992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124</xdr:row>
      <xdr:rowOff>95250</xdr:rowOff>
    </xdr:from>
    <xdr:to>
      <xdr:col>2</xdr:col>
      <xdr:colOff>885825</xdr:colOff>
      <xdr:row>127</xdr:row>
      <xdr:rowOff>95250</xdr:rowOff>
    </xdr:to>
    <xdr:pic>
      <xdr:nvPicPr>
        <xdr:cNvPr id="13137" name="Picture 39" descr="LOGO DGI">
          <a:extLst>
            <a:ext uri="{FF2B5EF4-FFF2-40B4-BE49-F238E27FC236}">
              <a16:creationId xmlns:a16="http://schemas.microsoft.com/office/drawing/2014/main" id="{00000000-0008-0000-1100-000051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0840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141</xdr:row>
      <xdr:rowOff>95250</xdr:rowOff>
    </xdr:from>
    <xdr:to>
      <xdr:col>2</xdr:col>
      <xdr:colOff>885825</xdr:colOff>
      <xdr:row>144</xdr:row>
      <xdr:rowOff>95250</xdr:rowOff>
    </xdr:to>
    <xdr:pic>
      <xdr:nvPicPr>
        <xdr:cNvPr id="13138" name="Picture 40" descr="LOGO DGI">
          <a:extLst>
            <a:ext uri="{FF2B5EF4-FFF2-40B4-BE49-F238E27FC236}">
              <a16:creationId xmlns:a16="http://schemas.microsoft.com/office/drawing/2014/main" id="{00000000-0008-0000-1100-000052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3688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158</xdr:row>
      <xdr:rowOff>95250</xdr:rowOff>
    </xdr:from>
    <xdr:to>
      <xdr:col>2</xdr:col>
      <xdr:colOff>885825</xdr:colOff>
      <xdr:row>161</xdr:row>
      <xdr:rowOff>95250</xdr:rowOff>
    </xdr:to>
    <xdr:pic>
      <xdr:nvPicPr>
        <xdr:cNvPr id="13139" name="Picture 41" descr="LOGO DGI">
          <a:extLst>
            <a:ext uri="{FF2B5EF4-FFF2-40B4-BE49-F238E27FC236}">
              <a16:creationId xmlns:a16="http://schemas.microsoft.com/office/drawing/2014/main" id="{00000000-0008-0000-1100-000053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6536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175</xdr:row>
      <xdr:rowOff>95250</xdr:rowOff>
    </xdr:from>
    <xdr:to>
      <xdr:col>2</xdr:col>
      <xdr:colOff>885825</xdr:colOff>
      <xdr:row>178</xdr:row>
      <xdr:rowOff>95250</xdr:rowOff>
    </xdr:to>
    <xdr:pic>
      <xdr:nvPicPr>
        <xdr:cNvPr id="13140" name="Picture 42" descr="LOGO DGI">
          <a:extLst>
            <a:ext uri="{FF2B5EF4-FFF2-40B4-BE49-F238E27FC236}">
              <a16:creationId xmlns:a16="http://schemas.microsoft.com/office/drawing/2014/main" id="{00000000-0008-0000-1100-000054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9384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192</xdr:row>
      <xdr:rowOff>95250</xdr:rowOff>
    </xdr:from>
    <xdr:to>
      <xdr:col>2</xdr:col>
      <xdr:colOff>885825</xdr:colOff>
      <xdr:row>195</xdr:row>
      <xdr:rowOff>95250</xdr:rowOff>
    </xdr:to>
    <xdr:pic>
      <xdr:nvPicPr>
        <xdr:cNvPr id="13141" name="Picture 43" descr="LOGO DGI">
          <a:extLst>
            <a:ext uri="{FF2B5EF4-FFF2-40B4-BE49-F238E27FC236}">
              <a16:creationId xmlns:a16="http://schemas.microsoft.com/office/drawing/2014/main" id="{00000000-0008-0000-1100-000055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2232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209</xdr:row>
      <xdr:rowOff>95250</xdr:rowOff>
    </xdr:from>
    <xdr:to>
      <xdr:col>2</xdr:col>
      <xdr:colOff>885825</xdr:colOff>
      <xdr:row>212</xdr:row>
      <xdr:rowOff>95250</xdr:rowOff>
    </xdr:to>
    <xdr:pic>
      <xdr:nvPicPr>
        <xdr:cNvPr id="13142" name="Picture 44" descr="LOGO DGI">
          <a:extLst>
            <a:ext uri="{FF2B5EF4-FFF2-40B4-BE49-F238E27FC236}">
              <a16:creationId xmlns:a16="http://schemas.microsoft.com/office/drawing/2014/main" id="{00000000-0008-0000-1100-000056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5080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226</xdr:row>
      <xdr:rowOff>95250</xdr:rowOff>
    </xdr:from>
    <xdr:to>
      <xdr:col>2</xdr:col>
      <xdr:colOff>885825</xdr:colOff>
      <xdr:row>229</xdr:row>
      <xdr:rowOff>95250</xdr:rowOff>
    </xdr:to>
    <xdr:pic>
      <xdr:nvPicPr>
        <xdr:cNvPr id="13143" name="Picture 45" descr="LOGO DGI">
          <a:extLst>
            <a:ext uri="{FF2B5EF4-FFF2-40B4-BE49-F238E27FC236}">
              <a16:creationId xmlns:a16="http://schemas.microsoft.com/office/drawing/2014/main" id="{00000000-0008-0000-1100-000057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7928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243</xdr:row>
      <xdr:rowOff>95250</xdr:rowOff>
    </xdr:from>
    <xdr:to>
      <xdr:col>2</xdr:col>
      <xdr:colOff>885825</xdr:colOff>
      <xdr:row>246</xdr:row>
      <xdr:rowOff>95250</xdr:rowOff>
    </xdr:to>
    <xdr:pic>
      <xdr:nvPicPr>
        <xdr:cNvPr id="13144" name="Picture 46" descr="LOGO DGI">
          <a:extLst>
            <a:ext uri="{FF2B5EF4-FFF2-40B4-BE49-F238E27FC236}">
              <a16:creationId xmlns:a16="http://schemas.microsoft.com/office/drawing/2014/main" id="{00000000-0008-0000-1100-0000583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40776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361950</xdr:colOff>
      <xdr:row>0</xdr:row>
      <xdr:rowOff>76200</xdr:rowOff>
    </xdr:from>
    <xdr:to>
      <xdr:col>11</xdr:col>
      <xdr:colOff>381000</xdr:colOff>
      <xdr:row>4</xdr:row>
      <xdr:rowOff>19050</xdr:rowOff>
    </xdr:to>
    <xdr:sp macro="" textlink="">
      <xdr:nvSpPr>
        <xdr:cNvPr id="31745" name="CommandButton2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00000000-0008-0000-1200-000001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190500</xdr:colOff>
      <xdr:row>0</xdr:row>
      <xdr:rowOff>38100</xdr:rowOff>
    </xdr:from>
    <xdr:to>
      <xdr:col>13</xdr:col>
      <xdr:colOff>1181100</xdr:colOff>
      <xdr:row>4</xdr:row>
      <xdr:rowOff>9525</xdr:rowOff>
    </xdr:to>
    <xdr:sp macro="" textlink="">
      <xdr:nvSpPr>
        <xdr:cNvPr id="31746" name="CommandButton1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:a16="http://schemas.microsoft.com/office/drawing/2014/main" id="{00000000-0008-0000-1200-000002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352425</xdr:colOff>
      <xdr:row>4</xdr:row>
      <xdr:rowOff>152400</xdr:rowOff>
    </xdr:from>
    <xdr:to>
      <xdr:col>11</xdr:col>
      <xdr:colOff>390525</xdr:colOff>
      <xdr:row>8</xdr:row>
      <xdr:rowOff>85725</xdr:rowOff>
    </xdr:to>
    <xdr:sp macro="" textlink="">
      <xdr:nvSpPr>
        <xdr:cNvPr id="31747" name="CommandButton3" hidden="1">
          <a:extLst>
            <a:ext uri="{63B3BB69-23CF-44E3-9099-C40C66FF867C}">
              <a14:compatExt xmlns:a14="http://schemas.microsoft.com/office/drawing/2010/main" spid="_x0000_s31747"/>
            </a:ext>
            <a:ext uri="{FF2B5EF4-FFF2-40B4-BE49-F238E27FC236}">
              <a16:creationId xmlns:a16="http://schemas.microsoft.com/office/drawing/2014/main" id="{00000000-0008-0000-1200-000003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180975</xdr:colOff>
      <xdr:row>5</xdr:row>
      <xdr:rowOff>0</xdr:rowOff>
    </xdr:from>
    <xdr:to>
      <xdr:col>13</xdr:col>
      <xdr:colOff>1181100</xdr:colOff>
      <xdr:row>8</xdr:row>
      <xdr:rowOff>76200</xdr:rowOff>
    </xdr:to>
    <xdr:sp macro="" textlink="">
      <xdr:nvSpPr>
        <xdr:cNvPr id="31748" name="CommandButton4" hidden="1">
          <a:extLst>
            <a:ext uri="{63B3BB69-23CF-44E3-9099-C40C66FF867C}">
              <a14:compatExt xmlns:a14="http://schemas.microsoft.com/office/drawing/2010/main" spid="_x0000_s31748"/>
            </a:ext>
            <a:ext uri="{FF2B5EF4-FFF2-40B4-BE49-F238E27FC236}">
              <a16:creationId xmlns:a16="http://schemas.microsoft.com/office/drawing/2014/main" id="{00000000-0008-0000-1200-000004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</xdr:colOff>
      <xdr:row>0</xdr:row>
      <xdr:rowOff>0</xdr:rowOff>
    </xdr:from>
    <xdr:to>
      <xdr:col>9</xdr:col>
      <xdr:colOff>133350</xdr:colOff>
      <xdr:row>3</xdr:row>
      <xdr:rowOff>47625</xdr:rowOff>
    </xdr:to>
    <xdr:sp macro="" textlink="">
      <xdr:nvSpPr>
        <xdr:cNvPr id="13347" name="CommandButton1" hidden="1">
          <a:extLst>
            <a:ext uri="{63B3BB69-23CF-44E3-9099-C40C66FF867C}">
              <a14:compatExt xmlns:a14="http://schemas.microsoft.com/office/drawing/2010/main" spid="_x0000_s13347"/>
            </a:ext>
            <a:ext uri="{FF2B5EF4-FFF2-40B4-BE49-F238E27FC236}">
              <a16:creationId xmlns:a16="http://schemas.microsoft.com/office/drawing/2014/main" id="{00000000-0008-0000-1300-0000233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733425</xdr:colOff>
      <xdr:row>4</xdr:row>
      <xdr:rowOff>152400</xdr:rowOff>
    </xdr:from>
    <xdr:to>
      <xdr:col>9</xdr:col>
      <xdr:colOff>609600</xdr:colOff>
      <xdr:row>7</xdr:row>
      <xdr:rowOff>57150</xdr:rowOff>
    </xdr:to>
    <xdr:sp macro="" textlink="">
      <xdr:nvSpPr>
        <xdr:cNvPr id="13348" name="CommandButton2" hidden="1">
          <a:extLst>
            <a:ext uri="{63B3BB69-23CF-44E3-9099-C40C66FF867C}">
              <a14:compatExt xmlns:a14="http://schemas.microsoft.com/office/drawing/2010/main" spid="_x0000_s13348"/>
            </a:ext>
            <a:ext uri="{FF2B5EF4-FFF2-40B4-BE49-F238E27FC236}">
              <a16:creationId xmlns:a16="http://schemas.microsoft.com/office/drawing/2014/main" id="{00000000-0008-0000-1300-0000243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333375</xdr:colOff>
      <xdr:row>5</xdr:row>
      <xdr:rowOff>123825</xdr:rowOff>
    </xdr:from>
    <xdr:to>
      <xdr:col>2</xdr:col>
      <xdr:colOff>723900</xdr:colOff>
      <xdr:row>8</xdr:row>
      <xdr:rowOff>123825</xdr:rowOff>
    </xdr:to>
    <xdr:pic>
      <xdr:nvPicPr>
        <xdr:cNvPr id="154246" name="Picture 50" descr="LOGO DGI">
          <a:extLst>
            <a:ext uri="{FF2B5EF4-FFF2-40B4-BE49-F238E27FC236}">
              <a16:creationId xmlns:a16="http://schemas.microsoft.com/office/drawing/2014/main" id="{00000000-0008-0000-1300-000086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933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47" name="Picture 51" descr="LOGO DGI">
          <a:extLst>
            <a:ext uri="{FF2B5EF4-FFF2-40B4-BE49-F238E27FC236}">
              <a16:creationId xmlns:a16="http://schemas.microsoft.com/office/drawing/2014/main" id="{00000000-0008-0000-1300-000087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48" name="Picture 52" descr="LOGO DGI">
          <a:extLst>
            <a:ext uri="{FF2B5EF4-FFF2-40B4-BE49-F238E27FC236}">
              <a16:creationId xmlns:a16="http://schemas.microsoft.com/office/drawing/2014/main" id="{00000000-0008-0000-1300-000088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49" name="Picture 53" descr="LOGO DGI">
          <a:extLst>
            <a:ext uri="{FF2B5EF4-FFF2-40B4-BE49-F238E27FC236}">
              <a16:creationId xmlns:a16="http://schemas.microsoft.com/office/drawing/2014/main" id="{00000000-0008-0000-1300-000089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0" name="Picture 54" descr="LOGO DGI">
          <a:extLst>
            <a:ext uri="{FF2B5EF4-FFF2-40B4-BE49-F238E27FC236}">
              <a16:creationId xmlns:a16="http://schemas.microsoft.com/office/drawing/2014/main" id="{00000000-0008-0000-1300-00008A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1" name="Picture 55" descr="LOGO DGI">
          <a:extLst>
            <a:ext uri="{FF2B5EF4-FFF2-40B4-BE49-F238E27FC236}">
              <a16:creationId xmlns:a16="http://schemas.microsoft.com/office/drawing/2014/main" id="{00000000-0008-0000-1300-00008B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2" name="Picture 56" descr="LOGO DGI">
          <a:extLst>
            <a:ext uri="{FF2B5EF4-FFF2-40B4-BE49-F238E27FC236}">
              <a16:creationId xmlns:a16="http://schemas.microsoft.com/office/drawing/2014/main" id="{00000000-0008-0000-1300-00008C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3" name="Picture 57" descr="LOGO DGI">
          <a:extLst>
            <a:ext uri="{FF2B5EF4-FFF2-40B4-BE49-F238E27FC236}">
              <a16:creationId xmlns:a16="http://schemas.microsoft.com/office/drawing/2014/main" id="{00000000-0008-0000-1300-00008D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4" name="Picture 58" descr="LOGO DGI">
          <a:extLst>
            <a:ext uri="{FF2B5EF4-FFF2-40B4-BE49-F238E27FC236}">
              <a16:creationId xmlns:a16="http://schemas.microsoft.com/office/drawing/2014/main" id="{00000000-0008-0000-1300-00008E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5" name="Picture 59" descr="LOGO DGI">
          <a:extLst>
            <a:ext uri="{FF2B5EF4-FFF2-40B4-BE49-F238E27FC236}">
              <a16:creationId xmlns:a16="http://schemas.microsoft.com/office/drawing/2014/main" id="{00000000-0008-0000-1300-00008F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6" name="Picture 60" descr="LOGO DGI">
          <a:extLst>
            <a:ext uri="{FF2B5EF4-FFF2-40B4-BE49-F238E27FC236}">
              <a16:creationId xmlns:a16="http://schemas.microsoft.com/office/drawing/2014/main" id="{00000000-0008-0000-1300-000090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7" name="Picture 61" descr="LOGO DGI">
          <a:extLst>
            <a:ext uri="{FF2B5EF4-FFF2-40B4-BE49-F238E27FC236}">
              <a16:creationId xmlns:a16="http://schemas.microsoft.com/office/drawing/2014/main" id="{00000000-0008-0000-1300-000091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8" name="Picture 62" descr="LOGO DGI">
          <a:extLst>
            <a:ext uri="{FF2B5EF4-FFF2-40B4-BE49-F238E27FC236}">
              <a16:creationId xmlns:a16="http://schemas.microsoft.com/office/drawing/2014/main" id="{00000000-0008-0000-1300-000092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59" name="Picture 63" descr="LOGO DGI">
          <a:extLst>
            <a:ext uri="{FF2B5EF4-FFF2-40B4-BE49-F238E27FC236}">
              <a16:creationId xmlns:a16="http://schemas.microsoft.com/office/drawing/2014/main" id="{00000000-0008-0000-1300-000093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</xdr:row>
      <xdr:rowOff>0</xdr:rowOff>
    </xdr:from>
    <xdr:to>
      <xdr:col>2</xdr:col>
      <xdr:colOff>723900</xdr:colOff>
      <xdr:row>20</xdr:row>
      <xdr:rowOff>0</xdr:rowOff>
    </xdr:to>
    <xdr:pic>
      <xdr:nvPicPr>
        <xdr:cNvPr id="154260" name="Picture 64" descr="LOGO DGI">
          <a:extLst>
            <a:ext uri="{FF2B5EF4-FFF2-40B4-BE49-F238E27FC236}">
              <a16:creationId xmlns:a16="http://schemas.microsoft.com/office/drawing/2014/main" id="{00000000-0008-0000-1300-000094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22</xdr:row>
      <xdr:rowOff>123825</xdr:rowOff>
    </xdr:from>
    <xdr:to>
      <xdr:col>2</xdr:col>
      <xdr:colOff>723900</xdr:colOff>
      <xdr:row>25</xdr:row>
      <xdr:rowOff>123825</xdr:rowOff>
    </xdr:to>
    <xdr:pic>
      <xdr:nvPicPr>
        <xdr:cNvPr id="154261" name="Picture 65" descr="LOGO DGI">
          <a:extLst>
            <a:ext uri="{FF2B5EF4-FFF2-40B4-BE49-F238E27FC236}">
              <a16:creationId xmlns:a16="http://schemas.microsoft.com/office/drawing/2014/main" id="{00000000-0008-0000-1300-000095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37814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39</xdr:row>
      <xdr:rowOff>123825</xdr:rowOff>
    </xdr:from>
    <xdr:to>
      <xdr:col>2</xdr:col>
      <xdr:colOff>723900</xdr:colOff>
      <xdr:row>42</xdr:row>
      <xdr:rowOff>123825</xdr:rowOff>
    </xdr:to>
    <xdr:pic>
      <xdr:nvPicPr>
        <xdr:cNvPr id="154262" name="Picture 66" descr="LOGO DGI">
          <a:extLst>
            <a:ext uri="{FF2B5EF4-FFF2-40B4-BE49-F238E27FC236}">
              <a16:creationId xmlns:a16="http://schemas.microsoft.com/office/drawing/2014/main" id="{00000000-0008-0000-1300-000096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6629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56</xdr:row>
      <xdr:rowOff>123825</xdr:rowOff>
    </xdr:from>
    <xdr:to>
      <xdr:col>2</xdr:col>
      <xdr:colOff>723900</xdr:colOff>
      <xdr:row>59</xdr:row>
      <xdr:rowOff>123825</xdr:rowOff>
    </xdr:to>
    <xdr:pic>
      <xdr:nvPicPr>
        <xdr:cNvPr id="154263" name="Picture 67" descr="LOGO DGI">
          <a:extLst>
            <a:ext uri="{FF2B5EF4-FFF2-40B4-BE49-F238E27FC236}">
              <a16:creationId xmlns:a16="http://schemas.microsoft.com/office/drawing/2014/main" id="{00000000-0008-0000-1300-000097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9477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73</xdr:row>
      <xdr:rowOff>123825</xdr:rowOff>
    </xdr:from>
    <xdr:to>
      <xdr:col>2</xdr:col>
      <xdr:colOff>723900</xdr:colOff>
      <xdr:row>76</xdr:row>
      <xdr:rowOff>123825</xdr:rowOff>
    </xdr:to>
    <xdr:pic>
      <xdr:nvPicPr>
        <xdr:cNvPr id="154264" name="Picture 68" descr="LOGO DGI">
          <a:extLst>
            <a:ext uri="{FF2B5EF4-FFF2-40B4-BE49-F238E27FC236}">
              <a16:creationId xmlns:a16="http://schemas.microsoft.com/office/drawing/2014/main" id="{00000000-0008-0000-1300-000098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12325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90</xdr:row>
      <xdr:rowOff>123825</xdr:rowOff>
    </xdr:from>
    <xdr:to>
      <xdr:col>2</xdr:col>
      <xdr:colOff>723900</xdr:colOff>
      <xdr:row>93</xdr:row>
      <xdr:rowOff>123825</xdr:rowOff>
    </xdr:to>
    <xdr:pic>
      <xdr:nvPicPr>
        <xdr:cNvPr id="154265" name="Picture 69" descr="LOGO DGI">
          <a:extLst>
            <a:ext uri="{FF2B5EF4-FFF2-40B4-BE49-F238E27FC236}">
              <a16:creationId xmlns:a16="http://schemas.microsoft.com/office/drawing/2014/main" id="{00000000-0008-0000-1300-000099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15173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107</xdr:row>
      <xdr:rowOff>123825</xdr:rowOff>
    </xdr:from>
    <xdr:to>
      <xdr:col>2</xdr:col>
      <xdr:colOff>723900</xdr:colOff>
      <xdr:row>110</xdr:row>
      <xdr:rowOff>123825</xdr:rowOff>
    </xdr:to>
    <xdr:pic>
      <xdr:nvPicPr>
        <xdr:cNvPr id="154266" name="Picture 70" descr="LOGO DGI">
          <a:extLst>
            <a:ext uri="{FF2B5EF4-FFF2-40B4-BE49-F238E27FC236}">
              <a16:creationId xmlns:a16="http://schemas.microsoft.com/office/drawing/2014/main" id="{00000000-0008-0000-1300-00009A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18021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124</xdr:row>
      <xdr:rowOff>123825</xdr:rowOff>
    </xdr:from>
    <xdr:to>
      <xdr:col>2</xdr:col>
      <xdr:colOff>723900</xdr:colOff>
      <xdr:row>127</xdr:row>
      <xdr:rowOff>123825</xdr:rowOff>
    </xdr:to>
    <xdr:pic>
      <xdr:nvPicPr>
        <xdr:cNvPr id="154267" name="Picture 71" descr="LOGO DGI">
          <a:extLst>
            <a:ext uri="{FF2B5EF4-FFF2-40B4-BE49-F238E27FC236}">
              <a16:creationId xmlns:a16="http://schemas.microsoft.com/office/drawing/2014/main" id="{00000000-0008-0000-1300-00009B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0869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141</xdr:row>
      <xdr:rowOff>123825</xdr:rowOff>
    </xdr:from>
    <xdr:to>
      <xdr:col>2</xdr:col>
      <xdr:colOff>723900</xdr:colOff>
      <xdr:row>144</xdr:row>
      <xdr:rowOff>123825</xdr:rowOff>
    </xdr:to>
    <xdr:pic>
      <xdr:nvPicPr>
        <xdr:cNvPr id="154268" name="Picture 72" descr="LOGO DGI">
          <a:extLst>
            <a:ext uri="{FF2B5EF4-FFF2-40B4-BE49-F238E27FC236}">
              <a16:creationId xmlns:a16="http://schemas.microsoft.com/office/drawing/2014/main" id="{00000000-0008-0000-1300-00009C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717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158</xdr:row>
      <xdr:rowOff>123825</xdr:rowOff>
    </xdr:from>
    <xdr:to>
      <xdr:col>2</xdr:col>
      <xdr:colOff>723900</xdr:colOff>
      <xdr:row>161</xdr:row>
      <xdr:rowOff>123825</xdr:rowOff>
    </xdr:to>
    <xdr:pic>
      <xdr:nvPicPr>
        <xdr:cNvPr id="154269" name="Picture 73" descr="LOGO DGI">
          <a:extLst>
            <a:ext uri="{FF2B5EF4-FFF2-40B4-BE49-F238E27FC236}">
              <a16:creationId xmlns:a16="http://schemas.microsoft.com/office/drawing/2014/main" id="{00000000-0008-0000-1300-00009D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6565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175</xdr:row>
      <xdr:rowOff>123825</xdr:rowOff>
    </xdr:from>
    <xdr:to>
      <xdr:col>2</xdr:col>
      <xdr:colOff>723900</xdr:colOff>
      <xdr:row>178</xdr:row>
      <xdr:rowOff>123825</xdr:rowOff>
    </xdr:to>
    <xdr:pic>
      <xdr:nvPicPr>
        <xdr:cNvPr id="154270" name="Picture 74" descr="LOGO DGI">
          <a:extLst>
            <a:ext uri="{FF2B5EF4-FFF2-40B4-BE49-F238E27FC236}">
              <a16:creationId xmlns:a16="http://schemas.microsoft.com/office/drawing/2014/main" id="{00000000-0008-0000-1300-00009E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9413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192</xdr:row>
      <xdr:rowOff>123825</xdr:rowOff>
    </xdr:from>
    <xdr:to>
      <xdr:col>2</xdr:col>
      <xdr:colOff>723900</xdr:colOff>
      <xdr:row>195</xdr:row>
      <xdr:rowOff>123825</xdr:rowOff>
    </xdr:to>
    <xdr:pic>
      <xdr:nvPicPr>
        <xdr:cNvPr id="154271" name="Picture 75" descr="LOGO DGI">
          <a:extLst>
            <a:ext uri="{FF2B5EF4-FFF2-40B4-BE49-F238E27FC236}">
              <a16:creationId xmlns:a16="http://schemas.microsoft.com/office/drawing/2014/main" id="{00000000-0008-0000-1300-00009F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32261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209</xdr:row>
      <xdr:rowOff>123825</xdr:rowOff>
    </xdr:from>
    <xdr:to>
      <xdr:col>2</xdr:col>
      <xdr:colOff>723900</xdr:colOff>
      <xdr:row>212</xdr:row>
      <xdr:rowOff>123825</xdr:rowOff>
    </xdr:to>
    <xdr:pic>
      <xdr:nvPicPr>
        <xdr:cNvPr id="154272" name="Picture 76" descr="LOGO DGI">
          <a:extLst>
            <a:ext uri="{FF2B5EF4-FFF2-40B4-BE49-F238E27FC236}">
              <a16:creationId xmlns:a16="http://schemas.microsoft.com/office/drawing/2014/main" id="{00000000-0008-0000-1300-0000A0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35109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226</xdr:row>
      <xdr:rowOff>123825</xdr:rowOff>
    </xdr:from>
    <xdr:to>
      <xdr:col>2</xdr:col>
      <xdr:colOff>723900</xdr:colOff>
      <xdr:row>229</xdr:row>
      <xdr:rowOff>123825</xdr:rowOff>
    </xdr:to>
    <xdr:pic>
      <xdr:nvPicPr>
        <xdr:cNvPr id="154273" name="Picture 77" descr="LOGO DGI">
          <a:extLst>
            <a:ext uri="{FF2B5EF4-FFF2-40B4-BE49-F238E27FC236}">
              <a16:creationId xmlns:a16="http://schemas.microsoft.com/office/drawing/2014/main" id="{00000000-0008-0000-1300-0000A1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379571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243</xdr:row>
      <xdr:rowOff>123825</xdr:rowOff>
    </xdr:from>
    <xdr:to>
      <xdr:col>2</xdr:col>
      <xdr:colOff>723900</xdr:colOff>
      <xdr:row>246</xdr:row>
      <xdr:rowOff>123825</xdr:rowOff>
    </xdr:to>
    <xdr:pic>
      <xdr:nvPicPr>
        <xdr:cNvPr id="154274" name="Picture 78" descr="LOGO DGI">
          <a:extLst>
            <a:ext uri="{FF2B5EF4-FFF2-40B4-BE49-F238E27FC236}">
              <a16:creationId xmlns:a16="http://schemas.microsoft.com/office/drawing/2014/main" id="{00000000-0008-0000-1300-0000A2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40805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333375</xdr:colOff>
      <xdr:row>260</xdr:row>
      <xdr:rowOff>123825</xdr:rowOff>
    </xdr:from>
    <xdr:to>
      <xdr:col>2</xdr:col>
      <xdr:colOff>723900</xdr:colOff>
      <xdr:row>263</xdr:row>
      <xdr:rowOff>123825</xdr:rowOff>
    </xdr:to>
    <xdr:pic>
      <xdr:nvPicPr>
        <xdr:cNvPr id="154275" name="Picture 79" descr="LOGO DGI">
          <a:extLst>
            <a:ext uri="{FF2B5EF4-FFF2-40B4-BE49-F238E27FC236}">
              <a16:creationId xmlns:a16="http://schemas.microsoft.com/office/drawing/2014/main" id="{00000000-0008-0000-1300-0000A35A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43653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57150</xdr:rowOff>
    </xdr:from>
    <xdr:to>
      <xdr:col>10</xdr:col>
      <xdr:colOff>1047750</xdr:colOff>
      <xdr:row>4</xdr:row>
      <xdr:rowOff>0</xdr:rowOff>
    </xdr:to>
    <xdr:sp macro="" textlink="">
      <xdr:nvSpPr>
        <xdr:cNvPr id="32769" name="CommandButton2" hidden="1">
          <a:extLst>
            <a:ext uri="{63B3BB69-23CF-44E3-9099-C40C66FF867C}">
              <a14:compatExt xmlns:a14="http://schemas.microsoft.com/office/drawing/2010/main" spid="_x0000_s32769"/>
            </a:ex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323850</xdr:colOff>
      <xdr:row>0</xdr:row>
      <xdr:rowOff>57150</xdr:rowOff>
    </xdr:from>
    <xdr:to>
      <xdr:col>12</xdr:col>
      <xdr:colOff>9525</xdr:colOff>
      <xdr:row>4</xdr:row>
      <xdr:rowOff>28575</xdr:rowOff>
    </xdr:to>
    <xdr:sp macro="" textlink="">
      <xdr:nvSpPr>
        <xdr:cNvPr id="32770" name="CommandButton1" hidden="1">
          <a:extLst>
            <a:ext uri="{63B3BB69-23CF-44E3-9099-C40C66FF867C}">
              <a14:compatExt xmlns:a14="http://schemas.microsoft.com/office/drawing/2010/main" spid="_x0000_s32770"/>
            </a:ext>
            <a:ext uri="{FF2B5EF4-FFF2-40B4-BE49-F238E27FC236}">
              <a16:creationId xmlns:a16="http://schemas.microsoft.com/office/drawing/2014/main" id="{00000000-0008-0000-1400-0000028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0</xdr:colOff>
      <xdr:row>4</xdr:row>
      <xdr:rowOff>133350</xdr:rowOff>
    </xdr:from>
    <xdr:to>
      <xdr:col>10</xdr:col>
      <xdr:colOff>1066800</xdr:colOff>
      <xdr:row>8</xdr:row>
      <xdr:rowOff>66675</xdr:rowOff>
    </xdr:to>
    <xdr:sp macro="" textlink="">
      <xdr:nvSpPr>
        <xdr:cNvPr id="32771" name="CommandButton3" hidden="1">
          <a:extLst>
            <a:ext uri="{63B3BB69-23CF-44E3-9099-C40C66FF867C}">
              <a14:compatExt xmlns:a14="http://schemas.microsoft.com/office/drawing/2010/main" spid="_x0000_s32771"/>
            </a:ext>
            <a:ext uri="{FF2B5EF4-FFF2-40B4-BE49-F238E27FC236}">
              <a16:creationId xmlns:a16="http://schemas.microsoft.com/office/drawing/2014/main" id="{00000000-0008-0000-1400-0000038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361950</xdr:colOff>
      <xdr:row>4</xdr:row>
      <xdr:rowOff>142875</xdr:rowOff>
    </xdr:from>
    <xdr:to>
      <xdr:col>12</xdr:col>
      <xdr:colOff>57150</xdr:colOff>
      <xdr:row>8</xdr:row>
      <xdr:rowOff>57150</xdr:rowOff>
    </xdr:to>
    <xdr:sp macro="" textlink="">
      <xdr:nvSpPr>
        <xdr:cNvPr id="32772" name="CommandButton4" hidden="1">
          <a:extLst>
            <a:ext uri="{63B3BB69-23CF-44E3-9099-C40C66FF867C}">
              <a14:compatExt xmlns:a14="http://schemas.microsoft.com/office/drawing/2010/main" spid="_x0000_s32772"/>
            </a:ext>
            <a:ext uri="{FF2B5EF4-FFF2-40B4-BE49-F238E27FC236}">
              <a16:creationId xmlns:a16="http://schemas.microsoft.com/office/drawing/2014/main" id="{00000000-0008-0000-1400-0000048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5</xdr:row>
      <xdr:rowOff>95250</xdr:rowOff>
    </xdr:from>
    <xdr:to>
      <xdr:col>2</xdr:col>
      <xdr:colOff>885825</xdr:colOff>
      <xdr:row>8</xdr:row>
      <xdr:rowOff>95250</xdr:rowOff>
    </xdr:to>
    <xdr:pic>
      <xdr:nvPicPr>
        <xdr:cNvPr id="14448" name="Picture 1" descr="LOGO DGI">
          <a:extLst>
            <a:ext uri="{FF2B5EF4-FFF2-40B4-BE49-F238E27FC236}">
              <a16:creationId xmlns:a16="http://schemas.microsoft.com/office/drawing/2014/main" id="{00000000-0008-0000-1500-000070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904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676275</xdr:colOff>
      <xdr:row>1</xdr:row>
      <xdr:rowOff>28575</xdr:rowOff>
    </xdr:from>
    <xdr:to>
      <xdr:col>9</xdr:col>
      <xdr:colOff>38100</xdr:colOff>
      <xdr:row>4</xdr:row>
      <xdr:rowOff>76200</xdr:rowOff>
    </xdr:to>
    <xdr:sp macro="" textlink="">
      <xdr:nvSpPr>
        <xdr:cNvPr id="14339" name="CommandButton1" hidden="1">
          <a:extLst>
            <a:ext uri="{63B3BB69-23CF-44E3-9099-C40C66FF867C}">
              <a14:compatExt xmlns:a14="http://schemas.microsoft.com/office/drawing/2010/main" spid="_x0000_s14339"/>
            </a:ext>
            <a:ext uri="{FF2B5EF4-FFF2-40B4-BE49-F238E27FC236}">
              <a16:creationId xmlns:a16="http://schemas.microsoft.com/office/drawing/2014/main" id="{00000000-0008-0000-1500-0000033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666750</xdr:colOff>
      <xdr:row>4</xdr:row>
      <xdr:rowOff>95250</xdr:rowOff>
    </xdr:from>
    <xdr:to>
      <xdr:col>9</xdr:col>
      <xdr:colOff>542925</xdr:colOff>
      <xdr:row>7</xdr:row>
      <xdr:rowOff>0</xdr:rowOff>
    </xdr:to>
    <xdr:sp macro="" textlink="">
      <xdr:nvSpPr>
        <xdr:cNvPr id="14340" name="CommandButton2" hidden="1">
          <a:extLst>
            <a:ext uri="{63B3BB69-23CF-44E3-9099-C40C66FF867C}">
              <a14:compatExt xmlns:a14="http://schemas.microsoft.com/office/drawing/2010/main" spid="_x0000_s14340"/>
            </a:ext>
            <a:ext uri="{FF2B5EF4-FFF2-40B4-BE49-F238E27FC236}">
              <a16:creationId xmlns:a16="http://schemas.microsoft.com/office/drawing/2014/main" id="{00000000-0008-0000-1500-0000043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495300</xdr:colOff>
      <xdr:row>22</xdr:row>
      <xdr:rowOff>95250</xdr:rowOff>
    </xdr:from>
    <xdr:to>
      <xdr:col>2</xdr:col>
      <xdr:colOff>885825</xdr:colOff>
      <xdr:row>25</xdr:row>
      <xdr:rowOff>95250</xdr:rowOff>
    </xdr:to>
    <xdr:pic>
      <xdr:nvPicPr>
        <xdr:cNvPr id="14449" name="Picture 5" descr="LOGO DGI">
          <a:extLst>
            <a:ext uri="{FF2B5EF4-FFF2-40B4-BE49-F238E27FC236}">
              <a16:creationId xmlns:a16="http://schemas.microsoft.com/office/drawing/2014/main" id="{00000000-0008-0000-1500-00007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3752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514350</xdr:colOff>
      <xdr:row>0</xdr:row>
      <xdr:rowOff>104775</xdr:rowOff>
    </xdr:from>
    <xdr:to>
      <xdr:col>11</xdr:col>
      <xdr:colOff>381000</xdr:colOff>
      <xdr:row>4</xdr:row>
      <xdr:rowOff>47625</xdr:rowOff>
    </xdr:to>
    <xdr:sp macro="" textlink="">
      <xdr:nvSpPr>
        <xdr:cNvPr id="33793" name="CommandButton2" hidden="1">
          <a:extLst>
            <a:ext uri="{63B3BB69-23CF-44E3-9099-C40C66FF867C}">
              <a14:compatExt xmlns:a14="http://schemas.microsoft.com/office/drawing/2010/main" spid="_x0000_s33793"/>
            </a:ext>
            <a:ext uri="{FF2B5EF4-FFF2-40B4-BE49-F238E27FC236}">
              <a16:creationId xmlns:a16="http://schemas.microsoft.com/office/drawing/2014/main" id="{00000000-0008-0000-1600-0000018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390525</xdr:colOff>
      <xdr:row>0</xdr:row>
      <xdr:rowOff>66675</xdr:rowOff>
    </xdr:from>
    <xdr:to>
      <xdr:col>14</xdr:col>
      <xdr:colOff>0</xdr:colOff>
      <xdr:row>4</xdr:row>
      <xdr:rowOff>38100</xdr:rowOff>
    </xdr:to>
    <xdr:sp macro="" textlink="">
      <xdr:nvSpPr>
        <xdr:cNvPr id="33794" name="CommandButton1" hidden="1">
          <a:extLst>
            <a:ext uri="{63B3BB69-23CF-44E3-9099-C40C66FF867C}">
              <a14:compatExt xmlns:a14="http://schemas.microsoft.com/office/drawing/2010/main" spid="_x0000_s33794"/>
            </a:ext>
            <a:ext uri="{FF2B5EF4-FFF2-40B4-BE49-F238E27FC236}">
              <a16:creationId xmlns:a16="http://schemas.microsoft.com/office/drawing/2014/main" id="{00000000-0008-0000-1600-0000028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504825</xdr:colOff>
      <xdr:row>5</xdr:row>
      <xdr:rowOff>38100</xdr:rowOff>
    </xdr:from>
    <xdr:to>
      <xdr:col>11</xdr:col>
      <xdr:colOff>390525</xdr:colOff>
      <xdr:row>8</xdr:row>
      <xdr:rowOff>133350</xdr:rowOff>
    </xdr:to>
    <xdr:sp macro="" textlink="">
      <xdr:nvSpPr>
        <xdr:cNvPr id="33795" name="CommandButton3" hidden="1">
          <a:extLst>
            <a:ext uri="{63B3BB69-23CF-44E3-9099-C40C66FF867C}">
              <a14:compatExt xmlns:a14="http://schemas.microsoft.com/office/drawing/2010/main" spid="_x0000_s33795"/>
            </a:ext>
            <a:ext uri="{FF2B5EF4-FFF2-40B4-BE49-F238E27FC236}">
              <a16:creationId xmlns:a16="http://schemas.microsoft.com/office/drawing/2014/main" id="{00000000-0008-0000-1600-0000038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13</xdr:col>
      <xdr:colOff>371475</xdr:colOff>
      <xdr:row>5</xdr:row>
      <xdr:rowOff>38100</xdr:rowOff>
    </xdr:from>
    <xdr:to>
      <xdr:col>13</xdr:col>
      <xdr:colOff>1371600</xdr:colOff>
      <xdr:row>8</xdr:row>
      <xdr:rowOff>114300</xdr:rowOff>
    </xdr:to>
    <xdr:sp macro="" textlink="">
      <xdr:nvSpPr>
        <xdr:cNvPr id="33796" name="CommandButton4" hidden="1">
          <a:extLst>
            <a:ext uri="{63B3BB69-23CF-44E3-9099-C40C66FF867C}">
              <a14:compatExt xmlns:a14="http://schemas.microsoft.com/office/drawing/2010/main" spid="_x0000_s33796"/>
            </a:ext>
            <a:ext uri="{FF2B5EF4-FFF2-40B4-BE49-F238E27FC236}">
              <a16:creationId xmlns:a16="http://schemas.microsoft.com/office/drawing/2014/main" id="{00000000-0008-0000-1600-0000048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381000</xdr:colOff>
      <xdr:row>5</xdr:row>
      <xdr:rowOff>95250</xdr:rowOff>
    </xdr:from>
    <xdr:to>
      <xdr:col>2</xdr:col>
      <xdr:colOff>771525</xdr:colOff>
      <xdr:row>8</xdr:row>
      <xdr:rowOff>95250</xdr:rowOff>
    </xdr:to>
    <xdr:pic>
      <xdr:nvPicPr>
        <xdr:cNvPr id="226224" name="Picture 1" descr="LOGO DGI">
          <a:extLst>
            <a:ext uri="{FF2B5EF4-FFF2-40B4-BE49-F238E27FC236}">
              <a16:creationId xmlns:a16="http://schemas.microsoft.com/office/drawing/2014/main" id="{00000000-0008-0000-1700-0000B0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904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15394" name="CommandButton1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1700-0000223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95250</xdr:rowOff>
    </xdr:from>
    <xdr:to>
      <xdr:col>9</xdr:col>
      <xdr:colOff>638175</xdr:colOff>
      <xdr:row>7</xdr:row>
      <xdr:rowOff>0</xdr:rowOff>
    </xdr:to>
    <xdr:sp macro="" textlink="">
      <xdr:nvSpPr>
        <xdr:cNvPr id="15395" name="CommandButton2" hidden="1">
          <a:extLst>
            <a:ext uri="{63B3BB69-23CF-44E3-9099-C40C66FF867C}">
              <a14:compatExt xmlns:a14="http://schemas.microsoft.com/office/drawing/2010/main" spid="_x0000_s15395"/>
            </a:ext>
            <a:ext uri="{FF2B5EF4-FFF2-40B4-BE49-F238E27FC236}">
              <a16:creationId xmlns:a16="http://schemas.microsoft.com/office/drawing/2014/main" id="{00000000-0008-0000-1700-0000233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25" name="Picture 53" descr="LOGO DGI">
          <a:extLst>
            <a:ext uri="{FF2B5EF4-FFF2-40B4-BE49-F238E27FC236}">
              <a16:creationId xmlns:a16="http://schemas.microsoft.com/office/drawing/2014/main" id="{00000000-0008-0000-1700-0000B1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26" name="Picture 54" descr="LOGO DGI">
          <a:extLst>
            <a:ext uri="{FF2B5EF4-FFF2-40B4-BE49-F238E27FC236}">
              <a16:creationId xmlns:a16="http://schemas.microsoft.com/office/drawing/2014/main" id="{00000000-0008-0000-1700-0000B2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27" name="Picture 55" descr="LOGO DGI">
          <a:extLst>
            <a:ext uri="{FF2B5EF4-FFF2-40B4-BE49-F238E27FC236}">
              <a16:creationId xmlns:a16="http://schemas.microsoft.com/office/drawing/2014/main" id="{00000000-0008-0000-1700-0000B3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28" name="Picture 56" descr="LOGO DGI">
          <a:extLst>
            <a:ext uri="{FF2B5EF4-FFF2-40B4-BE49-F238E27FC236}">
              <a16:creationId xmlns:a16="http://schemas.microsoft.com/office/drawing/2014/main" id="{00000000-0008-0000-1700-0000B4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29" name="Picture 57" descr="LOGO DGI">
          <a:extLst>
            <a:ext uri="{FF2B5EF4-FFF2-40B4-BE49-F238E27FC236}">
              <a16:creationId xmlns:a16="http://schemas.microsoft.com/office/drawing/2014/main" id="{00000000-0008-0000-1700-0000B5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0" name="Picture 58" descr="LOGO DGI">
          <a:extLst>
            <a:ext uri="{FF2B5EF4-FFF2-40B4-BE49-F238E27FC236}">
              <a16:creationId xmlns:a16="http://schemas.microsoft.com/office/drawing/2014/main" id="{00000000-0008-0000-1700-0000B6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1" name="Picture 59" descr="LOGO DGI">
          <a:extLst>
            <a:ext uri="{FF2B5EF4-FFF2-40B4-BE49-F238E27FC236}">
              <a16:creationId xmlns:a16="http://schemas.microsoft.com/office/drawing/2014/main" id="{00000000-0008-0000-1700-0000B7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2" name="Picture 60" descr="LOGO DGI">
          <a:extLst>
            <a:ext uri="{FF2B5EF4-FFF2-40B4-BE49-F238E27FC236}">
              <a16:creationId xmlns:a16="http://schemas.microsoft.com/office/drawing/2014/main" id="{00000000-0008-0000-1700-0000B8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3" name="Picture 61" descr="LOGO DGI">
          <a:extLst>
            <a:ext uri="{FF2B5EF4-FFF2-40B4-BE49-F238E27FC236}">
              <a16:creationId xmlns:a16="http://schemas.microsoft.com/office/drawing/2014/main" id="{00000000-0008-0000-1700-0000B9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4" name="Picture 62" descr="LOGO DGI">
          <a:extLst>
            <a:ext uri="{FF2B5EF4-FFF2-40B4-BE49-F238E27FC236}">
              <a16:creationId xmlns:a16="http://schemas.microsoft.com/office/drawing/2014/main" id="{00000000-0008-0000-1700-0000BA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5" name="Picture 63" descr="LOGO DGI">
          <a:extLst>
            <a:ext uri="{FF2B5EF4-FFF2-40B4-BE49-F238E27FC236}">
              <a16:creationId xmlns:a16="http://schemas.microsoft.com/office/drawing/2014/main" id="{00000000-0008-0000-1700-0000BB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6" name="Picture 64" descr="LOGO DGI">
          <a:extLst>
            <a:ext uri="{FF2B5EF4-FFF2-40B4-BE49-F238E27FC236}">
              <a16:creationId xmlns:a16="http://schemas.microsoft.com/office/drawing/2014/main" id="{00000000-0008-0000-1700-0000BC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7" name="Picture 65" descr="LOGO DGI">
          <a:extLst>
            <a:ext uri="{FF2B5EF4-FFF2-40B4-BE49-F238E27FC236}">
              <a16:creationId xmlns:a16="http://schemas.microsoft.com/office/drawing/2014/main" id="{00000000-0008-0000-1700-0000BD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8" name="Picture 66" descr="LOGO DGI">
          <a:extLst>
            <a:ext uri="{FF2B5EF4-FFF2-40B4-BE49-F238E27FC236}">
              <a16:creationId xmlns:a16="http://schemas.microsoft.com/office/drawing/2014/main" id="{00000000-0008-0000-1700-0000BE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39" name="Picture 67" descr="LOGO DGI">
          <a:extLst>
            <a:ext uri="{FF2B5EF4-FFF2-40B4-BE49-F238E27FC236}">
              <a16:creationId xmlns:a16="http://schemas.microsoft.com/office/drawing/2014/main" id="{00000000-0008-0000-1700-0000BF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40" name="Picture 68" descr="LOGO DGI">
          <a:extLst>
            <a:ext uri="{FF2B5EF4-FFF2-40B4-BE49-F238E27FC236}">
              <a16:creationId xmlns:a16="http://schemas.microsoft.com/office/drawing/2014/main" id="{00000000-0008-0000-1700-0000C0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41" name="Picture 69" descr="LOGO DGI">
          <a:extLst>
            <a:ext uri="{FF2B5EF4-FFF2-40B4-BE49-F238E27FC236}">
              <a16:creationId xmlns:a16="http://schemas.microsoft.com/office/drawing/2014/main" id="{00000000-0008-0000-1700-0000C1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42" name="Picture 70" descr="LOGO DGI">
          <a:extLst>
            <a:ext uri="{FF2B5EF4-FFF2-40B4-BE49-F238E27FC236}">
              <a16:creationId xmlns:a16="http://schemas.microsoft.com/office/drawing/2014/main" id="{00000000-0008-0000-1700-0000C2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43" name="Picture 71" descr="LOGO DGI">
          <a:extLst>
            <a:ext uri="{FF2B5EF4-FFF2-40B4-BE49-F238E27FC236}">
              <a16:creationId xmlns:a16="http://schemas.microsoft.com/office/drawing/2014/main" id="{00000000-0008-0000-1700-0000C3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44" name="Picture 72" descr="LOGO DGI">
          <a:extLst>
            <a:ext uri="{FF2B5EF4-FFF2-40B4-BE49-F238E27FC236}">
              <a16:creationId xmlns:a16="http://schemas.microsoft.com/office/drawing/2014/main" id="{00000000-0008-0000-1700-0000C4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45" name="Picture 73" descr="LOGO DGI">
          <a:extLst>
            <a:ext uri="{FF2B5EF4-FFF2-40B4-BE49-F238E27FC236}">
              <a16:creationId xmlns:a16="http://schemas.microsoft.com/office/drawing/2014/main" id="{00000000-0008-0000-1700-0000C5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46" name="Picture 74" descr="LOGO DGI">
          <a:extLst>
            <a:ext uri="{FF2B5EF4-FFF2-40B4-BE49-F238E27FC236}">
              <a16:creationId xmlns:a16="http://schemas.microsoft.com/office/drawing/2014/main" id="{00000000-0008-0000-1700-0000C6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47" name="Picture 75" descr="LOGO DGI">
          <a:extLst>
            <a:ext uri="{FF2B5EF4-FFF2-40B4-BE49-F238E27FC236}">
              <a16:creationId xmlns:a16="http://schemas.microsoft.com/office/drawing/2014/main" id="{00000000-0008-0000-1700-0000C7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48" name="Picture 76" descr="LOGO DGI">
          <a:extLst>
            <a:ext uri="{FF2B5EF4-FFF2-40B4-BE49-F238E27FC236}">
              <a16:creationId xmlns:a16="http://schemas.microsoft.com/office/drawing/2014/main" id="{00000000-0008-0000-1700-0000C8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49" name="Picture 77" descr="LOGO DGI">
          <a:extLst>
            <a:ext uri="{FF2B5EF4-FFF2-40B4-BE49-F238E27FC236}">
              <a16:creationId xmlns:a16="http://schemas.microsoft.com/office/drawing/2014/main" id="{00000000-0008-0000-1700-0000C9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0" name="Picture 78" descr="LOGO DGI">
          <a:extLst>
            <a:ext uri="{FF2B5EF4-FFF2-40B4-BE49-F238E27FC236}">
              <a16:creationId xmlns:a16="http://schemas.microsoft.com/office/drawing/2014/main" id="{00000000-0008-0000-1700-0000CA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1" name="Picture 79" descr="LOGO DGI">
          <a:extLst>
            <a:ext uri="{FF2B5EF4-FFF2-40B4-BE49-F238E27FC236}">
              <a16:creationId xmlns:a16="http://schemas.microsoft.com/office/drawing/2014/main" id="{00000000-0008-0000-1700-0000CB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2" name="Picture 80" descr="LOGO DGI">
          <a:extLst>
            <a:ext uri="{FF2B5EF4-FFF2-40B4-BE49-F238E27FC236}">
              <a16:creationId xmlns:a16="http://schemas.microsoft.com/office/drawing/2014/main" id="{00000000-0008-0000-1700-0000CC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3" name="Picture 81" descr="LOGO DGI">
          <a:extLst>
            <a:ext uri="{FF2B5EF4-FFF2-40B4-BE49-F238E27FC236}">
              <a16:creationId xmlns:a16="http://schemas.microsoft.com/office/drawing/2014/main" id="{00000000-0008-0000-1700-0000CD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4" name="Picture 82" descr="LOGO DGI">
          <a:extLst>
            <a:ext uri="{FF2B5EF4-FFF2-40B4-BE49-F238E27FC236}">
              <a16:creationId xmlns:a16="http://schemas.microsoft.com/office/drawing/2014/main" id="{00000000-0008-0000-1700-0000CE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5" name="Picture 83" descr="LOGO DGI">
          <a:extLst>
            <a:ext uri="{FF2B5EF4-FFF2-40B4-BE49-F238E27FC236}">
              <a16:creationId xmlns:a16="http://schemas.microsoft.com/office/drawing/2014/main" id="{00000000-0008-0000-1700-0000CF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6" name="Picture 84" descr="LOGO DGI">
          <a:extLst>
            <a:ext uri="{FF2B5EF4-FFF2-40B4-BE49-F238E27FC236}">
              <a16:creationId xmlns:a16="http://schemas.microsoft.com/office/drawing/2014/main" id="{00000000-0008-0000-1700-0000D0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7" name="Picture 85" descr="LOGO DGI">
          <a:extLst>
            <a:ext uri="{FF2B5EF4-FFF2-40B4-BE49-F238E27FC236}">
              <a16:creationId xmlns:a16="http://schemas.microsoft.com/office/drawing/2014/main" id="{00000000-0008-0000-1700-0000D1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8" name="Picture 86" descr="LOGO DGI">
          <a:extLst>
            <a:ext uri="{FF2B5EF4-FFF2-40B4-BE49-F238E27FC236}">
              <a16:creationId xmlns:a16="http://schemas.microsoft.com/office/drawing/2014/main" id="{00000000-0008-0000-1700-0000D2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59" name="Picture 87" descr="LOGO DGI">
          <a:extLst>
            <a:ext uri="{FF2B5EF4-FFF2-40B4-BE49-F238E27FC236}">
              <a16:creationId xmlns:a16="http://schemas.microsoft.com/office/drawing/2014/main" id="{00000000-0008-0000-1700-0000D3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60" name="Picture 88" descr="LOGO DGI">
          <a:extLst>
            <a:ext uri="{FF2B5EF4-FFF2-40B4-BE49-F238E27FC236}">
              <a16:creationId xmlns:a16="http://schemas.microsoft.com/office/drawing/2014/main" id="{00000000-0008-0000-1700-0000D4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61" name="Picture 89" descr="LOGO DGI">
          <a:extLst>
            <a:ext uri="{FF2B5EF4-FFF2-40B4-BE49-F238E27FC236}">
              <a16:creationId xmlns:a16="http://schemas.microsoft.com/office/drawing/2014/main" id="{00000000-0008-0000-1700-0000D5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62" name="Picture 90" descr="LOGO DGI">
          <a:extLst>
            <a:ext uri="{FF2B5EF4-FFF2-40B4-BE49-F238E27FC236}">
              <a16:creationId xmlns:a16="http://schemas.microsoft.com/office/drawing/2014/main" id="{00000000-0008-0000-1700-0000D6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63" name="Picture 91" descr="LOGO DGI">
          <a:extLst>
            <a:ext uri="{FF2B5EF4-FFF2-40B4-BE49-F238E27FC236}">
              <a16:creationId xmlns:a16="http://schemas.microsoft.com/office/drawing/2014/main" id="{00000000-0008-0000-1700-0000D7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5</xdr:row>
      <xdr:rowOff>95250</xdr:rowOff>
    </xdr:from>
    <xdr:to>
      <xdr:col>2</xdr:col>
      <xdr:colOff>885825</xdr:colOff>
      <xdr:row>8</xdr:row>
      <xdr:rowOff>104775</xdr:rowOff>
    </xdr:to>
    <xdr:pic>
      <xdr:nvPicPr>
        <xdr:cNvPr id="226264" name="Picture 92" descr="LOGO DGI">
          <a:extLst>
            <a:ext uri="{FF2B5EF4-FFF2-40B4-BE49-F238E27FC236}">
              <a16:creationId xmlns:a16="http://schemas.microsoft.com/office/drawing/2014/main" id="{00000000-0008-0000-1700-0000D8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9048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65" name="Picture 93" descr="LOGO DGI">
          <a:extLst>
            <a:ext uri="{FF2B5EF4-FFF2-40B4-BE49-F238E27FC236}">
              <a16:creationId xmlns:a16="http://schemas.microsoft.com/office/drawing/2014/main" id="{00000000-0008-0000-1700-0000D9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66" name="Picture 94" descr="LOGO DGI">
          <a:extLst>
            <a:ext uri="{FF2B5EF4-FFF2-40B4-BE49-F238E27FC236}">
              <a16:creationId xmlns:a16="http://schemas.microsoft.com/office/drawing/2014/main" id="{00000000-0008-0000-1700-0000DA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67" name="Picture 95" descr="LOGO DGI">
          <a:extLst>
            <a:ext uri="{FF2B5EF4-FFF2-40B4-BE49-F238E27FC236}">
              <a16:creationId xmlns:a16="http://schemas.microsoft.com/office/drawing/2014/main" id="{00000000-0008-0000-1700-0000DB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68" name="Picture 96" descr="LOGO DGI">
          <a:extLst>
            <a:ext uri="{FF2B5EF4-FFF2-40B4-BE49-F238E27FC236}">
              <a16:creationId xmlns:a16="http://schemas.microsoft.com/office/drawing/2014/main" id="{00000000-0008-0000-1700-0000DC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69" name="Picture 97" descr="LOGO DGI">
          <a:extLst>
            <a:ext uri="{FF2B5EF4-FFF2-40B4-BE49-F238E27FC236}">
              <a16:creationId xmlns:a16="http://schemas.microsoft.com/office/drawing/2014/main" id="{00000000-0008-0000-1700-0000DD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0" name="Picture 98" descr="LOGO DGI">
          <a:extLst>
            <a:ext uri="{FF2B5EF4-FFF2-40B4-BE49-F238E27FC236}">
              <a16:creationId xmlns:a16="http://schemas.microsoft.com/office/drawing/2014/main" id="{00000000-0008-0000-1700-0000DE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1" name="Picture 99" descr="LOGO DGI">
          <a:extLst>
            <a:ext uri="{FF2B5EF4-FFF2-40B4-BE49-F238E27FC236}">
              <a16:creationId xmlns:a16="http://schemas.microsoft.com/office/drawing/2014/main" id="{00000000-0008-0000-1700-0000DF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2" name="Picture 100" descr="LOGO DGI">
          <a:extLst>
            <a:ext uri="{FF2B5EF4-FFF2-40B4-BE49-F238E27FC236}">
              <a16:creationId xmlns:a16="http://schemas.microsoft.com/office/drawing/2014/main" id="{00000000-0008-0000-1700-0000E0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3" name="Picture 101" descr="LOGO DGI">
          <a:extLst>
            <a:ext uri="{FF2B5EF4-FFF2-40B4-BE49-F238E27FC236}">
              <a16:creationId xmlns:a16="http://schemas.microsoft.com/office/drawing/2014/main" id="{00000000-0008-0000-1700-0000E1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4" name="Picture 102" descr="LOGO DGI">
          <a:extLst>
            <a:ext uri="{FF2B5EF4-FFF2-40B4-BE49-F238E27FC236}">
              <a16:creationId xmlns:a16="http://schemas.microsoft.com/office/drawing/2014/main" id="{00000000-0008-0000-1700-0000E2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5" name="Picture 103" descr="LOGO DGI">
          <a:extLst>
            <a:ext uri="{FF2B5EF4-FFF2-40B4-BE49-F238E27FC236}">
              <a16:creationId xmlns:a16="http://schemas.microsoft.com/office/drawing/2014/main" id="{00000000-0008-0000-1700-0000E3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6" name="Picture 104" descr="LOGO DGI">
          <a:extLst>
            <a:ext uri="{FF2B5EF4-FFF2-40B4-BE49-F238E27FC236}">
              <a16:creationId xmlns:a16="http://schemas.microsoft.com/office/drawing/2014/main" id="{00000000-0008-0000-1700-0000E4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7" name="Picture 105" descr="LOGO DGI">
          <a:extLst>
            <a:ext uri="{FF2B5EF4-FFF2-40B4-BE49-F238E27FC236}">
              <a16:creationId xmlns:a16="http://schemas.microsoft.com/office/drawing/2014/main" id="{00000000-0008-0000-1700-0000E5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8" name="Picture 106" descr="LOGO DGI">
          <a:extLst>
            <a:ext uri="{FF2B5EF4-FFF2-40B4-BE49-F238E27FC236}">
              <a16:creationId xmlns:a16="http://schemas.microsoft.com/office/drawing/2014/main" id="{00000000-0008-0000-1700-0000E6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79" name="Picture 107" descr="LOGO DGI">
          <a:extLst>
            <a:ext uri="{FF2B5EF4-FFF2-40B4-BE49-F238E27FC236}">
              <a16:creationId xmlns:a16="http://schemas.microsoft.com/office/drawing/2014/main" id="{00000000-0008-0000-1700-0000E7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80" name="Picture 108" descr="LOGO DGI">
          <a:extLst>
            <a:ext uri="{FF2B5EF4-FFF2-40B4-BE49-F238E27FC236}">
              <a16:creationId xmlns:a16="http://schemas.microsoft.com/office/drawing/2014/main" id="{00000000-0008-0000-1700-0000E8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81" name="Picture 109" descr="LOGO DGI">
          <a:extLst>
            <a:ext uri="{FF2B5EF4-FFF2-40B4-BE49-F238E27FC236}">
              <a16:creationId xmlns:a16="http://schemas.microsoft.com/office/drawing/2014/main" id="{00000000-0008-0000-1700-0000E9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0</xdr:rowOff>
    </xdr:from>
    <xdr:to>
      <xdr:col>2</xdr:col>
      <xdr:colOff>771525</xdr:colOff>
      <xdr:row>3</xdr:row>
      <xdr:rowOff>0</xdr:rowOff>
    </xdr:to>
    <xdr:pic>
      <xdr:nvPicPr>
        <xdr:cNvPr id="226282" name="Picture 110" descr="LOGO DGI">
          <a:extLst>
            <a:ext uri="{FF2B5EF4-FFF2-40B4-BE49-F238E27FC236}">
              <a16:creationId xmlns:a16="http://schemas.microsoft.com/office/drawing/2014/main" id="{00000000-0008-0000-1700-0000EA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</xdr:row>
      <xdr:rowOff>95250</xdr:rowOff>
    </xdr:from>
    <xdr:to>
      <xdr:col>2</xdr:col>
      <xdr:colOff>771525</xdr:colOff>
      <xdr:row>8</xdr:row>
      <xdr:rowOff>104775</xdr:rowOff>
    </xdr:to>
    <xdr:pic>
      <xdr:nvPicPr>
        <xdr:cNvPr id="226283" name="Picture 111" descr="LOGO DGI">
          <a:extLst>
            <a:ext uri="{FF2B5EF4-FFF2-40B4-BE49-F238E27FC236}">
              <a16:creationId xmlns:a16="http://schemas.microsoft.com/office/drawing/2014/main" id="{00000000-0008-0000-1700-0000EB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9048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26284" name="Picture 532" descr="LOGO DGI">
          <a:extLst>
            <a:ext uri="{FF2B5EF4-FFF2-40B4-BE49-F238E27FC236}">
              <a16:creationId xmlns:a16="http://schemas.microsoft.com/office/drawing/2014/main" id="{00000000-0008-0000-1700-0000EC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26285" name="Picture 533" descr="LOGO DGI">
          <a:extLst>
            <a:ext uri="{FF2B5EF4-FFF2-40B4-BE49-F238E27FC236}">
              <a16:creationId xmlns:a16="http://schemas.microsoft.com/office/drawing/2014/main" id="{00000000-0008-0000-1700-0000ED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86" name="Picture 534" descr="LOGO DGI">
          <a:extLst>
            <a:ext uri="{FF2B5EF4-FFF2-40B4-BE49-F238E27FC236}">
              <a16:creationId xmlns:a16="http://schemas.microsoft.com/office/drawing/2014/main" id="{00000000-0008-0000-1700-0000EE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87" name="Picture 535" descr="LOGO DGI">
          <a:extLst>
            <a:ext uri="{FF2B5EF4-FFF2-40B4-BE49-F238E27FC236}">
              <a16:creationId xmlns:a16="http://schemas.microsoft.com/office/drawing/2014/main" id="{00000000-0008-0000-1700-0000EF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88" name="Picture 536" descr="LOGO DGI">
          <a:extLst>
            <a:ext uri="{FF2B5EF4-FFF2-40B4-BE49-F238E27FC236}">
              <a16:creationId xmlns:a16="http://schemas.microsoft.com/office/drawing/2014/main" id="{00000000-0008-0000-1700-0000F0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89" name="Picture 537" descr="LOGO DGI">
          <a:extLst>
            <a:ext uri="{FF2B5EF4-FFF2-40B4-BE49-F238E27FC236}">
              <a16:creationId xmlns:a16="http://schemas.microsoft.com/office/drawing/2014/main" id="{00000000-0008-0000-1700-0000F1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0" name="Picture 538" descr="LOGO DGI">
          <a:extLst>
            <a:ext uri="{FF2B5EF4-FFF2-40B4-BE49-F238E27FC236}">
              <a16:creationId xmlns:a16="http://schemas.microsoft.com/office/drawing/2014/main" id="{00000000-0008-0000-1700-0000F2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1" name="Picture 539" descr="LOGO DGI">
          <a:extLst>
            <a:ext uri="{FF2B5EF4-FFF2-40B4-BE49-F238E27FC236}">
              <a16:creationId xmlns:a16="http://schemas.microsoft.com/office/drawing/2014/main" id="{00000000-0008-0000-1700-0000F3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2" name="Picture 540" descr="LOGO DGI">
          <a:extLst>
            <a:ext uri="{FF2B5EF4-FFF2-40B4-BE49-F238E27FC236}">
              <a16:creationId xmlns:a16="http://schemas.microsoft.com/office/drawing/2014/main" id="{00000000-0008-0000-1700-0000F4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3" name="Picture 541" descr="LOGO DGI">
          <a:extLst>
            <a:ext uri="{FF2B5EF4-FFF2-40B4-BE49-F238E27FC236}">
              <a16:creationId xmlns:a16="http://schemas.microsoft.com/office/drawing/2014/main" id="{00000000-0008-0000-1700-0000F5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4" name="Picture 542" descr="LOGO DGI">
          <a:extLst>
            <a:ext uri="{FF2B5EF4-FFF2-40B4-BE49-F238E27FC236}">
              <a16:creationId xmlns:a16="http://schemas.microsoft.com/office/drawing/2014/main" id="{00000000-0008-0000-1700-0000F6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5" name="Picture 543" descr="LOGO DGI">
          <a:extLst>
            <a:ext uri="{FF2B5EF4-FFF2-40B4-BE49-F238E27FC236}">
              <a16:creationId xmlns:a16="http://schemas.microsoft.com/office/drawing/2014/main" id="{00000000-0008-0000-1700-0000F7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6" name="Picture 544" descr="LOGO DGI">
          <a:extLst>
            <a:ext uri="{FF2B5EF4-FFF2-40B4-BE49-F238E27FC236}">
              <a16:creationId xmlns:a16="http://schemas.microsoft.com/office/drawing/2014/main" id="{00000000-0008-0000-1700-0000F8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7" name="Picture 545" descr="LOGO DGI">
          <a:extLst>
            <a:ext uri="{FF2B5EF4-FFF2-40B4-BE49-F238E27FC236}">
              <a16:creationId xmlns:a16="http://schemas.microsoft.com/office/drawing/2014/main" id="{00000000-0008-0000-1700-0000F9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8" name="Picture 546" descr="LOGO DGI">
          <a:extLst>
            <a:ext uri="{FF2B5EF4-FFF2-40B4-BE49-F238E27FC236}">
              <a16:creationId xmlns:a16="http://schemas.microsoft.com/office/drawing/2014/main" id="{00000000-0008-0000-1700-0000FA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299" name="Picture 547" descr="LOGO DGI">
          <a:extLst>
            <a:ext uri="{FF2B5EF4-FFF2-40B4-BE49-F238E27FC236}">
              <a16:creationId xmlns:a16="http://schemas.microsoft.com/office/drawing/2014/main" id="{00000000-0008-0000-1700-0000FB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300" name="Picture 548" descr="LOGO DGI">
          <a:extLst>
            <a:ext uri="{FF2B5EF4-FFF2-40B4-BE49-F238E27FC236}">
              <a16:creationId xmlns:a16="http://schemas.microsoft.com/office/drawing/2014/main" id="{00000000-0008-0000-1700-0000FC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301" name="Picture 549" descr="LOGO DGI">
          <a:extLst>
            <a:ext uri="{FF2B5EF4-FFF2-40B4-BE49-F238E27FC236}">
              <a16:creationId xmlns:a16="http://schemas.microsoft.com/office/drawing/2014/main" id="{00000000-0008-0000-1700-0000FD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302" name="Picture 550" descr="LOGO DGI">
          <a:extLst>
            <a:ext uri="{FF2B5EF4-FFF2-40B4-BE49-F238E27FC236}">
              <a16:creationId xmlns:a16="http://schemas.microsoft.com/office/drawing/2014/main" id="{00000000-0008-0000-1700-0000FE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26303" name="Picture 551" descr="LOGO DGI">
          <a:extLst>
            <a:ext uri="{FF2B5EF4-FFF2-40B4-BE49-F238E27FC236}">
              <a16:creationId xmlns:a16="http://schemas.microsoft.com/office/drawing/2014/main" id="{00000000-0008-0000-1700-0000FF7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24" name="Picture 552" descr="LOGO DGI">
          <a:extLst>
            <a:ext uri="{FF2B5EF4-FFF2-40B4-BE49-F238E27FC236}">
              <a16:creationId xmlns:a16="http://schemas.microsoft.com/office/drawing/2014/main" id="{00000000-0008-0000-1700-00000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25" name="Picture 553" descr="LOGO DGI">
          <a:extLst>
            <a:ext uri="{FF2B5EF4-FFF2-40B4-BE49-F238E27FC236}">
              <a16:creationId xmlns:a16="http://schemas.microsoft.com/office/drawing/2014/main" id="{00000000-0008-0000-1700-00000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426" name="Picture 554" descr="LOGO DGI">
          <a:extLst>
            <a:ext uri="{FF2B5EF4-FFF2-40B4-BE49-F238E27FC236}">
              <a16:creationId xmlns:a16="http://schemas.microsoft.com/office/drawing/2014/main" id="{00000000-0008-0000-1700-00000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27" name="Picture 555" descr="LOGO DGI">
          <a:extLst>
            <a:ext uri="{FF2B5EF4-FFF2-40B4-BE49-F238E27FC236}">
              <a16:creationId xmlns:a16="http://schemas.microsoft.com/office/drawing/2014/main" id="{00000000-0008-0000-1700-00000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28" name="Picture 556" descr="LOGO DGI">
          <a:extLst>
            <a:ext uri="{FF2B5EF4-FFF2-40B4-BE49-F238E27FC236}">
              <a16:creationId xmlns:a16="http://schemas.microsoft.com/office/drawing/2014/main" id="{00000000-0008-0000-1700-00000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29" name="Picture 557" descr="LOGO DGI">
          <a:extLst>
            <a:ext uri="{FF2B5EF4-FFF2-40B4-BE49-F238E27FC236}">
              <a16:creationId xmlns:a16="http://schemas.microsoft.com/office/drawing/2014/main" id="{00000000-0008-0000-1700-00000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0" name="Picture 558" descr="LOGO DGI">
          <a:extLst>
            <a:ext uri="{FF2B5EF4-FFF2-40B4-BE49-F238E27FC236}">
              <a16:creationId xmlns:a16="http://schemas.microsoft.com/office/drawing/2014/main" id="{00000000-0008-0000-1700-00000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1" name="Picture 559" descr="LOGO DGI">
          <a:extLst>
            <a:ext uri="{FF2B5EF4-FFF2-40B4-BE49-F238E27FC236}">
              <a16:creationId xmlns:a16="http://schemas.microsoft.com/office/drawing/2014/main" id="{00000000-0008-0000-1700-00000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2" name="Picture 560" descr="LOGO DGI">
          <a:extLst>
            <a:ext uri="{FF2B5EF4-FFF2-40B4-BE49-F238E27FC236}">
              <a16:creationId xmlns:a16="http://schemas.microsoft.com/office/drawing/2014/main" id="{00000000-0008-0000-1700-00000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3" name="Picture 561" descr="LOGO DGI">
          <a:extLst>
            <a:ext uri="{FF2B5EF4-FFF2-40B4-BE49-F238E27FC236}">
              <a16:creationId xmlns:a16="http://schemas.microsoft.com/office/drawing/2014/main" id="{00000000-0008-0000-1700-00000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4" name="Picture 562" descr="LOGO DGI">
          <a:extLst>
            <a:ext uri="{FF2B5EF4-FFF2-40B4-BE49-F238E27FC236}">
              <a16:creationId xmlns:a16="http://schemas.microsoft.com/office/drawing/2014/main" id="{00000000-0008-0000-1700-00000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5" name="Picture 563" descr="LOGO DGI">
          <a:extLst>
            <a:ext uri="{FF2B5EF4-FFF2-40B4-BE49-F238E27FC236}">
              <a16:creationId xmlns:a16="http://schemas.microsoft.com/office/drawing/2014/main" id="{00000000-0008-0000-1700-00000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6" name="Picture 564" descr="LOGO DGI">
          <a:extLst>
            <a:ext uri="{FF2B5EF4-FFF2-40B4-BE49-F238E27FC236}">
              <a16:creationId xmlns:a16="http://schemas.microsoft.com/office/drawing/2014/main" id="{00000000-0008-0000-1700-00000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7" name="Picture 565" descr="LOGO DGI">
          <a:extLst>
            <a:ext uri="{FF2B5EF4-FFF2-40B4-BE49-F238E27FC236}">
              <a16:creationId xmlns:a16="http://schemas.microsoft.com/office/drawing/2014/main" id="{00000000-0008-0000-1700-00000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8" name="Picture 566" descr="LOGO DGI">
          <a:extLst>
            <a:ext uri="{FF2B5EF4-FFF2-40B4-BE49-F238E27FC236}">
              <a16:creationId xmlns:a16="http://schemas.microsoft.com/office/drawing/2014/main" id="{00000000-0008-0000-1700-00000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39" name="Picture 567" descr="LOGO DGI">
          <a:extLst>
            <a:ext uri="{FF2B5EF4-FFF2-40B4-BE49-F238E27FC236}">
              <a16:creationId xmlns:a16="http://schemas.microsoft.com/office/drawing/2014/main" id="{00000000-0008-0000-1700-00000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40" name="Picture 568" descr="LOGO DGI">
          <a:extLst>
            <a:ext uri="{FF2B5EF4-FFF2-40B4-BE49-F238E27FC236}">
              <a16:creationId xmlns:a16="http://schemas.microsoft.com/office/drawing/2014/main" id="{00000000-0008-0000-1700-00001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41" name="Picture 569" descr="LOGO DGI">
          <a:extLst>
            <a:ext uri="{FF2B5EF4-FFF2-40B4-BE49-F238E27FC236}">
              <a16:creationId xmlns:a16="http://schemas.microsoft.com/office/drawing/2014/main" id="{00000000-0008-0000-1700-00001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42" name="Picture 570" descr="LOGO DGI">
          <a:extLst>
            <a:ext uri="{FF2B5EF4-FFF2-40B4-BE49-F238E27FC236}">
              <a16:creationId xmlns:a16="http://schemas.microsoft.com/office/drawing/2014/main" id="{00000000-0008-0000-1700-00001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43" name="Picture 571" descr="LOGO DGI">
          <a:extLst>
            <a:ext uri="{FF2B5EF4-FFF2-40B4-BE49-F238E27FC236}">
              <a16:creationId xmlns:a16="http://schemas.microsoft.com/office/drawing/2014/main" id="{00000000-0008-0000-1700-00001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44" name="Picture 572" descr="LOGO DGI">
          <a:extLst>
            <a:ext uri="{FF2B5EF4-FFF2-40B4-BE49-F238E27FC236}">
              <a16:creationId xmlns:a16="http://schemas.microsoft.com/office/drawing/2014/main" id="{00000000-0008-0000-1700-00001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45" name="Picture 573" descr="LOGO DGI">
          <a:extLst>
            <a:ext uri="{FF2B5EF4-FFF2-40B4-BE49-F238E27FC236}">
              <a16:creationId xmlns:a16="http://schemas.microsoft.com/office/drawing/2014/main" id="{00000000-0008-0000-1700-00001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46" name="Picture 574" descr="LOGO DGI">
          <a:extLst>
            <a:ext uri="{FF2B5EF4-FFF2-40B4-BE49-F238E27FC236}">
              <a16:creationId xmlns:a16="http://schemas.microsoft.com/office/drawing/2014/main" id="{00000000-0008-0000-1700-00001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447" name="Picture 575" descr="LOGO DGI">
          <a:extLst>
            <a:ext uri="{FF2B5EF4-FFF2-40B4-BE49-F238E27FC236}">
              <a16:creationId xmlns:a16="http://schemas.microsoft.com/office/drawing/2014/main" id="{00000000-0008-0000-1700-00001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48" name="Picture 576" descr="LOGO DGI">
          <a:extLst>
            <a:ext uri="{FF2B5EF4-FFF2-40B4-BE49-F238E27FC236}">
              <a16:creationId xmlns:a16="http://schemas.microsoft.com/office/drawing/2014/main" id="{00000000-0008-0000-1700-00001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49" name="Picture 577" descr="LOGO DGI">
          <a:extLst>
            <a:ext uri="{FF2B5EF4-FFF2-40B4-BE49-F238E27FC236}">
              <a16:creationId xmlns:a16="http://schemas.microsoft.com/office/drawing/2014/main" id="{00000000-0008-0000-1700-00001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0" name="Picture 578" descr="LOGO DGI">
          <a:extLst>
            <a:ext uri="{FF2B5EF4-FFF2-40B4-BE49-F238E27FC236}">
              <a16:creationId xmlns:a16="http://schemas.microsoft.com/office/drawing/2014/main" id="{00000000-0008-0000-1700-00001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1" name="Picture 579" descr="LOGO DGI">
          <a:extLst>
            <a:ext uri="{FF2B5EF4-FFF2-40B4-BE49-F238E27FC236}">
              <a16:creationId xmlns:a16="http://schemas.microsoft.com/office/drawing/2014/main" id="{00000000-0008-0000-1700-00001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2" name="Picture 580" descr="LOGO DGI">
          <a:extLst>
            <a:ext uri="{FF2B5EF4-FFF2-40B4-BE49-F238E27FC236}">
              <a16:creationId xmlns:a16="http://schemas.microsoft.com/office/drawing/2014/main" id="{00000000-0008-0000-1700-00001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3" name="Picture 581" descr="LOGO DGI">
          <a:extLst>
            <a:ext uri="{FF2B5EF4-FFF2-40B4-BE49-F238E27FC236}">
              <a16:creationId xmlns:a16="http://schemas.microsoft.com/office/drawing/2014/main" id="{00000000-0008-0000-1700-00001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4" name="Picture 582" descr="LOGO DGI">
          <a:extLst>
            <a:ext uri="{FF2B5EF4-FFF2-40B4-BE49-F238E27FC236}">
              <a16:creationId xmlns:a16="http://schemas.microsoft.com/office/drawing/2014/main" id="{00000000-0008-0000-1700-00001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5" name="Picture 583" descr="LOGO DGI">
          <a:extLst>
            <a:ext uri="{FF2B5EF4-FFF2-40B4-BE49-F238E27FC236}">
              <a16:creationId xmlns:a16="http://schemas.microsoft.com/office/drawing/2014/main" id="{00000000-0008-0000-1700-00001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6" name="Picture 584" descr="LOGO DGI">
          <a:extLst>
            <a:ext uri="{FF2B5EF4-FFF2-40B4-BE49-F238E27FC236}">
              <a16:creationId xmlns:a16="http://schemas.microsoft.com/office/drawing/2014/main" id="{00000000-0008-0000-1700-00002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7" name="Picture 585" descr="LOGO DGI">
          <a:extLst>
            <a:ext uri="{FF2B5EF4-FFF2-40B4-BE49-F238E27FC236}">
              <a16:creationId xmlns:a16="http://schemas.microsoft.com/office/drawing/2014/main" id="{00000000-0008-0000-1700-00002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8" name="Picture 586" descr="LOGO DGI">
          <a:extLst>
            <a:ext uri="{FF2B5EF4-FFF2-40B4-BE49-F238E27FC236}">
              <a16:creationId xmlns:a16="http://schemas.microsoft.com/office/drawing/2014/main" id="{00000000-0008-0000-1700-00002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59" name="Picture 587" descr="LOGO DGI">
          <a:extLst>
            <a:ext uri="{FF2B5EF4-FFF2-40B4-BE49-F238E27FC236}">
              <a16:creationId xmlns:a16="http://schemas.microsoft.com/office/drawing/2014/main" id="{00000000-0008-0000-1700-00002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60" name="Picture 588" descr="LOGO DGI">
          <a:extLst>
            <a:ext uri="{FF2B5EF4-FFF2-40B4-BE49-F238E27FC236}">
              <a16:creationId xmlns:a16="http://schemas.microsoft.com/office/drawing/2014/main" id="{00000000-0008-0000-1700-00002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61" name="Picture 589" descr="LOGO DGI">
          <a:extLst>
            <a:ext uri="{FF2B5EF4-FFF2-40B4-BE49-F238E27FC236}">
              <a16:creationId xmlns:a16="http://schemas.microsoft.com/office/drawing/2014/main" id="{00000000-0008-0000-1700-00002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62" name="Picture 590" descr="LOGO DGI">
          <a:extLst>
            <a:ext uri="{FF2B5EF4-FFF2-40B4-BE49-F238E27FC236}">
              <a16:creationId xmlns:a16="http://schemas.microsoft.com/office/drawing/2014/main" id="{00000000-0008-0000-1700-00002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63" name="Picture 591" descr="LOGO DGI">
          <a:extLst>
            <a:ext uri="{FF2B5EF4-FFF2-40B4-BE49-F238E27FC236}">
              <a16:creationId xmlns:a16="http://schemas.microsoft.com/office/drawing/2014/main" id="{00000000-0008-0000-1700-00002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64" name="Picture 592" descr="LOGO DGI">
          <a:extLst>
            <a:ext uri="{FF2B5EF4-FFF2-40B4-BE49-F238E27FC236}">
              <a16:creationId xmlns:a16="http://schemas.microsoft.com/office/drawing/2014/main" id="{00000000-0008-0000-1700-00002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65" name="Picture 593" descr="LOGO DGI">
          <a:extLst>
            <a:ext uri="{FF2B5EF4-FFF2-40B4-BE49-F238E27FC236}">
              <a16:creationId xmlns:a16="http://schemas.microsoft.com/office/drawing/2014/main" id="{00000000-0008-0000-1700-00002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66" name="Picture 594" descr="LOGO DGI">
          <a:extLst>
            <a:ext uri="{FF2B5EF4-FFF2-40B4-BE49-F238E27FC236}">
              <a16:creationId xmlns:a16="http://schemas.microsoft.com/office/drawing/2014/main" id="{00000000-0008-0000-1700-00002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67" name="Picture 595" descr="LOGO DGI">
          <a:extLst>
            <a:ext uri="{FF2B5EF4-FFF2-40B4-BE49-F238E27FC236}">
              <a16:creationId xmlns:a16="http://schemas.microsoft.com/office/drawing/2014/main" id="{00000000-0008-0000-1700-00002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468" name="Picture 596" descr="LOGO DGI">
          <a:extLst>
            <a:ext uri="{FF2B5EF4-FFF2-40B4-BE49-F238E27FC236}">
              <a16:creationId xmlns:a16="http://schemas.microsoft.com/office/drawing/2014/main" id="{00000000-0008-0000-1700-00002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69" name="Picture 597" descr="LOGO DGI">
          <a:extLst>
            <a:ext uri="{FF2B5EF4-FFF2-40B4-BE49-F238E27FC236}">
              <a16:creationId xmlns:a16="http://schemas.microsoft.com/office/drawing/2014/main" id="{00000000-0008-0000-1700-00002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0" name="Picture 598" descr="LOGO DGI">
          <a:extLst>
            <a:ext uri="{FF2B5EF4-FFF2-40B4-BE49-F238E27FC236}">
              <a16:creationId xmlns:a16="http://schemas.microsoft.com/office/drawing/2014/main" id="{00000000-0008-0000-1700-00002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1" name="Picture 599" descr="LOGO DGI">
          <a:extLst>
            <a:ext uri="{FF2B5EF4-FFF2-40B4-BE49-F238E27FC236}">
              <a16:creationId xmlns:a16="http://schemas.microsoft.com/office/drawing/2014/main" id="{00000000-0008-0000-1700-00002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2" name="Picture 600" descr="LOGO DGI">
          <a:extLst>
            <a:ext uri="{FF2B5EF4-FFF2-40B4-BE49-F238E27FC236}">
              <a16:creationId xmlns:a16="http://schemas.microsoft.com/office/drawing/2014/main" id="{00000000-0008-0000-1700-00003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3" name="Picture 601" descr="LOGO DGI">
          <a:extLst>
            <a:ext uri="{FF2B5EF4-FFF2-40B4-BE49-F238E27FC236}">
              <a16:creationId xmlns:a16="http://schemas.microsoft.com/office/drawing/2014/main" id="{00000000-0008-0000-1700-00003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4" name="Picture 602" descr="LOGO DGI">
          <a:extLst>
            <a:ext uri="{FF2B5EF4-FFF2-40B4-BE49-F238E27FC236}">
              <a16:creationId xmlns:a16="http://schemas.microsoft.com/office/drawing/2014/main" id="{00000000-0008-0000-1700-00003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5" name="Picture 603" descr="LOGO DGI">
          <a:extLst>
            <a:ext uri="{FF2B5EF4-FFF2-40B4-BE49-F238E27FC236}">
              <a16:creationId xmlns:a16="http://schemas.microsoft.com/office/drawing/2014/main" id="{00000000-0008-0000-1700-00003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6" name="Picture 604" descr="LOGO DGI">
          <a:extLst>
            <a:ext uri="{FF2B5EF4-FFF2-40B4-BE49-F238E27FC236}">
              <a16:creationId xmlns:a16="http://schemas.microsoft.com/office/drawing/2014/main" id="{00000000-0008-0000-1700-00003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7" name="Picture 605" descr="LOGO DGI">
          <a:extLst>
            <a:ext uri="{FF2B5EF4-FFF2-40B4-BE49-F238E27FC236}">
              <a16:creationId xmlns:a16="http://schemas.microsoft.com/office/drawing/2014/main" id="{00000000-0008-0000-1700-00003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8" name="Picture 606" descr="LOGO DGI">
          <a:extLst>
            <a:ext uri="{FF2B5EF4-FFF2-40B4-BE49-F238E27FC236}">
              <a16:creationId xmlns:a16="http://schemas.microsoft.com/office/drawing/2014/main" id="{00000000-0008-0000-1700-00003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79" name="Picture 607" descr="LOGO DGI">
          <a:extLst>
            <a:ext uri="{FF2B5EF4-FFF2-40B4-BE49-F238E27FC236}">
              <a16:creationId xmlns:a16="http://schemas.microsoft.com/office/drawing/2014/main" id="{00000000-0008-0000-1700-00003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80" name="Picture 608" descr="LOGO DGI">
          <a:extLst>
            <a:ext uri="{FF2B5EF4-FFF2-40B4-BE49-F238E27FC236}">
              <a16:creationId xmlns:a16="http://schemas.microsoft.com/office/drawing/2014/main" id="{00000000-0008-0000-1700-00003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81" name="Picture 609" descr="LOGO DGI">
          <a:extLst>
            <a:ext uri="{FF2B5EF4-FFF2-40B4-BE49-F238E27FC236}">
              <a16:creationId xmlns:a16="http://schemas.microsoft.com/office/drawing/2014/main" id="{00000000-0008-0000-1700-00003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82" name="Picture 610" descr="LOGO DGI">
          <a:extLst>
            <a:ext uri="{FF2B5EF4-FFF2-40B4-BE49-F238E27FC236}">
              <a16:creationId xmlns:a16="http://schemas.microsoft.com/office/drawing/2014/main" id="{00000000-0008-0000-1700-00003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83" name="Picture 611" descr="LOGO DGI">
          <a:extLst>
            <a:ext uri="{FF2B5EF4-FFF2-40B4-BE49-F238E27FC236}">
              <a16:creationId xmlns:a16="http://schemas.microsoft.com/office/drawing/2014/main" id="{00000000-0008-0000-1700-00003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84" name="Picture 612" descr="LOGO DGI">
          <a:extLst>
            <a:ext uri="{FF2B5EF4-FFF2-40B4-BE49-F238E27FC236}">
              <a16:creationId xmlns:a16="http://schemas.microsoft.com/office/drawing/2014/main" id="{00000000-0008-0000-1700-00003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85" name="Picture 613" descr="LOGO DGI">
          <a:extLst>
            <a:ext uri="{FF2B5EF4-FFF2-40B4-BE49-F238E27FC236}">
              <a16:creationId xmlns:a16="http://schemas.microsoft.com/office/drawing/2014/main" id="{00000000-0008-0000-1700-00003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86" name="Picture 614" descr="LOGO DGI">
          <a:extLst>
            <a:ext uri="{FF2B5EF4-FFF2-40B4-BE49-F238E27FC236}">
              <a16:creationId xmlns:a16="http://schemas.microsoft.com/office/drawing/2014/main" id="{00000000-0008-0000-1700-00003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87" name="Picture 615" descr="LOGO DGI">
          <a:extLst>
            <a:ext uri="{FF2B5EF4-FFF2-40B4-BE49-F238E27FC236}">
              <a16:creationId xmlns:a16="http://schemas.microsoft.com/office/drawing/2014/main" id="{00000000-0008-0000-1700-00003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488" name="Picture 616" descr="LOGO DGI">
          <a:extLst>
            <a:ext uri="{FF2B5EF4-FFF2-40B4-BE49-F238E27FC236}">
              <a16:creationId xmlns:a16="http://schemas.microsoft.com/office/drawing/2014/main" id="{00000000-0008-0000-1700-00004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489" name="Picture 617" descr="LOGO DGI">
          <a:extLst>
            <a:ext uri="{FF2B5EF4-FFF2-40B4-BE49-F238E27FC236}">
              <a16:creationId xmlns:a16="http://schemas.microsoft.com/office/drawing/2014/main" id="{00000000-0008-0000-1700-00004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0" name="Picture 618" descr="LOGO DGI">
          <a:extLst>
            <a:ext uri="{FF2B5EF4-FFF2-40B4-BE49-F238E27FC236}">
              <a16:creationId xmlns:a16="http://schemas.microsoft.com/office/drawing/2014/main" id="{00000000-0008-0000-1700-00004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1" name="Picture 619" descr="LOGO DGI">
          <a:extLst>
            <a:ext uri="{FF2B5EF4-FFF2-40B4-BE49-F238E27FC236}">
              <a16:creationId xmlns:a16="http://schemas.microsoft.com/office/drawing/2014/main" id="{00000000-0008-0000-1700-00004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2" name="Picture 620" descr="LOGO DGI">
          <a:extLst>
            <a:ext uri="{FF2B5EF4-FFF2-40B4-BE49-F238E27FC236}">
              <a16:creationId xmlns:a16="http://schemas.microsoft.com/office/drawing/2014/main" id="{00000000-0008-0000-1700-00004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3" name="Picture 621" descr="LOGO DGI">
          <a:extLst>
            <a:ext uri="{FF2B5EF4-FFF2-40B4-BE49-F238E27FC236}">
              <a16:creationId xmlns:a16="http://schemas.microsoft.com/office/drawing/2014/main" id="{00000000-0008-0000-1700-00004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4" name="Picture 622" descr="LOGO DGI">
          <a:extLst>
            <a:ext uri="{FF2B5EF4-FFF2-40B4-BE49-F238E27FC236}">
              <a16:creationId xmlns:a16="http://schemas.microsoft.com/office/drawing/2014/main" id="{00000000-0008-0000-1700-00004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5" name="Picture 623" descr="LOGO DGI">
          <a:extLst>
            <a:ext uri="{FF2B5EF4-FFF2-40B4-BE49-F238E27FC236}">
              <a16:creationId xmlns:a16="http://schemas.microsoft.com/office/drawing/2014/main" id="{00000000-0008-0000-1700-00004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6" name="Picture 624" descr="LOGO DGI">
          <a:extLst>
            <a:ext uri="{FF2B5EF4-FFF2-40B4-BE49-F238E27FC236}">
              <a16:creationId xmlns:a16="http://schemas.microsoft.com/office/drawing/2014/main" id="{00000000-0008-0000-1700-00004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7" name="Picture 625" descr="LOGO DGI">
          <a:extLst>
            <a:ext uri="{FF2B5EF4-FFF2-40B4-BE49-F238E27FC236}">
              <a16:creationId xmlns:a16="http://schemas.microsoft.com/office/drawing/2014/main" id="{00000000-0008-0000-1700-00004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8" name="Picture 626" descr="LOGO DGI">
          <a:extLst>
            <a:ext uri="{FF2B5EF4-FFF2-40B4-BE49-F238E27FC236}">
              <a16:creationId xmlns:a16="http://schemas.microsoft.com/office/drawing/2014/main" id="{00000000-0008-0000-1700-00004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499" name="Picture 627" descr="LOGO DGI">
          <a:extLst>
            <a:ext uri="{FF2B5EF4-FFF2-40B4-BE49-F238E27FC236}">
              <a16:creationId xmlns:a16="http://schemas.microsoft.com/office/drawing/2014/main" id="{00000000-0008-0000-1700-00004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0" name="Picture 628" descr="LOGO DGI">
          <a:extLst>
            <a:ext uri="{FF2B5EF4-FFF2-40B4-BE49-F238E27FC236}">
              <a16:creationId xmlns:a16="http://schemas.microsoft.com/office/drawing/2014/main" id="{00000000-0008-0000-1700-00004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1" name="Picture 629" descr="LOGO DGI">
          <a:extLst>
            <a:ext uri="{FF2B5EF4-FFF2-40B4-BE49-F238E27FC236}">
              <a16:creationId xmlns:a16="http://schemas.microsoft.com/office/drawing/2014/main" id="{00000000-0008-0000-1700-00004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2" name="Picture 630" descr="LOGO DGI">
          <a:extLst>
            <a:ext uri="{FF2B5EF4-FFF2-40B4-BE49-F238E27FC236}">
              <a16:creationId xmlns:a16="http://schemas.microsoft.com/office/drawing/2014/main" id="{00000000-0008-0000-1700-00004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3" name="Picture 631" descr="LOGO DGI">
          <a:extLst>
            <a:ext uri="{FF2B5EF4-FFF2-40B4-BE49-F238E27FC236}">
              <a16:creationId xmlns:a16="http://schemas.microsoft.com/office/drawing/2014/main" id="{00000000-0008-0000-1700-00004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4" name="Picture 632" descr="LOGO DGI">
          <a:extLst>
            <a:ext uri="{FF2B5EF4-FFF2-40B4-BE49-F238E27FC236}">
              <a16:creationId xmlns:a16="http://schemas.microsoft.com/office/drawing/2014/main" id="{00000000-0008-0000-1700-00005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5" name="Picture 633" descr="LOGO DGI">
          <a:extLst>
            <a:ext uri="{FF2B5EF4-FFF2-40B4-BE49-F238E27FC236}">
              <a16:creationId xmlns:a16="http://schemas.microsoft.com/office/drawing/2014/main" id="{00000000-0008-0000-1700-00005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6" name="Picture 634" descr="LOGO DGI">
          <a:extLst>
            <a:ext uri="{FF2B5EF4-FFF2-40B4-BE49-F238E27FC236}">
              <a16:creationId xmlns:a16="http://schemas.microsoft.com/office/drawing/2014/main" id="{00000000-0008-0000-1700-00005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07" name="Picture 635" descr="LOGO DGI">
          <a:extLst>
            <a:ext uri="{FF2B5EF4-FFF2-40B4-BE49-F238E27FC236}">
              <a16:creationId xmlns:a16="http://schemas.microsoft.com/office/drawing/2014/main" id="{00000000-0008-0000-1700-00005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08" name="Picture 636" descr="LOGO DGI">
          <a:extLst>
            <a:ext uri="{FF2B5EF4-FFF2-40B4-BE49-F238E27FC236}">
              <a16:creationId xmlns:a16="http://schemas.microsoft.com/office/drawing/2014/main" id="{00000000-0008-0000-1700-00005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09" name="Picture 637" descr="LOGO DGI">
          <a:extLst>
            <a:ext uri="{FF2B5EF4-FFF2-40B4-BE49-F238E27FC236}">
              <a16:creationId xmlns:a16="http://schemas.microsoft.com/office/drawing/2014/main" id="{00000000-0008-0000-1700-00005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510" name="Picture 638" descr="LOGO DGI">
          <a:extLst>
            <a:ext uri="{FF2B5EF4-FFF2-40B4-BE49-F238E27FC236}">
              <a16:creationId xmlns:a16="http://schemas.microsoft.com/office/drawing/2014/main" id="{00000000-0008-0000-1700-00005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1" name="Picture 639" descr="LOGO DGI">
          <a:extLst>
            <a:ext uri="{FF2B5EF4-FFF2-40B4-BE49-F238E27FC236}">
              <a16:creationId xmlns:a16="http://schemas.microsoft.com/office/drawing/2014/main" id="{00000000-0008-0000-1700-00005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2" name="Picture 640" descr="LOGO DGI">
          <a:extLst>
            <a:ext uri="{FF2B5EF4-FFF2-40B4-BE49-F238E27FC236}">
              <a16:creationId xmlns:a16="http://schemas.microsoft.com/office/drawing/2014/main" id="{00000000-0008-0000-1700-00005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3" name="Picture 641" descr="LOGO DGI">
          <a:extLst>
            <a:ext uri="{FF2B5EF4-FFF2-40B4-BE49-F238E27FC236}">
              <a16:creationId xmlns:a16="http://schemas.microsoft.com/office/drawing/2014/main" id="{00000000-0008-0000-1700-00005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4" name="Picture 642" descr="LOGO DGI">
          <a:extLst>
            <a:ext uri="{FF2B5EF4-FFF2-40B4-BE49-F238E27FC236}">
              <a16:creationId xmlns:a16="http://schemas.microsoft.com/office/drawing/2014/main" id="{00000000-0008-0000-1700-00005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5" name="Picture 643" descr="LOGO DGI">
          <a:extLst>
            <a:ext uri="{FF2B5EF4-FFF2-40B4-BE49-F238E27FC236}">
              <a16:creationId xmlns:a16="http://schemas.microsoft.com/office/drawing/2014/main" id="{00000000-0008-0000-1700-00005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6" name="Picture 644" descr="LOGO DGI">
          <a:extLst>
            <a:ext uri="{FF2B5EF4-FFF2-40B4-BE49-F238E27FC236}">
              <a16:creationId xmlns:a16="http://schemas.microsoft.com/office/drawing/2014/main" id="{00000000-0008-0000-1700-00005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7" name="Picture 645" descr="LOGO DGI">
          <a:extLst>
            <a:ext uri="{FF2B5EF4-FFF2-40B4-BE49-F238E27FC236}">
              <a16:creationId xmlns:a16="http://schemas.microsoft.com/office/drawing/2014/main" id="{00000000-0008-0000-1700-00005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8" name="Picture 646" descr="LOGO DGI">
          <a:extLst>
            <a:ext uri="{FF2B5EF4-FFF2-40B4-BE49-F238E27FC236}">
              <a16:creationId xmlns:a16="http://schemas.microsoft.com/office/drawing/2014/main" id="{00000000-0008-0000-1700-00005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19" name="Picture 647" descr="LOGO DGI">
          <a:extLst>
            <a:ext uri="{FF2B5EF4-FFF2-40B4-BE49-F238E27FC236}">
              <a16:creationId xmlns:a16="http://schemas.microsoft.com/office/drawing/2014/main" id="{00000000-0008-0000-1700-00005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0" name="Picture 648" descr="LOGO DGI">
          <a:extLst>
            <a:ext uri="{FF2B5EF4-FFF2-40B4-BE49-F238E27FC236}">
              <a16:creationId xmlns:a16="http://schemas.microsoft.com/office/drawing/2014/main" id="{00000000-0008-0000-1700-00006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1" name="Picture 649" descr="LOGO DGI">
          <a:extLst>
            <a:ext uri="{FF2B5EF4-FFF2-40B4-BE49-F238E27FC236}">
              <a16:creationId xmlns:a16="http://schemas.microsoft.com/office/drawing/2014/main" id="{00000000-0008-0000-1700-00006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2" name="Picture 650" descr="LOGO DGI">
          <a:extLst>
            <a:ext uri="{FF2B5EF4-FFF2-40B4-BE49-F238E27FC236}">
              <a16:creationId xmlns:a16="http://schemas.microsoft.com/office/drawing/2014/main" id="{00000000-0008-0000-1700-00006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3" name="Picture 651" descr="LOGO DGI">
          <a:extLst>
            <a:ext uri="{FF2B5EF4-FFF2-40B4-BE49-F238E27FC236}">
              <a16:creationId xmlns:a16="http://schemas.microsoft.com/office/drawing/2014/main" id="{00000000-0008-0000-1700-00006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4" name="Picture 652" descr="LOGO DGI">
          <a:extLst>
            <a:ext uri="{FF2B5EF4-FFF2-40B4-BE49-F238E27FC236}">
              <a16:creationId xmlns:a16="http://schemas.microsoft.com/office/drawing/2014/main" id="{00000000-0008-0000-1700-00006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5" name="Picture 653" descr="LOGO DGI">
          <a:extLst>
            <a:ext uri="{FF2B5EF4-FFF2-40B4-BE49-F238E27FC236}">
              <a16:creationId xmlns:a16="http://schemas.microsoft.com/office/drawing/2014/main" id="{00000000-0008-0000-1700-00006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6" name="Picture 654" descr="LOGO DGI">
          <a:extLst>
            <a:ext uri="{FF2B5EF4-FFF2-40B4-BE49-F238E27FC236}">
              <a16:creationId xmlns:a16="http://schemas.microsoft.com/office/drawing/2014/main" id="{00000000-0008-0000-1700-00006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7" name="Picture 655" descr="LOGO DGI">
          <a:extLst>
            <a:ext uri="{FF2B5EF4-FFF2-40B4-BE49-F238E27FC236}">
              <a16:creationId xmlns:a16="http://schemas.microsoft.com/office/drawing/2014/main" id="{00000000-0008-0000-1700-00006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28" name="Picture 656" descr="LOGO DGI">
          <a:extLst>
            <a:ext uri="{FF2B5EF4-FFF2-40B4-BE49-F238E27FC236}">
              <a16:creationId xmlns:a16="http://schemas.microsoft.com/office/drawing/2014/main" id="{00000000-0008-0000-1700-00006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29" name="Picture 657" descr="LOGO DGI">
          <a:extLst>
            <a:ext uri="{FF2B5EF4-FFF2-40B4-BE49-F238E27FC236}">
              <a16:creationId xmlns:a16="http://schemas.microsoft.com/office/drawing/2014/main" id="{00000000-0008-0000-1700-00006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30" name="Picture 658" descr="LOGO DGI">
          <a:extLst>
            <a:ext uri="{FF2B5EF4-FFF2-40B4-BE49-F238E27FC236}">
              <a16:creationId xmlns:a16="http://schemas.microsoft.com/office/drawing/2014/main" id="{00000000-0008-0000-1700-00006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531" name="Picture 659" descr="LOGO DGI">
          <a:extLst>
            <a:ext uri="{FF2B5EF4-FFF2-40B4-BE49-F238E27FC236}">
              <a16:creationId xmlns:a16="http://schemas.microsoft.com/office/drawing/2014/main" id="{00000000-0008-0000-1700-00006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2" name="Picture 660" descr="LOGO DGI">
          <a:extLst>
            <a:ext uri="{FF2B5EF4-FFF2-40B4-BE49-F238E27FC236}">
              <a16:creationId xmlns:a16="http://schemas.microsoft.com/office/drawing/2014/main" id="{00000000-0008-0000-1700-00006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3" name="Picture 661" descr="LOGO DGI">
          <a:extLst>
            <a:ext uri="{FF2B5EF4-FFF2-40B4-BE49-F238E27FC236}">
              <a16:creationId xmlns:a16="http://schemas.microsoft.com/office/drawing/2014/main" id="{00000000-0008-0000-1700-00006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4" name="Picture 662" descr="LOGO DGI">
          <a:extLst>
            <a:ext uri="{FF2B5EF4-FFF2-40B4-BE49-F238E27FC236}">
              <a16:creationId xmlns:a16="http://schemas.microsoft.com/office/drawing/2014/main" id="{00000000-0008-0000-1700-00006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5" name="Picture 663" descr="LOGO DGI">
          <a:extLst>
            <a:ext uri="{FF2B5EF4-FFF2-40B4-BE49-F238E27FC236}">
              <a16:creationId xmlns:a16="http://schemas.microsoft.com/office/drawing/2014/main" id="{00000000-0008-0000-1700-00006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6" name="Picture 664" descr="LOGO DGI">
          <a:extLst>
            <a:ext uri="{FF2B5EF4-FFF2-40B4-BE49-F238E27FC236}">
              <a16:creationId xmlns:a16="http://schemas.microsoft.com/office/drawing/2014/main" id="{00000000-0008-0000-1700-00007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7" name="Picture 665" descr="LOGO DGI">
          <a:extLst>
            <a:ext uri="{FF2B5EF4-FFF2-40B4-BE49-F238E27FC236}">
              <a16:creationId xmlns:a16="http://schemas.microsoft.com/office/drawing/2014/main" id="{00000000-0008-0000-1700-00007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8" name="Picture 666" descr="LOGO DGI">
          <a:extLst>
            <a:ext uri="{FF2B5EF4-FFF2-40B4-BE49-F238E27FC236}">
              <a16:creationId xmlns:a16="http://schemas.microsoft.com/office/drawing/2014/main" id="{00000000-0008-0000-1700-00007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39" name="Picture 667" descr="LOGO DGI">
          <a:extLst>
            <a:ext uri="{FF2B5EF4-FFF2-40B4-BE49-F238E27FC236}">
              <a16:creationId xmlns:a16="http://schemas.microsoft.com/office/drawing/2014/main" id="{00000000-0008-0000-1700-00007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0" name="Picture 668" descr="LOGO DGI">
          <a:extLst>
            <a:ext uri="{FF2B5EF4-FFF2-40B4-BE49-F238E27FC236}">
              <a16:creationId xmlns:a16="http://schemas.microsoft.com/office/drawing/2014/main" id="{00000000-0008-0000-1700-00007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1" name="Picture 669" descr="LOGO DGI">
          <a:extLst>
            <a:ext uri="{FF2B5EF4-FFF2-40B4-BE49-F238E27FC236}">
              <a16:creationId xmlns:a16="http://schemas.microsoft.com/office/drawing/2014/main" id="{00000000-0008-0000-1700-00007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2" name="Picture 670" descr="LOGO DGI">
          <a:extLst>
            <a:ext uri="{FF2B5EF4-FFF2-40B4-BE49-F238E27FC236}">
              <a16:creationId xmlns:a16="http://schemas.microsoft.com/office/drawing/2014/main" id="{00000000-0008-0000-1700-00007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3" name="Picture 671" descr="LOGO DGI">
          <a:extLst>
            <a:ext uri="{FF2B5EF4-FFF2-40B4-BE49-F238E27FC236}">
              <a16:creationId xmlns:a16="http://schemas.microsoft.com/office/drawing/2014/main" id="{00000000-0008-0000-1700-00007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4" name="Picture 672" descr="LOGO DGI">
          <a:extLst>
            <a:ext uri="{FF2B5EF4-FFF2-40B4-BE49-F238E27FC236}">
              <a16:creationId xmlns:a16="http://schemas.microsoft.com/office/drawing/2014/main" id="{00000000-0008-0000-1700-00007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5" name="Picture 673" descr="LOGO DGI">
          <a:extLst>
            <a:ext uri="{FF2B5EF4-FFF2-40B4-BE49-F238E27FC236}">
              <a16:creationId xmlns:a16="http://schemas.microsoft.com/office/drawing/2014/main" id="{00000000-0008-0000-1700-00007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6" name="Picture 674" descr="LOGO DGI">
          <a:extLst>
            <a:ext uri="{FF2B5EF4-FFF2-40B4-BE49-F238E27FC236}">
              <a16:creationId xmlns:a16="http://schemas.microsoft.com/office/drawing/2014/main" id="{00000000-0008-0000-1700-00007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7" name="Picture 675" descr="LOGO DGI">
          <a:extLst>
            <a:ext uri="{FF2B5EF4-FFF2-40B4-BE49-F238E27FC236}">
              <a16:creationId xmlns:a16="http://schemas.microsoft.com/office/drawing/2014/main" id="{00000000-0008-0000-1700-00007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8" name="Picture 676" descr="LOGO DGI">
          <a:extLst>
            <a:ext uri="{FF2B5EF4-FFF2-40B4-BE49-F238E27FC236}">
              <a16:creationId xmlns:a16="http://schemas.microsoft.com/office/drawing/2014/main" id="{00000000-0008-0000-1700-00007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49" name="Picture 677" descr="LOGO DGI">
          <a:extLst>
            <a:ext uri="{FF2B5EF4-FFF2-40B4-BE49-F238E27FC236}">
              <a16:creationId xmlns:a16="http://schemas.microsoft.com/office/drawing/2014/main" id="{00000000-0008-0000-1700-00007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50" name="Picture 678" descr="LOGO DGI">
          <a:extLst>
            <a:ext uri="{FF2B5EF4-FFF2-40B4-BE49-F238E27FC236}">
              <a16:creationId xmlns:a16="http://schemas.microsoft.com/office/drawing/2014/main" id="{00000000-0008-0000-1700-00007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51" name="Picture 679" descr="LOGO DGI">
          <a:extLst>
            <a:ext uri="{FF2B5EF4-FFF2-40B4-BE49-F238E27FC236}">
              <a16:creationId xmlns:a16="http://schemas.microsoft.com/office/drawing/2014/main" id="{00000000-0008-0000-1700-00007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552" name="Picture 680" descr="LOGO DGI">
          <a:extLst>
            <a:ext uri="{FF2B5EF4-FFF2-40B4-BE49-F238E27FC236}">
              <a16:creationId xmlns:a16="http://schemas.microsoft.com/office/drawing/2014/main" id="{00000000-0008-0000-1700-00008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53" name="Picture 681" descr="LOGO DGI">
          <a:extLst>
            <a:ext uri="{FF2B5EF4-FFF2-40B4-BE49-F238E27FC236}">
              <a16:creationId xmlns:a16="http://schemas.microsoft.com/office/drawing/2014/main" id="{00000000-0008-0000-1700-00008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54" name="Picture 682" descr="LOGO DGI">
          <a:extLst>
            <a:ext uri="{FF2B5EF4-FFF2-40B4-BE49-F238E27FC236}">
              <a16:creationId xmlns:a16="http://schemas.microsoft.com/office/drawing/2014/main" id="{00000000-0008-0000-1700-00008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55" name="Picture 683" descr="LOGO DGI">
          <a:extLst>
            <a:ext uri="{FF2B5EF4-FFF2-40B4-BE49-F238E27FC236}">
              <a16:creationId xmlns:a16="http://schemas.microsoft.com/office/drawing/2014/main" id="{00000000-0008-0000-1700-00008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56" name="Picture 684" descr="LOGO DGI">
          <a:extLst>
            <a:ext uri="{FF2B5EF4-FFF2-40B4-BE49-F238E27FC236}">
              <a16:creationId xmlns:a16="http://schemas.microsoft.com/office/drawing/2014/main" id="{00000000-0008-0000-1700-00008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57" name="Picture 685" descr="LOGO DGI">
          <a:extLst>
            <a:ext uri="{FF2B5EF4-FFF2-40B4-BE49-F238E27FC236}">
              <a16:creationId xmlns:a16="http://schemas.microsoft.com/office/drawing/2014/main" id="{00000000-0008-0000-1700-00008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58" name="Picture 686" descr="LOGO DGI">
          <a:extLst>
            <a:ext uri="{FF2B5EF4-FFF2-40B4-BE49-F238E27FC236}">
              <a16:creationId xmlns:a16="http://schemas.microsoft.com/office/drawing/2014/main" id="{00000000-0008-0000-1700-00008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59" name="Picture 687" descr="LOGO DGI">
          <a:extLst>
            <a:ext uri="{FF2B5EF4-FFF2-40B4-BE49-F238E27FC236}">
              <a16:creationId xmlns:a16="http://schemas.microsoft.com/office/drawing/2014/main" id="{00000000-0008-0000-1700-00008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0" name="Picture 688" descr="LOGO DGI">
          <a:extLst>
            <a:ext uri="{FF2B5EF4-FFF2-40B4-BE49-F238E27FC236}">
              <a16:creationId xmlns:a16="http://schemas.microsoft.com/office/drawing/2014/main" id="{00000000-0008-0000-1700-00008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1" name="Picture 689" descr="LOGO DGI">
          <a:extLst>
            <a:ext uri="{FF2B5EF4-FFF2-40B4-BE49-F238E27FC236}">
              <a16:creationId xmlns:a16="http://schemas.microsoft.com/office/drawing/2014/main" id="{00000000-0008-0000-1700-00008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2" name="Picture 690" descr="LOGO DGI">
          <a:extLst>
            <a:ext uri="{FF2B5EF4-FFF2-40B4-BE49-F238E27FC236}">
              <a16:creationId xmlns:a16="http://schemas.microsoft.com/office/drawing/2014/main" id="{00000000-0008-0000-1700-00008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3" name="Picture 691" descr="LOGO DGI">
          <a:extLst>
            <a:ext uri="{FF2B5EF4-FFF2-40B4-BE49-F238E27FC236}">
              <a16:creationId xmlns:a16="http://schemas.microsoft.com/office/drawing/2014/main" id="{00000000-0008-0000-1700-00008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4" name="Picture 692" descr="LOGO DGI">
          <a:extLst>
            <a:ext uri="{FF2B5EF4-FFF2-40B4-BE49-F238E27FC236}">
              <a16:creationId xmlns:a16="http://schemas.microsoft.com/office/drawing/2014/main" id="{00000000-0008-0000-1700-00008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5" name="Picture 693" descr="LOGO DGI">
          <a:extLst>
            <a:ext uri="{FF2B5EF4-FFF2-40B4-BE49-F238E27FC236}">
              <a16:creationId xmlns:a16="http://schemas.microsoft.com/office/drawing/2014/main" id="{00000000-0008-0000-1700-00008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6" name="Picture 694" descr="LOGO DGI">
          <a:extLst>
            <a:ext uri="{FF2B5EF4-FFF2-40B4-BE49-F238E27FC236}">
              <a16:creationId xmlns:a16="http://schemas.microsoft.com/office/drawing/2014/main" id="{00000000-0008-0000-1700-00008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7" name="Picture 695" descr="LOGO DGI">
          <a:extLst>
            <a:ext uri="{FF2B5EF4-FFF2-40B4-BE49-F238E27FC236}">
              <a16:creationId xmlns:a16="http://schemas.microsoft.com/office/drawing/2014/main" id="{00000000-0008-0000-1700-00008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8" name="Picture 696" descr="LOGO DGI">
          <a:extLst>
            <a:ext uri="{FF2B5EF4-FFF2-40B4-BE49-F238E27FC236}">
              <a16:creationId xmlns:a16="http://schemas.microsoft.com/office/drawing/2014/main" id="{00000000-0008-0000-1700-00009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69" name="Picture 697" descr="LOGO DGI">
          <a:extLst>
            <a:ext uri="{FF2B5EF4-FFF2-40B4-BE49-F238E27FC236}">
              <a16:creationId xmlns:a16="http://schemas.microsoft.com/office/drawing/2014/main" id="{00000000-0008-0000-1700-00009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70" name="Picture 698" descr="LOGO DGI">
          <a:extLst>
            <a:ext uri="{FF2B5EF4-FFF2-40B4-BE49-F238E27FC236}">
              <a16:creationId xmlns:a16="http://schemas.microsoft.com/office/drawing/2014/main" id="{00000000-0008-0000-1700-00009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71" name="Picture 699" descr="LOGO DGI">
          <a:extLst>
            <a:ext uri="{FF2B5EF4-FFF2-40B4-BE49-F238E27FC236}">
              <a16:creationId xmlns:a16="http://schemas.microsoft.com/office/drawing/2014/main" id="{00000000-0008-0000-1700-00009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72" name="Picture 700" descr="LOGO DGI">
          <a:extLst>
            <a:ext uri="{FF2B5EF4-FFF2-40B4-BE49-F238E27FC236}">
              <a16:creationId xmlns:a16="http://schemas.microsoft.com/office/drawing/2014/main" id="{00000000-0008-0000-1700-00009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573" name="Picture 701" descr="LOGO DGI">
          <a:extLst>
            <a:ext uri="{FF2B5EF4-FFF2-40B4-BE49-F238E27FC236}">
              <a16:creationId xmlns:a16="http://schemas.microsoft.com/office/drawing/2014/main" id="{00000000-0008-0000-1700-00009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74" name="Picture 702" descr="LOGO DGI">
          <a:extLst>
            <a:ext uri="{FF2B5EF4-FFF2-40B4-BE49-F238E27FC236}">
              <a16:creationId xmlns:a16="http://schemas.microsoft.com/office/drawing/2014/main" id="{00000000-0008-0000-1700-00009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75" name="Picture 703" descr="LOGO DGI">
          <a:extLst>
            <a:ext uri="{FF2B5EF4-FFF2-40B4-BE49-F238E27FC236}">
              <a16:creationId xmlns:a16="http://schemas.microsoft.com/office/drawing/2014/main" id="{00000000-0008-0000-1700-00009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76" name="Picture 704" descr="LOGO DGI">
          <a:extLst>
            <a:ext uri="{FF2B5EF4-FFF2-40B4-BE49-F238E27FC236}">
              <a16:creationId xmlns:a16="http://schemas.microsoft.com/office/drawing/2014/main" id="{00000000-0008-0000-1700-00009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77" name="Picture 705" descr="LOGO DGI">
          <a:extLst>
            <a:ext uri="{FF2B5EF4-FFF2-40B4-BE49-F238E27FC236}">
              <a16:creationId xmlns:a16="http://schemas.microsoft.com/office/drawing/2014/main" id="{00000000-0008-0000-1700-00009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78" name="Picture 706" descr="LOGO DGI">
          <a:extLst>
            <a:ext uri="{FF2B5EF4-FFF2-40B4-BE49-F238E27FC236}">
              <a16:creationId xmlns:a16="http://schemas.microsoft.com/office/drawing/2014/main" id="{00000000-0008-0000-1700-00009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79" name="Picture 707" descr="LOGO DGI">
          <a:extLst>
            <a:ext uri="{FF2B5EF4-FFF2-40B4-BE49-F238E27FC236}">
              <a16:creationId xmlns:a16="http://schemas.microsoft.com/office/drawing/2014/main" id="{00000000-0008-0000-1700-00009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0" name="Picture 708" descr="LOGO DGI">
          <a:extLst>
            <a:ext uri="{FF2B5EF4-FFF2-40B4-BE49-F238E27FC236}">
              <a16:creationId xmlns:a16="http://schemas.microsoft.com/office/drawing/2014/main" id="{00000000-0008-0000-1700-00009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1" name="Picture 709" descr="LOGO DGI">
          <a:extLst>
            <a:ext uri="{FF2B5EF4-FFF2-40B4-BE49-F238E27FC236}">
              <a16:creationId xmlns:a16="http://schemas.microsoft.com/office/drawing/2014/main" id="{00000000-0008-0000-1700-00009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2" name="Picture 710" descr="LOGO DGI">
          <a:extLst>
            <a:ext uri="{FF2B5EF4-FFF2-40B4-BE49-F238E27FC236}">
              <a16:creationId xmlns:a16="http://schemas.microsoft.com/office/drawing/2014/main" id="{00000000-0008-0000-1700-00009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3" name="Picture 711" descr="LOGO DGI">
          <a:extLst>
            <a:ext uri="{FF2B5EF4-FFF2-40B4-BE49-F238E27FC236}">
              <a16:creationId xmlns:a16="http://schemas.microsoft.com/office/drawing/2014/main" id="{00000000-0008-0000-1700-00009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4" name="Picture 712" descr="LOGO DGI">
          <a:extLst>
            <a:ext uri="{FF2B5EF4-FFF2-40B4-BE49-F238E27FC236}">
              <a16:creationId xmlns:a16="http://schemas.microsoft.com/office/drawing/2014/main" id="{00000000-0008-0000-1700-0000A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5" name="Picture 713" descr="LOGO DGI">
          <a:extLst>
            <a:ext uri="{FF2B5EF4-FFF2-40B4-BE49-F238E27FC236}">
              <a16:creationId xmlns:a16="http://schemas.microsoft.com/office/drawing/2014/main" id="{00000000-0008-0000-1700-0000A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6" name="Picture 714" descr="LOGO DGI">
          <a:extLst>
            <a:ext uri="{FF2B5EF4-FFF2-40B4-BE49-F238E27FC236}">
              <a16:creationId xmlns:a16="http://schemas.microsoft.com/office/drawing/2014/main" id="{00000000-0008-0000-1700-0000A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7" name="Picture 715" descr="LOGO DGI">
          <a:extLst>
            <a:ext uri="{FF2B5EF4-FFF2-40B4-BE49-F238E27FC236}">
              <a16:creationId xmlns:a16="http://schemas.microsoft.com/office/drawing/2014/main" id="{00000000-0008-0000-1700-0000A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8" name="Picture 716" descr="LOGO DGI">
          <a:extLst>
            <a:ext uri="{FF2B5EF4-FFF2-40B4-BE49-F238E27FC236}">
              <a16:creationId xmlns:a16="http://schemas.microsoft.com/office/drawing/2014/main" id="{00000000-0008-0000-1700-0000A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89" name="Picture 717" descr="LOGO DGI">
          <a:extLst>
            <a:ext uri="{FF2B5EF4-FFF2-40B4-BE49-F238E27FC236}">
              <a16:creationId xmlns:a16="http://schemas.microsoft.com/office/drawing/2014/main" id="{00000000-0008-0000-1700-0000A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90" name="Picture 718" descr="LOGO DGI">
          <a:extLst>
            <a:ext uri="{FF2B5EF4-FFF2-40B4-BE49-F238E27FC236}">
              <a16:creationId xmlns:a16="http://schemas.microsoft.com/office/drawing/2014/main" id="{00000000-0008-0000-1700-0000A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91" name="Picture 719" descr="LOGO DGI">
          <a:extLst>
            <a:ext uri="{FF2B5EF4-FFF2-40B4-BE49-F238E27FC236}">
              <a16:creationId xmlns:a16="http://schemas.microsoft.com/office/drawing/2014/main" id="{00000000-0008-0000-1700-0000A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92" name="Picture 720" descr="LOGO DGI">
          <a:extLst>
            <a:ext uri="{FF2B5EF4-FFF2-40B4-BE49-F238E27FC236}">
              <a16:creationId xmlns:a16="http://schemas.microsoft.com/office/drawing/2014/main" id="{00000000-0008-0000-1700-0000A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593" name="Picture 721" descr="LOGO DGI">
          <a:extLst>
            <a:ext uri="{FF2B5EF4-FFF2-40B4-BE49-F238E27FC236}">
              <a16:creationId xmlns:a16="http://schemas.microsoft.com/office/drawing/2014/main" id="{00000000-0008-0000-1700-0000A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594" name="Picture 722" descr="LOGO DGI">
          <a:extLst>
            <a:ext uri="{FF2B5EF4-FFF2-40B4-BE49-F238E27FC236}">
              <a16:creationId xmlns:a16="http://schemas.microsoft.com/office/drawing/2014/main" id="{00000000-0008-0000-1700-0000A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95" name="Picture 723" descr="LOGO DGI">
          <a:extLst>
            <a:ext uri="{FF2B5EF4-FFF2-40B4-BE49-F238E27FC236}">
              <a16:creationId xmlns:a16="http://schemas.microsoft.com/office/drawing/2014/main" id="{00000000-0008-0000-1700-0000A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96" name="Picture 724" descr="LOGO DGI">
          <a:extLst>
            <a:ext uri="{FF2B5EF4-FFF2-40B4-BE49-F238E27FC236}">
              <a16:creationId xmlns:a16="http://schemas.microsoft.com/office/drawing/2014/main" id="{00000000-0008-0000-1700-0000A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97" name="Picture 725" descr="LOGO DGI">
          <a:extLst>
            <a:ext uri="{FF2B5EF4-FFF2-40B4-BE49-F238E27FC236}">
              <a16:creationId xmlns:a16="http://schemas.microsoft.com/office/drawing/2014/main" id="{00000000-0008-0000-1700-0000A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98" name="Picture 726" descr="LOGO DGI">
          <a:extLst>
            <a:ext uri="{FF2B5EF4-FFF2-40B4-BE49-F238E27FC236}">
              <a16:creationId xmlns:a16="http://schemas.microsoft.com/office/drawing/2014/main" id="{00000000-0008-0000-1700-0000A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599" name="Picture 727" descr="LOGO DGI">
          <a:extLst>
            <a:ext uri="{FF2B5EF4-FFF2-40B4-BE49-F238E27FC236}">
              <a16:creationId xmlns:a16="http://schemas.microsoft.com/office/drawing/2014/main" id="{00000000-0008-0000-1700-0000A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0" name="Picture 728" descr="LOGO DGI">
          <a:extLst>
            <a:ext uri="{FF2B5EF4-FFF2-40B4-BE49-F238E27FC236}">
              <a16:creationId xmlns:a16="http://schemas.microsoft.com/office/drawing/2014/main" id="{00000000-0008-0000-1700-0000B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1" name="Picture 729" descr="LOGO DGI">
          <a:extLst>
            <a:ext uri="{FF2B5EF4-FFF2-40B4-BE49-F238E27FC236}">
              <a16:creationId xmlns:a16="http://schemas.microsoft.com/office/drawing/2014/main" id="{00000000-0008-0000-1700-0000B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2" name="Picture 730" descr="LOGO DGI">
          <a:extLst>
            <a:ext uri="{FF2B5EF4-FFF2-40B4-BE49-F238E27FC236}">
              <a16:creationId xmlns:a16="http://schemas.microsoft.com/office/drawing/2014/main" id="{00000000-0008-0000-1700-0000B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3" name="Picture 731" descr="LOGO DGI">
          <a:extLst>
            <a:ext uri="{FF2B5EF4-FFF2-40B4-BE49-F238E27FC236}">
              <a16:creationId xmlns:a16="http://schemas.microsoft.com/office/drawing/2014/main" id="{00000000-0008-0000-1700-0000B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4" name="Picture 732" descr="LOGO DGI">
          <a:extLst>
            <a:ext uri="{FF2B5EF4-FFF2-40B4-BE49-F238E27FC236}">
              <a16:creationId xmlns:a16="http://schemas.microsoft.com/office/drawing/2014/main" id="{00000000-0008-0000-1700-0000B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5" name="Picture 733" descr="LOGO DGI">
          <a:extLst>
            <a:ext uri="{FF2B5EF4-FFF2-40B4-BE49-F238E27FC236}">
              <a16:creationId xmlns:a16="http://schemas.microsoft.com/office/drawing/2014/main" id="{00000000-0008-0000-1700-0000B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6" name="Picture 734" descr="LOGO DGI">
          <a:extLst>
            <a:ext uri="{FF2B5EF4-FFF2-40B4-BE49-F238E27FC236}">
              <a16:creationId xmlns:a16="http://schemas.microsoft.com/office/drawing/2014/main" id="{00000000-0008-0000-1700-0000B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7" name="Picture 735" descr="LOGO DGI">
          <a:extLst>
            <a:ext uri="{FF2B5EF4-FFF2-40B4-BE49-F238E27FC236}">
              <a16:creationId xmlns:a16="http://schemas.microsoft.com/office/drawing/2014/main" id="{00000000-0008-0000-1700-0000B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8" name="Picture 736" descr="LOGO DGI">
          <a:extLst>
            <a:ext uri="{FF2B5EF4-FFF2-40B4-BE49-F238E27FC236}">
              <a16:creationId xmlns:a16="http://schemas.microsoft.com/office/drawing/2014/main" id="{00000000-0008-0000-1700-0000B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09" name="Picture 737" descr="LOGO DGI">
          <a:extLst>
            <a:ext uri="{FF2B5EF4-FFF2-40B4-BE49-F238E27FC236}">
              <a16:creationId xmlns:a16="http://schemas.microsoft.com/office/drawing/2014/main" id="{00000000-0008-0000-1700-0000B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10" name="Picture 738" descr="LOGO DGI">
          <a:extLst>
            <a:ext uri="{FF2B5EF4-FFF2-40B4-BE49-F238E27FC236}">
              <a16:creationId xmlns:a16="http://schemas.microsoft.com/office/drawing/2014/main" id="{00000000-0008-0000-1700-0000B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11" name="Picture 739" descr="LOGO DGI">
          <a:extLst>
            <a:ext uri="{FF2B5EF4-FFF2-40B4-BE49-F238E27FC236}">
              <a16:creationId xmlns:a16="http://schemas.microsoft.com/office/drawing/2014/main" id="{00000000-0008-0000-1700-0000B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12" name="Picture 740" descr="LOGO DGI">
          <a:extLst>
            <a:ext uri="{FF2B5EF4-FFF2-40B4-BE49-F238E27FC236}">
              <a16:creationId xmlns:a16="http://schemas.microsoft.com/office/drawing/2014/main" id="{00000000-0008-0000-1700-0000B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13" name="Picture 741" descr="LOGO DGI">
          <a:extLst>
            <a:ext uri="{FF2B5EF4-FFF2-40B4-BE49-F238E27FC236}">
              <a16:creationId xmlns:a16="http://schemas.microsoft.com/office/drawing/2014/main" id="{00000000-0008-0000-1700-0000B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14" name="Picture 742" descr="LOGO DGI">
          <a:extLst>
            <a:ext uri="{FF2B5EF4-FFF2-40B4-BE49-F238E27FC236}">
              <a16:creationId xmlns:a16="http://schemas.microsoft.com/office/drawing/2014/main" id="{00000000-0008-0000-1700-0000B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615" name="Picture 743" descr="LOGO DGI">
          <a:extLst>
            <a:ext uri="{FF2B5EF4-FFF2-40B4-BE49-F238E27FC236}">
              <a16:creationId xmlns:a16="http://schemas.microsoft.com/office/drawing/2014/main" id="{00000000-0008-0000-1700-0000B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16" name="Picture 744" descr="LOGO DGI">
          <a:extLst>
            <a:ext uri="{FF2B5EF4-FFF2-40B4-BE49-F238E27FC236}">
              <a16:creationId xmlns:a16="http://schemas.microsoft.com/office/drawing/2014/main" id="{00000000-0008-0000-1700-0000C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17" name="Picture 745" descr="LOGO DGI">
          <a:extLst>
            <a:ext uri="{FF2B5EF4-FFF2-40B4-BE49-F238E27FC236}">
              <a16:creationId xmlns:a16="http://schemas.microsoft.com/office/drawing/2014/main" id="{00000000-0008-0000-1700-0000C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18" name="Picture 746" descr="LOGO DGI">
          <a:extLst>
            <a:ext uri="{FF2B5EF4-FFF2-40B4-BE49-F238E27FC236}">
              <a16:creationId xmlns:a16="http://schemas.microsoft.com/office/drawing/2014/main" id="{00000000-0008-0000-1700-0000C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19" name="Picture 747" descr="LOGO DGI">
          <a:extLst>
            <a:ext uri="{FF2B5EF4-FFF2-40B4-BE49-F238E27FC236}">
              <a16:creationId xmlns:a16="http://schemas.microsoft.com/office/drawing/2014/main" id="{00000000-0008-0000-1700-0000C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0" name="Picture 748" descr="LOGO DGI">
          <a:extLst>
            <a:ext uri="{FF2B5EF4-FFF2-40B4-BE49-F238E27FC236}">
              <a16:creationId xmlns:a16="http://schemas.microsoft.com/office/drawing/2014/main" id="{00000000-0008-0000-1700-0000C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1" name="Picture 749" descr="LOGO DGI">
          <a:extLst>
            <a:ext uri="{FF2B5EF4-FFF2-40B4-BE49-F238E27FC236}">
              <a16:creationId xmlns:a16="http://schemas.microsoft.com/office/drawing/2014/main" id="{00000000-0008-0000-1700-0000C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2" name="Picture 750" descr="LOGO DGI">
          <a:extLst>
            <a:ext uri="{FF2B5EF4-FFF2-40B4-BE49-F238E27FC236}">
              <a16:creationId xmlns:a16="http://schemas.microsoft.com/office/drawing/2014/main" id="{00000000-0008-0000-1700-0000C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3" name="Picture 751" descr="LOGO DGI">
          <a:extLst>
            <a:ext uri="{FF2B5EF4-FFF2-40B4-BE49-F238E27FC236}">
              <a16:creationId xmlns:a16="http://schemas.microsoft.com/office/drawing/2014/main" id="{00000000-0008-0000-1700-0000C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4" name="Picture 752" descr="LOGO DGI">
          <a:extLst>
            <a:ext uri="{FF2B5EF4-FFF2-40B4-BE49-F238E27FC236}">
              <a16:creationId xmlns:a16="http://schemas.microsoft.com/office/drawing/2014/main" id="{00000000-0008-0000-1700-0000C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5" name="Picture 753" descr="LOGO DGI">
          <a:extLst>
            <a:ext uri="{FF2B5EF4-FFF2-40B4-BE49-F238E27FC236}">
              <a16:creationId xmlns:a16="http://schemas.microsoft.com/office/drawing/2014/main" id="{00000000-0008-0000-1700-0000C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6" name="Picture 754" descr="LOGO DGI">
          <a:extLst>
            <a:ext uri="{FF2B5EF4-FFF2-40B4-BE49-F238E27FC236}">
              <a16:creationId xmlns:a16="http://schemas.microsoft.com/office/drawing/2014/main" id="{00000000-0008-0000-1700-0000C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7" name="Picture 755" descr="LOGO DGI">
          <a:extLst>
            <a:ext uri="{FF2B5EF4-FFF2-40B4-BE49-F238E27FC236}">
              <a16:creationId xmlns:a16="http://schemas.microsoft.com/office/drawing/2014/main" id="{00000000-0008-0000-1700-0000C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8" name="Picture 756" descr="LOGO DGI">
          <a:extLst>
            <a:ext uri="{FF2B5EF4-FFF2-40B4-BE49-F238E27FC236}">
              <a16:creationId xmlns:a16="http://schemas.microsoft.com/office/drawing/2014/main" id="{00000000-0008-0000-1700-0000C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29" name="Picture 757" descr="LOGO DGI">
          <a:extLst>
            <a:ext uri="{FF2B5EF4-FFF2-40B4-BE49-F238E27FC236}">
              <a16:creationId xmlns:a16="http://schemas.microsoft.com/office/drawing/2014/main" id="{00000000-0008-0000-1700-0000C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30" name="Picture 758" descr="LOGO DGI">
          <a:extLst>
            <a:ext uri="{FF2B5EF4-FFF2-40B4-BE49-F238E27FC236}">
              <a16:creationId xmlns:a16="http://schemas.microsoft.com/office/drawing/2014/main" id="{00000000-0008-0000-1700-0000C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31" name="Picture 759" descr="LOGO DGI">
          <a:extLst>
            <a:ext uri="{FF2B5EF4-FFF2-40B4-BE49-F238E27FC236}">
              <a16:creationId xmlns:a16="http://schemas.microsoft.com/office/drawing/2014/main" id="{00000000-0008-0000-1700-0000C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32" name="Picture 760" descr="LOGO DGI">
          <a:extLst>
            <a:ext uri="{FF2B5EF4-FFF2-40B4-BE49-F238E27FC236}">
              <a16:creationId xmlns:a16="http://schemas.microsoft.com/office/drawing/2014/main" id="{00000000-0008-0000-1700-0000D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33" name="Picture 761" descr="LOGO DGI">
          <a:extLst>
            <a:ext uri="{FF2B5EF4-FFF2-40B4-BE49-F238E27FC236}">
              <a16:creationId xmlns:a16="http://schemas.microsoft.com/office/drawing/2014/main" id="{00000000-0008-0000-1700-0000D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34" name="Picture 762" descr="LOGO DGI">
          <a:extLst>
            <a:ext uri="{FF2B5EF4-FFF2-40B4-BE49-F238E27FC236}">
              <a16:creationId xmlns:a16="http://schemas.microsoft.com/office/drawing/2014/main" id="{00000000-0008-0000-1700-0000D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35" name="Picture 763" descr="LOGO DGI">
          <a:extLst>
            <a:ext uri="{FF2B5EF4-FFF2-40B4-BE49-F238E27FC236}">
              <a16:creationId xmlns:a16="http://schemas.microsoft.com/office/drawing/2014/main" id="{00000000-0008-0000-1700-0000D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636" name="Picture 764" descr="LOGO DGI">
          <a:extLst>
            <a:ext uri="{FF2B5EF4-FFF2-40B4-BE49-F238E27FC236}">
              <a16:creationId xmlns:a16="http://schemas.microsoft.com/office/drawing/2014/main" id="{00000000-0008-0000-1700-0000D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37" name="Picture 765" descr="LOGO DGI">
          <a:extLst>
            <a:ext uri="{FF2B5EF4-FFF2-40B4-BE49-F238E27FC236}">
              <a16:creationId xmlns:a16="http://schemas.microsoft.com/office/drawing/2014/main" id="{00000000-0008-0000-1700-0000D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38" name="Picture 766" descr="LOGO DGI">
          <a:extLst>
            <a:ext uri="{FF2B5EF4-FFF2-40B4-BE49-F238E27FC236}">
              <a16:creationId xmlns:a16="http://schemas.microsoft.com/office/drawing/2014/main" id="{00000000-0008-0000-1700-0000D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39" name="Picture 767" descr="LOGO DGI">
          <a:extLst>
            <a:ext uri="{FF2B5EF4-FFF2-40B4-BE49-F238E27FC236}">
              <a16:creationId xmlns:a16="http://schemas.microsoft.com/office/drawing/2014/main" id="{00000000-0008-0000-1700-0000D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0" name="Picture 768" descr="LOGO DGI">
          <a:extLst>
            <a:ext uri="{FF2B5EF4-FFF2-40B4-BE49-F238E27FC236}">
              <a16:creationId xmlns:a16="http://schemas.microsoft.com/office/drawing/2014/main" id="{00000000-0008-0000-1700-0000D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1" name="Picture 769" descr="LOGO DGI">
          <a:extLst>
            <a:ext uri="{FF2B5EF4-FFF2-40B4-BE49-F238E27FC236}">
              <a16:creationId xmlns:a16="http://schemas.microsoft.com/office/drawing/2014/main" id="{00000000-0008-0000-1700-0000D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2" name="Picture 770" descr="LOGO DGI">
          <a:extLst>
            <a:ext uri="{FF2B5EF4-FFF2-40B4-BE49-F238E27FC236}">
              <a16:creationId xmlns:a16="http://schemas.microsoft.com/office/drawing/2014/main" id="{00000000-0008-0000-1700-0000D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3" name="Picture 771" descr="LOGO DGI">
          <a:extLst>
            <a:ext uri="{FF2B5EF4-FFF2-40B4-BE49-F238E27FC236}">
              <a16:creationId xmlns:a16="http://schemas.microsoft.com/office/drawing/2014/main" id="{00000000-0008-0000-1700-0000D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4" name="Picture 772" descr="LOGO DGI">
          <a:extLst>
            <a:ext uri="{FF2B5EF4-FFF2-40B4-BE49-F238E27FC236}">
              <a16:creationId xmlns:a16="http://schemas.microsoft.com/office/drawing/2014/main" id="{00000000-0008-0000-1700-0000D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5" name="Picture 773" descr="LOGO DGI">
          <a:extLst>
            <a:ext uri="{FF2B5EF4-FFF2-40B4-BE49-F238E27FC236}">
              <a16:creationId xmlns:a16="http://schemas.microsoft.com/office/drawing/2014/main" id="{00000000-0008-0000-1700-0000D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6" name="Picture 774" descr="LOGO DGI">
          <a:extLst>
            <a:ext uri="{FF2B5EF4-FFF2-40B4-BE49-F238E27FC236}">
              <a16:creationId xmlns:a16="http://schemas.microsoft.com/office/drawing/2014/main" id="{00000000-0008-0000-1700-0000D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7" name="Picture 775" descr="LOGO DGI">
          <a:extLst>
            <a:ext uri="{FF2B5EF4-FFF2-40B4-BE49-F238E27FC236}">
              <a16:creationId xmlns:a16="http://schemas.microsoft.com/office/drawing/2014/main" id="{00000000-0008-0000-1700-0000D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8" name="Picture 776" descr="LOGO DGI">
          <a:extLst>
            <a:ext uri="{FF2B5EF4-FFF2-40B4-BE49-F238E27FC236}">
              <a16:creationId xmlns:a16="http://schemas.microsoft.com/office/drawing/2014/main" id="{00000000-0008-0000-1700-0000E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49" name="Picture 777" descr="LOGO DGI">
          <a:extLst>
            <a:ext uri="{FF2B5EF4-FFF2-40B4-BE49-F238E27FC236}">
              <a16:creationId xmlns:a16="http://schemas.microsoft.com/office/drawing/2014/main" id="{00000000-0008-0000-1700-0000E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50" name="Picture 778" descr="LOGO DGI">
          <a:extLst>
            <a:ext uri="{FF2B5EF4-FFF2-40B4-BE49-F238E27FC236}">
              <a16:creationId xmlns:a16="http://schemas.microsoft.com/office/drawing/2014/main" id="{00000000-0008-0000-1700-0000E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51" name="Picture 779" descr="LOGO DGI">
          <a:extLst>
            <a:ext uri="{FF2B5EF4-FFF2-40B4-BE49-F238E27FC236}">
              <a16:creationId xmlns:a16="http://schemas.microsoft.com/office/drawing/2014/main" id="{00000000-0008-0000-1700-0000E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52" name="Picture 780" descr="LOGO DGI">
          <a:extLst>
            <a:ext uri="{FF2B5EF4-FFF2-40B4-BE49-F238E27FC236}">
              <a16:creationId xmlns:a16="http://schemas.microsoft.com/office/drawing/2014/main" id="{00000000-0008-0000-1700-0000E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53" name="Picture 781" descr="LOGO DGI">
          <a:extLst>
            <a:ext uri="{FF2B5EF4-FFF2-40B4-BE49-F238E27FC236}">
              <a16:creationId xmlns:a16="http://schemas.microsoft.com/office/drawing/2014/main" id="{00000000-0008-0000-1700-0000E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54" name="Picture 782" descr="LOGO DGI">
          <a:extLst>
            <a:ext uri="{FF2B5EF4-FFF2-40B4-BE49-F238E27FC236}">
              <a16:creationId xmlns:a16="http://schemas.microsoft.com/office/drawing/2014/main" id="{00000000-0008-0000-1700-0000E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55" name="Picture 783" descr="LOGO DGI">
          <a:extLst>
            <a:ext uri="{FF2B5EF4-FFF2-40B4-BE49-F238E27FC236}">
              <a16:creationId xmlns:a16="http://schemas.microsoft.com/office/drawing/2014/main" id="{00000000-0008-0000-1700-0000E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56" name="Picture 784" descr="LOGO DGI">
          <a:extLst>
            <a:ext uri="{FF2B5EF4-FFF2-40B4-BE49-F238E27FC236}">
              <a16:creationId xmlns:a16="http://schemas.microsoft.com/office/drawing/2014/main" id="{00000000-0008-0000-1700-0000E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657" name="Picture 785" descr="LOGO DGI">
          <a:extLst>
            <a:ext uri="{FF2B5EF4-FFF2-40B4-BE49-F238E27FC236}">
              <a16:creationId xmlns:a16="http://schemas.microsoft.com/office/drawing/2014/main" id="{00000000-0008-0000-1700-0000E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58" name="Picture 786" descr="LOGO DGI">
          <a:extLst>
            <a:ext uri="{FF2B5EF4-FFF2-40B4-BE49-F238E27FC236}">
              <a16:creationId xmlns:a16="http://schemas.microsoft.com/office/drawing/2014/main" id="{00000000-0008-0000-1700-0000E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59" name="Picture 787" descr="LOGO DGI">
          <a:extLst>
            <a:ext uri="{FF2B5EF4-FFF2-40B4-BE49-F238E27FC236}">
              <a16:creationId xmlns:a16="http://schemas.microsoft.com/office/drawing/2014/main" id="{00000000-0008-0000-1700-0000E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0" name="Picture 788" descr="LOGO DGI">
          <a:extLst>
            <a:ext uri="{FF2B5EF4-FFF2-40B4-BE49-F238E27FC236}">
              <a16:creationId xmlns:a16="http://schemas.microsoft.com/office/drawing/2014/main" id="{00000000-0008-0000-1700-0000E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1" name="Picture 789" descr="LOGO DGI">
          <a:extLst>
            <a:ext uri="{FF2B5EF4-FFF2-40B4-BE49-F238E27FC236}">
              <a16:creationId xmlns:a16="http://schemas.microsoft.com/office/drawing/2014/main" id="{00000000-0008-0000-1700-0000E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2" name="Picture 790" descr="LOGO DGI">
          <a:extLst>
            <a:ext uri="{FF2B5EF4-FFF2-40B4-BE49-F238E27FC236}">
              <a16:creationId xmlns:a16="http://schemas.microsoft.com/office/drawing/2014/main" id="{00000000-0008-0000-1700-0000E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3" name="Picture 791" descr="LOGO DGI">
          <a:extLst>
            <a:ext uri="{FF2B5EF4-FFF2-40B4-BE49-F238E27FC236}">
              <a16:creationId xmlns:a16="http://schemas.microsoft.com/office/drawing/2014/main" id="{00000000-0008-0000-1700-0000E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4" name="Picture 792" descr="LOGO DGI">
          <a:extLst>
            <a:ext uri="{FF2B5EF4-FFF2-40B4-BE49-F238E27FC236}">
              <a16:creationId xmlns:a16="http://schemas.microsoft.com/office/drawing/2014/main" id="{00000000-0008-0000-1700-0000F0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5" name="Picture 793" descr="LOGO DGI">
          <a:extLst>
            <a:ext uri="{FF2B5EF4-FFF2-40B4-BE49-F238E27FC236}">
              <a16:creationId xmlns:a16="http://schemas.microsoft.com/office/drawing/2014/main" id="{00000000-0008-0000-1700-0000F1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6" name="Picture 794" descr="LOGO DGI">
          <a:extLst>
            <a:ext uri="{FF2B5EF4-FFF2-40B4-BE49-F238E27FC236}">
              <a16:creationId xmlns:a16="http://schemas.microsoft.com/office/drawing/2014/main" id="{00000000-0008-0000-1700-0000F2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7" name="Picture 795" descr="LOGO DGI">
          <a:extLst>
            <a:ext uri="{FF2B5EF4-FFF2-40B4-BE49-F238E27FC236}">
              <a16:creationId xmlns:a16="http://schemas.microsoft.com/office/drawing/2014/main" id="{00000000-0008-0000-1700-0000F3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8" name="Picture 796" descr="LOGO DGI">
          <a:extLst>
            <a:ext uri="{FF2B5EF4-FFF2-40B4-BE49-F238E27FC236}">
              <a16:creationId xmlns:a16="http://schemas.microsoft.com/office/drawing/2014/main" id="{00000000-0008-0000-1700-0000F4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69" name="Picture 797" descr="LOGO DGI">
          <a:extLst>
            <a:ext uri="{FF2B5EF4-FFF2-40B4-BE49-F238E27FC236}">
              <a16:creationId xmlns:a16="http://schemas.microsoft.com/office/drawing/2014/main" id="{00000000-0008-0000-1700-0000F5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70" name="Picture 798" descr="LOGO DGI">
          <a:extLst>
            <a:ext uri="{FF2B5EF4-FFF2-40B4-BE49-F238E27FC236}">
              <a16:creationId xmlns:a16="http://schemas.microsoft.com/office/drawing/2014/main" id="{00000000-0008-0000-1700-0000F6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71" name="Picture 799" descr="LOGO DGI">
          <a:extLst>
            <a:ext uri="{FF2B5EF4-FFF2-40B4-BE49-F238E27FC236}">
              <a16:creationId xmlns:a16="http://schemas.microsoft.com/office/drawing/2014/main" id="{00000000-0008-0000-1700-0000F7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72" name="Picture 800" descr="LOGO DGI">
          <a:extLst>
            <a:ext uri="{FF2B5EF4-FFF2-40B4-BE49-F238E27FC236}">
              <a16:creationId xmlns:a16="http://schemas.microsoft.com/office/drawing/2014/main" id="{00000000-0008-0000-1700-0000F8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73" name="Picture 801" descr="LOGO DGI">
          <a:extLst>
            <a:ext uri="{FF2B5EF4-FFF2-40B4-BE49-F238E27FC236}">
              <a16:creationId xmlns:a16="http://schemas.microsoft.com/office/drawing/2014/main" id="{00000000-0008-0000-1700-0000F9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74" name="Picture 802" descr="LOGO DGI">
          <a:extLst>
            <a:ext uri="{FF2B5EF4-FFF2-40B4-BE49-F238E27FC236}">
              <a16:creationId xmlns:a16="http://schemas.microsoft.com/office/drawing/2014/main" id="{00000000-0008-0000-1700-0000FA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75" name="Picture 803" descr="LOGO DGI">
          <a:extLst>
            <a:ext uri="{FF2B5EF4-FFF2-40B4-BE49-F238E27FC236}">
              <a16:creationId xmlns:a16="http://schemas.microsoft.com/office/drawing/2014/main" id="{00000000-0008-0000-1700-0000FB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76" name="Picture 804" descr="LOGO DGI">
          <a:extLst>
            <a:ext uri="{FF2B5EF4-FFF2-40B4-BE49-F238E27FC236}">
              <a16:creationId xmlns:a16="http://schemas.microsoft.com/office/drawing/2014/main" id="{00000000-0008-0000-1700-0000FC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77" name="Picture 805" descr="LOGO DGI">
          <a:extLst>
            <a:ext uri="{FF2B5EF4-FFF2-40B4-BE49-F238E27FC236}">
              <a16:creationId xmlns:a16="http://schemas.microsoft.com/office/drawing/2014/main" id="{00000000-0008-0000-1700-0000FD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678" name="Picture 806" descr="LOGO DGI">
          <a:extLst>
            <a:ext uri="{FF2B5EF4-FFF2-40B4-BE49-F238E27FC236}">
              <a16:creationId xmlns:a16="http://schemas.microsoft.com/office/drawing/2014/main" id="{00000000-0008-0000-1700-0000FE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79" name="Picture 807" descr="LOGO DGI">
          <a:extLst>
            <a:ext uri="{FF2B5EF4-FFF2-40B4-BE49-F238E27FC236}">
              <a16:creationId xmlns:a16="http://schemas.microsoft.com/office/drawing/2014/main" id="{00000000-0008-0000-1700-0000FF88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0" name="Picture 808" descr="LOGO DGI">
          <a:extLst>
            <a:ext uri="{FF2B5EF4-FFF2-40B4-BE49-F238E27FC236}">
              <a16:creationId xmlns:a16="http://schemas.microsoft.com/office/drawing/2014/main" id="{00000000-0008-0000-1700-00000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1" name="Picture 809" descr="LOGO DGI">
          <a:extLst>
            <a:ext uri="{FF2B5EF4-FFF2-40B4-BE49-F238E27FC236}">
              <a16:creationId xmlns:a16="http://schemas.microsoft.com/office/drawing/2014/main" id="{00000000-0008-0000-1700-00000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2" name="Picture 810" descr="LOGO DGI">
          <a:extLst>
            <a:ext uri="{FF2B5EF4-FFF2-40B4-BE49-F238E27FC236}">
              <a16:creationId xmlns:a16="http://schemas.microsoft.com/office/drawing/2014/main" id="{00000000-0008-0000-1700-00000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3" name="Picture 811" descr="LOGO DGI">
          <a:extLst>
            <a:ext uri="{FF2B5EF4-FFF2-40B4-BE49-F238E27FC236}">
              <a16:creationId xmlns:a16="http://schemas.microsoft.com/office/drawing/2014/main" id="{00000000-0008-0000-1700-00000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4" name="Picture 812" descr="LOGO DGI">
          <a:extLst>
            <a:ext uri="{FF2B5EF4-FFF2-40B4-BE49-F238E27FC236}">
              <a16:creationId xmlns:a16="http://schemas.microsoft.com/office/drawing/2014/main" id="{00000000-0008-0000-1700-00000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5" name="Picture 813" descr="LOGO DGI">
          <a:extLst>
            <a:ext uri="{FF2B5EF4-FFF2-40B4-BE49-F238E27FC236}">
              <a16:creationId xmlns:a16="http://schemas.microsoft.com/office/drawing/2014/main" id="{00000000-0008-0000-1700-00000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6" name="Picture 814" descr="LOGO DGI">
          <a:extLst>
            <a:ext uri="{FF2B5EF4-FFF2-40B4-BE49-F238E27FC236}">
              <a16:creationId xmlns:a16="http://schemas.microsoft.com/office/drawing/2014/main" id="{00000000-0008-0000-1700-00000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7" name="Picture 815" descr="LOGO DGI">
          <a:extLst>
            <a:ext uri="{FF2B5EF4-FFF2-40B4-BE49-F238E27FC236}">
              <a16:creationId xmlns:a16="http://schemas.microsoft.com/office/drawing/2014/main" id="{00000000-0008-0000-1700-00000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8" name="Picture 816" descr="LOGO DGI">
          <a:extLst>
            <a:ext uri="{FF2B5EF4-FFF2-40B4-BE49-F238E27FC236}">
              <a16:creationId xmlns:a16="http://schemas.microsoft.com/office/drawing/2014/main" id="{00000000-0008-0000-1700-00000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89" name="Picture 817" descr="LOGO DGI">
          <a:extLst>
            <a:ext uri="{FF2B5EF4-FFF2-40B4-BE49-F238E27FC236}">
              <a16:creationId xmlns:a16="http://schemas.microsoft.com/office/drawing/2014/main" id="{00000000-0008-0000-1700-00000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90" name="Picture 818" descr="LOGO DGI">
          <a:extLst>
            <a:ext uri="{FF2B5EF4-FFF2-40B4-BE49-F238E27FC236}">
              <a16:creationId xmlns:a16="http://schemas.microsoft.com/office/drawing/2014/main" id="{00000000-0008-0000-1700-00000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91" name="Picture 819" descr="LOGO DGI">
          <a:extLst>
            <a:ext uri="{FF2B5EF4-FFF2-40B4-BE49-F238E27FC236}">
              <a16:creationId xmlns:a16="http://schemas.microsoft.com/office/drawing/2014/main" id="{00000000-0008-0000-1700-00000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92" name="Picture 820" descr="LOGO DGI">
          <a:extLst>
            <a:ext uri="{FF2B5EF4-FFF2-40B4-BE49-F238E27FC236}">
              <a16:creationId xmlns:a16="http://schemas.microsoft.com/office/drawing/2014/main" id="{00000000-0008-0000-1700-00000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93" name="Picture 821" descr="LOGO DGI">
          <a:extLst>
            <a:ext uri="{FF2B5EF4-FFF2-40B4-BE49-F238E27FC236}">
              <a16:creationId xmlns:a16="http://schemas.microsoft.com/office/drawing/2014/main" id="{00000000-0008-0000-1700-00000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94" name="Picture 822" descr="LOGO DGI">
          <a:extLst>
            <a:ext uri="{FF2B5EF4-FFF2-40B4-BE49-F238E27FC236}">
              <a16:creationId xmlns:a16="http://schemas.microsoft.com/office/drawing/2014/main" id="{00000000-0008-0000-1700-00000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95" name="Picture 823" descr="LOGO DGI">
          <a:extLst>
            <a:ext uri="{FF2B5EF4-FFF2-40B4-BE49-F238E27FC236}">
              <a16:creationId xmlns:a16="http://schemas.microsoft.com/office/drawing/2014/main" id="{00000000-0008-0000-1700-00000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696" name="Picture 824" descr="LOGO DGI">
          <a:extLst>
            <a:ext uri="{FF2B5EF4-FFF2-40B4-BE49-F238E27FC236}">
              <a16:creationId xmlns:a16="http://schemas.microsoft.com/office/drawing/2014/main" id="{00000000-0008-0000-1700-00001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97" name="Picture 825" descr="LOGO DGI">
          <a:extLst>
            <a:ext uri="{FF2B5EF4-FFF2-40B4-BE49-F238E27FC236}">
              <a16:creationId xmlns:a16="http://schemas.microsoft.com/office/drawing/2014/main" id="{00000000-0008-0000-1700-00001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698" name="Picture 826" descr="LOGO DGI">
          <a:extLst>
            <a:ext uri="{FF2B5EF4-FFF2-40B4-BE49-F238E27FC236}">
              <a16:creationId xmlns:a16="http://schemas.microsoft.com/office/drawing/2014/main" id="{00000000-0008-0000-1700-00001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699" name="Picture 827" descr="LOGO DGI">
          <a:extLst>
            <a:ext uri="{FF2B5EF4-FFF2-40B4-BE49-F238E27FC236}">
              <a16:creationId xmlns:a16="http://schemas.microsoft.com/office/drawing/2014/main" id="{00000000-0008-0000-1700-00001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0" name="Picture 828" descr="LOGO DGI">
          <a:extLst>
            <a:ext uri="{FF2B5EF4-FFF2-40B4-BE49-F238E27FC236}">
              <a16:creationId xmlns:a16="http://schemas.microsoft.com/office/drawing/2014/main" id="{00000000-0008-0000-1700-00001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1" name="Picture 829" descr="LOGO DGI">
          <a:extLst>
            <a:ext uri="{FF2B5EF4-FFF2-40B4-BE49-F238E27FC236}">
              <a16:creationId xmlns:a16="http://schemas.microsoft.com/office/drawing/2014/main" id="{00000000-0008-0000-1700-00001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2" name="Picture 830" descr="LOGO DGI">
          <a:extLst>
            <a:ext uri="{FF2B5EF4-FFF2-40B4-BE49-F238E27FC236}">
              <a16:creationId xmlns:a16="http://schemas.microsoft.com/office/drawing/2014/main" id="{00000000-0008-0000-1700-00001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3" name="Picture 831" descr="LOGO DGI">
          <a:extLst>
            <a:ext uri="{FF2B5EF4-FFF2-40B4-BE49-F238E27FC236}">
              <a16:creationId xmlns:a16="http://schemas.microsoft.com/office/drawing/2014/main" id="{00000000-0008-0000-1700-00001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4" name="Picture 832" descr="LOGO DGI">
          <a:extLst>
            <a:ext uri="{FF2B5EF4-FFF2-40B4-BE49-F238E27FC236}">
              <a16:creationId xmlns:a16="http://schemas.microsoft.com/office/drawing/2014/main" id="{00000000-0008-0000-1700-00001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5" name="Picture 833" descr="LOGO DGI">
          <a:extLst>
            <a:ext uri="{FF2B5EF4-FFF2-40B4-BE49-F238E27FC236}">
              <a16:creationId xmlns:a16="http://schemas.microsoft.com/office/drawing/2014/main" id="{00000000-0008-0000-1700-00001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6" name="Picture 834" descr="LOGO DGI">
          <a:extLst>
            <a:ext uri="{FF2B5EF4-FFF2-40B4-BE49-F238E27FC236}">
              <a16:creationId xmlns:a16="http://schemas.microsoft.com/office/drawing/2014/main" id="{00000000-0008-0000-1700-00001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7" name="Picture 835" descr="LOGO DGI">
          <a:extLst>
            <a:ext uri="{FF2B5EF4-FFF2-40B4-BE49-F238E27FC236}">
              <a16:creationId xmlns:a16="http://schemas.microsoft.com/office/drawing/2014/main" id="{00000000-0008-0000-1700-00001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8" name="Picture 836" descr="LOGO DGI">
          <a:extLst>
            <a:ext uri="{FF2B5EF4-FFF2-40B4-BE49-F238E27FC236}">
              <a16:creationId xmlns:a16="http://schemas.microsoft.com/office/drawing/2014/main" id="{00000000-0008-0000-1700-00001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09" name="Picture 837" descr="LOGO DGI">
          <a:extLst>
            <a:ext uri="{FF2B5EF4-FFF2-40B4-BE49-F238E27FC236}">
              <a16:creationId xmlns:a16="http://schemas.microsoft.com/office/drawing/2014/main" id="{00000000-0008-0000-1700-00001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0" name="Picture 838" descr="LOGO DGI">
          <a:extLst>
            <a:ext uri="{FF2B5EF4-FFF2-40B4-BE49-F238E27FC236}">
              <a16:creationId xmlns:a16="http://schemas.microsoft.com/office/drawing/2014/main" id="{00000000-0008-0000-1700-00001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1" name="Picture 839" descr="LOGO DGI">
          <a:extLst>
            <a:ext uri="{FF2B5EF4-FFF2-40B4-BE49-F238E27FC236}">
              <a16:creationId xmlns:a16="http://schemas.microsoft.com/office/drawing/2014/main" id="{00000000-0008-0000-1700-00001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2" name="Picture 840" descr="LOGO DGI">
          <a:extLst>
            <a:ext uri="{FF2B5EF4-FFF2-40B4-BE49-F238E27FC236}">
              <a16:creationId xmlns:a16="http://schemas.microsoft.com/office/drawing/2014/main" id="{00000000-0008-0000-1700-00002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3" name="Picture 841" descr="LOGO DGI">
          <a:extLst>
            <a:ext uri="{FF2B5EF4-FFF2-40B4-BE49-F238E27FC236}">
              <a16:creationId xmlns:a16="http://schemas.microsoft.com/office/drawing/2014/main" id="{00000000-0008-0000-1700-00002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4" name="Picture 842" descr="LOGO DGI">
          <a:extLst>
            <a:ext uri="{FF2B5EF4-FFF2-40B4-BE49-F238E27FC236}">
              <a16:creationId xmlns:a16="http://schemas.microsoft.com/office/drawing/2014/main" id="{00000000-0008-0000-1700-00002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5" name="Picture 843" descr="LOGO DGI">
          <a:extLst>
            <a:ext uri="{FF2B5EF4-FFF2-40B4-BE49-F238E27FC236}">
              <a16:creationId xmlns:a16="http://schemas.microsoft.com/office/drawing/2014/main" id="{00000000-0008-0000-1700-00002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6" name="Picture 844" descr="LOGO DGI">
          <a:extLst>
            <a:ext uri="{FF2B5EF4-FFF2-40B4-BE49-F238E27FC236}">
              <a16:creationId xmlns:a16="http://schemas.microsoft.com/office/drawing/2014/main" id="{00000000-0008-0000-1700-00002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17" name="Picture 845" descr="LOGO DGI">
          <a:extLst>
            <a:ext uri="{FF2B5EF4-FFF2-40B4-BE49-F238E27FC236}">
              <a16:creationId xmlns:a16="http://schemas.microsoft.com/office/drawing/2014/main" id="{00000000-0008-0000-1700-00002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18" name="Picture 846" descr="LOGO DGI">
          <a:extLst>
            <a:ext uri="{FF2B5EF4-FFF2-40B4-BE49-F238E27FC236}">
              <a16:creationId xmlns:a16="http://schemas.microsoft.com/office/drawing/2014/main" id="{00000000-0008-0000-1700-00002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19" name="Picture 847" descr="LOGO DGI">
          <a:extLst>
            <a:ext uri="{FF2B5EF4-FFF2-40B4-BE49-F238E27FC236}">
              <a16:creationId xmlns:a16="http://schemas.microsoft.com/office/drawing/2014/main" id="{00000000-0008-0000-1700-00002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720" name="Picture 848" descr="LOGO DGI">
          <a:extLst>
            <a:ext uri="{FF2B5EF4-FFF2-40B4-BE49-F238E27FC236}">
              <a16:creationId xmlns:a16="http://schemas.microsoft.com/office/drawing/2014/main" id="{00000000-0008-0000-1700-00002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1" name="Picture 849" descr="LOGO DGI">
          <a:extLst>
            <a:ext uri="{FF2B5EF4-FFF2-40B4-BE49-F238E27FC236}">
              <a16:creationId xmlns:a16="http://schemas.microsoft.com/office/drawing/2014/main" id="{00000000-0008-0000-1700-00002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2" name="Picture 850" descr="LOGO DGI">
          <a:extLst>
            <a:ext uri="{FF2B5EF4-FFF2-40B4-BE49-F238E27FC236}">
              <a16:creationId xmlns:a16="http://schemas.microsoft.com/office/drawing/2014/main" id="{00000000-0008-0000-1700-00002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3" name="Picture 851" descr="LOGO DGI">
          <a:extLst>
            <a:ext uri="{FF2B5EF4-FFF2-40B4-BE49-F238E27FC236}">
              <a16:creationId xmlns:a16="http://schemas.microsoft.com/office/drawing/2014/main" id="{00000000-0008-0000-1700-00002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4" name="Picture 852" descr="LOGO DGI">
          <a:extLst>
            <a:ext uri="{FF2B5EF4-FFF2-40B4-BE49-F238E27FC236}">
              <a16:creationId xmlns:a16="http://schemas.microsoft.com/office/drawing/2014/main" id="{00000000-0008-0000-1700-00002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5" name="Picture 853" descr="LOGO DGI">
          <a:extLst>
            <a:ext uri="{FF2B5EF4-FFF2-40B4-BE49-F238E27FC236}">
              <a16:creationId xmlns:a16="http://schemas.microsoft.com/office/drawing/2014/main" id="{00000000-0008-0000-1700-00002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6" name="Picture 854" descr="LOGO DGI">
          <a:extLst>
            <a:ext uri="{FF2B5EF4-FFF2-40B4-BE49-F238E27FC236}">
              <a16:creationId xmlns:a16="http://schemas.microsoft.com/office/drawing/2014/main" id="{00000000-0008-0000-1700-00002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7" name="Picture 855" descr="LOGO DGI">
          <a:extLst>
            <a:ext uri="{FF2B5EF4-FFF2-40B4-BE49-F238E27FC236}">
              <a16:creationId xmlns:a16="http://schemas.microsoft.com/office/drawing/2014/main" id="{00000000-0008-0000-1700-00002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8" name="Picture 856" descr="LOGO DGI">
          <a:extLst>
            <a:ext uri="{FF2B5EF4-FFF2-40B4-BE49-F238E27FC236}">
              <a16:creationId xmlns:a16="http://schemas.microsoft.com/office/drawing/2014/main" id="{00000000-0008-0000-1700-00003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29" name="Picture 857" descr="LOGO DGI">
          <a:extLst>
            <a:ext uri="{FF2B5EF4-FFF2-40B4-BE49-F238E27FC236}">
              <a16:creationId xmlns:a16="http://schemas.microsoft.com/office/drawing/2014/main" id="{00000000-0008-0000-1700-00003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0" name="Picture 858" descr="LOGO DGI">
          <a:extLst>
            <a:ext uri="{FF2B5EF4-FFF2-40B4-BE49-F238E27FC236}">
              <a16:creationId xmlns:a16="http://schemas.microsoft.com/office/drawing/2014/main" id="{00000000-0008-0000-1700-00003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1" name="Picture 859" descr="LOGO DGI">
          <a:extLst>
            <a:ext uri="{FF2B5EF4-FFF2-40B4-BE49-F238E27FC236}">
              <a16:creationId xmlns:a16="http://schemas.microsoft.com/office/drawing/2014/main" id="{00000000-0008-0000-1700-00003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2" name="Picture 860" descr="LOGO DGI">
          <a:extLst>
            <a:ext uri="{FF2B5EF4-FFF2-40B4-BE49-F238E27FC236}">
              <a16:creationId xmlns:a16="http://schemas.microsoft.com/office/drawing/2014/main" id="{00000000-0008-0000-1700-00003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3" name="Picture 861" descr="LOGO DGI">
          <a:extLst>
            <a:ext uri="{FF2B5EF4-FFF2-40B4-BE49-F238E27FC236}">
              <a16:creationId xmlns:a16="http://schemas.microsoft.com/office/drawing/2014/main" id="{00000000-0008-0000-1700-00003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4" name="Picture 862" descr="LOGO DGI">
          <a:extLst>
            <a:ext uri="{FF2B5EF4-FFF2-40B4-BE49-F238E27FC236}">
              <a16:creationId xmlns:a16="http://schemas.microsoft.com/office/drawing/2014/main" id="{00000000-0008-0000-1700-00003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5" name="Picture 863" descr="LOGO DGI">
          <a:extLst>
            <a:ext uri="{FF2B5EF4-FFF2-40B4-BE49-F238E27FC236}">
              <a16:creationId xmlns:a16="http://schemas.microsoft.com/office/drawing/2014/main" id="{00000000-0008-0000-1700-00003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6" name="Picture 864" descr="LOGO DGI">
          <a:extLst>
            <a:ext uri="{FF2B5EF4-FFF2-40B4-BE49-F238E27FC236}">
              <a16:creationId xmlns:a16="http://schemas.microsoft.com/office/drawing/2014/main" id="{00000000-0008-0000-1700-00003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7" name="Picture 865" descr="LOGO DGI">
          <a:extLst>
            <a:ext uri="{FF2B5EF4-FFF2-40B4-BE49-F238E27FC236}">
              <a16:creationId xmlns:a16="http://schemas.microsoft.com/office/drawing/2014/main" id="{00000000-0008-0000-1700-00003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38" name="Picture 866" descr="LOGO DGI">
          <a:extLst>
            <a:ext uri="{FF2B5EF4-FFF2-40B4-BE49-F238E27FC236}">
              <a16:creationId xmlns:a16="http://schemas.microsoft.com/office/drawing/2014/main" id="{00000000-0008-0000-1700-00003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39" name="Picture 867" descr="LOGO DGI">
          <a:extLst>
            <a:ext uri="{FF2B5EF4-FFF2-40B4-BE49-F238E27FC236}">
              <a16:creationId xmlns:a16="http://schemas.microsoft.com/office/drawing/2014/main" id="{00000000-0008-0000-1700-00003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40" name="Picture 868" descr="LOGO DGI">
          <a:extLst>
            <a:ext uri="{FF2B5EF4-FFF2-40B4-BE49-F238E27FC236}">
              <a16:creationId xmlns:a16="http://schemas.microsoft.com/office/drawing/2014/main" id="{00000000-0008-0000-1700-00003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741" name="Picture 869" descr="LOGO DGI">
          <a:extLst>
            <a:ext uri="{FF2B5EF4-FFF2-40B4-BE49-F238E27FC236}">
              <a16:creationId xmlns:a16="http://schemas.microsoft.com/office/drawing/2014/main" id="{00000000-0008-0000-1700-00003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2" name="Picture 870" descr="LOGO DGI">
          <a:extLst>
            <a:ext uri="{FF2B5EF4-FFF2-40B4-BE49-F238E27FC236}">
              <a16:creationId xmlns:a16="http://schemas.microsoft.com/office/drawing/2014/main" id="{00000000-0008-0000-1700-00003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3" name="Picture 871" descr="LOGO DGI">
          <a:extLst>
            <a:ext uri="{FF2B5EF4-FFF2-40B4-BE49-F238E27FC236}">
              <a16:creationId xmlns:a16="http://schemas.microsoft.com/office/drawing/2014/main" id="{00000000-0008-0000-1700-00003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4" name="Picture 872" descr="LOGO DGI">
          <a:extLst>
            <a:ext uri="{FF2B5EF4-FFF2-40B4-BE49-F238E27FC236}">
              <a16:creationId xmlns:a16="http://schemas.microsoft.com/office/drawing/2014/main" id="{00000000-0008-0000-1700-00004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5" name="Picture 873" descr="LOGO DGI">
          <a:extLst>
            <a:ext uri="{FF2B5EF4-FFF2-40B4-BE49-F238E27FC236}">
              <a16:creationId xmlns:a16="http://schemas.microsoft.com/office/drawing/2014/main" id="{00000000-0008-0000-1700-00004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6" name="Picture 874" descr="LOGO DGI">
          <a:extLst>
            <a:ext uri="{FF2B5EF4-FFF2-40B4-BE49-F238E27FC236}">
              <a16:creationId xmlns:a16="http://schemas.microsoft.com/office/drawing/2014/main" id="{00000000-0008-0000-1700-00004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7" name="Picture 875" descr="LOGO DGI">
          <a:extLst>
            <a:ext uri="{FF2B5EF4-FFF2-40B4-BE49-F238E27FC236}">
              <a16:creationId xmlns:a16="http://schemas.microsoft.com/office/drawing/2014/main" id="{00000000-0008-0000-1700-00004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8" name="Picture 876" descr="LOGO DGI">
          <a:extLst>
            <a:ext uri="{FF2B5EF4-FFF2-40B4-BE49-F238E27FC236}">
              <a16:creationId xmlns:a16="http://schemas.microsoft.com/office/drawing/2014/main" id="{00000000-0008-0000-1700-00004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49" name="Picture 877" descr="LOGO DGI">
          <a:extLst>
            <a:ext uri="{FF2B5EF4-FFF2-40B4-BE49-F238E27FC236}">
              <a16:creationId xmlns:a16="http://schemas.microsoft.com/office/drawing/2014/main" id="{00000000-0008-0000-1700-00004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0" name="Picture 878" descr="LOGO DGI">
          <a:extLst>
            <a:ext uri="{FF2B5EF4-FFF2-40B4-BE49-F238E27FC236}">
              <a16:creationId xmlns:a16="http://schemas.microsoft.com/office/drawing/2014/main" id="{00000000-0008-0000-1700-00004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1" name="Picture 879" descr="LOGO DGI">
          <a:extLst>
            <a:ext uri="{FF2B5EF4-FFF2-40B4-BE49-F238E27FC236}">
              <a16:creationId xmlns:a16="http://schemas.microsoft.com/office/drawing/2014/main" id="{00000000-0008-0000-1700-00004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2" name="Picture 880" descr="LOGO DGI">
          <a:extLst>
            <a:ext uri="{FF2B5EF4-FFF2-40B4-BE49-F238E27FC236}">
              <a16:creationId xmlns:a16="http://schemas.microsoft.com/office/drawing/2014/main" id="{00000000-0008-0000-1700-00004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3" name="Picture 881" descr="LOGO DGI">
          <a:extLst>
            <a:ext uri="{FF2B5EF4-FFF2-40B4-BE49-F238E27FC236}">
              <a16:creationId xmlns:a16="http://schemas.microsoft.com/office/drawing/2014/main" id="{00000000-0008-0000-1700-00004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4" name="Picture 882" descr="LOGO DGI">
          <a:extLst>
            <a:ext uri="{FF2B5EF4-FFF2-40B4-BE49-F238E27FC236}">
              <a16:creationId xmlns:a16="http://schemas.microsoft.com/office/drawing/2014/main" id="{00000000-0008-0000-1700-00004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5" name="Picture 883" descr="LOGO DGI">
          <a:extLst>
            <a:ext uri="{FF2B5EF4-FFF2-40B4-BE49-F238E27FC236}">
              <a16:creationId xmlns:a16="http://schemas.microsoft.com/office/drawing/2014/main" id="{00000000-0008-0000-1700-00004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6" name="Picture 884" descr="LOGO DGI">
          <a:extLst>
            <a:ext uri="{FF2B5EF4-FFF2-40B4-BE49-F238E27FC236}">
              <a16:creationId xmlns:a16="http://schemas.microsoft.com/office/drawing/2014/main" id="{00000000-0008-0000-1700-00004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7" name="Picture 885" descr="LOGO DGI">
          <a:extLst>
            <a:ext uri="{FF2B5EF4-FFF2-40B4-BE49-F238E27FC236}">
              <a16:creationId xmlns:a16="http://schemas.microsoft.com/office/drawing/2014/main" id="{00000000-0008-0000-1700-00004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8" name="Picture 886" descr="LOGO DGI">
          <a:extLst>
            <a:ext uri="{FF2B5EF4-FFF2-40B4-BE49-F238E27FC236}">
              <a16:creationId xmlns:a16="http://schemas.microsoft.com/office/drawing/2014/main" id="{00000000-0008-0000-1700-00004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59" name="Picture 887" descr="LOGO DGI">
          <a:extLst>
            <a:ext uri="{FF2B5EF4-FFF2-40B4-BE49-F238E27FC236}">
              <a16:creationId xmlns:a16="http://schemas.microsoft.com/office/drawing/2014/main" id="{00000000-0008-0000-1700-00004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60" name="Picture 888" descr="LOGO DGI">
          <a:extLst>
            <a:ext uri="{FF2B5EF4-FFF2-40B4-BE49-F238E27FC236}">
              <a16:creationId xmlns:a16="http://schemas.microsoft.com/office/drawing/2014/main" id="{00000000-0008-0000-1700-00005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61" name="Picture 889" descr="LOGO DGI">
          <a:extLst>
            <a:ext uri="{FF2B5EF4-FFF2-40B4-BE49-F238E27FC236}">
              <a16:creationId xmlns:a16="http://schemas.microsoft.com/office/drawing/2014/main" id="{00000000-0008-0000-1700-00005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762" name="Picture 890" descr="LOGO DGI">
          <a:extLst>
            <a:ext uri="{FF2B5EF4-FFF2-40B4-BE49-F238E27FC236}">
              <a16:creationId xmlns:a16="http://schemas.microsoft.com/office/drawing/2014/main" id="{00000000-0008-0000-1700-00005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63" name="Picture 891" descr="LOGO DGI">
          <a:extLst>
            <a:ext uri="{FF2B5EF4-FFF2-40B4-BE49-F238E27FC236}">
              <a16:creationId xmlns:a16="http://schemas.microsoft.com/office/drawing/2014/main" id="{00000000-0008-0000-1700-00005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64" name="Picture 892" descr="LOGO DGI">
          <a:extLst>
            <a:ext uri="{FF2B5EF4-FFF2-40B4-BE49-F238E27FC236}">
              <a16:creationId xmlns:a16="http://schemas.microsoft.com/office/drawing/2014/main" id="{00000000-0008-0000-1700-00005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65" name="Picture 893" descr="LOGO DGI">
          <a:extLst>
            <a:ext uri="{FF2B5EF4-FFF2-40B4-BE49-F238E27FC236}">
              <a16:creationId xmlns:a16="http://schemas.microsoft.com/office/drawing/2014/main" id="{00000000-0008-0000-1700-00005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66" name="Picture 894" descr="LOGO DGI">
          <a:extLst>
            <a:ext uri="{FF2B5EF4-FFF2-40B4-BE49-F238E27FC236}">
              <a16:creationId xmlns:a16="http://schemas.microsoft.com/office/drawing/2014/main" id="{00000000-0008-0000-1700-00005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67" name="Picture 895" descr="LOGO DGI">
          <a:extLst>
            <a:ext uri="{FF2B5EF4-FFF2-40B4-BE49-F238E27FC236}">
              <a16:creationId xmlns:a16="http://schemas.microsoft.com/office/drawing/2014/main" id="{00000000-0008-0000-1700-00005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68" name="Picture 896" descr="LOGO DGI">
          <a:extLst>
            <a:ext uri="{FF2B5EF4-FFF2-40B4-BE49-F238E27FC236}">
              <a16:creationId xmlns:a16="http://schemas.microsoft.com/office/drawing/2014/main" id="{00000000-0008-0000-1700-00005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69" name="Picture 897" descr="LOGO DGI">
          <a:extLst>
            <a:ext uri="{FF2B5EF4-FFF2-40B4-BE49-F238E27FC236}">
              <a16:creationId xmlns:a16="http://schemas.microsoft.com/office/drawing/2014/main" id="{00000000-0008-0000-1700-00005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0" name="Picture 898" descr="LOGO DGI">
          <a:extLst>
            <a:ext uri="{FF2B5EF4-FFF2-40B4-BE49-F238E27FC236}">
              <a16:creationId xmlns:a16="http://schemas.microsoft.com/office/drawing/2014/main" id="{00000000-0008-0000-1700-00005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1" name="Picture 899" descr="LOGO DGI">
          <a:extLst>
            <a:ext uri="{FF2B5EF4-FFF2-40B4-BE49-F238E27FC236}">
              <a16:creationId xmlns:a16="http://schemas.microsoft.com/office/drawing/2014/main" id="{00000000-0008-0000-1700-00005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2" name="Picture 900" descr="LOGO DGI">
          <a:extLst>
            <a:ext uri="{FF2B5EF4-FFF2-40B4-BE49-F238E27FC236}">
              <a16:creationId xmlns:a16="http://schemas.microsoft.com/office/drawing/2014/main" id="{00000000-0008-0000-1700-00005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3" name="Picture 901" descr="LOGO DGI">
          <a:extLst>
            <a:ext uri="{FF2B5EF4-FFF2-40B4-BE49-F238E27FC236}">
              <a16:creationId xmlns:a16="http://schemas.microsoft.com/office/drawing/2014/main" id="{00000000-0008-0000-1700-00005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4" name="Picture 902" descr="LOGO DGI">
          <a:extLst>
            <a:ext uri="{FF2B5EF4-FFF2-40B4-BE49-F238E27FC236}">
              <a16:creationId xmlns:a16="http://schemas.microsoft.com/office/drawing/2014/main" id="{00000000-0008-0000-1700-00005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5" name="Picture 903" descr="LOGO DGI">
          <a:extLst>
            <a:ext uri="{FF2B5EF4-FFF2-40B4-BE49-F238E27FC236}">
              <a16:creationId xmlns:a16="http://schemas.microsoft.com/office/drawing/2014/main" id="{00000000-0008-0000-1700-00005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6" name="Picture 904" descr="LOGO DGI">
          <a:extLst>
            <a:ext uri="{FF2B5EF4-FFF2-40B4-BE49-F238E27FC236}">
              <a16:creationId xmlns:a16="http://schemas.microsoft.com/office/drawing/2014/main" id="{00000000-0008-0000-1700-00006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7" name="Picture 905" descr="LOGO DGI">
          <a:extLst>
            <a:ext uri="{FF2B5EF4-FFF2-40B4-BE49-F238E27FC236}">
              <a16:creationId xmlns:a16="http://schemas.microsoft.com/office/drawing/2014/main" id="{00000000-0008-0000-1700-00006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8" name="Picture 906" descr="LOGO DGI">
          <a:extLst>
            <a:ext uri="{FF2B5EF4-FFF2-40B4-BE49-F238E27FC236}">
              <a16:creationId xmlns:a16="http://schemas.microsoft.com/office/drawing/2014/main" id="{00000000-0008-0000-1700-00006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79" name="Picture 907" descr="LOGO DGI">
          <a:extLst>
            <a:ext uri="{FF2B5EF4-FFF2-40B4-BE49-F238E27FC236}">
              <a16:creationId xmlns:a16="http://schemas.microsoft.com/office/drawing/2014/main" id="{00000000-0008-0000-1700-00006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80" name="Picture 908" descr="LOGO DGI">
          <a:extLst>
            <a:ext uri="{FF2B5EF4-FFF2-40B4-BE49-F238E27FC236}">
              <a16:creationId xmlns:a16="http://schemas.microsoft.com/office/drawing/2014/main" id="{00000000-0008-0000-1700-00006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81" name="Picture 909" descr="LOGO DGI">
          <a:extLst>
            <a:ext uri="{FF2B5EF4-FFF2-40B4-BE49-F238E27FC236}">
              <a16:creationId xmlns:a16="http://schemas.microsoft.com/office/drawing/2014/main" id="{00000000-0008-0000-1700-00006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782" name="Picture 910" descr="LOGO DGI">
          <a:extLst>
            <a:ext uri="{FF2B5EF4-FFF2-40B4-BE49-F238E27FC236}">
              <a16:creationId xmlns:a16="http://schemas.microsoft.com/office/drawing/2014/main" id="{00000000-0008-0000-1700-00006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783" name="Picture 911" descr="LOGO DGI">
          <a:extLst>
            <a:ext uri="{FF2B5EF4-FFF2-40B4-BE49-F238E27FC236}">
              <a16:creationId xmlns:a16="http://schemas.microsoft.com/office/drawing/2014/main" id="{00000000-0008-0000-1700-00006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84" name="Picture 912" descr="LOGO DGI">
          <a:extLst>
            <a:ext uri="{FF2B5EF4-FFF2-40B4-BE49-F238E27FC236}">
              <a16:creationId xmlns:a16="http://schemas.microsoft.com/office/drawing/2014/main" id="{00000000-0008-0000-1700-00006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85" name="Picture 913" descr="LOGO DGI">
          <a:extLst>
            <a:ext uri="{FF2B5EF4-FFF2-40B4-BE49-F238E27FC236}">
              <a16:creationId xmlns:a16="http://schemas.microsoft.com/office/drawing/2014/main" id="{00000000-0008-0000-1700-00006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86" name="Picture 914" descr="LOGO DGI">
          <a:extLst>
            <a:ext uri="{FF2B5EF4-FFF2-40B4-BE49-F238E27FC236}">
              <a16:creationId xmlns:a16="http://schemas.microsoft.com/office/drawing/2014/main" id="{00000000-0008-0000-1700-00006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87" name="Picture 915" descr="LOGO DGI">
          <a:extLst>
            <a:ext uri="{FF2B5EF4-FFF2-40B4-BE49-F238E27FC236}">
              <a16:creationId xmlns:a16="http://schemas.microsoft.com/office/drawing/2014/main" id="{00000000-0008-0000-1700-00006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88" name="Picture 916" descr="LOGO DGI">
          <a:extLst>
            <a:ext uri="{FF2B5EF4-FFF2-40B4-BE49-F238E27FC236}">
              <a16:creationId xmlns:a16="http://schemas.microsoft.com/office/drawing/2014/main" id="{00000000-0008-0000-1700-00006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89" name="Picture 917" descr="LOGO DGI">
          <a:extLst>
            <a:ext uri="{FF2B5EF4-FFF2-40B4-BE49-F238E27FC236}">
              <a16:creationId xmlns:a16="http://schemas.microsoft.com/office/drawing/2014/main" id="{00000000-0008-0000-1700-00006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0" name="Picture 918" descr="LOGO DGI">
          <a:extLst>
            <a:ext uri="{FF2B5EF4-FFF2-40B4-BE49-F238E27FC236}">
              <a16:creationId xmlns:a16="http://schemas.microsoft.com/office/drawing/2014/main" id="{00000000-0008-0000-1700-00006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1" name="Picture 919" descr="LOGO DGI">
          <a:extLst>
            <a:ext uri="{FF2B5EF4-FFF2-40B4-BE49-F238E27FC236}">
              <a16:creationId xmlns:a16="http://schemas.microsoft.com/office/drawing/2014/main" id="{00000000-0008-0000-1700-00006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2" name="Picture 920" descr="LOGO DGI">
          <a:extLst>
            <a:ext uri="{FF2B5EF4-FFF2-40B4-BE49-F238E27FC236}">
              <a16:creationId xmlns:a16="http://schemas.microsoft.com/office/drawing/2014/main" id="{00000000-0008-0000-1700-00007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3" name="Picture 921" descr="LOGO DGI">
          <a:extLst>
            <a:ext uri="{FF2B5EF4-FFF2-40B4-BE49-F238E27FC236}">
              <a16:creationId xmlns:a16="http://schemas.microsoft.com/office/drawing/2014/main" id="{00000000-0008-0000-1700-00007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4" name="Picture 922" descr="LOGO DGI">
          <a:extLst>
            <a:ext uri="{FF2B5EF4-FFF2-40B4-BE49-F238E27FC236}">
              <a16:creationId xmlns:a16="http://schemas.microsoft.com/office/drawing/2014/main" id="{00000000-0008-0000-1700-00007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5" name="Picture 923" descr="LOGO DGI">
          <a:extLst>
            <a:ext uri="{FF2B5EF4-FFF2-40B4-BE49-F238E27FC236}">
              <a16:creationId xmlns:a16="http://schemas.microsoft.com/office/drawing/2014/main" id="{00000000-0008-0000-1700-00007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6" name="Picture 924" descr="LOGO DGI">
          <a:extLst>
            <a:ext uri="{FF2B5EF4-FFF2-40B4-BE49-F238E27FC236}">
              <a16:creationId xmlns:a16="http://schemas.microsoft.com/office/drawing/2014/main" id="{00000000-0008-0000-1700-00007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7" name="Picture 925" descr="LOGO DGI">
          <a:extLst>
            <a:ext uri="{FF2B5EF4-FFF2-40B4-BE49-F238E27FC236}">
              <a16:creationId xmlns:a16="http://schemas.microsoft.com/office/drawing/2014/main" id="{00000000-0008-0000-1700-00007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8" name="Picture 926" descr="LOGO DGI">
          <a:extLst>
            <a:ext uri="{FF2B5EF4-FFF2-40B4-BE49-F238E27FC236}">
              <a16:creationId xmlns:a16="http://schemas.microsoft.com/office/drawing/2014/main" id="{00000000-0008-0000-1700-00007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799" name="Picture 927" descr="LOGO DGI">
          <a:extLst>
            <a:ext uri="{FF2B5EF4-FFF2-40B4-BE49-F238E27FC236}">
              <a16:creationId xmlns:a16="http://schemas.microsoft.com/office/drawing/2014/main" id="{00000000-0008-0000-1700-00007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00" name="Picture 928" descr="LOGO DGI">
          <a:extLst>
            <a:ext uri="{FF2B5EF4-FFF2-40B4-BE49-F238E27FC236}">
              <a16:creationId xmlns:a16="http://schemas.microsoft.com/office/drawing/2014/main" id="{00000000-0008-0000-1700-00007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01" name="Picture 929" descr="LOGO DGI">
          <a:extLst>
            <a:ext uri="{FF2B5EF4-FFF2-40B4-BE49-F238E27FC236}">
              <a16:creationId xmlns:a16="http://schemas.microsoft.com/office/drawing/2014/main" id="{00000000-0008-0000-1700-00007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802" name="Picture 930" descr="LOGO DGI">
          <a:extLst>
            <a:ext uri="{FF2B5EF4-FFF2-40B4-BE49-F238E27FC236}">
              <a16:creationId xmlns:a16="http://schemas.microsoft.com/office/drawing/2014/main" id="{00000000-0008-0000-1700-00007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803" name="Picture 931" descr="LOGO DGI">
          <a:extLst>
            <a:ext uri="{FF2B5EF4-FFF2-40B4-BE49-F238E27FC236}">
              <a16:creationId xmlns:a16="http://schemas.microsoft.com/office/drawing/2014/main" id="{00000000-0008-0000-1700-00007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</xdr:row>
      <xdr:rowOff>0</xdr:rowOff>
    </xdr:from>
    <xdr:to>
      <xdr:col>2</xdr:col>
      <xdr:colOff>885825</xdr:colOff>
      <xdr:row>20</xdr:row>
      <xdr:rowOff>9525</xdr:rowOff>
    </xdr:to>
    <xdr:pic>
      <xdr:nvPicPr>
        <xdr:cNvPr id="231804" name="Picture 932" descr="LOGO DGI">
          <a:extLst>
            <a:ext uri="{FF2B5EF4-FFF2-40B4-BE49-F238E27FC236}">
              <a16:creationId xmlns:a16="http://schemas.microsoft.com/office/drawing/2014/main" id="{00000000-0008-0000-1700-00007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05" name="Picture 933" descr="LOGO DGI">
          <a:extLst>
            <a:ext uri="{FF2B5EF4-FFF2-40B4-BE49-F238E27FC236}">
              <a16:creationId xmlns:a16="http://schemas.microsoft.com/office/drawing/2014/main" id="{00000000-0008-0000-1700-00007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06" name="Picture 934" descr="LOGO DGI">
          <a:extLst>
            <a:ext uri="{FF2B5EF4-FFF2-40B4-BE49-F238E27FC236}">
              <a16:creationId xmlns:a16="http://schemas.microsoft.com/office/drawing/2014/main" id="{00000000-0008-0000-1700-00007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07" name="Picture 935" descr="LOGO DGI">
          <a:extLst>
            <a:ext uri="{FF2B5EF4-FFF2-40B4-BE49-F238E27FC236}">
              <a16:creationId xmlns:a16="http://schemas.microsoft.com/office/drawing/2014/main" id="{00000000-0008-0000-1700-00007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08" name="Picture 936" descr="LOGO DGI">
          <a:extLst>
            <a:ext uri="{FF2B5EF4-FFF2-40B4-BE49-F238E27FC236}">
              <a16:creationId xmlns:a16="http://schemas.microsoft.com/office/drawing/2014/main" id="{00000000-0008-0000-1700-00008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09" name="Picture 937" descr="LOGO DGI">
          <a:extLst>
            <a:ext uri="{FF2B5EF4-FFF2-40B4-BE49-F238E27FC236}">
              <a16:creationId xmlns:a16="http://schemas.microsoft.com/office/drawing/2014/main" id="{00000000-0008-0000-1700-00008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0" name="Picture 938" descr="LOGO DGI">
          <a:extLst>
            <a:ext uri="{FF2B5EF4-FFF2-40B4-BE49-F238E27FC236}">
              <a16:creationId xmlns:a16="http://schemas.microsoft.com/office/drawing/2014/main" id="{00000000-0008-0000-1700-00008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1" name="Picture 939" descr="LOGO DGI">
          <a:extLst>
            <a:ext uri="{FF2B5EF4-FFF2-40B4-BE49-F238E27FC236}">
              <a16:creationId xmlns:a16="http://schemas.microsoft.com/office/drawing/2014/main" id="{00000000-0008-0000-1700-00008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2" name="Picture 940" descr="LOGO DGI">
          <a:extLst>
            <a:ext uri="{FF2B5EF4-FFF2-40B4-BE49-F238E27FC236}">
              <a16:creationId xmlns:a16="http://schemas.microsoft.com/office/drawing/2014/main" id="{00000000-0008-0000-1700-00008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3" name="Picture 941" descr="LOGO DGI">
          <a:extLst>
            <a:ext uri="{FF2B5EF4-FFF2-40B4-BE49-F238E27FC236}">
              <a16:creationId xmlns:a16="http://schemas.microsoft.com/office/drawing/2014/main" id="{00000000-0008-0000-1700-00008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4" name="Picture 942" descr="LOGO DGI">
          <a:extLst>
            <a:ext uri="{FF2B5EF4-FFF2-40B4-BE49-F238E27FC236}">
              <a16:creationId xmlns:a16="http://schemas.microsoft.com/office/drawing/2014/main" id="{00000000-0008-0000-1700-00008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5" name="Picture 943" descr="LOGO DGI">
          <a:extLst>
            <a:ext uri="{FF2B5EF4-FFF2-40B4-BE49-F238E27FC236}">
              <a16:creationId xmlns:a16="http://schemas.microsoft.com/office/drawing/2014/main" id="{00000000-0008-0000-1700-00008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6" name="Picture 944" descr="LOGO DGI">
          <a:extLst>
            <a:ext uri="{FF2B5EF4-FFF2-40B4-BE49-F238E27FC236}">
              <a16:creationId xmlns:a16="http://schemas.microsoft.com/office/drawing/2014/main" id="{00000000-0008-0000-1700-00008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7" name="Picture 945" descr="LOGO DGI">
          <a:extLst>
            <a:ext uri="{FF2B5EF4-FFF2-40B4-BE49-F238E27FC236}">
              <a16:creationId xmlns:a16="http://schemas.microsoft.com/office/drawing/2014/main" id="{00000000-0008-0000-1700-00008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8" name="Picture 946" descr="LOGO DGI">
          <a:extLst>
            <a:ext uri="{FF2B5EF4-FFF2-40B4-BE49-F238E27FC236}">
              <a16:creationId xmlns:a16="http://schemas.microsoft.com/office/drawing/2014/main" id="{00000000-0008-0000-1700-00008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19" name="Picture 947" descr="LOGO DGI">
          <a:extLst>
            <a:ext uri="{FF2B5EF4-FFF2-40B4-BE49-F238E27FC236}">
              <a16:creationId xmlns:a16="http://schemas.microsoft.com/office/drawing/2014/main" id="{00000000-0008-0000-1700-00008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20" name="Picture 948" descr="LOGO DGI">
          <a:extLst>
            <a:ext uri="{FF2B5EF4-FFF2-40B4-BE49-F238E27FC236}">
              <a16:creationId xmlns:a16="http://schemas.microsoft.com/office/drawing/2014/main" id="{00000000-0008-0000-1700-00008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21" name="Picture 949" descr="LOGO DGI">
          <a:extLst>
            <a:ext uri="{FF2B5EF4-FFF2-40B4-BE49-F238E27FC236}">
              <a16:creationId xmlns:a16="http://schemas.microsoft.com/office/drawing/2014/main" id="{00000000-0008-0000-1700-00008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22" name="Picture 950" descr="LOGO DGI">
          <a:extLst>
            <a:ext uri="{FF2B5EF4-FFF2-40B4-BE49-F238E27FC236}">
              <a16:creationId xmlns:a16="http://schemas.microsoft.com/office/drawing/2014/main" id="{00000000-0008-0000-1700-00008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9525</xdr:rowOff>
    </xdr:to>
    <xdr:pic>
      <xdr:nvPicPr>
        <xdr:cNvPr id="231823" name="Picture 951" descr="LOGO DGI">
          <a:extLst>
            <a:ext uri="{FF2B5EF4-FFF2-40B4-BE49-F238E27FC236}">
              <a16:creationId xmlns:a16="http://schemas.microsoft.com/office/drawing/2014/main" id="{00000000-0008-0000-1700-00008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</xdr:row>
      <xdr:rowOff>95250</xdr:rowOff>
    </xdr:from>
    <xdr:to>
      <xdr:col>2</xdr:col>
      <xdr:colOff>771525</xdr:colOff>
      <xdr:row>25</xdr:row>
      <xdr:rowOff>104775</xdr:rowOff>
    </xdr:to>
    <xdr:pic>
      <xdr:nvPicPr>
        <xdr:cNvPr id="231824" name="Picture 952" descr="LOGO DGI">
          <a:extLst>
            <a:ext uri="{FF2B5EF4-FFF2-40B4-BE49-F238E27FC236}">
              <a16:creationId xmlns:a16="http://schemas.microsoft.com/office/drawing/2014/main" id="{00000000-0008-0000-1700-00009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528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22</xdr:row>
      <xdr:rowOff>95250</xdr:rowOff>
    </xdr:from>
    <xdr:to>
      <xdr:col>2</xdr:col>
      <xdr:colOff>885825</xdr:colOff>
      <xdr:row>25</xdr:row>
      <xdr:rowOff>104775</xdr:rowOff>
    </xdr:to>
    <xdr:pic>
      <xdr:nvPicPr>
        <xdr:cNvPr id="231825" name="Picture 953" descr="LOGO DGI">
          <a:extLst>
            <a:ext uri="{FF2B5EF4-FFF2-40B4-BE49-F238E27FC236}">
              <a16:creationId xmlns:a16="http://schemas.microsoft.com/office/drawing/2014/main" id="{00000000-0008-0000-1700-00009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7528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26" name="Picture 954" descr="LOGO DGI">
          <a:extLst>
            <a:ext uri="{FF2B5EF4-FFF2-40B4-BE49-F238E27FC236}">
              <a16:creationId xmlns:a16="http://schemas.microsoft.com/office/drawing/2014/main" id="{00000000-0008-0000-1700-00009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27" name="Picture 955" descr="LOGO DGI">
          <a:extLst>
            <a:ext uri="{FF2B5EF4-FFF2-40B4-BE49-F238E27FC236}">
              <a16:creationId xmlns:a16="http://schemas.microsoft.com/office/drawing/2014/main" id="{00000000-0008-0000-1700-00009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28" name="Picture 956" descr="LOGO DGI">
          <a:extLst>
            <a:ext uri="{FF2B5EF4-FFF2-40B4-BE49-F238E27FC236}">
              <a16:creationId xmlns:a16="http://schemas.microsoft.com/office/drawing/2014/main" id="{00000000-0008-0000-1700-00009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29" name="Picture 957" descr="LOGO DGI">
          <a:extLst>
            <a:ext uri="{FF2B5EF4-FFF2-40B4-BE49-F238E27FC236}">
              <a16:creationId xmlns:a16="http://schemas.microsoft.com/office/drawing/2014/main" id="{00000000-0008-0000-1700-00009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0" name="Picture 958" descr="LOGO DGI">
          <a:extLst>
            <a:ext uri="{FF2B5EF4-FFF2-40B4-BE49-F238E27FC236}">
              <a16:creationId xmlns:a16="http://schemas.microsoft.com/office/drawing/2014/main" id="{00000000-0008-0000-1700-00009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1" name="Picture 959" descr="LOGO DGI">
          <a:extLst>
            <a:ext uri="{FF2B5EF4-FFF2-40B4-BE49-F238E27FC236}">
              <a16:creationId xmlns:a16="http://schemas.microsoft.com/office/drawing/2014/main" id="{00000000-0008-0000-1700-00009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2" name="Picture 960" descr="LOGO DGI">
          <a:extLst>
            <a:ext uri="{FF2B5EF4-FFF2-40B4-BE49-F238E27FC236}">
              <a16:creationId xmlns:a16="http://schemas.microsoft.com/office/drawing/2014/main" id="{00000000-0008-0000-1700-00009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3" name="Picture 961" descr="LOGO DGI">
          <a:extLst>
            <a:ext uri="{FF2B5EF4-FFF2-40B4-BE49-F238E27FC236}">
              <a16:creationId xmlns:a16="http://schemas.microsoft.com/office/drawing/2014/main" id="{00000000-0008-0000-1700-00009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4" name="Picture 962" descr="LOGO DGI">
          <a:extLst>
            <a:ext uri="{FF2B5EF4-FFF2-40B4-BE49-F238E27FC236}">
              <a16:creationId xmlns:a16="http://schemas.microsoft.com/office/drawing/2014/main" id="{00000000-0008-0000-1700-00009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5" name="Picture 963" descr="LOGO DGI">
          <a:extLst>
            <a:ext uri="{FF2B5EF4-FFF2-40B4-BE49-F238E27FC236}">
              <a16:creationId xmlns:a16="http://schemas.microsoft.com/office/drawing/2014/main" id="{00000000-0008-0000-1700-00009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6" name="Picture 964" descr="LOGO DGI">
          <a:extLst>
            <a:ext uri="{FF2B5EF4-FFF2-40B4-BE49-F238E27FC236}">
              <a16:creationId xmlns:a16="http://schemas.microsoft.com/office/drawing/2014/main" id="{00000000-0008-0000-1700-00009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7" name="Picture 965" descr="LOGO DGI">
          <a:extLst>
            <a:ext uri="{FF2B5EF4-FFF2-40B4-BE49-F238E27FC236}">
              <a16:creationId xmlns:a16="http://schemas.microsoft.com/office/drawing/2014/main" id="{00000000-0008-0000-1700-00009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8" name="Picture 966" descr="LOGO DGI">
          <a:extLst>
            <a:ext uri="{FF2B5EF4-FFF2-40B4-BE49-F238E27FC236}">
              <a16:creationId xmlns:a16="http://schemas.microsoft.com/office/drawing/2014/main" id="{00000000-0008-0000-1700-00009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39" name="Picture 967" descr="LOGO DGI">
          <a:extLst>
            <a:ext uri="{FF2B5EF4-FFF2-40B4-BE49-F238E27FC236}">
              <a16:creationId xmlns:a16="http://schemas.microsoft.com/office/drawing/2014/main" id="{00000000-0008-0000-1700-00009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40" name="Picture 968" descr="LOGO DGI">
          <a:extLst>
            <a:ext uri="{FF2B5EF4-FFF2-40B4-BE49-F238E27FC236}">
              <a16:creationId xmlns:a16="http://schemas.microsoft.com/office/drawing/2014/main" id="{00000000-0008-0000-1700-0000A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41" name="Picture 969" descr="LOGO DGI">
          <a:extLst>
            <a:ext uri="{FF2B5EF4-FFF2-40B4-BE49-F238E27FC236}">
              <a16:creationId xmlns:a16="http://schemas.microsoft.com/office/drawing/2014/main" id="{00000000-0008-0000-1700-0000A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42" name="Picture 970" descr="LOGO DGI">
          <a:extLst>
            <a:ext uri="{FF2B5EF4-FFF2-40B4-BE49-F238E27FC236}">
              <a16:creationId xmlns:a16="http://schemas.microsoft.com/office/drawing/2014/main" id="{00000000-0008-0000-1700-0000A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</xdr:row>
      <xdr:rowOff>0</xdr:rowOff>
    </xdr:from>
    <xdr:to>
      <xdr:col>2</xdr:col>
      <xdr:colOff>771525</xdr:colOff>
      <xdr:row>20</xdr:row>
      <xdr:rowOff>0</xdr:rowOff>
    </xdr:to>
    <xdr:pic>
      <xdr:nvPicPr>
        <xdr:cNvPr id="231843" name="Picture 971" descr="LOGO DGI">
          <a:extLst>
            <a:ext uri="{FF2B5EF4-FFF2-40B4-BE49-F238E27FC236}">
              <a16:creationId xmlns:a16="http://schemas.microsoft.com/office/drawing/2014/main" id="{00000000-0008-0000-1700-0000A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</xdr:row>
      <xdr:rowOff>95250</xdr:rowOff>
    </xdr:from>
    <xdr:to>
      <xdr:col>2</xdr:col>
      <xdr:colOff>771525</xdr:colOff>
      <xdr:row>25</xdr:row>
      <xdr:rowOff>104775</xdr:rowOff>
    </xdr:to>
    <xdr:pic>
      <xdr:nvPicPr>
        <xdr:cNvPr id="231844" name="Picture 972" descr="LOGO DGI">
          <a:extLst>
            <a:ext uri="{FF2B5EF4-FFF2-40B4-BE49-F238E27FC236}">
              <a16:creationId xmlns:a16="http://schemas.microsoft.com/office/drawing/2014/main" id="{00000000-0008-0000-1700-0000A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528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39</xdr:row>
      <xdr:rowOff>95250</xdr:rowOff>
    </xdr:from>
    <xdr:to>
      <xdr:col>2</xdr:col>
      <xdr:colOff>771525</xdr:colOff>
      <xdr:row>42</xdr:row>
      <xdr:rowOff>104775</xdr:rowOff>
    </xdr:to>
    <xdr:pic>
      <xdr:nvPicPr>
        <xdr:cNvPr id="231845" name="Picture 973" descr="LOGO DGI">
          <a:extLst>
            <a:ext uri="{FF2B5EF4-FFF2-40B4-BE49-F238E27FC236}">
              <a16:creationId xmlns:a16="http://schemas.microsoft.com/office/drawing/2014/main" id="{00000000-0008-0000-1700-0000A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66008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39</xdr:row>
      <xdr:rowOff>95250</xdr:rowOff>
    </xdr:from>
    <xdr:to>
      <xdr:col>2</xdr:col>
      <xdr:colOff>885825</xdr:colOff>
      <xdr:row>42</xdr:row>
      <xdr:rowOff>104775</xdr:rowOff>
    </xdr:to>
    <xdr:pic>
      <xdr:nvPicPr>
        <xdr:cNvPr id="231846" name="Picture 974" descr="LOGO DGI">
          <a:extLst>
            <a:ext uri="{FF2B5EF4-FFF2-40B4-BE49-F238E27FC236}">
              <a16:creationId xmlns:a16="http://schemas.microsoft.com/office/drawing/2014/main" id="{00000000-0008-0000-1700-0000A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66008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47" name="Picture 975" descr="LOGO DGI">
          <a:extLst>
            <a:ext uri="{FF2B5EF4-FFF2-40B4-BE49-F238E27FC236}">
              <a16:creationId xmlns:a16="http://schemas.microsoft.com/office/drawing/2014/main" id="{00000000-0008-0000-1700-0000A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48" name="Picture 976" descr="LOGO DGI">
          <a:extLst>
            <a:ext uri="{FF2B5EF4-FFF2-40B4-BE49-F238E27FC236}">
              <a16:creationId xmlns:a16="http://schemas.microsoft.com/office/drawing/2014/main" id="{00000000-0008-0000-1700-0000A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49" name="Picture 977" descr="LOGO DGI">
          <a:extLst>
            <a:ext uri="{FF2B5EF4-FFF2-40B4-BE49-F238E27FC236}">
              <a16:creationId xmlns:a16="http://schemas.microsoft.com/office/drawing/2014/main" id="{00000000-0008-0000-1700-0000A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0" name="Picture 978" descr="LOGO DGI">
          <a:extLst>
            <a:ext uri="{FF2B5EF4-FFF2-40B4-BE49-F238E27FC236}">
              <a16:creationId xmlns:a16="http://schemas.microsoft.com/office/drawing/2014/main" id="{00000000-0008-0000-1700-0000A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1" name="Picture 979" descr="LOGO DGI">
          <a:extLst>
            <a:ext uri="{FF2B5EF4-FFF2-40B4-BE49-F238E27FC236}">
              <a16:creationId xmlns:a16="http://schemas.microsoft.com/office/drawing/2014/main" id="{00000000-0008-0000-1700-0000A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2" name="Picture 980" descr="LOGO DGI">
          <a:extLst>
            <a:ext uri="{FF2B5EF4-FFF2-40B4-BE49-F238E27FC236}">
              <a16:creationId xmlns:a16="http://schemas.microsoft.com/office/drawing/2014/main" id="{00000000-0008-0000-1700-0000A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3" name="Picture 981" descr="LOGO DGI">
          <a:extLst>
            <a:ext uri="{FF2B5EF4-FFF2-40B4-BE49-F238E27FC236}">
              <a16:creationId xmlns:a16="http://schemas.microsoft.com/office/drawing/2014/main" id="{00000000-0008-0000-1700-0000A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4" name="Picture 982" descr="LOGO DGI">
          <a:extLst>
            <a:ext uri="{FF2B5EF4-FFF2-40B4-BE49-F238E27FC236}">
              <a16:creationId xmlns:a16="http://schemas.microsoft.com/office/drawing/2014/main" id="{00000000-0008-0000-1700-0000A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5" name="Picture 983" descr="LOGO DGI">
          <a:extLst>
            <a:ext uri="{FF2B5EF4-FFF2-40B4-BE49-F238E27FC236}">
              <a16:creationId xmlns:a16="http://schemas.microsoft.com/office/drawing/2014/main" id="{00000000-0008-0000-1700-0000A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6" name="Picture 984" descr="LOGO DGI">
          <a:extLst>
            <a:ext uri="{FF2B5EF4-FFF2-40B4-BE49-F238E27FC236}">
              <a16:creationId xmlns:a16="http://schemas.microsoft.com/office/drawing/2014/main" id="{00000000-0008-0000-1700-0000B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7" name="Picture 985" descr="LOGO DGI">
          <a:extLst>
            <a:ext uri="{FF2B5EF4-FFF2-40B4-BE49-F238E27FC236}">
              <a16:creationId xmlns:a16="http://schemas.microsoft.com/office/drawing/2014/main" id="{00000000-0008-0000-1700-0000B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8" name="Picture 986" descr="LOGO DGI">
          <a:extLst>
            <a:ext uri="{FF2B5EF4-FFF2-40B4-BE49-F238E27FC236}">
              <a16:creationId xmlns:a16="http://schemas.microsoft.com/office/drawing/2014/main" id="{00000000-0008-0000-1700-0000B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59" name="Picture 987" descr="LOGO DGI">
          <a:extLst>
            <a:ext uri="{FF2B5EF4-FFF2-40B4-BE49-F238E27FC236}">
              <a16:creationId xmlns:a16="http://schemas.microsoft.com/office/drawing/2014/main" id="{00000000-0008-0000-1700-0000B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60" name="Picture 988" descr="LOGO DGI">
          <a:extLst>
            <a:ext uri="{FF2B5EF4-FFF2-40B4-BE49-F238E27FC236}">
              <a16:creationId xmlns:a16="http://schemas.microsoft.com/office/drawing/2014/main" id="{00000000-0008-0000-1700-0000B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61" name="Picture 989" descr="LOGO DGI">
          <a:extLst>
            <a:ext uri="{FF2B5EF4-FFF2-40B4-BE49-F238E27FC236}">
              <a16:creationId xmlns:a16="http://schemas.microsoft.com/office/drawing/2014/main" id="{00000000-0008-0000-1700-0000B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62" name="Picture 990" descr="LOGO DGI">
          <a:extLst>
            <a:ext uri="{FF2B5EF4-FFF2-40B4-BE49-F238E27FC236}">
              <a16:creationId xmlns:a16="http://schemas.microsoft.com/office/drawing/2014/main" id="{00000000-0008-0000-1700-0000B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63" name="Picture 991" descr="LOGO DGI">
          <a:extLst>
            <a:ext uri="{FF2B5EF4-FFF2-40B4-BE49-F238E27FC236}">
              <a16:creationId xmlns:a16="http://schemas.microsoft.com/office/drawing/2014/main" id="{00000000-0008-0000-1700-0000B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</xdr:row>
      <xdr:rowOff>0</xdr:rowOff>
    </xdr:from>
    <xdr:to>
      <xdr:col>2</xdr:col>
      <xdr:colOff>771525</xdr:colOff>
      <xdr:row>37</xdr:row>
      <xdr:rowOff>0</xdr:rowOff>
    </xdr:to>
    <xdr:pic>
      <xdr:nvPicPr>
        <xdr:cNvPr id="231864" name="Picture 992" descr="LOGO DGI">
          <a:extLst>
            <a:ext uri="{FF2B5EF4-FFF2-40B4-BE49-F238E27FC236}">
              <a16:creationId xmlns:a16="http://schemas.microsoft.com/office/drawing/2014/main" id="{00000000-0008-0000-1700-0000B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39</xdr:row>
      <xdr:rowOff>95250</xdr:rowOff>
    </xdr:from>
    <xdr:to>
      <xdr:col>2</xdr:col>
      <xdr:colOff>771525</xdr:colOff>
      <xdr:row>42</xdr:row>
      <xdr:rowOff>104775</xdr:rowOff>
    </xdr:to>
    <xdr:pic>
      <xdr:nvPicPr>
        <xdr:cNvPr id="231865" name="Picture 993" descr="LOGO DGI">
          <a:extLst>
            <a:ext uri="{FF2B5EF4-FFF2-40B4-BE49-F238E27FC236}">
              <a16:creationId xmlns:a16="http://schemas.microsoft.com/office/drawing/2014/main" id="{00000000-0008-0000-1700-0000B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66008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56</xdr:row>
      <xdr:rowOff>95250</xdr:rowOff>
    </xdr:from>
    <xdr:to>
      <xdr:col>2</xdr:col>
      <xdr:colOff>771525</xdr:colOff>
      <xdr:row>59</xdr:row>
      <xdr:rowOff>104775</xdr:rowOff>
    </xdr:to>
    <xdr:pic>
      <xdr:nvPicPr>
        <xdr:cNvPr id="231866" name="Picture 994" descr="LOGO DGI">
          <a:extLst>
            <a:ext uri="{FF2B5EF4-FFF2-40B4-BE49-F238E27FC236}">
              <a16:creationId xmlns:a16="http://schemas.microsoft.com/office/drawing/2014/main" id="{00000000-0008-0000-1700-0000B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94488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56</xdr:row>
      <xdr:rowOff>95250</xdr:rowOff>
    </xdr:from>
    <xdr:to>
      <xdr:col>2</xdr:col>
      <xdr:colOff>885825</xdr:colOff>
      <xdr:row>59</xdr:row>
      <xdr:rowOff>104775</xdr:rowOff>
    </xdr:to>
    <xdr:pic>
      <xdr:nvPicPr>
        <xdr:cNvPr id="231867" name="Picture 995" descr="LOGO DGI">
          <a:extLst>
            <a:ext uri="{FF2B5EF4-FFF2-40B4-BE49-F238E27FC236}">
              <a16:creationId xmlns:a16="http://schemas.microsoft.com/office/drawing/2014/main" id="{00000000-0008-0000-1700-0000B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94488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68" name="Picture 996" descr="LOGO DGI">
          <a:extLst>
            <a:ext uri="{FF2B5EF4-FFF2-40B4-BE49-F238E27FC236}">
              <a16:creationId xmlns:a16="http://schemas.microsoft.com/office/drawing/2014/main" id="{00000000-0008-0000-1700-0000B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69" name="Picture 997" descr="LOGO DGI">
          <a:extLst>
            <a:ext uri="{FF2B5EF4-FFF2-40B4-BE49-F238E27FC236}">
              <a16:creationId xmlns:a16="http://schemas.microsoft.com/office/drawing/2014/main" id="{00000000-0008-0000-1700-0000B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0" name="Picture 998" descr="LOGO DGI">
          <a:extLst>
            <a:ext uri="{FF2B5EF4-FFF2-40B4-BE49-F238E27FC236}">
              <a16:creationId xmlns:a16="http://schemas.microsoft.com/office/drawing/2014/main" id="{00000000-0008-0000-1700-0000B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1" name="Picture 999" descr="LOGO DGI">
          <a:extLst>
            <a:ext uri="{FF2B5EF4-FFF2-40B4-BE49-F238E27FC236}">
              <a16:creationId xmlns:a16="http://schemas.microsoft.com/office/drawing/2014/main" id="{00000000-0008-0000-1700-0000B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2" name="Picture 1000" descr="LOGO DGI">
          <a:extLst>
            <a:ext uri="{FF2B5EF4-FFF2-40B4-BE49-F238E27FC236}">
              <a16:creationId xmlns:a16="http://schemas.microsoft.com/office/drawing/2014/main" id="{00000000-0008-0000-1700-0000C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3" name="Picture 1001" descr="LOGO DGI">
          <a:extLst>
            <a:ext uri="{FF2B5EF4-FFF2-40B4-BE49-F238E27FC236}">
              <a16:creationId xmlns:a16="http://schemas.microsoft.com/office/drawing/2014/main" id="{00000000-0008-0000-1700-0000C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4" name="Picture 1002" descr="LOGO DGI">
          <a:extLst>
            <a:ext uri="{FF2B5EF4-FFF2-40B4-BE49-F238E27FC236}">
              <a16:creationId xmlns:a16="http://schemas.microsoft.com/office/drawing/2014/main" id="{00000000-0008-0000-1700-0000C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5" name="Picture 1003" descr="LOGO DGI">
          <a:extLst>
            <a:ext uri="{FF2B5EF4-FFF2-40B4-BE49-F238E27FC236}">
              <a16:creationId xmlns:a16="http://schemas.microsoft.com/office/drawing/2014/main" id="{00000000-0008-0000-1700-0000C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6" name="Picture 1004" descr="LOGO DGI">
          <a:extLst>
            <a:ext uri="{FF2B5EF4-FFF2-40B4-BE49-F238E27FC236}">
              <a16:creationId xmlns:a16="http://schemas.microsoft.com/office/drawing/2014/main" id="{00000000-0008-0000-1700-0000C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7" name="Picture 1005" descr="LOGO DGI">
          <a:extLst>
            <a:ext uri="{FF2B5EF4-FFF2-40B4-BE49-F238E27FC236}">
              <a16:creationId xmlns:a16="http://schemas.microsoft.com/office/drawing/2014/main" id="{00000000-0008-0000-1700-0000C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8" name="Picture 1006" descr="LOGO DGI">
          <a:extLst>
            <a:ext uri="{FF2B5EF4-FFF2-40B4-BE49-F238E27FC236}">
              <a16:creationId xmlns:a16="http://schemas.microsoft.com/office/drawing/2014/main" id="{00000000-0008-0000-1700-0000C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79" name="Picture 1007" descr="LOGO DGI">
          <a:extLst>
            <a:ext uri="{FF2B5EF4-FFF2-40B4-BE49-F238E27FC236}">
              <a16:creationId xmlns:a16="http://schemas.microsoft.com/office/drawing/2014/main" id="{00000000-0008-0000-1700-0000C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80" name="Picture 1008" descr="LOGO DGI">
          <a:extLst>
            <a:ext uri="{FF2B5EF4-FFF2-40B4-BE49-F238E27FC236}">
              <a16:creationId xmlns:a16="http://schemas.microsoft.com/office/drawing/2014/main" id="{00000000-0008-0000-1700-0000C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81" name="Picture 1009" descr="LOGO DGI">
          <a:extLst>
            <a:ext uri="{FF2B5EF4-FFF2-40B4-BE49-F238E27FC236}">
              <a16:creationId xmlns:a16="http://schemas.microsoft.com/office/drawing/2014/main" id="{00000000-0008-0000-1700-0000C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82" name="Picture 1010" descr="LOGO DGI">
          <a:extLst>
            <a:ext uri="{FF2B5EF4-FFF2-40B4-BE49-F238E27FC236}">
              <a16:creationId xmlns:a16="http://schemas.microsoft.com/office/drawing/2014/main" id="{00000000-0008-0000-1700-0000C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83" name="Picture 1011" descr="LOGO DGI">
          <a:extLst>
            <a:ext uri="{FF2B5EF4-FFF2-40B4-BE49-F238E27FC236}">
              <a16:creationId xmlns:a16="http://schemas.microsoft.com/office/drawing/2014/main" id="{00000000-0008-0000-1700-0000C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84" name="Picture 1012" descr="LOGO DGI">
          <a:extLst>
            <a:ext uri="{FF2B5EF4-FFF2-40B4-BE49-F238E27FC236}">
              <a16:creationId xmlns:a16="http://schemas.microsoft.com/office/drawing/2014/main" id="{00000000-0008-0000-1700-0000C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51</xdr:row>
      <xdr:rowOff>0</xdr:rowOff>
    </xdr:from>
    <xdr:to>
      <xdr:col>2</xdr:col>
      <xdr:colOff>771525</xdr:colOff>
      <xdr:row>54</xdr:row>
      <xdr:rowOff>0</xdr:rowOff>
    </xdr:to>
    <xdr:pic>
      <xdr:nvPicPr>
        <xdr:cNvPr id="231885" name="Picture 1013" descr="LOGO DGI">
          <a:extLst>
            <a:ext uri="{FF2B5EF4-FFF2-40B4-BE49-F238E27FC236}">
              <a16:creationId xmlns:a16="http://schemas.microsoft.com/office/drawing/2014/main" id="{00000000-0008-0000-1700-0000C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4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56</xdr:row>
      <xdr:rowOff>95250</xdr:rowOff>
    </xdr:from>
    <xdr:to>
      <xdr:col>2</xdr:col>
      <xdr:colOff>771525</xdr:colOff>
      <xdr:row>59</xdr:row>
      <xdr:rowOff>104775</xdr:rowOff>
    </xdr:to>
    <xdr:pic>
      <xdr:nvPicPr>
        <xdr:cNvPr id="231886" name="Picture 1014" descr="LOGO DGI">
          <a:extLst>
            <a:ext uri="{FF2B5EF4-FFF2-40B4-BE49-F238E27FC236}">
              <a16:creationId xmlns:a16="http://schemas.microsoft.com/office/drawing/2014/main" id="{00000000-0008-0000-1700-0000C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94488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73</xdr:row>
      <xdr:rowOff>95250</xdr:rowOff>
    </xdr:from>
    <xdr:to>
      <xdr:col>2</xdr:col>
      <xdr:colOff>771525</xdr:colOff>
      <xdr:row>76</xdr:row>
      <xdr:rowOff>104775</xdr:rowOff>
    </xdr:to>
    <xdr:pic>
      <xdr:nvPicPr>
        <xdr:cNvPr id="231887" name="Picture 1015" descr="LOGO DGI">
          <a:extLst>
            <a:ext uri="{FF2B5EF4-FFF2-40B4-BE49-F238E27FC236}">
              <a16:creationId xmlns:a16="http://schemas.microsoft.com/office/drawing/2014/main" id="{00000000-0008-0000-1700-0000C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22967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73</xdr:row>
      <xdr:rowOff>95250</xdr:rowOff>
    </xdr:from>
    <xdr:to>
      <xdr:col>2</xdr:col>
      <xdr:colOff>885825</xdr:colOff>
      <xdr:row>76</xdr:row>
      <xdr:rowOff>104775</xdr:rowOff>
    </xdr:to>
    <xdr:pic>
      <xdr:nvPicPr>
        <xdr:cNvPr id="231888" name="Picture 1016" descr="LOGO DGI">
          <a:extLst>
            <a:ext uri="{FF2B5EF4-FFF2-40B4-BE49-F238E27FC236}">
              <a16:creationId xmlns:a16="http://schemas.microsoft.com/office/drawing/2014/main" id="{00000000-0008-0000-1700-0000D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22967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89" name="Picture 1017" descr="LOGO DGI">
          <a:extLst>
            <a:ext uri="{FF2B5EF4-FFF2-40B4-BE49-F238E27FC236}">
              <a16:creationId xmlns:a16="http://schemas.microsoft.com/office/drawing/2014/main" id="{00000000-0008-0000-1700-0000D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0" name="Picture 1018" descr="LOGO DGI">
          <a:extLst>
            <a:ext uri="{FF2B5EF4-FFF2-40B4-BE49-F238E27FC236}">
              <a16:creationId xmlns:a16="http://schemas.microsoft.com/office/drawing/2014/main" id="{00000000-0008-0000-1700-0000D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1" name="Picture 1019" descr="LOGO DGI">
          <a:extLst>
            <a:ext uri="{FF2B5EF4-FFF2-40B4-BE49-F238E27FC236}">
              <a16:creationId xmlns:a16="http://schemas.microsoft.com/office/drawing/2014/main" id="{00000000-0008-0000-1700-0000D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2" name="Picture 1020" descr="LOGO DGI">
          <a:extLst>
            <a:ext uri="{FF2B5EF4-FFF2-40B4-BE49-F238E27FC236}">
              <a16:creationId xmlns:a16="http://schemas.microsoft.com/office/drawing/2014/main" id="{00000000-0008-0000-1700-0000D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3" name="Picture 1021" descr="LOGO DGI">
          <a:extLst>
            <a:ext uri="{FF2B5EF4-FFF2-40B4-BE49-F238E27FC236}">
              <a16:creationId xmlns:a16="http://schemas.microsoft.com/office/drawing/2014/main" id="{00000000-0008-0000-1700-0000D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4" name="Picture 1022" descr="LOGO DGI">
          <a:extLst>
            <a:ext uri="{FF2B5EF4-FFF2-40B4-BE49-F238E27FC236}">
              <a16:creationId xmlns:a16="http://schemas.microsoft.com/office/drawing/2014/main" id="{00000000-0008-0000-1700-0000D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5" name="Picture 1023" descr="LOGO DGI">
          <a:extLst>
            <a:ext uri="{FF2B5EF4-FFF2-40B4-BE49-F238E27FC236}">
              <a16:creationId xmlns:a16="http://schemas.microsoft.com/office/drawing/2014/main" id="{00000000-0008-0000-1700-0000D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6" name="Picture 1024" descr="LOGO DGI">
          <a:extLst>
            <a:ext uri="{FF2B5EF4-FFF2-40B4-BE49-F238E27FC236}">
              <a16:creationId xmlns:a16="http://schemas.microsoft.com/office/drawing/2014/main" id="{00000000-0008-0000-1700-0000D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7" name="Picture 1025" descr="LOGO DGI">
          <a:extLst>
            <a:ext uri="{FF2B5EF4-FFF2-40B4-BE49-F238E27FC236}">
              <a16:creationId xmlns:a16="http://schemas.microsoft.com/office/drawing/2014/main" id="{00000000-0008-0000-1700-0000D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8" name="Picture 1026" descr="LOGO DGI">
          <a:extLst>
            <a:ext uri="{FF2B5EF4-FFF2-40B4-BE49-F238E27FC236}">
              <a16:creationId xmlns:a16="http://schemas.microsoft.com/office/drawing/2014/main" id="{00000000-0008-0000-1700-0000D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899" name="Picture 1027" descr="LOGO DGI">
          <a:extLst>
            <a:ext uri="{FF2B5EF4-FFF2-40B4-BE49-F238E27FC236}">
              <a16:creationId xmlns:a16="http://schemas.microsoft.com/office/drawing/2014/main" id="{00000000-0008-0000-1700-0000D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900" name="Picture 1028" descr="LOGO DGI">
          <a:extLst>
            <a:ext uri="{FF2B5EF4-FFF2-40B4-BE49-F238E27FC236}">
              <a16:creationId xmlns:a16="http://schemas.microsoft.com/office/drawing/2014/main" id="{00000000-0008-0000-1700-0000D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901" name="Picture 1029" descr="LOGO DGI">
          <a:extLst>
            <a:ext uri="{FF2B5EF4-FFF2-40B4-BE49-F238E27FC236}">
              <a16:creationId xmlns:a16="http://schemas.microsoft.com/office/drawing/2014/main" id="{00000000-0008-0000-1700-0000D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902" name="Picture 1030" descr="LOGO DGI">
          <a:extLst>
            <a:ext uri="{FF2B5EF4-FFF2-40B4-BE49-F238E27FC236}">
              <a16:creationId xmlns:a16="http://schemas.microsoft.com/office/drawing/2014/main" id="{00000000-0008-0000-1700-0000D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903" name="Picture 1031" descr="LOGO DGI">
          <a:extLst>
            <a:ext uri="{FF2B5EF4-FFF2-40B4-BE49-F238E27FC236}">
              <a16:creationId xmlns:a16="http://schemas.microsoft.com/office/drawing/2014/main" id="{00000000-0008-0000-1700-0000D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904" name="Picture 1032" descr="LOGO DGI">
          <a:extLst>
            <a:ext uri="{FF2B5EF4-FFF2-40B4-BE49-F238E27FC236}">
              <a16:creationId xmlns:a16="http://schemas.microsoft.com/office/drawing/2014/main" id="{00000000-0008-0000-1700-0000E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905" name="Picture 1033" descr="LOGO DGI">
          <a:extLst>
            <a:ext uri="{FF2B5EF4-FFF2-40B4-BE49-F238E27FC236}">
              <a16:creationId xmlns:a16="http://schemas.microsoft.com/office/drawing/2014/main" id="{00000000-0008-0000-1700-0000E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68</xdr:row>
      <xdr:rowOff>0</xdr:rowOff>
    </xdr:from>
    <xdr:to>
      <xdr:col>2</xdr:col>
      <xdr:colOff>771525</xdr:colOff>
      <xdr:row>71</xdr:row>
      <xdr:rowOff>0</xdr:rowOff>
    </xdr:to>
    <xdr:pic>
      <xdr:nvPicPr>
        <xdr:cNvPr id="231906" name="Picture 1034" descr="LOGO DGI">
          <a:extLst>
            <a:ext uri="{FF2B5EF4-FFF2-40B4-BE49-F238E27FC236}">
              <a16:creationId xmlns:a16="http://schemas.microsoft.com/office/drawing/2014/main" id="{00000000-0008-0000-1700-0000E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139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73</xdr:row>
      <xdr:rowOff>95250</xdr:rowOff>
    </xdr:from>
    <xdr:to>
      <xdr:col>2</xdr:col>
      <xdr:colOff>771525</xdr:colOff>
      <xdr:row>76</xdr:row>
      <xdr:rowOff>104775</xdr:rowOff>
    </xdr:to>
    <xdr:pic>
      <xdr:nvPicPr>
        <xdr:cNvPr id="231907" name="Picture 1035" descr="LOGO DGI">
          <a:extLst>
            <a:ext uri="{FF2B5EF4-FFF2-40B4-BE49-F238E27FC236}">
              <a16:creationId xmlns:a16="http://schemas.microsoft.com/office/drawing/2014/main" id="{00000000-0008-0000-1700-0000E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22967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90</xdr:row>
      <xdr:rowOff>95250</xdr:rowOff>
    </xdr:from>
    <xdr:to>
      <xdr:col>2</xdr:col>
      <xdr:colOff>771525</xdr:colOff>
      <xdr:row>93</xdr:row>
      <xdr:rowOff>104775</xdr:rowOff>
    </xdr:to>
    <xdr:pic>
      <xdr:nvPicPr>
        <xdr:cNvPr id="231908" name="Picture 1036" descr="LOGO DGI">
          <a:extLst>
            <a:ext uri="{FF2B5EF4-FFF2-40B4-BE49-F238E27FC236}">
              <a16:creationId xmlns:a16="http://schemas.microsoft.com/office/drawing/2014/main" id="{00000000-0008-0000-1700-0000E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51447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90</xdr:row>
      <xdr:rowOff>95250</xdr:rowOff>
    </xdr:from>
    <xdr:to>
      <xdr:col>2</xdr:col>
      <xdr:colOff>885825</xdr:colOff>
      <xdr:row>93</xdr:row>
      <xdr:rowOff>104775</xdr:rowOff>
    </xdr:to>
    <xdr:pic>
      <xdr:nvPicPr>
        <xdr:cNvPr id="231909" name="Picture 1037" descr="LOGO DGI">
          <a:extLst>
            <a:ext uri="{FF2B5EF4-FFF2-40B4-BE49-F238E27FC236}">
              <a16:creationId xmlns:a16="http://schemas.microsoft.com/office/drawing/2014/main" id="{00000000-0008-0000-1700-0000E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51447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0" name="Picture 1038" descr="LOGO DGI">
          <a:extLst>
            <a:ext uri="{FF2B5EF4-FFF2-40B4-BE49-F238E27FC236}">
              <a16:creationId xmlns:a16="http://schemas.microsoft.com/office/drawing/2014/main" id="{00000000-0008-0000-1700-0000E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1" name="Picture 1039" descr="LOGO DGI">
          <a:extLst>
            <a:ext uri="{FF2B5EF4-FFF2-40B4-BE49-F238E27FC236}">
              <a16:creationId xmlns:a16="http://schemas.microsoft.com/office/drawing/2014/main" id="{00000000-0008-0000-1700-0000E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2" name="Picture 1040" descr="LOGO DGI">
          <a:extLst>
            <a:ext uri="{FF2B5EF4-FFF2-40B4-BE49-F238E27FC236}">
              <a16:creationId xmlns:a16="http://schemas.microsoft.com/office/drawing/2014/main" id="{00000000-0008-0000-1700-0000E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3" name="Picture 1041" descr="LOGO DGI">
          <a:extLst>
            <a:ext uri="{FF2B5EF4-FFF2-40B4-BE49-F238E27FC236}">
              <a16:creationId xmlns:a16="http://schemas.microsoft.com/office/drawing/2014/main" id="{00000000-0008-0000-1700-0000E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4" name="Picture 1042" descr="LOGO DGI">
          <a:extLst>
            <a:ext uri="{FF2B5EF4-FFF2-40B4-BE49-F238E27FC236}">
              <a16:creationId xmlns:a16="http://schemas.microsoft.com/office/drawing/2014/main" id="{00000000-0008-0000-1700-0000E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5" name="Picture 1043" descr="LOGO DGI">
          <a:extLst>
            <a:ext uri="{FF2B5EF4-FFF2-40B4-BE49-F238E27FC236}">
              <a16:creationId xmlns:a16="http://schemas.microsoft.com/office/drawing/2014/main" id="{00000000-0008-0000-1700-0000E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6" name="Picture 1044" descr="LOGO DGI">
          <a:extLst>
            <a:ext uri="{FF2B5EF4-FFF2-40B4-BE49-F238E27FC236}">
              <a16:creationId xmlns:a16="http://schemas.microsoft.com/office/drawing/2014/main" id="{00000000-0008-0000-1700-0000E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7" name="Picture 1045" descr="LOGO DGI">
          <a:extLst>
            <a:ext uri="{FF2B5EF4-FFF2-40B4-BE49-F238E27FC236}">
              <a16:creationId xmlns:a16="http://schemas.microsoft.com/office/drawing/2014/main" id="{00000000-0008-0000-1700-0000E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8" name="Picture 1046" descr="LOGO DGI">
          <a:extLst>
            <a:ext uri="{FF2B5EF4-FFF2-40B4-BE49-F238E27FC236}">
              <a16:creationId xmlns:a16="http://schemas.microsoft.com/office/drawing/2014/main" id="{00000000-0008-0000-1700-0000E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19" name="Picture 1047" descr="LOGO DGI">
          <a:extLst>
            <a:ext uri="{FF2B5EF4-FFF2-40B4-BE49-F238E27FC236}">
              <a16:creationId xmlns:a16="http://schemas.microsoft.com/office/drawing/2014/main" id="{00000000-0008-0000-1700-0000E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0" name="Picture 1048" descr="LOGO DGI">
          <a:extLst>
            <a:ext uri="{FF2B5EF4-FFF2-40B4-BE49-F238E27FC236}">
              <a16:creationId xmlns:a16="http://schemas.microsoft.com/office/drawing/2014/main" id="{00000000-0008-0000-1700-0000F0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1" name="Picture 1049" descr="LOGO DGI">
          <a:extLst>
            <a:ext uri="{FF2B5EF4-FFF2-40B4-BE49-F238E27FC236}">
              <a16:creationId xmlns:a16="http://schemas.microsoft.com/office/drawing/2014/main" id="{00000000-0008-0000-1700-0000F1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2" name="Picture 1050" descr="LOGO DGI">
          <a:extLst>
            <a:ext uri="{FF2B5EF4-FFF2-40B4-BE49-F238E27FC236}">
              <a16:creationId xmlns:a16="http://schemas.microsoft.com/office/drawing/2014/main" id="{00000000-0008-0000-1700-0000F2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3" name="Picture 1051" descr="LOGO DGI">
          <a:extLst>
            <a:ext uri="{FF2B5EF4-FFF2-40B4-BE49-F238E27FC236}">
              <a16:creationId xmlns:a16="http://schemas.microsoft.com/office/drawing/2014/main" id="{00000000-0008-0000-1700-0000F3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4" name="Picture 1052" descr="LOGO DGI">
          <a:extLst>
            <a:ext uri="{FF2B5EF4-FFF2-40B4-BE49-F238E27FC236}">
              <a16:creationId xmlns:a16="http://schemas.microsoft.com/office/drawing/2014/main" id="{00000000-0008-0000-1700-0000F4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5" name="Picture 1053" descr="LOGO DGI">
          <a:extLst>
            <a:ext uri="{FF2B5EF4-FFF2-40B4-BE49-F238E27FC236}">
              <a16:creationId xmlns:a16="http://schemas.microsoft.com/office/drawing/2014/main" id="{00000000-0008-0000-1700-0000F5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6" name="Picture 1054" descr="LOGO DGI">
          <a:extLst>
            <a:ext uri="{FF2B5EF4-FFF2-40B4-BE49-F238E27FC236}">
              <a16:creationId xmlns:a16="http://schemas.microsoft.com/office/drawing/2014/main" id="{00000000-0008-0000-1700-0000F6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85</xdr:row>
      <xdr:rowOff>0</xdr:rowOff>
    </xdr:from>
    <xdr:to>
      <xdr:col>2</xdr:col>
      <xdr:colOff>771525</xdr:colOff>
      <xdr:row>88</xdr:row>
      <xdr:rowOff>0</xdr:rowOff>
    </xdr:to>
    <xdr:pic>
      <xdr:nvPicPr>
        <xdr:cNvPr id="231927" name="Picture 1055" descr="LOGO DGI">
          <a:extLst>
            <a:ext uri="{FF2B5EF4-FFF2-40B4-BE49-F238E27FC236}">
              <a16:creationId xmlns:a16="http://schemas.microsoft.com/office/drawing/2014/main" id="{00000000-0008-0000-1700-0000F7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423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90</xdr:row>
      <xdr:rowOff>95250</xdr:rowOff>
    </xdr:from>
    <xdr:to>
      <xdr:col>2</xdr:col>
      <xdr:colOff>771525</xdr:colOff>
      <xdr:row>93</xdr:row>
      <xdr:rowOff>104775</xdr:rowOff>
    </xdr:to>
    <xdr:pic>
      <xdr:nvPicPr>
        <xdr:cNvPr id="231928" name="Picture 1056" descr="LOGO DGI">
          <a:extLst>
            <a:ext uri="{FF2B5EF4-FFF2-40B4-BE49-F238E27FC236}">
              <a16:creationId xmlns:a16="http://schemas.microsoft.com/office/drawing/2014/main" id="{00000000-0008-0000-1700-0000F8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51447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107</xdr:row>
      <xdr:rowOff>95250</xdr:rowOff>
    </xdr:from>
    <xdr:to>
      <xdr:col>2</xdr:col>
      <xdr:colOff>771525</xdr:colOff>
      <xdr:row>110</xdr:row>
      <xdr:rowOff>104775</xdr:rowOff>
    </xdr:to>
    <xdr:pic>
      <xdr:nvPicPr>
        <xdr:cNvPr id="231929" name="Picture 1057" descr="LOGO DGI">
          <a:extLst>
            <a:ext uri="{FF2B5EF4-FFF2-40B4-BE49-F238E27FC236}">
              <a16:creationId xmlns:a16="http://schemas.microsoft.com/office/drawing/2014/main" id="{00000000-0008-0000-1700-0000F9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9927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107</xdr:row>
      <xdr:rowOff>95250</xdr:rowOff>
    </xdr:from>
    <xdr:to>
      <xdr:col>2</xdr:col>
      <xdr:colOff>885825</xdr:colOff>
      <xdr:row>110</xdr:row>
      <xdr:rowOff>104775</xdr:rowOff>
    </xdr:to>
    <xdr:pic>
      <xdr:nvPicPr>
        <xdr:cNvPr id="231930" name="Picture 1058" descr="LOGO DGI">
          <a:extLst>
            <a:ext uri="{FF2B5EF4-FFF2-40B4-BE49-F238E27FC236}">
              <a16:creationId xmlns:a16="http://schemas.microsoft.com/office/drawing/2014/main" id="{00000000-0008-0000-1700-0000FA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79927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1" name="Picture 1059" descr="LOGO DGI">
          <a:extLst>
            <a:ext uri="{FF2B5EF4-FFF2-40B4-BE49-F238E27FC236}">
              <a16:creationId xmlns:a16="http://schemas.microsoft.com/office/drawing/2014/main" id="{00000000-0008-0000-1700-0000FB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2" name="Picture 1060" descr="LOGO DGI">
          <a:extLst>
            <a:ext uri="{FF2B5EF4-FFF2-40B4-BE49-F238E27FC236}">
              <a16:creationId xmlns:a16="http://schemas.microsoft.com/office/drawing/2014/main" id="{00000000-0008-0000-1700-0000FC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3" name="Picture 1061" descr="LOGO DGI">
          <a:extLst>
            <a:ext uri="{FF2B5EF4-FFF2-40B4-BE49-F238E27FC236}">
              <a16:creationId xmlns:a16="http://schemas.microsoft.com/office/drawing/2014/main" id="{00000000-0008-0000-1700-0000FD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4" name="Picture 1062" descr="LOGO DGI">
          <a:extLst>
            <a:ext uri="{FF2B5EF4-FFF2-40B4-BE49-F238E27FC236}">
              <a16:creationId xmlns:a16="http://schemas.microsoft.com/office/drawing/2014/main" id="{00000000-0008-0000-1700-0000FE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5" name="Picture 1063" descr="LOGO DGI">
          <a:extLst>
            <a:ext uri="{FF2B5EF4-FFF2-40B4-BE49-F238E27FC236}">
              <a16:creationId xmlns:a16="http://schemas.microsoft.com/office/drawing/2014/main" id="{00000000-0008-0000-1700-0000FF8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6" name="Picture 1064" descr="LOGO DGI">
          <a:extLst>
            <a:ext uri="{FF2B5EF4-FFF2-40B4-BE49-F238E27FC236}">
              <a16:creationId xmlns:a16="http://schemas.microsoft.com/office/drawing/2014/main" id="{00000000-0008-0000-1700-00000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7" name="Picture 1065" descr="LOGO DGI">
          <a:extLst>
            <a:ext uri="{FF2B5EF4-FFF2-40B4-BE49-F238E27FC236}">
              <a16:creationId xmlns:a16="http://schemas.microsoft.com/office/drawing/2014/main" id="{00000000-0008-0000-1700-00000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8" name="Picture 1066" descr="LOGO DGI">
          <a:extLst>
            <a:ext uri="{FF2B5EF4-FFF2-40B4-BE49-F238E27FC236}">
              <a16:creationId xmlns:a16="http://schemas.microsoft.com/office/drawing/2014/main" id="{00000000-0008-0000-1700-00000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39" name="Picture 1067" descr="LOGO DGI">
          <a:extLst>
            <a:ext uri="{FF2B5EF4-FFF2-40B4-BE49-F238E27FC236}">
              <a16:creationId xmlns:a16="http://schemas.microsoft.com/office/drawing/2014/main" id="{00000000-0008-0000-1700-00000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0" name="Picture 1068" descr="LOGO DGI">
          <a:extLst>
            <a:ext uri="{FF2B5EF4-FFF2-40B4-BE49-F238E27FC236}">
              <a16:creationId xmlns:a16="http://schemas.microsoft.com/office/drawing/2014/main" id="{00000000-0008-0000-1700-00000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1" name="Picture 1069" descr="LOGO DGI">
          <a:extLst>
            <a:ext uri="{FF2B5EF4-FFF2-40B4-BE49-F238E27FC236}">
              <a16:creationId xmlns:a16="http://schemas.microsoft.com/office/drawing/2014/main" id="{00000000-0008-0000-1700-00000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2" name="Picture 1070" descr="LOGO DGI">
          <a:extLst>
            <a:ext uri="{FF2B5EF4-FFF2-40B4-BE49-F238E27FC236}">
              <a16:creationId xmlns:a16="http://schemas.microsoft.com/office/drawing/2014/main" id="{00000000-0008-0000-1700-00000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3" name="Picture 1071" descr="LOGO DGI">
          <a:extLst>
            <a:ext uri="{FF2B5EF4-FFF2-40B4-BE49-F238E27FC236}">
              <a16:creationId xmlns:a16="http://schemas.microsoft.com/office/drawing/2014/main" id="{00000000-0008-0000-1700-00000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4" name="Picture 1072" descr="LOGO DGI">
          <a:extLst>
            <a:ext uri="{FF2B5EF4-FFF2-40B4-BE49-F238E27FC236}">
              <a16:creationId xmlns:a16="http://schemas.microsoft.com/office/drawing/2014/main" id="{00000000-0008-0000-1700-00000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5" name="Picture 1073" descr="LOGO DGI">
          <a:extLst>
            <a:ext uri="{FF2B5EF4-FFF2-40B4-BE49-F238E27FC236}">
              <a16:creationId xmlns:a16="http://schemas.microsoft.com/office/drawing/2014/main" id="{00000000-0008-0000-1700-00000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6" name="Picture 1074" descr="LOGO DGI">
          <a:extLst>
            <a:ext uri="{FF2B5EF4-FFF2-40B4-BE49-F238E27FC236}">
              <a16:creationId xmlns:a16="http://schemas.microsoft.com/office/drawing/2014/main" id="{00000000-0008-0000-1700-00000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7" name="Picture 1075" descr="LOGO DGI">
          <a:extLst>
            <a:ext uri="{FF2B5EF4-FFF2-40B4-BE49-F238E27FC236}">
              <a16:creationId xmlns:a16="http://schemas.microsoft.com/office/drawing/2014/main" id="{00000000-0008-0000-1700-00000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102</xdr:row>
      <xdr:rowOff>0</xdr:rowOff>
    </xdr:from>
    <xdr:to>
      <xdr:col>2</xdr:col>
      <xdr:colOff>771525</xdr:colOff>
      <xdr:row>105</xdr:row>
      <xdr:rowOff>0</xdr:rowOff>
    </xdr:to>
    <xdr:pic>
      <xdr:nvPicPr>
        <xdr:cNvPr id="231948" name="Picture 1076" descr="LOGO DGI">
          <a:extLst>
            <a:ext uri="{FF2B5EF4-FFF2-40B4-BE49-F238E27FC236}">
              <a16:creationId xmlns:a16="http://schemas.microsoft.com/office/drawing/2014/main" id="{00000000-0008-0000-1700-00000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107</xdr:row>
      <xdr:rowOff>95250</xdr:rowOff>
    </xdr:from>
    <xdr:to>
      <xdr:col>2</xdr:col>
      <xdr:colOff>771525</xdr:colOff>
      <xdr:row>110</xdr:row>
      <xdr:rowOff>104775</xdr:rowOff>
    </xdr:to>
    <xdr:pic>
      <xdr:nvPicPr>
        <xdr:cNvPr id="231949" name="Picture 1077" descr="LOGO DGI">
          <a:extLst>
            <a:ext uri="{FF2B5EF4-FFF2-40B4-BE49-F238E27FC236}">
              <a16:creationId xmlns:a16="http://schemas.microsoft.com/office/drawing/2014/main" id="{00000000-0008-0000-1700-00000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79927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124</xdr:row>
      <xdr:rowOff>95250</xdr:rowOff>
    </xdr:from>
    <xdr:to>
      <xdr:col>2</xdr:col>
      <xdr:colOff>771525</xdr:colOff>
      <xdr:row>127</xdr:row>
      <xdr:rowOff>104775</xdr:rowOff>
    </xdr:to>
    <xdr:pic>
      <xdr:nvPicPr>
        <xdr:cNvPr id="231950" name="Picture 1078" descr="LOGO DGI">
          <a:extLst>
            <a:ext uri="{FF2B5EF4-FFF2-40B4-BE49-F238E27FC236}">
              <a16:creationId xmlns:a16="http://schemas.microsoft.com/office/drawing/2014/main" id="{00000000-0008-0000-1700-00000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08407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124</xdr:row>
      <xdr:rowOff>95250</xdr:rowOff>
    </xdr:from>
    <xdr:to>
      <xdr:col>2</xdr:col>
      <xdr:colOff>885825</xdr:colOff>
      <xdr:row>127</xdr:row>
      <xdr:rowOff>104775</xdr:rowOff>
    </xdr:to>
    <xdr:pic>
      <xdr:nvPicPr>
        <xdr:cNvPr id="231951" name="Picture 1079" descr="LOGO DGI">
          <a:extLst>
            <a:ext uri="{FF2B5EF4-FFF2-40B4-BE49-F238E27FC236}">
              <a16:creationId xmlns:a16="http://schemas.microsoft.com/office/drawing/2014/main" id="{00000000-0008-0000-1700-00000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08407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2" name="Picture 1080" descr="LOGO DGI">
          <a:extLst>
            <a:ext uri="{FF2B5EF4-FFF2-40B4-BE49-F238E27FC236}">
              <a16:creationId xmlns:a16="http://schemas.microsoft.com/office/drawing/2014/main" id="{00000000-0008-0000-1700-00001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3" name="Picture 1081" descr="LOGO DGI">
          <a:extLst>
            <a:ext uri="{FF2B5EF4-FFF2-40B4-BE49-F238E27FC236}">
              <a16:creationId xmlns:a16="http://schemas.microsoft.com/office/drawing/2014/main" id="{00000000-0008-0000-1700-00001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4" name="Picture 1082" descr="LOGO DGI">
          <a:extLst>
            <a:ext uri="{FF2B5EF4-FFF2-40B4-BE49-F238E27FC236}">
              <a16:creationId xmlns:a16="http://schemas.microsoft.com/office/drawing/2014/main" id="{00000000-0008-0000-1700-00001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5" name="Picture 1083" descr="LOGO DGI">
          <a:extLst>
            <a:ext uri="{FF2B5EF4-FFF2-40B4-BE49-F238E27FC236}">
              <a16:creationId xmlns:a16="http://schemas.microsoft.com/office/drawing/2014/main" id="{00000000-0008-0000-1700-00001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6" name="Picture 1084" descr="LOGO DGI">
          <a:extLst>
            <a:ext uri="{FF2B5EF4-FFF2-40B4-BE49-F238E27FC236}">
              <a16:creationId xmlns:a16="http://schemas.microsoft.com/office/drawing/2014/main" id="{00000000-0008-0000-1700-00001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7" name="Picture 1085" descr="LOGO DGI">
          <a:extLst>
            <a:ext uri="{FF2B5EF4-FFF2-40B4-BE49-F238E27FC236}">
              <a16:creationId xmlns:a16="http://schemas.microsoft.com/office/drawing/2014/main" id="{00000000-0008-0000-1700-00001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8" name="Picture 1086" descr="LOGO DGI">
          <a:extLst>
            <a:ext uri="{FF2B5EF4-FFF2-40B4-BE49-F238E27FC236}">
              <a16:creationId xmlns:a16="http://schemas.microsoft.com/office/drawing/2014/main" id="{00000000-0008-0000-1700-00001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59" name="Picture 1087" descr="LOGO DGI">
          <a:extLst>
            <a:ext uri="{FF2B5EF4-FFF2-40B4-BE49-F238E27FC236}">
              <a16:creationId xmlns:a16="http://schemas.microsoft.com/office/drawing/2014/main" id="{00000000-0008-0000-1700-00001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0" name="Picture 1088" descr="LOGO DGI">
          <a:extLst>
            <a:ext uri="{FF2B5EF4-FFF2-40B4-BE49-F238E27FC236}">
              <a16:creationId xmlns:a16="http://schemas.microsoft.com/office/drawing/2014/main" id="{00000000-0008-0000-1700-00001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1" name="Picture 1089" descr="LOGO DGI">
          <a:extLst>
            <a:ext uri="{FF2B5EF4-FFF2-40B4-BE49-F238E27FC236}">
              <a16:creationId xmlns:a16="http://schemas.microsoft.com/office/drawing/2014/main" id="{00000000-0008-0000-1700-00001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2" name="Picture 1090" descr="LOGO DGI">
          <a:extLst>
            <a:ext uri="{FF2B5EF4-FFF2-40B4-BE49-F238E27FC236}">
              <a16:creationId xmlns:a16="http://schemas.microsoft.com/office/drawing/2014/main" id="{00000000-0008-0000-1700-00001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3" name="Picture 1091" descr="LOGO DGI">
          <a:extLst>
            <a:ext uri="{FF2B5EF4-FFF2-40B4-BE49-F238E27FC236}">
              <a16:creationId xmlns:a16="http://schemas.microsoft.com/office/drawing/2014/main" id="{00000000-0008-0000-1700-00001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4" name="Picture 1092" descr="LOGO DGI">
          <a:extLst>
            <a:ext uri="{FF2B5EF4-FFF2-40B4-BE49-F238E27FC236}">
              <a16:creationId xmlns:a16="http://schemas.microsoft.com/office/drawing/2014/main" id="{00000000-0008-0000-1700-00001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5" name="Picture 1093" descr="LOGO DGI">
          <a:extLst>
            <a:ext uri="{FF2B5EF4-FFF2-40B4-BE49-F238E27FC236}">
              <a16:creationId xmlns:a16="http://schemas.microsoft.com/office/drawing/2014/main" id="{00000000-0008-0000-1700-00001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6" name="Picture 1094" descr="LOGO DGI">
          <a:extLst>
            <a:ext uri="{FF2B5EF4-FFF2-40B4-BE49-F238E27FC236}">
              <a16:creationId xmlns:a16="http://schemas.microsoft.com/office/drawing/2014/main" id="{00000000-0008-0000-1700-00001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7" name="Picture 1095" descr="LOGO DGI">
          <a:extLst>
            <a:ext uri="{FF2B5EF4-FFF2-40B4-BE49-F238E27FC236}">
              <a16:creationId xmlns:a16="http://schemas.microsoft.com/office/drawing/2014/main" id="{00000000-0008-0000-1700-00001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8" name="Picture 1096" descr="LOGO DGI">
          <a:extLst>
            <a:ext uri="{FF2B5EF4-FFF2-40B4-BE49-F238E27FC236}">
              <a16:creationId xmlns:a16="http://schemas.microsoft.com/office/drawing/2014/main" id="{00000000-0008-0000-1700-00002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119</xdr:row>
      <xdr:rowOff>0</xdr:rowOff>
    </xdr:from>
    <xdr:to>
      <xdr:col>2</xdr:col>
      <xdr:colOff>771525</xdr:colOff>
      <xdr:row>122</xdr:row>
      <xdr:rowOff>0</xdr:rowOff>
    </xdr:to>
    <xdr:pic>
      <xdr:nvPicPr>
        <xdr:cNvPr id="231969" name="Picture 1097" descr="LOGO DGI">
          <a:extLst>
            <a:ext uri="{FF2B5EF4-FFF2-40B4-BE49-F238E27FC236}">
              <a16:creationId xmlns:a16="http://schemas.microsoft.com/office/drawing/2014/main" id="{00000000-0008-0000-1700-00002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93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124</xdr:row>
      <xdr:rowOff>95250</xdr:rowOff>
    </xdr:from>
    <xdr:to>
      <xdr:col>2</xdr:col>
      <xdr:colOff>771525</xdr:colOff>
      <xdr:row>127</xdr:row>
      <xdr:rowOff>104775</xdr:rowOff>
    </xdr:to>
    <xdr:pic>
      <xdr:nvPicPr>
        <xdr:cNvPr id="231970" name="Picture 1098" descr="LOGO DGI">
          <a:extLst>
            <a:ext uri="{FF2B5EF4-FFF2-40B4-BE49-F238E27FC236}">
              <a16:creationId xmlns:a16="http://schemas.microsoft.com/office/drawing/2014/main" id="{00000000-0008-0000-1700-00002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08407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141</xdr:row>
      <xdr:rowOff>95250</xdr:rowOff>
    </xdr:from>
    <xdr:to>
      <xdr:col>2</xdr:col>
      <xdr:colOff>771525</xdr:colOff>
      <xdr:row>144</xdr:row>
      <xdr:rowOff>104775</xdr:rowOff>
    </xdr:to>
    <xdr:pic>
      <xdr:nvPicPr>
        <xdr:cNvPr id="231971" name="Picture 1099" descr="LOGO DGI">
          <a:extLst>
            <a:ext uri="{FF2B5EF4-FFF2-40B4-BE49-F238E27FC236}">
              <a16:creationId xmlns:a16="http://schemas.microsoft.com/office/drawing/2014/main" id="{00000000-0008-0000-1700-00002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36886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141</xdr:row>
      <xdr:rowOff>95250</xdr:rowOff>
    </xdr:from>
    <xdr:to>
      <xdr:col>2</xdr:col>
      <xdr:colOff>885825</xdr:colOff>
      <xdr:row>144</xdr:row>
      <xdr:rowOff>104775</xdr:rowOff>
    </xdr:to>
    <xdr:pic>
      <xdr:nvPicPr>
        <xdr:cNvPr id="231972" name="Picture 1100" descr="LOGO DGI">
          <a:extLst>
            <a:ext uri="{FF2B5EF4-FFF2-40B4-BE49-F238E27FC236}">
              <a16:creationId xmlns:a16="http://schemas.microsoft.com/office/drawing/2014/main" id="{00000000-0008-0000-1700-00002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36886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73" name="Picture 1101" descr="LOGO DGI">
          <a:extLst>
            <a:ext uri="{FF2B5EF4-FFF2-40B4-BE49-F238E27FC236}">
              <a16:creationId xmlns:a16="http://schemas.microsoft.com/office/drawing/2014/main" id="{00000000-0008-0000-1700-00002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74" name="Picture 1102" descr="LOGO DGI">
          <a:extLst>
            <a:ext uri="{FF2B5EF4-FFF2-40B4-BE49-F238E27FC236}">
              <a16:creationId xmlns:a16="http://schemas.microsoft.com/office/drawing/2014/main" id="{00000000-0008-0000-1700-00002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75" name="Picture 1103" descr="LOGO DGI">
          <a:extLst>
            <a:ext uri="{FF2B5EF4-FFF2-40B4-BE49-F238E27FC236}">
              <a16:creationId xmlns:a16="http://schemas.microsoft.com/office/drawing/2014/main" id="{00000000-0008-0000-1700-00002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76" name="Picture 1104" descr="LOGO DGI">
          <a:extLst>
            <a:ext uri="{FF2B5EF4-FFF2-40B4-BE49-F238E27FC236}">
              <a16:creationId xmlns:a16="http://schemas.microsoft.com/office/drawing/2014/main" id="{00000000-0008-0000-1700-00002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77" name="Picture 1105" descr="LOGO DGI">
          <a:extLst>
            <a:ext uri="{FF2B5EF4-FFF2-40B4-BE49-F238E27FC236}">
              <a16:creationId xmlns:a16="http://schemas.microsoft.com/office/drawing/2014/main" id="{00000000-0008-0000-1700-00002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78" name="Picture 1106" descr="LOGO DGI">
          <a:extLst>
            <a:ext uri="{FF2B5EF4-FFF2-40B4-BE49-F238E27FC236}">
              <a16:creationId xmlns:a16="http://schemas.microsoft.com/office/drawing/2014/main" id="{00000000-0008-0000-1700-00002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79" name="Picture 1107" descr="LOGO DGI">
          <a:extLst>
            <a:ext uri="{FF2B5EF4-FFF2-40B4-BE49-F238E27FC236}">
              <a16:creationId xmlns:a16="http://schemas.microsoft.com/office/drawing/2014/main" id="{00000000-0008-0000-1700-00002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0" name="Picture 1108" descr="LOGO DGI">
          <a:extLst>
            <a:ext uri="{FF2B5EF4-FFF2-40B4-BE49-F238E27FC236}">
              <a16:creationId xmlns:a16="http://schemas.microsoft.com/office/drawing/2014/main" id="{00000000-0008-0000-1700-00002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1" name="Picture 1109" descr="LOGO DGI">
          <a:extLst>
            <a:ext uri="{FF2B5EF4-FFF2-40B4-BE49-F238E27FC236}">
              <a16:creationId xmlns:a16="http://schemas.microsoft.com/office/drawing/2014/main" id="{00000000-0008-0000-1700-00002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2" name="Picture 1110" descr="LOGO DGI">
          <a:extLst>
            <a:ext uri="{FF2B5EF4-FFF2-40B4-BE49-F238E27FC236}">
              <a16:creationId xmlns:a16="http://schemas.microsoft.com/office/drawing/2014/main" id="{00000000-0008-0000-1700-00002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3" name="Picture 1111" descr="LOGO DGI">
          <a:extLst>
            <a:ext uri="{FF2B5EF4-FFF2-40B4-BE49-F238E27FC236}">
              <a16:creationId xmlns:a16="http://schemas.microsoft.com/office/drawing/2014/main" id="{00000000-0008-0000-1700-00002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4" name="Picture 1112" descr="LOGO DGI">
          <a:extLst>
            <a:ext uri="{FF2B5EF4-FFF2-40B4-BE49-F238E27FC236}">
              <a16:creationId xmlns:a16="http://schemas.microsoft.com/office/drawing/2014/main" id="{00000000-0008-0000-1700-00003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5" name="Picture 1113" descr="LOGO DGI">
          <a:extLst>
            <a:ext uri="{FF2B5EF4-FFF2-40B4-BE49-F238E27FC236}">
              <a16:creationId xmlns:a16="http://schemas.microsoft.com/office/drawing/2014/main" id="{00000000-0008-0000-1700-00003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6" name="Picture 1114" descr="LOGO DGI">
          <a:extLst>
            <a:ext uri="{FF2B5EF4-FFF2-40B4-BE49-F238E27FC236}">
              <a16:creationId xmlns:a16="http://schemas.microsoft.com/office/drawing/2014/main" id="{00000000-0008-0000-1700-00003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7" name="Picture 1115" descr="LOGO DGI">
          <a:extLst>
            <a:ext uri="{FF2B5EF4-FFF2-40B4-BE49-F238E27FC236}">
              <a16:creationId xmlns:a16="http://schemas.microsoft.com/office/drawing/2014/main" id="{00000000-0008-0000-1700-00003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8" name="Picture 1116" descr="LOGO DGI">
          <a:extLst>
            <a:ext uri="{FF2B5EF4-FFF2-40B4-BE49-F238E27FC236}">
              <a16:creationId xmlns:a16="http://schemas.microsoft.com/office/drawing/2014/main" id="{00000000-0008-0000-1700-00003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89" name="Picture 1117" descr="LOGO DGI">
          <a:extLst>
            <a:ext uri="{FF2B5EF4-FFF2-40B4-BE49-F238E27FC236}">
              <a16:creationId xmlns:a16="http://schemas.microsoft.com/office/drawing/2014/main" id="{00000000-0008-0000-1700-00003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136</xdr:row>
      <xdr:rowOff>0</xdr:rowOff>
    </xdr:from>
    <xdr:to>
      <xdr:col>2</xdr:col>
      <xdr:colOff>771525</xdr:colOff>
      <xdr:row>139</xdr:row>
      <xdr:rowOff>0</xdr:rowOff>
    </xdr:to>
    <xdr:pic>
      <xdr:nvPicPr>
        <xdr:cNvPr id="231990" name="Picture 1118" descr="LOGO DGI">
          <a:extLst>
            <a:ext uri="{FF2B5EF4-FFF2-40B4-BE49-F238E27FC236}">
              <a16:creationId xmlns:a16="http://schemas.microsoft.com/office/drawing/2014/main" id="{00000000-0008-0000-1700-00003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278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141</xdr:row>
      <xdr:rowOff>95250</xdr:rowOff>
    </xdr:from>
    <xdr:to>
      <xdr:col>2</xdr:col>
      <xdr:colOff>771525</xdr:colOff>
      <xdr:row>144</xdr:row>
      <xdr:rowOff>104775</xdr:rowOff>
    </xdr:to>
    <xdr:pic>
      <xdr:nvPicPr>
        <xdr:cNvPr id="231991" name="Picture 1119" descr="LOGO DGI">
          <a:extLst>
            <a:ext uri="{FF2B5EF4-FFF2-40B4-BE49-F238E27FC236}">
              <a16:creationId xmlns:a16="http://schemas.microsoft.com/office/drawing/2014/main" id="{00000000-0008-0000-1700-00003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36886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158</xdr:row>
      <xdr:rowOff>95250</xdr:rowOff>
    </xdr:from>
    <xdr:to>
      <xdr:col>2</xdr:col>
      <xdr:colOff>771525</xdr:colOff>
      <xdr:row>161</xdr:row>
      <xdr:rowOff>104775</xdr:rowOff>
    </xdr:to>
    <xdr:pic>
      <xdr:nvPicPr>
        <xdr:cNvPr id="231992" name="Picture 1120" descr="LOGO DGI">
          <a:extLst>
            <a:ext uri="{FF2B5EF4-FFF2-40B4-BE49-F238E27FC236}">
              <a16:creationId xmlns:a16="http://schemas.microsoft.com/office/drawing/2014/main" id="{00000000-0008-0000-1700-00003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65366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158</xdr:row>
      <xdr:rowOff>95250</xdr:rowOff>
    </xdr:from>
    <xdr:to>
      <xdr:col>2</xdr:col>
      <xdr:colOff>885825</xdr:colOff>
      <xdr:row>161</xdr:row>
      <xdr:rowOff>104775</xdr:rowOff>
    </xdr:to>
    <xdr:pic>
      <xdr:nvPicPr>
        <xdr:cNvPr id="231993" name="Picture 1121" descr="LOGO DGI">
          <a:extLst>
            <a:ext uri="{FF2B5EF4-FFF2-40B4-BE49-F238E27FC236}">
              <a16:creationId xmlns:a16="http://schemas.microsoft.com/office/drawing/2014/main" id="{00000000-0008-0000-1700-00003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65366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1994" name="Picture 1122" descr="LOGO DGI">
          <a:extLst>
            <a:ext uri="{FF2B5EF4-FFF2-40B4-BE49-F238E27FC236}">
              <a16:creationId xmlns:a16="http://schemas.microsoft.com/office/drawing/2014/main" id="{00000000-0008-0000-1700-00003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1995" name="Picture 1123" descr="LOGO DGI">
          <a:extLst>
            <a:ext uri="{FF2B5EF4-FFF2-40B4-BE49-F238E27FC236}">
              <a16:creationId xmlns:a16="http://schemas.microsoft.com/office/drawing/2014/main" id="{00000000-0008-0000-1700-00003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1996" name="Picture 1124" descr="LOGO DGI">
          <a:extLst>
            <a:ext uri="{FF2B5EF4-FFF2-40B4-BE49-F238E27FC236}">
              <a16:creationId xmlns:a16="http://schemas.microsoft.com/office/drawing/2014/main" id="{00000000-0008-0000-1700-00003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1997" name="Picture 1125" descr="LOGO DGI">
          <a:extLst>
            <a:ext uri="{FF2B5EF4-FFF2-40B4-BE49-F238E27FC236}">
              <a16:creationId xmlns:a16="http://schemas.microsoft.com/office/drawing/2014/main" id="{00000000-0008-0000-1700-00003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1998" name="Picture 1126" descr="LOGO DGI">
          <a:extLst>
            <a:ext uri="{FF2B5EF4-FFF2-40B4-BE49-F238E27FC236}">
              <a16:creationId xmlns:a16="http://schemas.microsoft.com/office/drawing/2014/main" id="{00000000-0008-0000-1700-00003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1999" name="Picture 1127" descr="LOGO DGI">
          <a:extLst>
            <a:ext uri="{FF2B5EF4-FFF2-40B4-BE49-F238E27FC236}">
              <a16:creationId xmlns:a16="http://schemas.microsoft.com/office/drawing/2014/main" id="{00000000-0008-0000-1700-00003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0" name="Picture 1128" descr="LOGO DGI">
          <a:extLst>
            <a:ext uri="{FF2B5EF4-FFF2-40B4-BE49-F238E27FC236}">
              <a16:creationId xmlns:a16="http://schemas.microsoft.com/office/drawing/2014/main" id="{00000000-0008-0000-1700-00004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1" name="Picture 1129" descr="LOGO DGI">
          <a:extLst>
            <a:ext uri="{FF2B5EF4-FFF2-40B4-BE49-F238E27FC236}">
              <a16:creationId xmlns:a16="http://schemas.microsoft.com/office/drawing/2014/main" id="{00000000-0008-0000-1700-00004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2" name="Picture 1130" descr="LOGO DGI">
          <a:extLst>
            <a:ext uri="{FF2B5EF4-FFF2-40B4-BE49-F238E27FC236}">
              <a16:creationId xmlns:a16="http://schemas.microsoft.com/office/drawing/2014/main" id="{00000000-0008-0000-1700-00004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3" name="Picture 1131" descr="LOGO DGI">
          <a:extLst>
            <a:ext uri="{FF2B5EF4-FFF2-40B4-BE49-F238E27FC236}">
              <a16:creationId xmlns:a16="http://schemas.microsoft.com/office/drawing/2014/main" id="{00000000-0008-0000-1700-00004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4" name="Picture 1132" descr="LOGO DGI">
          <a:extLst>
            <a:ext uri="{FF2B5EF4-FFF2-40B4-BE49-F238E27FC236}">
              <a16:creationId xmlns:a16="http://schemas.microsoft.com/office/drawing/2014/main" id="{00000000-0008-0000-1700-00004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5" name="Picture 1133" descr="LOGO DGI">
          <a:extLst>
            <a:ext uri="{FF2B5EF4-FFF2-40B4-BE49-F238E27FC236}">
              <a16:creationId xmlns:a16="http://schemas.microsoft.com/office/drawing/2014/main" id="{00000000-0008-0000-1700-00004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6" name="Picture 1134" descr="LOGO DGI">
          <a:extLst>
            <a:ext uri="{FF2B5EF4-FFF2-40B4-BE49-F238E27FC236}">
              <a16:creationId xmlns:a16="http://schemas.microsoft.com/office/drawing/2014/main" id="{00000000-0008-0000-1700-00004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7" name="Picture 1135" descr="LOGO DGI">
          <a:extLst>
            <a:ext uri="{FF2B5EF4-FFF2-40B4-BE49-F238E27FC236}">
              <a16:creationId xmlns:a16="http://schemas.microsoft.com/office/drawing/2014/main" id="{00000000-0008-0000-1700-00004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8" name="Picture 1136" descr="LOGO DGI">
          <a:extLst>
            <a:ext uri="{FF2B5EF4-FFF2-40B4-BE49-F238E27FC236}">
              <a16:creationId xmlns:a16="http://schemas.microsoft.com/office/drawing/2014/main" id="{00000000-0008-0000-1700-00004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09" name="Picture 1137" descr="LOGO DGI">
          <a:extLst>
            <a:ext uri="{FF2B5EF4-FFF2-40B4-BE49-F238E27FC236}">
              <a16:creationId xmlns:a16="http://schemas.microsoft.com/office/drawing/2014/main" id="{00000000-0008-0000-1700-00004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10" name="Picture 1138" descr="LOGO DGI">
          <a:extLst>
            <a:ext uri="{FF2B5EF4-FFF2-40B4-BE49-F238E27FC236}">
              <a16:creationId xmlns:a16="http://schemas.microsoft.com/office/drawing/2014/main" id="{00000000-0008-0000-1700-00004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153</xdr:row>
      <xdr:rowOff>0</xdr:rowOff>
    </xdr:from>
    <xdr:to>
      <xdr:col>2</xdr:col>
      <xdr:colOff>771525</xdr:colOff>
      <xdr:row>156</xdr:row>
      <xdr:rowOff>0</xdr:rowOff>
    </xdr:to>
    <xdr:pic>
      <xdr:nvPicPr>
        <xdr:cNvPr id="232011" name="Picture 1139" descr="LOGO DGI">
          <a:extLst>
            <a:ext uri="{FF2B5EF4-FFF2-40B4-BE49-F238E27FC236}">
              <a16:creationId xmlns:a16="http://schemas.microsoft.com/office/drawing/2014/main" id="{00000000-0008-0000-1700-00004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563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158</xdr:row>
      <xdr:rowOff>95250</xdr:rowOff>
    </xdr:from>
    <xdr:to>
      <xdr:col>2</xdr:col>
      <xdr:colOff>771525</xdr:colOff>
      <xdr:row>161</xdr:row>
      <xdr:rowOff>104775</xdr:rowOff>
    </xdr:to>
    <xdr:pic>
      <xdr:nvPicPr>
        <xdr:cNvPr id="232012" name="Picture 1140" descr="LOGO DGI">
          <a:extLst>
            <a:ext uri="{FF2B5EF4-FFF2-40B4-BE49-F238E27FC236}">
              <a16:creationId xmlns:a16="http://schemas.microsoft.com/office/drawing/2014/main" id="{00000000-0008-0000-1700-00004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65366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175</xdr:row>
      <xdr:rowOff>95250</xdr:rowOff>
    </xdr:from>
    <xdr:to>
      <xdr:col>2</xdr:col>
      <xdr:colOff>771525</xdr:colOff>
      <xdr:row>178</xdr:row>
      <xdr:rowOff>104775</xdr:rowOff>
    </xdr:to>
    <xdr:pic>
      <xdr:nvPicPr>
        <xdr:cNvPr id="232013" name="Picture 1141" descr="LOGO DGI">
          <a:extLst>
            <a:ext uri="{FF2B5EF4-FFF2-40B4-BE49-F238E27FC236}">
              <a16:creationId xmlns:a16="http://schemas.microsoft.com/office/drawing/2014/main" id="{00000000-0008-0000-1700-00004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93846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175</xdr:row>
      <xdr:rowOff>95250</xdr:rowOff>
    </xdr:from>
    <xdr:to>
      <xdr:col>2</xdr:col>
      <xdr:colOff>885825</xdr:colOff>
      <xdr:row>178</xdr:row>
      <xdr:rowOff>104775</xdr:rowOff>
    </xdr:to>
    <xdr:pic>
      <xdr:nvPicPr>
        <xdr:cNvPr id="232014" name="Picture 1142" descr="LOGO DGI">
          <a:extLst>
            <a:ext uri="{FF2B5EF4-FFF2-40B4-BE49-F238E27FC236}">
              <a16:creationId xmlns:a16="http://schemas.microsoft.com/office/drawing/2014/main" id="{00000000-0008-0000-1700-00004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93846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15" name="Picture 1143" descr="LOGO DGI">
          <a:extLst>
            <a:ext uri="{FF2B5EF4-FFF2-40B4-BE49-F238E27FC236}">
              <a16:creationId xmlns:a16="http://schemas.microsoft.com/office/drawing/2014/main" id="{00000000-0008-0000-1700-00004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16" name="Picture 1144" descr="LOGO DGI">
          <a:extLst>
            <a:ext uri="{FF2B5EF4-FFF2-40B4-BE49-F238E27FC236}">
              <a16:creationId xmlns:a16="http://schemas.microsoft.com/office/drawing/2014/main" id="{00000000-0008-0000-1700-00005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17" name="Picture 1145" descr="LOGO DGI">
          <a:extLst>
            <a:ext uri="{FF2B5EF4-FFF2-40B4-BE49-F238E27FC236}">
              <a16:creationId xmlns:a16="http://schemas.microsoft.com/office/drawing/2014/main" id="{00000000-0008-0000-1700-00005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18" name="Picture 1146" descr="LOGO DGI">
          <a:extLst>
            <a:ext uri="{FF2B5EF4-FFF2-40B4-BE49-F238E27FC236}">
              <a16:creationId xmlns:a16="http://schemas.microsoft.com/office/drawing/2014/main" id="{00000000-0008-0000-1700-00005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19" name="Picture 1147" descr="LOGO DGI">
          <a:extLst>
            <a:ext uri="{FF2B5EF4-FFF2-40B4-BE49-F238E27FC236}">
              <a16:creationId xmlns:a16="http://schemas.microsoft.com/office/drawing/2014/main" id="{00000000-0008-0000-1700-00005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0" name="Picture 1148" descr="LOGO DGI">
          <a:extLst>
            <a:ext uri="{FF2B5EF4-FFF2-40B4-BE49-F238E27FC236}">
              <a16:creationId xmlns:a16="http://schemas.microsoft.com/office/drawing/2014/main" id="{00000000-0008-0000-1700-00005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1" name="Picture 1149" descr="LOGO DGI">
          <a:extLst>
            <a:ext uri="{FF2B5EF4-FFF2-40B4-BE49-F238E27FC236}">
              <a16:creationId xmlns:a16="http://schemas.microsoft.com/office/drawing/2014/main" id="{00000000-0008-0000-1700-00005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2" name="Picture 1150" descr="LOGO DGI">
          <a:extLst>
            <a:ext uri="{FF2B5EF4-FFF2-40B4-BE49-F238E27FC236}">
              <a16:creationId xmlns:a16="http://schemas.microsoft.com/office/drawing/2014/main" id="{00000000-0008-0000-1700-00005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3" name="Picture 1151" descr="LOGO DGI">
          <a:extLst>
            <a:ext uri="{FF2B5EF4-FFF2-40B4-BE49-F238E27FC236}">
              <a16:creationId xmlns:a16="http://schemas.microsoft.com/office/drawing/2014/main" id="{00000000-0008-0000-1700-00005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4" name="Picture 1152" descr="LOGO DGI">
          <a:extLst>
            <a:ext uri="{FF2B5EF4-FFF2-40B4-BE49-F238E27FC236}">
              <a16:creationId xmlns:a16="http://schemas.microsoft.com/office/drawing/2014/main" id="{00000000-0008-0000-1700-00005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5" name="Picture 1153" descr="LOGO DGI">
          <a:extLst>
            <a:ext uri="{FF2B5EF4-FFF2-40B4-BE49-F238E27FC236}">
              <a16:creationId xmlns:a16="http://schemas.microsoft.com/office/drawing/2014/main" id="{00000000-0008-0000-1700-00005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6" name="Picture 1154" descr="LOGO DGI">
          <a:extLst>
            <a:ext uri="{FF2B5EF4-FFF2-40B4-BE49-F238E27FC236}">
              <a16:creationId xmlns:a16="http://schemas.microsoft.com/office/drawing/2014/main" id="{00000000-0008-0000-1700-00005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7" name="Picture 1155" descr="LOGO DGI">
          <a:extLst>
            <a:ext uri="{FF2B5EF4-FFF2-40B4-BE49-F238E27FC236}">
              <a16:creationId xmlns:a16="http://schemas.microsoft.com/office/drawing/2014/main" id="{00000000-0008-0000-1700-00005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8" name="Picture 1156" descr="LOGO DGI">
          <a:extLst>
            <a:ext uri="{FF2B5EF4-FFF2-40B4-BE49-F238E27FC236}">
              <a16:creationId xmlns:a16="http://schemas.microsoft.com/office/drawing/2014/main" id="{00000000-0008-0000-1700-00005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29" name="Picture 1157" descr="LOGO DGI">
          <a:extLst>
            <a:ext uri="{FF2B5EF4-FFF2-40B4-BE49-F238E27FC236}">
              <a16:creationId xmlns:a16="http://schemas.microsoft.com/office/drawing/2014/main" id="{00000000-0008-0000-1700-00005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30" name="Picture 1158" descr="LOGO DGI">
          <a:extLst>
            <a:ext uri="{FF2B5EF4-FFF2-40B4-BE49-F238E27FC236}">
              <a16:creationId xmlns:a16="http://schemas.microsoft.com/office/drawing/2014/main" id="{00000000-0008-0000-1700-00005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31" name="Picture 1159" descr="LOGO DGI">
          <a:extLst>
            <a:ext uri="{FF2B5EF4-FFF2-40B4-BE49-F238E27FC236}">
              <a16:creationId xmlns:a16="http://schemas.microsoft.com/office/drawing/2014/main" id="{00000000-0008-0000-1700-00005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170</xdr:row>
      <xdr:rowOff>0</xdr:rowOff>
    </xdr:from>
    <xdr:to>
      <xdr:col>2</xdr:col>
      <xdr:colOff>771525</xdr:colOff>
      <xdr:row>173</xdr:row>
      <xdr:rowOff>0</xdr:rowOff>
    </xdr:to>
    <xdr:pic>
      <xdr:nvPicPr>
        <xdr:cNvPr id="232032" name="Picture 1160" descr="LOGO DGI">
          <a:extLst>
            <a:ext uri="{FF2B5EF4-FFF2-40B4-BE49-F238E27FC236}">
              <a16:creationId xmlns:a16="http://schemas.microsoft.com/office/drawing/2014/main" id="{00000000-0008-0000-1700-00006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847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175</xdr:row>
      <xdr:rowOff>95250</xdr:rowOff>
    </xdr:from>
    <xdr:to>
      <xdr:col>2</xdr:col>
      <xdr:colOff>771525</xdr:colOff>
      <xdr:row>178</xdr:row>
      <xdr:rowOff>104775</xdr:rowOff>
    </xdr:to>
    <xdr:pic>
      <xdr:nvPicPr>
        <xdr:cNvPr id="232033" name="Picture 1161" descr="LOGO DGI">
          <a:extLst>
            <a:ext uri="{FF2B5EF4-FFF2-40B4-BE49-F238E27FC236}">
              <a16:creationId xmlns:a16="http://schemas.microsoft.com/office/drawing/2014/main" id="{00000000-0008-0000-1700-00006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293846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192</xdr:row>
      <xdr:rowOff>95250</xdr:rowOff>
    </xdr:from>
    <xdr:to>
      <xdr:col>2</xdr:col>
      <xdr:colOff>771525</xdr:colOff>
      <xdr:row>195</xdr:row>
      <xdr:rowOff>104775</xdr:rowOff>
    </xdr:to>
    <xdr:pic>
      <xdr:nvPicPr>
        <xdr:cNvPr id="232034" name="Picture 1162" descr="LOGO DGI">
          <a:extLst>
            <a:ext uri="{FF2B5EF4-FFF2-40B4-BE49-F238E27FC236}">
              <a16:creationId xmlns:a16="http://schemas.microsoft.com/office/drawing/2014/main" id="{00000000-0008-0000-1700-00006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22326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192</xdr:row>
      <xdr:rowOff>95250</xdr:rowOff>
    </xdr:from>
    <xdr:to>
      <xdr:col>2</xdr:col>
      <xdr:colOff>885825</xdr:colOff>
      <xdr:row>195</xdr:row>
      <xdr:rowOff>104775</xdr:rowOff>
    </xdr:to>
    <xdr:pic>
      <xdr:nvPicPr>
        <xdr:cNvPr id="232035" name="Picture 1163" descr="LOGO DGI">
          <a:extLst>
            <a:ext uri="{FF2B5EF4-FFF2-40B4-BE49-F238E27FC236}">
              <a16:creationId xmlns:a16="http://schemas.microsoft.com/office/drawing/2014/main" id="{00000000-0008-0000-1700-00006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22326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36" name="Picture 1164" descr="LOGO DGI">
          <a:extLst>
            <a:ext uri="{FF2B5EF4-FFF2-40B4-BE49-F238E27FC236}">
              <a16:creationId xmlns:a16="http://schemas.microsoft.com/office/drawing/2014/main" id="{00000000-0008-0000-1700-00006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37" name="Picture 1165" descr="LOGO DGI">
          <a:extLst>
            <a:ext uri="{FF2B5EF4-FFF2-40B4-BE49-F238E27FC236}">
              <a16:creationId xmlns:a16="http://schemas.microsoft.com/office/drawing/2014/main" id="{00000000-0008-0000-1700-00006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38" name="Picture 1166" descr="LOGO DGI">
          <a:extLst>
            <a:ext uri="{FF2B5EF4-FFF2-40B4-BE49-F238E27FC236}">
              <a16:creationId xmlns:a16="http://schemas.microsoft.com/office/drawing/2014/main" id="{00000000-0008-0000-1700-00006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39" name="Picture 1167" descr="LOGO DGI">
          <a:extLst>
            <a:ext uri="{FF2B5EF4-FFF2-40B4-BE49-F238E27FC236}">
              <a16:creationId xmlns:a16="http://schemas.microsoft.com/office/drawing/2014/main" id="{00000000-0008-0000-1700-00006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0" name="Picture 1168" descr="LOGO DGI">
          <a:extLst>
            <a:ext uri="{FF2B5EF4-FFF2-40B4-BE49-F238E27FC236}">
              <a16:creationId xmlns:a16="http://schemas.microsoft.com/office/drawing/2014/main" id="{00000000-0008-0000-1700-00006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1" name="Picture 1169" descr="LOGO DGI">
          <a:extLst>
            <a:ext uri="{FF2B5EF4-FFF2-40B4-BE49-F238E27FC236}">
              <a16:creationId xmlns:a16="http://schemas.microsoft.com/office/drawing/2014/main" id="{00000000-0008-0000-1700-00006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2" name="Picture 1170" descr="LOGO DGI">
          <a:extLst>
            <a:ext uri="{FF2B5EF4-FFF2-40B4-BE49-F238E27FC236}">
              <a16:creationId xmlns:a16="http://schemas.microsoft.com/office/drawing/2014/main" id="{00000000-0008-0000-1700-00006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3" name="Picture 1171" descr="LOGO DGI">
          <a:extLst>
            <a:ext uri="{FF2B5EF4-FFF2-40B4-BE49-F238E27FC236}">
              <a16:creationId xmlns:a16="http://schemas.microsoft.com/office/drawing/2014/main" id="{00000000-0008-0000-1700-00006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4" name="Picture 1172" descr="LOGO DGI">
          <a:extLst>
            <a:ext uri="{FF2B5EF4-FFF2-40B4-BE49-F238E27FC236}">
              <a16:creationId xmlns:a16="http://schemas.microsoft.com/office/drawing/2014/main" id="{00000000-0008-0000-1700-00006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5" name="Picture 1173" descr="LOGO DGI">
          <a:extLst>
            <a:ext uri="{FF2B5EF4-FFF2-40B4-BE49-F238E27FC236}">
              <a16:creationId xmlns:a16="http://schemas.microsoft.com/office/drawing/2014/main" id="{00000000-0008-0000-1700-00006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6" name="Picture 1174" descr="LOGO DGI">
          <a:extLst>
            <a:ext uri="{FF2B5EF4-FFF2-40B4-BE49-F238E27FC236}">
              <a16:creationId xmlns:a16="http://schemas.microsoft.com/office/drawing/2014/main" id="{00000000-0008-0000-1700-00006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7" name="Picture 1175" descr="LOGO DGI">
          <a:extLst>
            <a:ext uri="{FF2B5EF4-FFF2-40B4-BE49-F238E27FC236}">
              <a16:creationId xmlns:a16="http://schemas.microsoft.com/office/drawing/2014/main" id="{00000000-0008-0000-1700-00006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8" name="Picture 1176" descr="LOGO DGI">
          <a:extLst>
            <a:ext uri="{FF2B5EF4-FFF2-40B4-BE49-F238E27FC236}">
              <a16:creationId xmlns:a16="http://schemas.microsoft.com/office/drawing/2014/main" id="{00000000-0008-0000-1700-00007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49" name="Picture 1177" descr="LOGO DGI">
          <a:extLst>
            <a:ext uri="{FF2B5EF4-FFF2-40B4-BE49-F238E27FC236}">
              <a16:creationId xmlns:a16="http://schemas.microsoft.com/office/drawing/2014/main" id="{00000000-0008-0000-1700-00007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50" name="Picture 1178" descr="LOGO DGI">
          <a:extLst>
            <a:ext uri="{FF2B5EF4-FFF2-40B4-BE49-F238E27FC236}">
              <a16:creationId xmlns:a16="http://schemas.microsoft.com/office/drawing/2014/main" id="{00000000-0008-0000-1700-00007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51" name="Picture 1179" descr="LOGO DGI">
          <a:extLst>
            <a:ext uri="{FF2B5EF4-FFF2-40B4-BE49-F238E27FC236}">
              <a16:creationId xmlns:a16="http://schemas.microsoft.com/office/drawing/2014/main" id="{00000000-0008-0000-1700-00007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52" name="Picture 1180" descr="LOGO DGI">
          <a:extLst>
            <a:ext uri="{FF2B5EF4-FFF2-40B4-BE49-F238E27FC236}">
              <a16:creationId xmlns:a16="http://schemas.microsoft.com/office/drawing/2014/main" id="{00000000-0008-0000-1700-00007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187</xdr:row>
      <xdr:rowOff>0</xdr:rowOff>
    </xdr:from>
    <xdr:to>
      <xdr:col>2</xdr:col>
      <xdr:colOff>771525</xdr:colOff>
      <xdr:row>190</xdr:row>
      <xdr:rowOff>0</xdr:rowOff>
    </xdr:to>
    <xdr:pic>
      <xdr:nvPicPr>
        <xdr:cNvPr id="232053" name="Picture 1181" descr="LOGO DGI">
          <a:extLst>
            <a:ext uri="{FF2B5EF4-FFF2-40B4-BE49-F238E27FC236}">
              <a16:creationId xmlns:a16="http://schemas.microsoft.com/office/drawing/2014/main" id="{00000000-0008-0000-1700-00007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132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192</xdr:row>
      <xdr:rowOff>95250</xdr:rowOff>
    </xdr:from>
    <xdr:to>
      <xdr:col>2</xdr:col>
      <xdr:colOff>771525</xdr:colOff>
      <xdr:row>195</xdr:row>
      <xdr:rowOff>104775</xdr:rowOff>
    </xdr:to>
    <xdr:pic>
      <xdr:nvPicPr>
        <xdr:cNvPr id="232054" name="Picture 1182" descr="LOGO DGI">
          <a:extLst>
            <a:ext uri="{FF2B5EF4-FFF2-40B4-BE49-F238E27FC236}">
              <a16:creationId xmlns:a16="http://schemas.microsoft.com/office/drawing/2014/main" id="{00000000-0008-0000-1700-00007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22326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209</xdr:row>
      <xdr:rowOff>95250</xdr:rowOff>
    </xdr:from>
    <xdr:to>
      <xdr:col>2</xdr:col>
      <xdr:colOff>771525</xdr:colOff>
      <xdr:row>212</xdr:row>
      <xdr:rowOff>104775</xdr:rowOff>
    </xdr:to>
    <xdr:pic>
      <xdr:nvPicPr>
        <xdr:cNvPr id="232055" name="Picture 1183" descr="LOGO DGI">
          <a:extLst>
            <a:ext uri="{FF2B5EF4-FFF2-40B4-BE49-F238E27FC236}">
              <a16:creationId xmlns:a16="http://schemas.microsoft.com/office/drawing/2014/main" id="{00000000-0008-0000-1700-00007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50805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209</xdr:row>
      <xdr:rowOff>95250</xdr:rowOff>
    </xdr:from>
    <xdr:to>
      <xdr:col>2</xdr:col>
      <xdr:colOff>885825</xdr:colOff>
      <xdr:row>212</xdr:row>
      <xdr:rowOff>104775</xdr:rowOff>
    </xdr:to>
    <xdr:pic>
      <xdr:nvPicPr>
        <xdr:cNvPr id="232056" name="Picture 1184" descr="LOGO DGI">
          <a:extLst>
            <a:ext uri="{FF2B5EF4-FFF2-40B4-BE49-F238E27FC236}">
              <a16:creationId xmlns:a16="http://schemas.microsoft.com/office/drawing/2014/main" id="{00000000-0008-0000-1700-00007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50805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57" name="Picture 1185" descr="LOGO DGI">
          <a:extLst>
            <a:ext uri="{FF2B5EF4-FFF2-40B4-BE49-F238E27FC236}">
              <a16:creationId xmlns:a16="http://schemas.microsoft.com/office/drawing/2014/main" id="{00000000-0008-0000-1700-00007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58" name="Picture 1186" descr="LOGO DGI">
          <a:extLst>
            <a:ext uri="{FF2B5EF4-FFF2-40B4-BE49-F238E27FC236}">
              <a16:creationId xmlns:a16="http://schemas.microsoft.com/office/drawing/2014/main" id="{00000000-0008-0000-1700-00007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59" name="Picture 1187" descr="LOGO DGI">
          <a:extLst>
            <a:ext uri="{FF2B5EF4-FFF2-40B4-BE49-F238E27FC236}">
              <a16:creationId xmlns:a16="http://schemas.microsoft.com/office/drawing/2014/main" id="{00000000-0008-0000-1700-00007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0" name="Picture 1188" descr="LOGO DGI">
          <a:extLst>
            <a:ext uri="{FF2B5EF4-FFF2-40B4-BE49-F238E27FC236}">
              <a16:creationId xmlns:a16="http://schemas.microsoft.com/office/drawing/2014/main" id="{00000000-0008-0000-1700-00007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1" name="Picture 1189" descr="LOGO DGI">
          <a:extLst>
            <a:ext uri="{FF2B5EF4-FFF2-40B4-BE49-F238E27FC236}">
              <a16:creationId xmlns:a16="http://schemas.microsoft.com/office/drawing/2014/main" id="{00000000-0008-0000-1700-00007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2" name="Picture 1190" descr="LOGO DGI">
          <a:extLst>
            <a:ext uri="{FF2B5EF4-FFF2-40B4-BE49-F238E27FC236}">
              <a16:creationId xmlns:a16="http://schemas.microsoft.com/office/drawing/2014/main" id="{00000000-0008-0000-1700-00007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3" name="Picture 1191" descr="LOGO DGI">
          <a:extLst>
            <a:ext uri="{FF2B5EF4-FFF2-40B4-BE49-F238E27FC236}">
              <a16:creationId xmlns:a16="http://schemas.microsoft.com/office/drawing/2014/main" id="{00000000-0008-0000-1700-00007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4" name="Picture 1192" descr="LOGO DGI">
          <a:extLst>
            <a:ext uri="{FF2B5EF4-FFF2-40B4-BE49-F238E27FC236}">
              <a16:creationId xmlns:a16="http://schemas.microsoft.com/office/drawing/2014/main" id="{00000000-0008-0000-1700-00008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5" name="Picture 1193" descr="LOGO DGI">
          <a:extLst>
            <a:ext uri="{FF2B5EF4-FFF2-40B4-BE49-F238E27FC236}">
              <a16:creationId xmlns:a16="http://schemas.microsoft.com/office/drawing/2014/main" id="{00000000-0008-0000-1700-00008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6" name="Picture 1194" descr="LOGO DGI">
          <a:extLst>
            <a:ext uri="{FF2B5EF4-FFF2-40B4-BE49-F238E27FC236}">
              <a16:creationId xmlns:a16="http://schemas.microsoft.com/office/drawing/2014/main" id="{00000000-0008-0000-1700-00008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7" name="Picture 1195" descr="LOGO DGI">
          <a:extLst>
            <a:ext uri="{FF2B5EF4-FFF2-40B4-BE49-F238E27FC236}">
              <a16:creationId xmlns:a16="http://schemas.microsoft.com/office/drawing/2014/main" id="{00000000-0008-0000-1700-00008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8" name="Picture 1196" descr="LOGO DGI">
          <a:extLst>
            <a:ext uri="{FF2B5EF4-FFF2-40B4-BE49-F238E27FC236}">
              <a16:creationId xmlns:a16="http://schemas.microsoft.com/office/drawing/2014/main" id="{00000000-0008-0000-1700-00008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69" name="Picture 1197" descr="LOGO DGI">
          <a:extLst>
            <a:ext uri="{FF2B5EF4-FFF2-40B4-BE49-F238E27FC236}">
              <a16:creationId xmlns:a16="http://schemas.microsoft.com/office/drawing/2014/main" id="{00000000-0008-0000-1700-00008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70" name="Picture 1198" descr="LOGO DGI">
          <a:extLst>
            <a:ext uri="{FF2B5EF4-FFF2-40B4-BE49-F238E27FC236}">
              <a16:creationId xmlns:a16="http://schemas.microsoft.com/office/drawing/2014/main" id="{00000000-0008-0000-1700-00008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71" name="Picture 1199" descr="LOGO DGI">
          <a:extLst>
            <a:ext uri="{FF2B5EF4-FFF2-40B4-BE49-F238E27FC236}">
              <a16:creationId xmlns:a16="http://schemas.microsoft.com/office/drawing/2014/main" id="{00000000-0008-0000-1700-00008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72" name="Picture 1200" descr="LOGO DGI">
          <a:extLst>
            <a:ext uri="{FF2B5EF4-FFF2-40B4-BE49-F238E27FC236}">
              <a16:creationId xmlns:a16="http://schemas.microsoft.com/office/drawing/2014/main" id="{00000000-0008-0000-1700-00008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73" name="Picture 1201" descr="LOGO DGI">
          <a:extLst>
            <a:ext uri="{FF2B5EF4-FFF2-40B4-BE49-F238E27FC236}">
              <a16:creationId xmlns:a16="http://schemas.microsoft.com/office/drawing/2014/main" id="{00000000-0008-0000-1700-00008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204</xdr:row>
      <xdr:rowOff>0</xdr:rowOff>
    </xdr:from>
    <xdr:to>
      <xdr:col>2</xdr:col>
      <xdr:colOff>771525</xdr:colOff>
      <xdr:row>207</xdr:row>
      <xdr:rowOff>0</xdr:rowOff>
    </xdr:to>
    <xdr:pic>
      <xdr:nvPicPr>
        <xdr:cNvPr id="232074" name="Picture 1202" descr="LOGO DGI">
          <a:extLst>
            <a:ext uri="{FF2B5EF4-FFF2-40B4-BE49-F238E27FC236}">
              <a16:creationId xmlns:a16="http://schemas.microsoft.com/office/drawing/2014/main" id="{00000000-0008-0000-1700-00008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417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209</xdr:row>
      <xdr:rowOff>95250</xdr:rowOff>
    </xdr:from>
    <xdr:to>
      <xdr:col>2</xdr:col>
      <xdr:colOff>771525</xdr:colOff>
      <xdr:row>212</xdr:row>
      <xdr:rowOff>104775</xdr:rowOff>
    </xdr:to>
    <xdr:pic>
      <xdr:nvPicPr>
        <xdr:cNvPr id="232075" name="Picture 1203" descr="LOGO DGI">
          <a:extLst>
            <a:ext uri="{FF2B5EF4-FFF2-40B4-BE49-F238E27FC236}">
              <a16:creationId xmlns:a16="http://schemas.microsoft.com/office/drawing/2014/main" id="{00000000-0008-0000-1700-00008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50805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226</xdr:row>
      <xdr:rowOff>95250</xdr:rowOff>
    </xdr:from>
    <xdr:to>
      <xdr:col>2</xdr:col>
      <xdr:colOff>771525</xdr:colOff>
      <xdr:row>229</xdr:row>
      <xdr:rowOff>104775</xdr:rowOff>
    </xdr:to>
    <xdr:pic>
      <xdr:nvPicPr>
        <xdr:cNvPr id="232076" name="Picture 1204" descr="LOGO DGI">
          <a:extLst>
            <a:ext uri="{FF2B5EF4-FFF2-40B4-BE49-F238E27FC236}">
              <a16:creationId xmlns:a16="http://schemas.microsoft.com/office/drawing/2014/main" id="{00000000-0008-0000-1700-00008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9285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226</xdr:row>
      <xdr:rowOff>95250</xdr:rowOff>
    </xdr:from>
    <xdr:to>
      <xdr:col>2</xdr:col>
      <xdr:colOff>885825</xdr:colOff>
      <xdr:row>229</xdr:row>
      <xdr:rowOff>104775</xdr:rowOff>
    </xdr:to>
    <xdr:pic>
      <xdr:nvPicPr>
        <xdr:cNvPr id="232077" name="Picture 1205" descr="LOGO DGI">
          <a:extLst>
            <a:ext uri="{FF2B5EF4-FFF2-40B4-BE49-F238E27FC236}">
              <a16:creationId xmlns:a16="http://schemas.microsoft.com/office/drawing/2014/main" id="{00000000-0008-0000-1700-00008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79285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78" name="Picture 1206" descr="LOGO DGI">
          <a:extLst>
            <a:ext uri="{FF2B5EF4-FFF2-40B4-BE49-F238E27FC236}">
              <a16:creationId xmlns:a16="http://schemas.microsoft.com/office/drawing/2014/main" id="{00000000-0008-0000-1700-00008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79" name="Picture 1207" descr="LOGO DGI">
          <a:extLst>
            <a:ext uri="{FF2B5EF4-FFF2-40B4-BE49-F238E27FC236}">
              <a16:creationId xmlns:a16="http://schemas.microsoft.com/office/drawing/2014/main" id="{00000000-0008-0000-1700-00008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0" name="Picture 1208" descr="LOGO DGI">
          <a:extLst>
            <a:ext uri="{FF2B5EF4-FFF2-40B4-BE49-F238E27FC236}">
              <a16:creationId xmlns:a16="http://schemas.microsoft.com/office/drawing/2014/main" id="{00000000-0008-0000-1700-00009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1" name="Picture 1209" descr="LOGO DGI">
          <a:extLst>
            <a:ext uri="{FF2B5EF4-FFF2-40B4-BE49-F238E27FC236}">
              <a16:creationId xmlns:a16="http://schemas.microsoft.com/office/drawing/2014/main" id="{00000000-0008-0000-1700-00009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2" name="Picture 1210" descr="LOGO DGI">
          <a:extLst>
            <a:ext uri="{FF2B5EF4-FFF2-40B4-BE49-F238E27FC236}">
              <a16:creationId xmlns:a16="http://schemas.microsoft.com/office/drawing/2014/main" id="{00000000-0008-0000-1700-00009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3" name="Picture 1211" descr="LOGO DGI">
          <a:extLst>
            <a:ext uri="{FF2B5EF4-FFF2-40B4-BE49-F238E27FC236}">
              <a16:creationId xmlns:a16="http://schemas.microsoft.com/office/drawing/2014/main" id="{00000000-0008-0000-1700-00009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4" name="Picture 1212" descr="LOGO DGI">
          <a:extLst>
            <a:ext uri="{FF2B5EF4-FFF2-40B4-BE49-F238E27FC236}">
              <a16:creationId xmlns:a16="http://schemas.microsoft.com/office/drawing/2014/main" id="{00000000-0008-0000-1700-00009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5" name="Picture 1213" descr="LOGO DGI">
          <a:extLst>
            <a:ext uri="{FF2B5EF4-FFF2-40B4-BE49-F238E27FC236}">
              <a16:creationId xmlns:a16="http://schemas.microsoft.com/office/drawing/2014/main" id="{00000000-0008-0000-1700-00009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6" name="Picture 1214" descr="LOGO DGI">
          <a:extLst>
            <a:ext uri="{FF2B5EF4-FFF2-40B4-BE49-F238E27FC236}">
              <a16:creationId xmlns:a16="http://schemas.microsoft.com/office/drawing/2014/main" id="{00000000-0008-0000-1700-00009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7" name="Picture 1215" descr="LOGO DGI">
          <a:extLst>
            <a:ext uri="{FF2B5EF4-FFF2-40B4-BE49-F238E27FC236}">
              <a16:creationId xmlns:a16="http://schemas.microsoft.com/office/drawing/2014/main" id="{00000000-0008-0000-1700-00009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8" name="Picture 1216" descr="LOGO DGI">
          <a:extLst>
            <a:ext uri="{FF2B5EF4-FFF2-40B4-BE49-F238E27FC236}">
              <a16:creationId xmlns:a16="http://schemas.microsoft.com/office/drawing/2014/main" id="{00000000-0008-0000-1700-00009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89" name="Picture 1217" descr="LOGO DGI">
          <a:extLst>
            <a:ext uri="{FF2B5EF4-FFF2-40B4-BE49-F238E27FC236}">
              <a16:creationId xmlns:a16="http://schemas.microsoft.com/office/drawing/2014/main" id="{00000000-0008-0000-1700-00009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90" name="Picture 1218" descr="LOGO DGI">
          <a:extLst>
            <a:ext uri="{FF2B5EF4-FFF2-40B4-BE49-F238E27FC236}">
              <a16:creationId xmlns:a16="http://schemas.microsoft.com/office/drawing/2014/main" id="{00000000-0008-0000-1700-00009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91" name="Picture 1219" descr="LOGO DGI">
          <a:extLst>
            <a:ext uri="{FF2B5EF4-FFF2-40B4-BE49-F238E27FC236}">
              <a16:creationId xmlns:a16="http://schemas.microsoft.com/office/drawing/2014/main" id="{00000000-0008-0000-1700-00009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92" name="Picture 1220" descr="LOGO DGI">
          <a:extLst>
            <a:ext uri="{FF2B5EF4-FFF2-40B4-BE49-F238E27FC236}">
              <a16:creationId xmlns:a16="http://schemas.microsoft.com/office/drawing/2014/main" id="{00000000-0008-0000-1700-00009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93" name="Picture 1221" descr="LOGO DGI">
          <a:extLst>
            <a:ext uri="{FF2B5EF4-FFF2-40B4-BE49-F238E27FC236}">
              <a16:creationId xmlns:a16="http://schemas.microsoft.com/office/drawing/2014/main" id="{00000000-0008-0000-1700-00009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94" name="Picture 1222" descr="LOGO DGI">
          <a:extLst>
            <a:ext uri="{FF2B5EF4-FFF2-40B4-BE49-F238E27FC236}">
              <a16:creationId xmlns:a16="http://schemas.microsoft.com/office/drawing/2014/main" id="{00000000-0008-0000-1700-00009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221</xdr:row>
      <xdr:rowOff>0</xdr:rowOff>
    </xdr:from>
    <xdr:to>
      <xdr:col>2</xdr:col>
      <xdr:colOff>771525</xdr:colOff>
      <xdr:row>224</xdr:row>
      <xdr:rowOff>0</xdr:rowOff>
    </xdr:to>
    <xdr:pic>
      <xdr:nvPicPr>
        <xdr:cNvPr id="232095" name="Picture 1223" descr="LOGO DGI">
          <a:extLst>
            <a:ext uri="{FF2B5EF4-FFF2-40B4-BE49-F238E27FC236}">
              <a16:creationId xmlns:a16="http://schemas.microsoft.com/office/drawing/2014/main" id="{00000000-0008-0000-1700-00009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02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226</xdr:row>
      <xdr:rowOff>95250</xdr:rowOff>
    </xdr:from>
    <xdr:to>
      <xdr:col>2</xdr:col>
      <xdr:colOff>771525</xdr:colOff>
      <xdr:row>229</xdr:row>
      <xdr:rowOff>104775</xdr:rowOff>
    </xdr:to>
    <xdr:pic>
      <xdr:nvPicPr>
        <xdr:cNvPr id="232096" name="Picture 1224" descr="LOGO DGI">
          <a:extLst>
            <a:ext uri="{FF2B5EF4-FFF2-40B4-BE49-F238E27FC236}">
              <a16:creationId xmlns:a16="http://schemas.microsoft.com/office/drawing/2014/main" id="{00000000-0008-0000-1700-0000A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79285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243</xdr:row>
      <xdr:rowOff>95250</xdr:rowOff>
    </xdr:from>
    <xdr:to>
      <xdr:col>2</xdr:col>
      <xdr:colOff>771525</xdr:colOff>
      <xdr:row>246</xdr:row>
      <xdr:rowOff>104775</xdr:rowOff>
    </xdr:to>
    <xdr:pic>
      <xdr:nvPicPr>
        <xdr:cNvPr id="232097" name="Picture 1225" descr="LOGO DGI">
          <a:extLst>
            <a:ext uri="{FF2B5EF4-FFF2-40B4-BE49-F238E27FC236}">
              <a16:creationId xmlns:a16="http://schemas.microsoft.com/office/drawing/2014/main" id="{00000000-0008-0000-1700-0000A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07765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243</xdr:row>
      <xdr:rowOff>95250</xdr:rowOff>
    </xdr:from>
    <xdr:to>
      <xdr:col>2</xdr:col>
      <xdr:colOff>885825</xdr:colOff>
      <xdr:row>246</xdr:row>
      <xdr:rowOff>104775</xdr:rowOff>
    </xdr:to>
    <xdr:pic>
      <xdr:nvPicPr>
        <xdr:cNvPr id="232098" name="Picture 1226" descr="LOGO DGI">
          <a:extLst>
            <a:ext uri="{FF2B5EF4-FFF2-40B4-BE49-F238E27FC236}">
              <a16:creationId xmlns:a16="http://schemas.microsoft.com/office/drawing/2014/main" id="{00000000-0008-0000-1700-0000A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407765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099" name="Picture 1227" descr="LOGO DGI">
          <a:extLst>
            <a:ext uri="{FF2B5EF4-FFF2-40B4-BE49-F238E27FC236}">
              <a16:creationId xmlns:a16="http://schemas.microsoft.com/office/drawing/2014/main" id="{00000000-0008-0000-1700-0000A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0" name="Picture 1228" descr="LOGO DGI">
          <a:extLst>
            <a:ext uri="{FF2B5EF4-FFF2-40B4-BE49-F238E27FC236}">
              <a16:creationId xmlns:a16="http://schemas.microsoft.com/office/drawing/2014/main" id="{00000000-0008-0000-1700-0000A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1" name="Picture 1229" descr="LOGO DGI">
          <a:extLst>
            <a:ext uri="{FF2B5EF4-FFF2-40B4-BE49-F238E27FC236}">
              <a16:creationId xmlns:a16="http://schemas.microsoft.com/office/drawing/2014/main" id="{00000000-0008-0000-1700-0000A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2" name="Picture 1230" descr="LOGO DGI">
          <a:extLst>
            <a:ext uri="{FF2B5EF4-FFF2-40B4-BE49-F238E27FC236}">
              <a16:creationId xmlns:a16="http://schemas.microsoft.com/office/drawing/2014/main" id="{00000000-0008-0000-1700-0000A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3" name="Picture 1231" descr="LOGO DGI">
          <a:extLst>
            <a:ext uri="{FF2B5EF4-FFF2-40B4-BE49-F238E27FC236}">
              <a16:creationId xmlns:a16="http://schemas.microsoft.com/office/drawing/2014/main" id="{00000000-0008-0000-1700-0000A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4" name="Picture 1232" descr="LOGO DGI">
          <a:extLst>
            <a:ext uri="{FF2B5EF4-FFF2-40B4-BE49-F238E27FC236}">
              <a16:creationId xmlns:a16="http://schemas.microsoft.com/office/drawing/2014/main" id="{00000000-0008-0000-1700-0000A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5" name="Picture 1233" descr="LOGO DGI">
          <a:extLst>
            <a:ext uri="{FF2B5EF4-FFF2-40B4-BE49-F238E27FC236}">
              <a16:creationId xmlns:a16="http://schemas.microsoft.com/office/drawing/2014/main" id="{00000000-0008-0000-1700-0000A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6" name="Picture 1234" descr="LOGO DGI">
          <a:extLst>
            <a:ext uri="{FF2B5EF4-FFF2-40B4-BE49-F238E27FC236}">
              <a16:creationId xmlns:a16="http://schemas.microsoft.com/office/drawing/2014/main" id="{00000000-0008-0000-1700-0000A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7" name="Picture 1235" descr="LOGO DGI">
          <a:extLst>
            <a:ext uri="{FF2B5EF4-FFF2-40B4-BE49-F238E27FC236}">
              <a16:creationId xmlns:a16="http://schemas.microsoft.com/office/drawing/2014/main" id="{00000000-0008-0000-1700-0000A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8" name="Picture 1236" descr="LOGO DGI">
          <a:extLst>
            <a:ext uri="{FF2B5EF4-FFF2-40B4-BE49-F238E27FC236}">
              <a16:creationId xmlns:a16="http://schemas.microsoft.com/office/drawing/2014/main" id="{00000000-0008-0000-1700-0000A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09" name="Picture 1237" descr="LOGO DGI">
          <a:extLst>
            <a:ext uri="{FF2B5EF4-FFF2-40B4-BE49-F238E27FC236}">
              <a16:creationId xmlns:a16="http://schemas.microsoft.com/office/drawing/2014/main" id="{00000000-0008-0000-1700-0000A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10" name="Picture 1238" descr="LOGO DGI">
          <a:extLst>
            <a:ext uri="{FF2B5EF4-FFF2-40B4-BE49-F238E27FC236}">
              <a16:creationId xmlns:a16="http://schemas.microsoft.com/office/drawing/2014/main" id="{00000000-0008-0000-1700-0000A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11" name="Picture 1239" descr="LOGO DGI">
          <a:extLst>
            <a:ext uri="{FF2B5EF4-FFF2-40B4-BE49-F238E27FC236}">
              <a16:creationId xmlns:a16="http://schemas.microsoft.com/office/drawing/2014/main" id="{00000000-0008-0000-1700-0000A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12" name="Picture 1240" descr="LOGO DGI">
          <a:extLst>
            <a:ext uri="{FF2B5EF4-FFF2-40B4-BE49-F238E27FC236}">
              <a16:creationId xmlns:a16="http://schemas.microsoft.com/office/drawing/2014/main" id="{00000000-0008-0000-1700-0000B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13" name="Picture 1241" descr="LOGO DGI">
          <a:extLst>
            <a:ext uri="{FF2B5EF4-FFF2-40B4-BE49-F238E27FC236}">
              <a16:creationId xmlns:a16="http://schemas.microsoft.com/office/drawing/2014/main" id="{00000000-0008-0000-1700-0000B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14" name="Picture 1242" descr="LOGO DGI">
          <a:extLst>
            <a:ext uri="{FF2B5EF4-FFF2-40B4-BE49-F238E27FC236}">
              <a16:creationId xmlns:a16="http://schemas.microsoft.com/office/drawing/2014/main" id="{00000000-0008-0000-1700-0000B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15" name="Picture 1243" descr="LOGO DGI">
          <a:extLst>
            <a:ext uri="{FF2B5EF4-FFF2-40B4-BE49-F238E27FC236}">
              <a16:creationId xmlns:a16="http://schemas.microsoft.com/office/drawing/2014/main" id="{00000000-0008-0000-1700-0000B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238</xdr:row>
      <xdr:rowOff>0</xdr:rowOff>
    </xdr:from>
    <xdr:to>
      <xdr:col>2</xdr:col>
      <xdr:colOff>771525</xdr:colOff>
      <xdr:row>241</xdr:row>
      <xdr:rowOff>0</xdr:rowOff>
    </xdr:to>
    <xdr:pic>
      <xdr:nvPicPr>
        <xdr:cNvPr id="232116" name="Picture 1244" descr="LOGO DGI">
          <a:extLst>
            <a:ext uri="{FF2B5EF4-FFF2-40B4-BE49-F238E27FC236}">
              <a16:creationId xmlns:a16="http://schemas.microsoft.com/office/drawing/2014/main" id="{00000000-0008-0000-1700-0000B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39871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243</xdr:row>
      <xdr:rowOff>95250</xdr:rowOff>
    </xdr:from>
    <xdr:to>
      <xdr:col>2</xdr:col>
      <xdr:colOff>771525</xdr:colOff>
      <xdr:row>246</xdr:row>
      <xdr:rowOff>104775</xdr:rowOff>
    </xdr:to>
    <xdr:pic>
      <xdr:nvPicPr>
        <xdr:cNvPr id="232117" name="Picture 1245" descr="LOGO DGI">
          <a:extLst>
            <a:ext uri="{FF2B5EF4-FFF2-40B4-BE49-F238E27FC236}">
              <a16:creationId xmlns:a16="http://schemas.microsoft.com/office/drawing/2014/main" id="{00000000-0008-0000-1700-0000B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07765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260</xdr:row>
      <xdr:rowOff>95250</xdr:rowOff>
    </xdr:from>
    <xdr:to>
      <xdr:col>2</xdr:col>
      <xdr:colOff>771525</xdr:colOff>
      <xdr:row>263</xdr:row>
      <xdr:rowOff>104775</xdr:rowOff>
    </xdr:to>
    <xdr:pic>
      <xdr:nvPicPr>
        <xdr:cNvPr id="232118" name="Picture 1246" descr="LOGO DGI">
          <a:extLst>
            <a:ext uri="{FF2B5EF4-FFF2-40B4-BE49-F238E27FC236}">
              <a16:creationId xmlns:a16="http://schemas.microsoft.com/office/drawing/2014/main" id="{00000000-0008-0000-1700-0000B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36245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260</xdr:row>
      <xdr:rowOff>95250</xdr:rowOff>
    </xdr:from>
    <xdr:to>
      <xdr:col>2</xdr:col>
      <xdr:colOff>885825</xdr:colOff>
      <xdr:row>263</xdr:row>
      <xdr:rowOff>104775</xdr:rowOff>
    </xdr:to>
    <xdr:pic>
      <xdr:nvPicPr>
        <xdr:cNvPr id="232119" name="Picture 1247" descr="LOGO DGI">
          <a:extLst>
            <a:ext uri="{FF2B5EF4-FFF2-40B4-BE49-F238E27FC236}">
              <a16:creationId xmlns:a16="http://schemas.microsoft.com/office/drawing/2014/main" id="{00000000-0008-0000-1700-0000B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436245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0" name="Picture 1248" descr="LOGO DGI">
          <a:extLst>
            <a:ext uri="{FF2B5EF4-FFF2-40B4-BE49-F238E27FC236}">
              <a16:creationId xmlns:a16="http://schemas.microsoft.com/office/drawing/2014/main" id="{00000000-0008-0000-1700-0000B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1" name="Picture 1249" descr="LOGO DGI">
          <a:extLst>
            <a:ext uri="{FF2B5EF4-FFF2-40B4-BE49-F238E27FC236}">
              <a16:creationId xmlns:a16="http://schemas.microsoft.com/office/drawing/2014/main" id="{00000000-0008-0000-1700-0000B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2" name="Picture 1250" descr="LOGO DGI">
          <a:extLst>
            <a:ext uri="{FF2B5EF4-FFF2-40B4-BE49-F238E27FC236}">
              <a16:creationId xmlns:a16="http://schemas.microsoft.com/office/drawing/2014/main" id="{00000000-0008-0000-1700-0000B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3" name="Picture 1251" descr="LOGO DGI">
          <a:extLst>
            <a:ext uri="{FF2B5EF4-FFF2-40B4-BE49-F238E27FC236}">
              <a16:creationId xmlns:a16="http://schemas.microsoft.com/office/drawing/2014/main" id="{00000000-0008-0000-1700-0000B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4" name="Picture 1252" descr="LOGO DGI">
          <a:extLst>
            <a:ext uri="{FF2B5EF4-FFF2-40B4-BE49-F238E27FC236}">
              <a16:creationId xmlns:a16="http://schemas.microsoft.com/office/drawing/2014/main" id="{00000000-0008-0000-1700-0000B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5" name="Picture 1253" descr="LOGO DGI">
          <a:extLst>
            <a:ext uri="{FF2B5EF4-FFF2-40B4-BE49-F238E27FC236}">
              <a16:creationId xmlns:a16="http://schemas.microsoft.com/office/drawing/2014/main" id="{00000000-0008-0000-1700-0000B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6" name="Picture 1254" descr="LOGO DGI">
          <a:extLst>
            <a:ext uri="{FF2B5EF4-FFF2-40B4-BE49-F238E27FC236}">
              <a16:creationId xmlns:a16="http://schemas.microsoft.com/office/drawing/2014/main" id="{00000000-0008-0000-1700-0000B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7" name="Picture 1255" descr="LOGO DGI">
          <a:extLst>
            <a:ext uri="{FF2B5EF4-FFF2-40B4-BE49-F238E27FC236}">
              <a16:creationId xmlns:a16="http://schemas.microsoft.com/office/drawing/2014/main" id="{00000000-0008-0000-1700-0000B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8" name="Picture 1256" descr="LOGO DGI">
          <a:extLst>
            <a:ext uri="{FF2B5EF4-FFF2-40B4-BE49-F238E27FC236}">
              <a16:creationId xmlns:a16="http://schemas.microsoft.com/office/drawing/2014/main" id="{00000000-0008-0000-1700-0000C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29" name="Picture 1257" descr="LOGO DGI">
          <a:extLst>
            <a:ext uri="{FF2B5EF4-FFF2-40B4-BE49-F238E27FC236}">
              <a16:creationId xmlns:a16="http://schemas.microsoft.com/office/drawing/2014/main" id="{00000000-0008-0000-1700-0000C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0" name="Picture 1258" descr="LOGO DGI">
          <a:extLst>
            <a:ext uri="{FF2B5EF4-FFF2-40B4-BE49-F238E27FC236}">
              <a16:creationId xmlns:a16="http://schemas.microsoft.com/office/drawing/2014/main" id="{00000000-0008-0000-1700-0000C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1" name="Picture 1259" descr="LOGO DGI">
          <a:extLst>
            <a:ext uri="{FF2B5EF4-FFF2-40B4-BE49-F238E27FC236}">
              <a16:creationId xmlns:a16="http://schemas.microsoft.com/office/drawing/2014/main" id="{00000000-0008-0000-1700-0000C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2" name="Picture 1260" descr="LOGO DGI">
          <a:extLst>
            <a:ext uri="{FF2B5EF4-FFF2-40B4-BE49-F238E27FC236}">
              <a16:creationId xmlns:a16="http://schemas.microsoft.com/office/drawing/2014/main" id="{00000000-0008-0000-1700-0000C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3" name="Picture 1261" descr="LOGO DGI">
          <a:extLst>
            <a:ext uri="{FF2B5EF4-FFF2-40B4-BE49-F238E27FC236}">
              <a16:creationId xmlns:a16="http://schemas.microsoft.com/office/drawing/2014/main" id="{00000000-0008-0000-1700-0000C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4" name="Picture 1262" descr="LOGO DGI">
          <a:extLst>
            <a:ext uri="{FF2B5EF4-FFF2-40B4-BE49-F238E27FC236}">
              <a16:creationId xmlns:a16="http://schemas.microsoft.com/office/drawing/2014/main" id="{00000000-0008-0000-1700-0000C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5" name="Picture 1263" descr="LOGO DGI">
          <a:extLst>
            <a:ext uri="{FF2B5EF4-FFF2-40B4-BE49-F238E27FC236}">
              <a16:creationId xmlns:a16="http://schemas.microsoft.com/office/drawing/2014/main" id="{00000000-0008-0000-1700-0000C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6" name="Picture 1264" descr="LOGO DGI">
          <a:extLst>
            <a:ext uri="{FF2B5EF4-FFF2-40B4-BE49-F238E27FC236}">
              <a16:creationId xmlns:a16="http://schemas.microsoft.com/office/drawing/2014/main" id="{00000000-0008-0000-1700-0000C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255</xdr:row>
      <xdr:rowOff>0</xdr:rowOff>
    </xdr:from>
    <xdr:to>
      <xdr:col>2</xdr:col>
      <xdr:colOff>771525</xdr:colOff>
      <xdr:row>258</xdr:row>
      <xdr:rowOff>0</xdr:rowOff>
    </xdr:to>
    <xdr:pic>
      <xdr:nvPicPr>
        <xdr:cNvPr id="232137" name="Picture 1265" descr="LOGO DGI">
          <a:extLst>
            <a:ext uri="{FF2B5EF4-FFF2-40B4-BE49-F238E27FC236}">
              <a16:creationId xmlns:a16="http://schemas.microsoft.com/office/drawing/2014/main" id="{00000000-0008-0000-1700-0000C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271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260</xdr:row>
      <xdr:rowOff>95250</xdr:rowOff>
    </xdr:from>
    <xdr:to>
      <xdr:col>2</xdr:col>
      <xdr:colOff>771525</xdr:colOff>
      <xdr:row>263</xdr:row>
      <xdr:rowOff>104775</xdr:rowOff>
    </xdr:to>
    <xdr:pic>
      <xdr:nvPicPr>
        <xdr:cNvPr id="232138" name="Picture 1266" descr="LOGO DGI">
          <a:extLst>
            <a:ext uri="{FF2B5EF4-FFF2-40B4-BE49-F238E27FC236}">
              <a16:creationId xmlns:a16="http://schemas.microsoft.com/office/drawing/2014/main" id="{00000000-0008-0000-1700-0000C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36245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277</xdr:row>
      <xdr:rowOff>95250</xdr:rowOff>
    </xdr:from>
    <xdr:to>
      <xdr:col>2</xdr:col>
      <xdr:colOff>771525</xdr:colOff>
      <xdr:row>280</xdr:row>
      <xdr:rowOff>104775</xdr:rowOff>
    </xdr:to>
    <xdr:pic>
      <xdr:nvPicPr>
        <xdr:cNvPr id="232139" name="Picture 1267" descr="LOGO DGI">
          <a:extLst>
            <a:ext uri="{FF2B5EF4-FFF2-40B4-BE49-F238E27FC236}">
              <a16:creationId xmlns:a16="http://schemas.microsoft.com/office/drawing/2014/main" id="{00000000-0008-0000-1700-0000C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64724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277</xdr:row>
      <xdr:rowOff>95250</xdr:rowOff>
    </xdr:from>
    <xdr:to>
      <xdr:col>2</xdr:col>
      <xdr:colOff>885825</xdr:colOff>
      <xdr:row>280</xdr:row>
      <xdr:rowOff>104775</xdr:rowOff>
    </xdr:to>
    <xdr:pic>
      <xdr:nvPicPr>
        <xdr:cNvPr id="232140" name="Picture 1268" descr="LOGO DGI">
          <a:extLst>
            <a:ext uri="{FF2B5EF4-FFF2-40B4-BE49-F238E27FC236}">
              <a16:creationId xmlns:a16="http://schemas.microsoft.com/office/drawing/2014/main" id="{00000000-0008-0000-1700-0000C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464724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1" name="Picture 1269" descr="LOGO DGI">
          <a:extLst>
            <a:ext uri="{FF2B5EF4-FFF2-40B4-BE49-F238E27FC236}">
              <a16:creationId xmlns:a16="http://schemas.microsoft.com/office/drawing/2014/main" id="{00000000-0008-0000-1700-0000C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2" name="Picture 1270" descr="LOGO DGI">
          <a:extLst>
            <a:ext uri="{FF2B5EF4-FFF2-40B4-BE49-F238E27FC236}">
              <a16:creationId xmlns:a16="http://schemas.microsoft.com/office/drawing/2014/main" id="{00000000-0008-0000-1700-0000C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3" name="Picture 1271" descr="LOGO DGI">
          <a:extLst>
            <a:ext uri="{FF2B5EF4-FFF2-40B4-BE49-F238E27FC236}">
              <a16:creationId xmlns:a16="http://schemas.microsoft.com/office/drawing/2014/main" id="{00000000-0008-0000-1700-0000C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4" name="Picture 1272" descr="LOGO DGI">
          <a:extLst>
            <a:ext uri="{FF2B5EF4-FFF2-40B4-BE49-F238E27FC236}">
              <a16:creationId xmlns:a16="http://schemas.microsoft.com/office/drawing/2014/main" id="{00000000-0008-0000-1700-0000D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5" name="Picture 1273" descr="LOGO DGI">
          <a:extLst>
            <a:ext uri="{FF2B5EF4-FFF2-40B4-BE49-F238E27FC236}">
              <a16:creationId xmlns:a16="http://schemas.microsoft.com/office/drawing/2014/main" id="{00000000-0008-0000-1700-0000D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6" name="Picture 1274" descr="LOGO DGI">
          <a:extLst>
            <a:ext uri="{FF2B5EF4-FFF2-40B4-BE49-F238E27FC236}">
              <a16:creationId xmlns:a16="http://schemas.microsoft.com/office/drawing/2014/main" id="{00000000-0008-0000-1700-0000D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7" name="Picture 1275" descr="LOGO DGI">
          <a:extLst>
            <a:ext uri="{FF2B5EF4-FFF2-40B4-BE49-F238E27FC236}">
              <a16:creationId xmlns:a16="http://schemas.microsoft.com/office/drawing/2014/main" id="{00000000-0008-0000-1700-0000D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8" name="Picture 1276" descr="LOGO DGI">
          <a:extLst>
            <a:ext uri="{FF2B5EF4-FFF2-40B4-BE49-F238E27FC236}">
              <a16:creationId xmlns:a16="http://schemas.microsoft.com/office/drawing/2014/main" id="{00000000-0008-0000-1700-0000D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49" name="Picture 1277" descr="LOGO DGI">
          <a:extLst>
            <a:ext uri="{FF2B5EF4-FFF2-40B4-BE49-F238E27FC236}">
              <a16:creationId xmlns:a16="http://schemas.microsoft.com/office/drawing/2014/main" id="{00000000-0008-0000-1700-0000D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0" name="Picture 1278" descr="LOGO DGI">
          <a:extLst>
            <a:ext uri="{FF2B5EF4-FFF2-40B4-BE49-F238E27FC236}">
              <a16:creationId xmlns:a16="http://schemas.microsoft.com/office/drawing/2014/main" id="{00000000-0008-0000-1700-0000D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1" name="Picture 1279" descr="LOGO DGI">
          <a:extLst>
            <a:ext uri="{FF2B5EF4-FFF2-40B4-BE49-F238E27FC236}">
              <a16:creationId xmlns:a16="http://schemas.microsoft.com/office/drawing/2014/main" id="{00000000-0008-0000-1700-0000D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2" name="Picture 1280" descr="LOGO DGI">
          <a:extLst>
            <a:ext uri="{FF2B5EF4-FFF2-40B4-BE49-F238E27FC236}">
              <a16:creationId xmlns:a16="http://schemas.microsoft.com/office/drawing/2014/main" id="{00000000-0008-0000-1700-0000D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3" name="Picture 1281" descr="LOGO DGI">
          <a:extLst>
            <a:ext uri="{FF2B5EF4-FFF2-40B4-BE49-F238E27FC236}">
              <a16:creationId xmlns:a16="http://schemas.microsoft.com/office/drawing/2014/main" id="{00000000-0008-0000-1700-0000D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4" name="Picture 1282" descr="LOGO DGI">
          <a:extLst>
            <a:ext uri="{FF2B5EF4-FFF2-40B4-BE49-F238E27FC236}">
              <a16:creationId xmlns:a16="http://schemas.microsoft.com/office/drawing/2014/main" id="{00000000-0008-0000-1700-0000D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5" name="Picture 1283" descr="LOGO DGI">
          <a:extLst>
            <a:ext uri="{FF2B5EF4-FFF2-40B4-BE49-F238E27FC236}">
              <a16:creationId xmlns:a16="http://schemas.microsoft.com/office/drawing/2014/main" id="{00000000-0008-0000-1700-0000D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6" name="Picture 1284" descr="LOGO DGI">
          <a:extLst>
            <a:ext uri="{FF2B5EF4-FFF2-40B4-BE49-F238E27FC236}">
              <a16:creationId xmlns:a16="http://schemas.microsoft.com/office/drawing/2014/main" id="{00000000-0008-0000-1700-0000D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7" name="Picture 1285" descr="LOGO DGI">
          <a:extLst>
            <a:ext uri="{FF2B5EF4-FFF2-40B4-BE49-F238E27FC236}">
              <a16:creationId xmlns:a16="http://schemas.microsoft.com/office/drawing/2014/main" id="{00000000-0008-0000-1700-0000D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272</xdr:row>
      <xdr:rowOff>0</xdr:rowOff>
    </xdr:from>
    <xdr:to>
      <xdr:col>2</xdr:col>
      <xdr:colOff>771525</xdr:colOff>
      <xdr:row>275</xdr:row>
      <xdr:rowOff>0</xdr:rowOff>
    </xdr:to>
    <xdr:pic>
      <xdr:nvPicPr>
        <xdr:cNvPr id="232158" name="Picture 1286" descr="LOGO DGI">
          <a:extLst>
            <a:ext uri="{FF2B5EF4-FFF2-40B4-BE49-F238E27FC236}">
              <a16:creationId xmlns:a16="http://schemas.microsoft.com/office/drawing/2014/main" id="{00000000-0008-0000-1700-0000D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5567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277</xdr:row>
      <xdr:rowOff>95250</xdr:rowOff>
    </xdr:from>
    <xdr:to>
      <xdr:col>2</xdr:col>
      <xdr:colOff>771525</xdr:colOff>
      <xdr:row>280</xdr:row>
      <xdr:rowOff>104775</xdr:rowOff>
    </xdr:to>
    <xdr:pic>
      <xdr:nvPicPr>
        <xdr:cNvPr id="232159" name="Picture 1287" descr="LOGO DGI">
          <a:extLst>
            <a:ext uri="{FF2B5EF4-FFF2-40B4-BE49-F238E27FC236}">
              <a16:creationId xmlns:a16="http://schemas.microsoft.com/office/drawing/2014/main" id="{00000000-0008-0000-1700-0000D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64724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294</xdr:row>
      <xdr:rowOff>95250</xdr:rowOff>
    </xdr:from>
    <xdr:to>
      <xdr:col>2</xdr:col>
      <xdr:colOff>771525</xdr:colOff>
      <xdr:row>297</xdr:row>
      <xdr:rowOff>104775</xdr:rowOff>
    </xdr:to>
    <xdr:pic>
      <xdr:nvPicPr>
        <xdr:cNvPr id="232160" name="Picture 1288" descr="LOGO DGI">
          <a:extLst>
            <a:ext uri="{FF2B5EF4-FFF2-40B4-BE49-F238E27FC236}">
              <a16:creationId xmlns:a16="http://schemas.microsoft.com/office/drawing/2014/main" id="{00000000-0008-0000-1700-0000E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93204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294</xdr:row>
      <xdr:rowOff>95250</xdr:rowOff>
    </xdr:from>
    <xdr:to>
      <xdr:col>2</xdr:col>
      <xdr:colOff>885825</xdr:colOff>
      <xdr:row>297</xdr:row>
      <xdr:rowOff>104775</xdr:rowOff>
    </xdr:to>
    <xdr:pic>
      <xdr:nvPicPr>
        <xdr:cNvPr id="232161" name="Picture 1289" descr="LOGO DGI">
          <a:extLst>
            <a:ext uri="{FF2B5EF4-FFF2-40B4-BE49-F238E27FC236}">
              <a16:creationId xmlns:a16="http://schemas.microsoft.com/office/drawing/2014/main" id="{00000000-0008-0000-1700-0000E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493204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2" name="Picture 1290" descr="LOGO DGI">
          <a:extLst>
            <a:ext uri="{FF2B5EF4-FFF2-40B4-BE49-F238E27FC236}">
              <a16:creationId xmlns:a16="http://schemas.microsoft.com/office/drawing/2014/main" id="{00000000-0008-0000-1700-0000E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3" name="Picture 1291" descr="LOGO DGI">
          <a:extLst>
            <a:ext uri="{FF2B5EF4-FFF2-40B4-BE49-F238E27FC236}">
              <a16:creationId xmlns:a16="http://schemas.microsoft.com/office/drawing/2014/main" id="{00000000-0008-0000-1700-0000E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4" name="Picture 1292" descr="LOGO DGI">
          <a:extLst>
            <a:ext uri="{FF2B5EF4-FFF2-40B4-BE49-F238E27FC236}">
              <a16:creationId xmlns:a16="http://schemas.microsoft.com/office/drawing/2014/main" id="{00000000-0008-0000-1700-0000E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5" name="Picture 1293" descr="LOGO DGI">
          <a:extLst>
            <a:ext uri="{FF2B5EF4-FFF2-40B4-BE49-F238E27FC236}">
              <a16:creationId xmlns:a16="http://schemas.microsoft.com/office/drawing/2014/main" id="{00000000-0008-0000-1700-0000E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6" name="Picture 1294" descr="LOGO DGI">
          <a:extLst>
            <a:ext uri="{FF2B5EF4-FFF2-40B4-BE49-F238E27FC236}">
              <a16:creationId xmlns:a16="http://schemas.microsoft.com/office/drawing/2014/main" id="{00000000-0008-0000-1700-0000E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7" name="Picture 1295" descr="LOGO DGI">
          <a:extLst>
            <a:ext uri="{FF2B5EF4-FFF2-40B4-BE49-F238E27FC236}">
              <a16:creationId xmlns:a16="http://schemas.microsoft.com/office/drawing/2014/main" id="{00000000-0008-0000-1700-0000E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8" name="Picture 1296" descr="LOGO DGI">
          <a:extLst>
            <a:ext uri="{FF2B5EF4-FFF2-40B4-BE49-F238E27FC236}">
              <a16:creationId xmlns:a16="http://schemas.microsoft.com/office/drawing/2014/main" id="{00000000-0008-0000-1700-0000E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69" name="Picture 1297" descr="LOGO DGI">
          <a:extLst>
            <a:ext uri="{FF2B5EF4-FFF2-40B4-BE49-F238E27FC236}">
              <a16:creationId xmlns:a16="http://schemas.microsoft.com/office/drawing/2014/main" id="{00000000-0008-0000-1700-0000E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0" name="Picture 1298" descr="LOGO DGI">
          <a:extLst>
            <a:ext uri="{FF2B5EF4-FFF2-40B4-BE49-F238E27FC236}">
              <a16:creationId xmlns:a16="http://schemas.microsoft.com/office/drawing/2014/main" id="{00000000-0008-0000-1700-0000E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1" name="Picture 1299" descr="LOGO DGI">
          <a:extLst>
            <a:ext uri="{FF2B5EF4-FFF2-40B4-BE49-F238E27FC236}">
              <a16:creationId xmlns:a16="http://schemas.microsoft.com/office/drawing/2014/main" id="{00000000-0008-0000-1700-0000E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2" name="Picture 1300" descr="LOGO DGI">
          <a:extLst>
            <a:ext uri="{FF2B5EF4-FFF2-40B4-BE49-F238E27FC236}">
              <a16:creationId xmlns:a16="http://schemas.microsoft.com/office/drawing/2014/main" id="{00000000-0008-0000-1700-0000E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3" name="Picture 1301" descr="LOGO DGI">
          <a:extLst>
            <a:ext uri="{FF2B5EF4-FFF2-40B4-BE49-F238E27FC236}">
              <a16:creationId xmlns:a16="http://schemas.microsoft.com/office/drawing/2014/main" id="{00000000-0008-0000-1700-0000E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4" name="Picture 1302" descr="LOGO DGI">
          <a:extLst>
            <a:ext uri="{FF2B5EF4-FFF2-40B4-BE49-F238E27FC236}">
              <a16:creationId xmlns:a16="http://schemas.microsoft.com/office/drawing/2014/main" id="{00000000-0008-0000-1700-0000E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5" name="Picture 1303" descr="LOGO DGI">
          <a:extLst>
            <a:ext uri="{FF2B5EF4-FFF2-40B4-BE49-F238E27FC236}">
              <a16:creationId xmlns:a16="http://schemas.microsoft.com/office/drawing/2014/main" id="{00000000-0008-0000-1700-0000E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6" name="Picture 1304" descr="LOGO DGI">
          <a:extLst>
            <a:ext uri="{FF2B5EF4-FFF2-40B4-BE49-F238E27FC236}">
              <a16:creationId xmlns:a16="http://schemas.microsoft.com/office/drawing/2014/main" id="{00000000-0008-0000-1700-0000F0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7" name="Picture 1305" descr="LOGO DGI">
          <a:extLst>
            <a:ext uri="{FF2B5EF4-FFF2-40B4-BE49-F238E27FC236}">
              <a16:creationId xmlns:a16="http://schemas.microsoft.com/office/drawing/2014/main" id="{00000000-0008-0000-1700-0000F1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8" name="Picture 1306" descr="LOGO DGI">
          <a:extLst>
            <a:ext uri="{FF2B5EF4-FFF2-40B4-BE49-F238E27FC236}">
              <a16:creationId xmlns:a16="http://schemas.microsoft.com/office/drawing/2014/main" id="{00000000-0008-0000-1700-0000F2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289</xdr:row>
      <xdr:rowOff>0</xdr:rowOff>
    </xdr:from>
    <xdr:to>
      <xdr:col>2</xdr:col>
      <xdr:colOff>771525</xdr:colOff>
      <xdr:row>292</xdr:row>
      <xdr:rowOff>0</xdr:rowOff>
    </xdr:to>
    <xdr:pic>
      <xdr:nvPicPr>
        <xdr:cNvPr id="232179" name="Picture 1307" descr="LOGO DGI">
          <a:extLst>
            <a:ext uri="{FF2B5EF4-FFF2-40B4-BE49-F238E27FC236}">
              <a16:creationId xmlns:a16="http://schemas.microsoft.com/office/drawing/2014/main" id="{00000000-0008-0000-1700-0000F3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8415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294</xdr:row>
      <xdr:rowOff>95250</xdr:rowOff>
    </xdr:from>
    <xdr:to>
      <xdr:col>2</xdr:col>
      <xdr:colOff>771525</xdr:colOff>
      <xdr:row>297</xdr:row>
      <xdr:rowOff>104775</xdr:rowOff>
    </xdr:to>
    <xdr:pic>
      <xdr:nvPicPr>
        <xdr:cNvPr id="232180" name="Picture 1308" descr="LOGO DGI">
          <a:extLst>
            <a:ext uri="{FF2B5EF4-FFF2-40B4-BE49-F238E27FC236}">
              <a16:creationId xmlns:a16="http://schemas.microsoft.com/office/drawing/2014/main" id="{00000000-0008-0000-1700-0000F4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493204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311</xdr:row>
      <xdr:rowOff>95250</xdr:rowOff>
    </xdr:from>
    <xdr:to>
      <xdr:col>2</xdr:col>
      <xdr:colOff>771525</xdr:colOff>
      <xdr:row>314</xdr:row>
      <xdr:rowOff>104775</xdr:rowOff>
    </xdr:to>
    <xdr:pic>
      <xdr:nvPicPr>
        <xdr:cNvPr id="232181" name="Picture 1309" descr="LOGO DGI">
          <a:extLst>
            <a:ext uri="{FF2B5EF4-FFF2-40B4-BE49-F238E27FC236}">
              <a16:creationId xmlns:a16="http://schemas.microsoft.com/office/drawing/2014/main" id="{00000000-0008-0000-1700-0000F5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21684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311</xdr:row>
      <xdr:rowOff>95250</xdr:rowOff>
    </xdr:from>
    <xdr:to>
      <xdr:col>2</xdr:col>
      <xdr:colOff>885825</xdr:colOff>
      <xdr:row>314</xdr:row>
      <xdr:rowOff>104775</xdr:rowOff>
    </xdr:to>
    <xdr:pic>
      <xdr:nvPicPr>
        <xdr:cNvPr id="232182" name="Picture 1310" descr="LOGO DGI">
          <a:extLst>
            <a:ext uri="{FF2B5EF4-FFF2-40B4-BE49-F238E27FC236}">
              <a16:creationId xmlns:a16="http://schemas.microsoft.com/office/drawing/2014/main" id="{00000000-0008-0000-1700-0000F6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521684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83" name="Picture 1311" descr="LOGO DGI">
          <a:extLst>
            <a:ext uri="{FF2B5EF4-FFF2-40B4-BE49-F238E27FC236}">
              <a16:creationId xmlns:a16="http://schemas.microsoft.com/office/drawing/2014/main" id="{00000000-0008-0000-1700-0000F7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84" name="Picture 1312" descr="LOGO DGI">
          <a:extLst>
            <a:ext uri="{FF2B5EF4-FFF2-40B4-BE49-F238E27FC236}">
              <a16:creationId xmlns:a16="http://schemas.microsoft.com/office/drawing/2014/main" id="{00000000-0008-0000-1700-0000F8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85" name="Picture 1313" descr="LOGO DGI">
          <a:extLst>
            <a:ext uri="{FF2B5EF4-FFF2-40B4-BE49-F238E27FC236}">
              <a16:creationId xmlns:a16="http://schemas.microsoft.com/office/drawing/2014/main" id="{00000000-0008-0000-1700-0000F9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86" name="Picture 1314" descr="LOGO DGI">
          <a:extLst>
            <a:ext uri="{FF2B5EF4-FFF2-40B4-BE49-F238E27FC236}">
              <a16:creationId xmlns:a16="http://schemas.microsoft.com/office/drawing/2014/main" id="{00000000-0008-0000-1700-0000FA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87" name="Picture 1315" descr="LOGO DGI">
          <a:extLst>
            <a:ext uri="{FF2B5EF4-FFF2-40B4-BE49-F238E27FC236}">
              <a16:creationId xmlns:a16="http://schemas.microsoft.com/office/drawing/2014/main" id="{00000000-0008-0000-1700-0000FB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88" name="Picture 1316" descr="LOGO DGI">
          <a:extLst>
            <a:ext uri="{FF2B5EF4-FFF2-40B4-BE49-F238E27FC236}">
              <a16:creationId xmlns:a16="http://schemas.microsoft.com/office/drawing/2014/main" id="{00000000-0008-0000-1700-0000FC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89" name="Picture 1317" descr="LOGO DGI">
          <a:extLst>
            <a:ext uri="{FF2B5EF4-FFF2-40B4-BE49-F238E27FC236}">
              <a16:creationId xmlns:a16="http://schemas.microsoft.com/office/drawing/2014/main" id="{00000000-0008-0000-1700-0000FD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0" name="Picture 1318" descr="LOGO DGI">
          <a:extLst>
            <a:ext uri="{FF2B5EF4-FFF2-40B4-BE49-F238E27FC236}">
              <a16:creationId xmlns:a16="http://schemas.microsoft.com/office/drawing/2014/main" id="{00000000-0008-0000-1700-0000FE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1" name="Picture 1319" descr="LOGO DGI">
          <a:extLst>
            <a:ext uri="{FF2B5EF4-FFF2-40B4-BE49-F238E27FC236}">
              <a16:creationId xmlns:a16="http://schemas.microsoft.com/office/drawing/2014/main" id="{00000000-0008-0000-1700-0000FF8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2" name="Picture 1320" descr="LOGO DGI">
          <a:extLst>
            <a:ext uri="{FF2B5EF4-FFF2-40B4-BE49-F238E27FC236}">
              <a16:creationId xmlns:a16="http://schemas.microsoft.com/office/drawing/2014/main" id="{00000000-0008-0000-1700-000000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3" name="Picture 1321" descr="LOGO DGI">
          <a:extLst>
            <a:ext uri="{FF2B5EF4-FFF2-40B4-BE49-F238E27FC236}">
              <a16:creationId xmlns:a16="http://schemas.microsoft.com/office/drawing/2014/main" id="{00000000-0008-0000-1700-000001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4" name="Picture 1322" descr="LOGO DGI">
          <a:extLst>
            <a:ext uri="{FF2B5EF4-FFF2-40B4-BE49-F238E27FC236}">
              <a16:creationId xmlns:a16="http://schemas.microsoft.com/office/drawing/2014/main" id="{00000000-0008-0000-1700-000002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5" name="Picture 1323" descr="LOGO DGI">
          <a:extLst>
            <a:ext uri="{FF2B5EF4-FFF2-40B4-BE49-F238E27FC236}">
              <a16:creationId xmlns:a16="http://schemas.microsoft.com/office/drawing/2014/main" id="{00000000-0008-0000-1700-000003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6" name="Picture 1324" descr="LOGO DGI">
          <a:extLst>
            <a:ext uri="{FF2B5EF4-FFF2-40B4-BE49-F238E27FC236}">
              <a16:creationId xmlns:a16="http://schemas.microsoft.com/office/drawing/2014/main" id="{00000000-0008-0000-1700-000004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7" name="Picture 1325" descr="LOGO DGI">
          <a:extLst>
            <a:ext uri="{FF2B5EF4-FFF2-40B4-BE49-F238E27FC236}">
              <a16:creationId xmlns:a16="http://schemas.microsoft.com/office/drawing/2014/main" id="{00000000-0008-0000-1700-000005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8" name="Picture 1326" descr="LOGO DGI">
          <a:extLst>
            <a:ext uri="{FF2B5EF4-FFF2-40B4-BE49-F238E27FC236}">
              <a16:creationId xmlns:a16="http://schemas.microsoft.com/office/drawing/2014/main" id="{00000000-0008-0000-1700-000006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199" name="Picture 1327" descr="LOGO DGI">
          <a:extLst>
            <a:ext uri="{FF2B5EF4-FFF2-40B4-BE49-F238E27FC236}">
              <a16:creationId xmlns:a16="http://schemas.microsoft.com/office/drawing/2014/main" id="{00000000-0008-0000-1700-000007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306</xdr:row>
      <xdr:rowOff>0</xdr:rowOff>
    </xdr:from>
    <xdr:to>
      <xdr:col>2</xdr:col>
      <xdr:colOff>771525</xdr:colOff>
      <xdr:row>309</xdr:row>
      <xdr:rowOff>0</xdr:rowOff>
    </xdr:to>
    <xdr:pic>
      <xdr:nvPicPr>
        <xdr:cNvPr id="232200" name="Picture 1328" descr="LOGO DGI">
          <a:extLst>
            <a:ext uri="{FF2B5EF4-FFF2-40B4-BE49-F238E27FC236}">
              <a16:creationId xmlns:a16="http://schemas.microsoft.com/office/drawing/2014/main" id="{00000000-0008-0000-1700-000008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126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311</xdr:row>
      <xdr:rowOff>95250</xdr:rowOff>
    </xdr:from>
    <xdr:to>
      <xdr:col>2</xdr:col>
      <xdr:colOff>771525</xdr:colOff>
      <xdr:row>314</xdr:row>
      <xdr:rowOff>104775</xdr:rowOff>
    </xdr:to>
    <xdr:pic>
      <xdr:nvPicPr>
        <xdr:cNvPr id="232201" name="Picture 1329" descr="LOGO DGI">
          <a:extLst>
            <a:ext uri="{FF2B5EF4-FFF2-40B4-BE49-F238E27FC236}">
              <a16:creationId xmlns:a16="http://schemas.microsoft.com/office/drawing/2014/main" id="{00000000-0008-0000-1700-000009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21684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328</xdr:row>
      <xdr:rowOff>95250</xdr:rowOff>
    </xdr:from>
    <xdr:to>
      <xdr:col>2</xdr:col>
      <xdr:colOff>771525</xdr:colOff>
      <xdr:row>331</xdr:row>
      <xdr:rowOff>104775</xdr:rowOff>
    </xdr:to>
    <xdr:pic>
      <xdr:nvPicPr>
        <xdr:cNvPr id="232202" name="Picture 1330" descr="LOGO DGI">
          <a:extLst>
            <a:ext uri="{FF2B5EF4-FFF2-40B4-BE49-F238E27FC236}">
              <a16:creationId xmlns:a16="http://schemas.microsoft.com/office/drawing/2014/main" id="{00000000-0008-0000-1700-00000A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50164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328</xdr:row>
      <xdr:rowOff>95250</xdr:rowOff>
    </xdr:from>
    <xdr:to>
      <xdr:col>2</xdr:col>
      <xdr:colOff>885825</xdr:colOff>
      <xdr:row>331</xdr:row>
      <xdr:rowOff>104775</xdr:rowOff>
    </xdr:to>
    <xdr:pic>
      <xdr:nvPicPr>
        <xdr:cNvPr id="232203" name="Picture 1331" descr="LOGO DGI">
          <a:extLst>
            <a:ext uri="{FF2B5EF4-FFF2-40B4-BE49-F238E27FC236}">
              <a16:creationId xmlns:a16="http://schemas.microsoft.com/office/drawing/2014/main" id="{00000000-0008-0000-1700-00000B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550164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04" name="Picture 1332" descr="LOGO DGI">
          <a:extLst>
            <a:ext uri="{FF2B5EF4-FFF2-40B4-BE49-F238E27FC236}">
              <a16:creationId xmlns:a16="http://schemas.microsoft.com/office/drawing/2014/main" id="{00000000-0008-0000-1700-00000C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05" name="Picture 1333" descr="LOGO DGI">
          <a:extLst>
            <a:ext uri="{FF2B5EF4-FFF2-40B4-BE49-F238E27FC236}">
              <a16:creationId xmlns:a16="http://schemas.microsoft.com/office/drawing/2014/main" id="{00000000-0008-0000-1700-00000D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06" name="Picture 1334" descr="LOGO DGI">
          <a:extLst>
            <a:ext uri="{FF2B5EF4-FFF2-40B4-BE49-F238E27FC236}">
              <a16:creationId xmlns:a16="http://schemas.microsoft.com/office/drawing/2014/main" id="{00000000-0008-0000-1700-00000E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07" name="Picture 1335" descr="LOGO DGI">
          <a:extLst>
            <a:ext uri="{FF2B5EF4-FFF2-40B4-BE49-F238E27FC236}">
              <a16:creationId xmlns:a16="http://schemas.microsoft.com/office/drawing/2014/main" id="{00000000-0008-0000-1700-00000F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08" name="Picture 1336" descr="LOGO DGI">
          <a:extLst>
            <a:ext uri="{FF2B5EF4-FFF2-40B4-BE49-F238E27FC236}">
              <a16:creationId xmlns:a16="http://schemas.microsoft.com/office/drawing/2014/main" id="{00000000-0008-0000-1700-000010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09" name="Picture 1337" descr="LOGO DGI">
          <a:extLst>
            <a:ext uri="{FF2B5EF4-FFF2-40B4-BE49-F238E27FC236}">
              <a16:creationId xmlns:a16="http://schemas.microsoft.com/office/drawing/2014/main" id="{00000000-0008-0000-1700-000011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0" name="Picture 1338" descr="LOGO DGI">
          <a:extLst>
            <a:ext uri="{FF2B5EF4-FFF2-40B4-BE49-F238E27FC236}">
              <a16:creationId xmlns:a16="http://schemas.microsoft.com/office/drawing/2014/main" id="{00000000-0008-0000-1700-000012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1" name="Picture 1339" descr="LOGO DGI">
          <a:extLst>
            <a:ext uri="{FF2B5EF4-FFF2-40B4-BE49-F238E27FC236}">
              <a16:creationId xmlns:a16="http://schemas.microsoft.com/office/drawing/2014/main" id="{00000000-0008-0000-1700-000013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2" name="Picture 1340" descr="LOGO DGI">
          <a:extLst>
            <a:ext uri="{FF2B5EF4-FFF2-40B4-BE49-F238E27FC236}">
              <a16:creationId xmlns:a16="http://schemas.microsoft.com/office/drawing/2014/main" id="{00000000-0008-0000-1700-000014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3" name="Picture 1341" descr="LOGO DGI">
          <a:extLst>
            <a:ext uri="{FF2B5EF4-FFF2-40B4-BE49-F238E27FC236}">
              <a16:creationId xmlns:a16="http://schemas.microsoft.com/office/drawing/2014/main" id="{00000000-0008-0000-1700-000015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4" name="Picture 1342" descr="LOGO DGI">
          <a:extLst>
            <a:ext uri="{FF2B5EF4-FFF2-40B4-BE49-F238E27FC236}">
              <a16:creationId xmlns:a16="http://schemas.microsoft.com/office/drawing/2014/main" id="{00000000-0008-0000-1700-000016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5" name="Picture 1343" descr="LOGO DGI">
          <a:extLst>
            <a:ext uri="{FF2B5EF4-FFF2-40B4-BE49-F238E27FC236}">
              <a16:creationId xmlns:a16="http://schemas.microsoft.com/office/drawing/2014/main" id="{00000000-0008-0000-1700-000017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6" name="Picture 1344" descr="LOGO DGI">
          <a:extLst>
            <a:ext uri="{FF2B5EF4-FFF2-40B4-BE49-F238E27FC236}">
              <a16:creationId xmlns:a16="http://schemas.microsoft.com/office/drawing/2014/main" id="{00000000-0008-0000-1700-000018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7" name="Picture 1345" descr="LOGO DGI">
          <a:extLst>
            <a:ext uri="{FF2B5EF4-FFF2-40B4-BE49-F238E27FC236}">
              <a16:creationId xmlns:a16="http://schemas.microsoft.com/office/drawing/2014/main" id="{00000000-0008-0000-1700-000019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8" name="Picture 1346" descr="LOGO DGI">
          <a:extLst>
            <a:ext uri="{FF2B5EF4-FFF2-40B4-BE49-F238E27FC236}">
              <a16:creationId xmlns:a16="http://schemas.microsoft.com/office/drawing/2014/main" id="{00000000-0008-0000-1700-00001A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19" name="Picture 1347" descr="LOGO DGI">
          <a:extLst>
            <a:ext uri="{FF2B5EF4-FFF2-40B4-BE49-F238E27FC236}">
              <a16:creationId xmlns:a16="http://schemas.microsoft.com/office/drawing/2014/main" id="{00000000-0008-0000-1700-00001B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20" name="Picture 1348" descr="LOGO DGI">
          <a:extLst>
            <a:ext uri="{FF2B5EF4-FFF2-40B4-BE49-F238E27FC236}">
              <a16:creationId xmlns:a16="http://schemas.microsoft.com/office/drawing/2014/main" id="{00000000-0008-0000-1700-00001C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323</xdr:row>
      <xdr:rowOff>0</xdr:rowOff>
    </xdr:from>
    <xdr:to>
      <xdr:col>2</xdr:col>
      <xdr:colOff>771525</xdr:colOff>
      <xdr:row>326</xdr:row>
      <xdr:rowOff>0</xdr:rowOff>
    </xdr:to>
    <xdr:pic>
      <xdr:nvPicPr>
        <xdr:cNvPr id="232221" name="Picture 1349" descr="LOGO DGI">
          <a:extLst>
            <a:ext uri="{FF2B5EF4-FFF2-40B4-BE49-F238E27FC236}">
              <a16:creationId xmlns:a16="http://schemas.microsoft.com/office/drawing/2014/main" id="{00000000-0008-0000-1700-00001D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411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328</xdr:row>
      <xdr:rowOff>95250</xdr:rowOff>
    </xdr:from>
    <xdr:to>
      <xdr:col>2</xdr:col>
      <xdr:colOff>771525</xdr:colOff>
      <xdr:row>331</xdr:row>
      <xdr:rowOff>104775</xdr:rowOff>
    </xdr:to>
    <xdr:pic>
      <xdr:nvPicPr>
        <xdr:cNvPr id="232222" name="Picture 1350" descr="LOGO DGI">
          <a:extLst>
            <a:ext uri="{FF2B5EF4-FFF2-40B4-BE49-F238E27FC236}">
              <a16:creationId xmlns:a16="http://schemas.microsoft.com/office/drawing/2014/main" id="{00000000-0008-0000-1700-00001E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50164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345</xdr:row>
      <xdr:rowOff>95250</xdr:rowOff>
    </xdr:from>
    <xdr:to>
      <xdr:col>2</xdr:col>
      <xdr:colOff>771525</xdr:colOff>
      <xdr:row>348</xdr:row>
      <xdr:rowOff>104775</xdr:rowOff>
    </xdr:to>
    <xdr:pic>
      <xdr:nvPicPr>
        <xdr:cNvPr id="232223" name="Picture 1351" descr="LOGO DGI">
          <a:extLst>
            <a:ext uri="{FF2B5EF4-FFF2-40B4-BE49-F238E27FC236}">
              <a16:creationId xmlns:a16="http://schemas.microsoft.com/office/drawing/2014/main" id="{00000000-0008-0000-1700-00001F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78643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345</xdr:row>
      <xdr:rowOff>95250</xdr:rowOff>
    </xdr:from>
    <xdr:to>
      <xdr:col>2</xdr:col>
      <xdr:colOff>885825</xdr:colOff>
      <xdr:row>348</xdr:row>
      <xdr:rowOff>104775</xdr:rowOff>
    </xdr:to>
    <xdr:pic>
      <xdr:nvPicPr>
        <xdr:cNvPr id="232224" name="Picture 1352" descr="LOGO DGI">
          <a:extLst>
            <a:ext uri="{FF2B5EF4-FFF2-40B4-BE49-F238E27FC236}">
              <a16:creationId xmlns:a16="http://schemas.microsoft.com/office/drawing/2014/main" id="{00000000-0008-0000-1700-000020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578643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25" name="Picture 1353" descr="LOGO DGI">
          <a:extLst>
            <a:ext uri="{FF2B5EF4-FFF2-40B4-BE49-F238E27FC236}">
              <a16:creationId xmlns:a16="http://schemas.microsoft.com/office/drawing/2014/main" id="{00000000-0008-0000-1700-000021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26" name="Picture 1354" descr="LOGO DGI">
          <a:extLst>
            <a:ext uri="{FF2B5EF4-FFF2-40B4-BE49-F238E27FC236}">
              <a16:creationId xmlns:a16="http://schemas.microsoft.com/office/drawing/2014/main" id="{00000000-0008-0000-1700-000022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27" name="Picture 1355" descr="LOGO DGI">
          <a:extLst>
            <a:ext uri="{FF2B5EF4-FFF2-40B4-BE49-F238E27FC236}">
              <a16:creationId xmlns:a16="http://schemas.microsoft.com/office/drawing/2014/main" id="{00000000-0008-0000-1700-000023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28" name="Picture 1356" descr="LOGO DGI">
          <a:extLst>
            <a:ext uri="{FF2B5EF4-FFF2-40B4-BE49-F238E27FC236}">
              <a16:creationId xmlns:a16="http://schemas.microsoft.com/office/drawing/2014/main" id="{00000000-0008-0000-1700-000024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29" name="Picture 1357" descr="LOGO DGI">
          <a:extLst>
            <a:ext uri="{FF2B5EF4-FFF2-40B4-BE49-F238E27FC236}">
              <a16:creationId xmlns:a16="http://schemas.microsoft.com/office/drawing/2014/main" id="{00000000-0008-0000-1700-000025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0" name="Picture 1358" descr="LOGO DGI">
          <a:extLst>
            <a:ext uri="{FF2B5EF4-FFF2-40B4-BE49-F238E27FC236}">
              <a16:creationId xmlns:a16="http://schemas.microsoft.com/office/drawing/2014/main" id="{00000000-0008-0000-1700-000026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1" name="Picture 1359" descr="LOGO DGI">
          <a:extLst>
            <a:ext uri="{FF2B5EF4-FFF2-40B4-BE49-F238E27FC236}">
              <a16:creationId xmlns:a16="http://schemas.microsoft.com/office/drawing/2014/main" id="{00000000-0008-0000-1700-000027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2" name="Picture 1360" descr="LOGO DGI">
          <a:extLst>
            <a:ext uri="{FF2B5EF4-FFF2-40B4-BE49-F238E27FC236}">
              <a16:creationId xmlns:a16="http://schemas.microsoft.com/office/drawing/2014/main" id="{00000000-0008-0000-1700-000028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3" name="Picture 1361" descr="LOGO DGI">
          <a:extLst>
            <a:ext uri="{FF2B5EF4-FFF2-40B4-BE49-F238E27FC236}">
              <a16:creationId xmlns:a16="http://schemas.microsoft.com/office/drawing/2014/main" id="{00000000-0008-0000-1700-000029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4" name="Picture 1362" descr="LOGO DGI">
          <a:extLst>
            <a:ext uri="{FF2B5EF4-FFF2-40B4-BE49-F238E27FC236}">
              <a16:creationId xmlns:a16="http://schemas.microsoft.com/office/drawing/2014/main" id="{00000000-0008-0000-1700-00002A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5" name="Picture 1363" descr="LOGO DGI">
          <a:extLst>
            <a:ext uri="{FF2B5EF4-FFF2-40B4-BE49-F238E27FC236}">
              <a16:creationId xmlns:a16="http://schemas.microsoft.com/office/drawing/2014/main" id="{00000000-0008-0000-1700-00002B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6" name="Picture 1364" descr="LOGO DGI">
          <a:extLst>
            <a:ext uri="{FF2B5EF4-FFF2-40B4-BE49-F238E27FC236}">
              <a16:creationId xmlns:a16="http://schemas.microsoft.com/office/drawing/2014/main" id="{00000000-0008-0000-1700-00002C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7" name="Picture 1365" descr="LOGO DGI">
          <a:extLst>
            <a:ext uri="{FF2B5EF4-FFF2-40B4-BE49-F238E27FC236}">
              <a16:creationId xmlns:a16="http://schemas.microsoft.com/office/drawing/2014/main" id="{00000000-0008-0000-1700-00002D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8" name="Picture 1366" descr="LOGO DGI">
          <a:extLst>
            <a:ext uri="{FF2B5EF4-FFF2-40B4-BE49-F238E27FC236}">
              <a16:creationId xmlns:a16="http://schemas.microsoft.com/office/drawing/2014/main" id="{00000000-0008-0000-1700-00002E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39" name="Picture 1367" descr="LOGO DGI">
          <a:extLst>
            <a:ext uri="{FF2B5EF4-FFF2-40B4-BE49-F238E27FC236}">
              <a16:creationId xmlns:a16="http://schemas.microsoft.com/office/drawing/2014/main" id="{00000000-0008-0000-1700-00002F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40" name="Picture 1368" descr="LOGO DGI">
          <a:extLst>
            <a:ext uri="{FF2B5EF4-FFF2-40B4-BE49-F238E27FC236}">
              <a16:creationId xmlns:a16="http://schemas.microsoft.com/office/drawing/2014/main" id="{00000000-0008-0000-1700-000030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41" name="Picture 1369" descr="LOGO DGI">
          <a:extLst>
            <a:ext uri="{FF2B5EF4-FFF2-40B4-BE49-F238E27FC236}">
              <a16:creationId xmlns:a16="http://schemas.microsoft.com/office/drawing/2014/main" id="{00000000-0008-0000-1700-000031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340</xdr:row>
      <xdr:rowOff>0</xdr:rowOff>
    </xdr:from>
    <xdr:to>
      <xdr:col>2</xdr:col>
      <xdr:colOff>771525</xdr:colOff>
      <xdr:row>343</xdr:row>
      <xdr:rowOff>0</xdr:rowOff>
    </xdr:to>
    <xdr:pic>
      <xdr:nvPicPr>
        <xdr:cNvPr id="232242" name="Picture 1370" descr="LOGO DGI">
          <a:extLst>
            <a:ext uri="{FF2B5EF4-FFF2-40B4-BE49-F238E27FC236}">
              <a16:creationId xmlns:a16="http://schemas.microsoft.com/office/drawing/2014/main" id="{00000000-0008-0000-1700-000032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6959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345</xdr:row>
      <xdr:rowOff>95250</xdr:rowOff>
    </xdr:from>
    <xdr:to>
      <xdr:col>2</xdr:col>
      <xdr:colOff>771525</xdr:colOff>
      <xdr:row>348</xdr:row>
      <xdr:rowOff>104775</xdr:rowOff>
    </xdr:to>
    <xdr:pic>
      <xdr:nvPicPr>
        <xdr:cNvPr id="232243" name="Picture 1371" descr="LOGO DGI">
          <a:extLst>
            <a:ext uri="{FF2B5EF4-FFF2-40B4-BE49-F238E27FC236}">
              <a16:creationId xmlns:a16="http://schemas.microsoft.com/office/drawing/2014/main" id="{00000000-0008-0000-1700-0000338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78643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0</xdr:row>
      <xdr:rowOff>104775</xdr:rowOff>
    </xdr:from>
    <xdr:to>
      <xdr:col>12</xdr:col>
      <xdr:colOff>609600</xdr:colOff>
      <xdr:row>4</xdr:row>
      <xdr:rowOff>47625</xdr:rowOff>
    </xdr:to>
    <xdr:sp macro="" textlink="">
      <xdr:nvSpPr>
        <xdr:cNvPr id="34817" name="CommandButton2" hidden="1">
          <a:extLst>
            <a:ext uri="{63B3BB69-23CF-44E3-9099-C40C66FF867C}">
              <a14:compatExt xmlns:a14="http://schemas.microsoft.com/office/drawing/2010/main" spid="_x0000_s34817"/>
            </a:ext>
            <a:ext uri="{FF2B5EF4-FFF2-40B4-BE49-F238E27FC236}">
              <a16:creationId xmlns:a16="http://schemas.microsoft.com/office/drawing/2014/main" id="{00000000-0008-0000-1800-0000018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590550</xdr:colOff>
      <xdr:row>0</xdr:row>
      <xdr:rowOff>85725</xdr:rowOff>
    </xdr:from>
    <xdr:to>
      <xdr:col>11</xdr:col>
      <xdr:colOff>409575</xdr:colOff>
      <xdr:row>4</xdr:row>
      <xdr:rowOff>57150</xdr:rowOff>
    </xdr:to>
    <xdr:sp macro="" textlink="">
      <xdr:nvSpPr>
        <xdr:cNvPr id="34818" name="CommandButton1" hidden="1">
          <a:extLst>
            <a:ext uri="{63B3BB69-23CF-44E3-9099-C40C66FF867C}">
              <a14:compatExt xmlns:a14="http://schemas.microsoft.com/office/drawing/2010/main" spid="_x0000_s34818"/>
            </a:ext>
            <a:ext uri="{FF2B5EF4-FFF2-40B4-BE49-F238E27FC236}">
              <a16:creationId xmlns:a16="http://schemas.microsoft.com/office/drawing/2014/main" id="{00000000-0008-0000-1800-0000028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695325</xdr:colOff>
      <xdr:row>5</xdr:row>
      <xdr:rowOff>28575</xdr:rowOff>
    </xdr:from>
    <xdr:to>
      <xdr:col>12</xdr:col>
      <xdr:colOff>590550</xdr:colOff>
      <xdr:row>8</xdr:row>
      <xdr:rowOff>123825</xdr:rowOff>
    </xdr:to>
    <xdr:sp macro="" textlink="">
      <xdr:nvSpPr>
        <xdr:cNvPr id="34819" name="CommandButton3" hidden="1">
          <a:extLst>
            <a:ext uri="{63B3BB69-23CF-44E3-9099-C40C66FF867C}">
              <a14:compatExt xmlns:a14="http://schemas.microsoft.com/office/drawing/2010/main" spid="_x0000_s34819"/>
            </a:ext>
            <a:ext uri="{FF2B5EF4-FFF2-40B4-BE49-F238E27FC236}">
              <a16:creationId xmlns:a16="http://schemas.microsoft.com/office/drawing/2014/main" id="{00000000-0008-0000-1800-0000038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590550</xdr:colOff>
      <xdr:row>4</xdr:row>
      <xdr:rowOff>152400</xdr:rowOff>
    </xdr:from>
    <xdr:to>
      <xdr:col>11</xdr:col>
      <xdr:colOff>419100</xdr:colOff>
      <xdr:row>8</xdr:row>
      <xdr:rowOff>66675</xdr:rowOff>
    </xdr:to>
    <xdr:sp macro="" textlink="">
      <xdr:nvSpPr>
        <xdr:cNvPr id="34820" name="CommandButton4" hidden="1">
          <a:extLst>
            <a:ext uri="{63B3BB69-23CF-44E3-9099-C40C66FF867C}">
              <a14:compatExt xmlns:a14="http://schemas.microsoft.com/office/drawing/2010/main" spid="_x0000_s34820"/>
            </a:ext>
            <a:ext uri="{FF2B5EF4-FFF2-40B4-BE49-F238E27FC236}">
              <a16:creationId xmlns:a16="http://schemas.microsoft.com/office/drawing/2014/main" id="{00000000-0008-0000-1800-0000048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5</xdr:row>
      <xdr:rowOff>114300</xdr:rowOff>
    </xdr:from>
    <xdr:to>
      <xdr:col>2</xdr:col>
      <xdr:colOff>809625</xdr:colOff>
      <xdr:row>8</xdr:row>
      <xdr:rowOff>114300</xdr:rowOff>
    </xdr:to>
    <xdr:pic>
      <xdr:nvPicPr>
        <xdr:cNvPr id="188716" name="Picture 1" descr="LOGO DGI">
          <a:extLst>
            <a:ext uri="{FF2B5EF4-FFF2-40B4-BE49-F238E27FC236}">
              <a16:creationId xmlns:a16="http://schemas.microsoft.com/office/drawing/2014/main" id="{00000000-0008-0000-1900-00002C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92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1</xdr:row>
      <xdr:rowOff>28575</xdr:rowOff>
    </xdr:from>
    <xdr:to>
      <xdr:col>9</xdr:col>
      <xdr:colOff>133350</xdr:colOff>
      <xdr:row>4</xdr:row>
      <xdr:rowOff>76200</xdr:rowOff>
    </xdr:to>
    <xdr:sp macro="" textlink="">
      <xdr:nvSpPr>
        <xdr:cNvPr id="16395" name="CommandButton1" hidden="1">
          <a:extLst>
            <a:ext uri="{63B3BB69-23CF-44E3-9099-C40C66FF867C}">
              <a14:compatExt xmlns:a14="http://schemas.microsoft.com/office/drawing/2010/main" spid="_x0000_s16395"/>
            </a:ext>
            <a:ext uri="{FF2B5EF4-FFF2-40B4-BE49-F238E27FC236}">
              <a16:creationId xmlns:a16="http://schemas.microsoft.com/office/drawing/2014/main" id="{00000000-0008-0000-1900-00000B4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9525</xdr:colOff>
      <xdr:row>4</xdr:row>
      <xdr:rowOff>104775</xdr:rowOff>
    </xdr:from>
    <xdr:to>
      <xdr:col>9</xdr:col>
      <xdr:colOff>647700</xdr:colOff>
      <xdr:row>7</xdr:row>
      <xdr:rowOff>9525</xdr:rowOff>
    </xdr:to>
    <xdr:sp macro="" textlink="">
      <xdr:nvSpPr>
        <xdr:cNvPr id="16396" name="CommandButton2" hidden="1">
          <a:extLst>
            <a:ext uri="{63B3BB69-23CF-44E3-9099-C40C66FF867C}">
              <a14:compatExt xmlns:a14="http://schemas.microsoft.com/office/drawing/2010/main" spid="_x0000_s16396"/>
            </a:ext>
            <a:ext uri="{FF2B5EF4-FFF2-40B4-BE49-F238E27FC236}">
              <a16:creationId xmlns:a16="http://schemas.microsoft.com/office/drawing/2014/main" id="{00000000-0008-0000-1900-00000C4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17" name="Picture 29" descr="LOGO DGI">
          <a:extLst>
            <a:ext uri="{FF2B5EF4-FFF2-40B4-BE49-F238E27FC236}">
              <a16:creationId xmlns:a16="http://schemas.microsoft.com/office/drawing/2014/main" id="{00000000-0008-0000-1900-00002D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18" name="Picture 30" descr="LOGO DGI">
          <a:extLst>
            <a:ext uri="{FF2B5EF4-FFF2-40B4-BE49-F238E27FC236}">
              <a16:creationId xmlns:a16="http://schemas.microsoft.com/office/drawing/2014/main" id="{00000000-0008-0000-1900-00002E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19" name="Picture 31" descr="LOGO DGI">
          <a:extLst>
            <a:ext uri="{FF2B5EF4-FFF2-40B4-BE49-F238E27FC236}">
              <a16:creationId xmlns:a16="http://schemas.microsoft.com/office/drawing/2014/main" id="{00000000-0008-0000-1900-00002F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0" name="Picture 32" descr="LOGO DGI">
          <a:extLst>
            <a:ext uri="{FF2B5EF4-FFF2-40B4-BE49-F238E27FC236}">
              <a16:creationId xmlns:a16="http://schemas.microsoft.com/office/drawing/2014/main" id="{00000000-0008-0000-1900-000030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1" name="Picture 33" descr="LOGO DGI">
          <a:extLst>
            <a:ext uri="{FF2B5EF4-FFF2-40B4-BE49-F238E27FC236}">
              <a16:creationId xmlns:a16="http://schemas.microsoft.com/office/drawing/2014/main" id="{00000000-0008-0000-1900-000031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2" name="Picture 34" descr="LOGO DGI">
          <a:extLst>
            <a:ext uri="{FF2B5EF4-FFF2-40B4-BE49-F238E27FC236}">
              <a16:creationId xmlns:a16="http://schemas.microsoft.com/office/drawing/2014/main" id="{00000000-0008-0000-1900-000032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3" name="Picture 35" descr="LOGO DGI">
          <a:extLst>
            <a:ext uri="{FF2B5EF4-FFF2-40B4-BE49-F238E27FC236}">
              <a16:creationId xmlns:a16="http://schemas.microsoft.com/office/drawing/2014/main" id="{00000000-0008-0000-1900-000033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4" name="Picture 36" descr="LOGO DGI">
          <a:extLst>
            <a:ext uri="{FF2B5EF4-FFF2-40B4-BE49-F238E27FC236}">
              <a16:creationId xmlns:a16="http://schemas.microsoft.com/office/drawing/2014/main" id="{00000000-0008-0000-1900-000034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5" name="Picture 37" descr="LOGO DGI">
          <a:extLst>
            <a:ext uri="{FF2B5EF4-FFF2-40B4-BE49-F238E27FC236}">
              <a16:creationId xmlns:a16="http://schemas.microsoft.com/office/drawing/2014/main" id="{00000000-0008-0000-1900-000035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6" name="Picture 38" descr="LOGO DGI">
          <a:extLst>
            <a:ext uri="{FF2B5EF4-FFF2-40B4-BE49-F238E27FC236}">
              <a16:creationId xmlns:a16="http://schemas.microsoft.com/office/drawing/2014/main" id="{00000000-0008-0000-1900-000036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7" name="Picture 39" descr="LOGO DGI">
          <a:extLst>
            <a:ext uri="{FF2B5EF4-FFF2-40B4-BE49-F238E27FC236}">
              <a16:creationId xmlns:a16="http://schemas.microsoft.com/office/drawing/2014/main" id="{00000000-0008-0000-1900-000037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8" name="Picture 40" descr="LOGO DGI">
          <a:extLst>
            <a:ext uri="{FF2B5EF4-FFF2-40B4-BE49-F238E27FC236}">
              <a16:creationId xmlns:a16="http://schemas.microsoft.com/office/drawing/2014/main" id="{00000000-0008-0000-1900-000038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29" name="Picture 41" descr="LOGO DGI">
          <a:extLst>
            <a:ext uri="{FF2B5EF4-FFF2-40B4-BE49-F238E27FC236}">
              <a16:creationId xmlns:a16="http://schemas.microsoft.com/office/drawing/2014/main" id="{00000000-0008-0000-1900-000039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30" name="Picture 42" descr="LOGO DGI">
          <a:extLst>
            <a:ext uri="{FF2B5EF4-FFF2-40B4-BE49-F238E27FC236}">
              <a16:creationId xmlns:a16="http://schemas.microsoft.com/office/drawing/2014/main" id="{00000000-0008-0000-1900-00003A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17</xdr:row>
      <xdr:rowOff>0</xdr:rowOff>
    </xdr:from>
    <xdr:to>
      <xdr:col>2</xdr:col>
      <xdr:colOff>809625</xdr:colOff>
      <xdr:row>20</xdr:row>
      <xdr:rowOff>0</xdr:rowOff>
    </xdr:to>
    <xdr:pic>
      <xdr:nvPicPr>
        <xdr:cNvPr id="188731" name="Picture 43" descr="LOGO DGI">
          <a:extLst>
            <a:ext uri="{FF2B5EF4-FFF2-40B4-BE49-F238E27FC236}">
              <a16:creationId xmlns:a16="http://schemas.microsoft.com/office/drawing/2014/main" id="{00000000-0008-0000-1900-00003B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22</xdr:row>
      <xdr:rowOff>114300</xdr:rowOff>
    </xdr:from>
    <xdr:to>
      <xdr:col>2</xdr:col>
      <xdr:colOff>809625</xdr:colOff>
      <xdr:row>25</xdr:row>
      <xdr:rowOff>114300</xdr:rowOff>
    </xdr:to>
    <xdr:pic>
      <xdr:nvPicPr>
        <xdr:cNvPr id="188732" name="Picture 44" descr="LOGO DGI">
          <a:extLst>
            <a:ext uri="{FF2B5EF4-FFF2-40B4-BE49-F238E27FC236}">
              <a16:creationId xmlns:a16="http://schemas.microsoft.com/office/drawing/2014/main" id="{00000000-0008-0000-1900-00003C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77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39</xdr:row>
      <xdr:rowOff>114300</xdr:rowOff>
    </xdr:from>
    <xdr:to>
      <xdr:col>2</xdr:col>
      <xdr:colOff>809625</xdr:colOff>
      <xdr:row>42</xdr:row>
      <xdr:rowOff>114300</xdr:rowOff>
    </xdr:to>
    <xdr:pic>
      <xdr:nvPicPr>
        <xdr:cNvPr id="188733" name="Picture 45" descr="LOGO DGI">
          <a:extLst>
            <a:ext uri="{FF2B5EF4-FFF2-40B4-BE49-F238E27FC236}">
              <a16:creationId xmlns:a16="http://schemas.microsoft.com/office/drawing/2014/main" id="{00000000-0008-0000-1900-00003D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6619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56</xdr:row>
      <xdr:rowOff>114300</xdr:rowOff>
    </xdr:from>
    <xdr:to>
      <xdr:col>2</xdr:col>
      <xdr:colOff>809625</xdr:colOff>
      <xdr:row>59</xdr:row>
      <xdr:rowOff>114300</xdr:rowOff>
    </xdr:to>
    <xdr:pic>
      <xdr:nvPicPr>
        <xdr:cNvPr id="188734" name="Picture 46" descr="LOGO DGI">
          <a:extLst>
            <a:ext uri="{FF2B5EF4-FFF2-40B4-BE49-F238E27FC236}">
              <a16:creationId xmlns:a16="http://schemas.microsoft.com/office/drawing/2014/main" id="{00000000-0008-0000-1900-00003E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946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73</xdr:row>
      <xdr:rowOff>114300</xdr:rowOff>
    </xdr:from>
    <xdr:to>
      <xdr:col>2</xdr:col>
      <xdr:colOff>809625</xdr:colOff>
      <xdr:row>76</xdr:row>
      <xdr:rowOff>114300</xdr:rowOff>
    </xdr:to>
    <xdr:pic>
      <xdr:nvPicPr>
        <xdr:cNvPr id="188735" name="Picture 47" descr="LOGO DGI">
          <a:extLst>
            <a:ext uri="{FF2B5EF4-FFF2-40B4-BE49-F238E27FC236}">
              <a16:creationId xmlns:a16="http://schemas.microsoft.com/office/drawing/2014/main" id="{00000000-0008-0000-1900-00003F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1231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90</xdr:row>
      <xdr:rowOff>114300</xdr:rowOff>
    </xdr:from>
    <xdr:to>
      <xdr:col>2</xdr:col>
      <xdr:colOff>809625</xdr:colOff>
      <xdr:row>93</xdr:row>
      <xdr:rowOff>114300</xdr:rowOff>
    </xdr:to>
    <xdr:pic>
      <xdr:nvPicPr>
        <xdr:cNvPr id="188736" name="Picture 48" descr="LOGO DGI">
          <a:extLst>
            <a:ext uri="{FF2B5EF4-FFF2-40B4-BE49-F238E27FC236}">
              <a16:creationId xmlns:a16="http://schemas.microsoft.com/office/drawing/2014/main" id="{00000000-0008-0000-1900-000040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15163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107</xdr:row>
      <xdr:rowOff>114300</xdr:rowOff>
    </xdr:from>
    <xdr:to>
      <xdr:col>2</xdr:col>
      <xdr:colOff>809625</xdr:colOff>
      <xdr:row>110</xdr:row>
      <xdr:rowOff>114300</xdr:rowOff>
    </xdr:to>
    <xdr:pic>
      <xdr:nvPicPr>
        <xdr:cNvPr id="188737" name="Picture 49" descr="LOGO DGI">
          <a:extLst>
            <a:ext uri="{FF2B5EF4-FFF2-40B4-BE49-F238E27FC236}">
              <a16:creationId xmlns:a16="http://schemas.microsoft.com/office/drawing/2014/main" id="{00000000-0008-0000-1900-000041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1801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124</xdr:row>
      <xdr:rowOff>114300</xdr:rowOff>
    </xdr:from>
    <xdr:to>
      <xdr:col>2</xdr:col>
      <xdr:colOff>809625</xdr:colOff>
      <xdr:row>127</xdr:row>
      <xdr:rowOff>114300</xdr:rowOff>
    </xdr:to>
    <xdr:pic>
      <xdr:nvPicPr>
        <xdr:cNvPr id="188738" name="Picture 50" descr="LOGO DGI">
          <a:extLst>
            <a:ext uri="{FF2B5EF4-FFF2-40B4-BE49-F238E27FC236}">
              <a16:creationId xmlns:a16="http://schemas.microsoft.com/office/drawing/2014/main" id="{00000000-0008-0000-1900-000042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0859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141</xdr:row>
      <xdr:rowOff>114300</xdr:rowOff>
    </xdr:from>
    <xdr:to>
      <xdr:col>2</xdr:col>
      <xdr:colOff>809625</xdr:colOff>
      <xdr:row>144</xdr:row>
      <xdr:rowOff>114300</xdr:rowOff>
    </xdr:to>
    <xdr:pic>
      <xdr:nvPicPr>
        <xdr:cNvPr id="188739" name="Picture 51" descr="LOGO DGI">
          <a:extLst>
            <a:ext uri="{FF2B5EF4-FFF2-40B4-BE49-F238E27FC236}">
              <a16:creationId xmlns:a16="http://schemas.microsoft.com/office/drawing/2014/main" id="{00000000-0008-0000-1900-000043E1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23707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104775</xdr:rowOff>
    </xdr:from>
    <xdr:to>
      <xdr:col>10</xdr:col>
      <xdr:colOff>1047750</xdr:colOff>
      <xdr:row>4</xdr:row>
      <xdr:rowOff>47625</xdr:rowOff>
    </xdr:to>
    <xdr:sp macro="" textlink="">
      <xdr:nvSpPr>
        <xdr:cNvPr id="35841" name="CommandButton2" hidden="1">
          <a:extLst>
            <a:ext uri="{63B3BB69-23CF-44E3-9099-C40C66FF867C}">
              <a14:compatExt xmlns:a14="http://schemas.microsoft.com/office/drawing/2010/main" spid="_x0000_s35841"/>
            </a:ext>
            <a:ext uri="{FF2B5EF4-FFF2-40B4-BE49-F238E27FC236}">
              <a16:creationId xmlns:a16="http://schemas.microsoft.com/office/drawing/2014/main" id="{00000000-0008-0000-1A00-000001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742950</xdr:colOff>
      <xdr:row>0</xdr:row>
      <xdr:rowOff>114300</xdr:rowOff>
    </xdr:from>
    <xdr:to>
      <xdr:col>12</xdr:col>
      <xdr:colOff>561975</xdr:colOff>
      <xdr:row>4</xdr:row>
      <xdr:rowOff>85725</xdr:rowOff>
    </xdr:to>
    <xdr:sp macro="" textlink="">
      <xdr:nvSpPr>
        <xdr:cNvPr id="35842" name="CommandButton1" hidden="1">
          <a:extLst>
            <a:ext uri="{63B3BB69-23CF-44E3-9099-C40C66FF867C}">
              <a14:compatExt xmlns:a14="http://schemas.microsoft.com/office/drawing/2010/main" spid="_x0000_s35842"/>
            </a:ext>
            <a:ext uri="{FF2B5EF4-FFF2-40B4-BE49-F238E27FC236}">
              <a16:creationId xmlns:a16="http://schemas.microsoft.com/office/drawing/2014/main" id="{00000000-0008-0000-1A00-000002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0</xdr:colOff>
      <xdr:row>5</xdr:row>
      <xdr:rowOff>19050</xdr:rowOff>
    </xdr:from>
    <xdr:to>
      <xdr:col>10</xdr:col>
      <xdr:colOff>1066800</xdr:colOff>
      <xdr:row>8</xdr:row>
      <xdr:rowOff>114300</xdr:rowOff>
    </xdr:to>
    <xdr:sp macro="" textlink="">
      <xdr:nvSpPr>
        <xdr:cNvPr id="35843" name="CommandButton3" hidden="1">
          <a:extLst>
            <a:ext uri="{63B3BB69-23CF-44E3-9099-C40C66FF867C}">
              <a14:compatExt xmlns:a14="http://schemas.microsoft.com/office/drawing/2010/main" spid="_x0000_s35843"/>
            </a:ext>
            <a:ext uri="{FF2B5EF4-FFF2-40B4-BE49-F238E27FC236}">
              <a16:creationId xmlns:a16="http://schemas.microsoft.com/office/drawing/2014/main" id="{00000000-0008-0000-1A00-000003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723900</xdr:colOff>
      <xdr:row>5</xdr:row>
      <xdr:rowOff>38100</xdr:rowOff>
    </xdr:from>
    <xdr:to>
      <xdr:col>12</xdr:col>
      <xdr:colOff>552450</xdr:colOff>
      <xdr:row>8</xdr:row>
      <xdr:rowOff>114300</xdr:rowOff>
    </xdr:to>
    <xdr:sp macro="" textlink="">
      <xdr:nvSpPr>
        <xdr:cNvPr id="35844" name="CommandButton4" hidden="1">
          <a:extLst>
            <a:ext uri="{63B3BB69-23CF-44E3-9099-C40C66FF867C}">
              <a14:compatExt xmlns:a14="http://schemas.microsoft.com/office/drawing/2010/main" spid="_x0000_s35844"/>
            </a:ext>
            <a:ext uri="{FF2B5EF4-FFF2-40B4-BE49-F238E27FC236}">
              <a16:creationId xmlns:a16="http://schemas.microsoft.com/office/drawing/2014/main" id="{00000000-0008-0000-1A00-000004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476250</xdr:colOff>
      <xdr:row>5</xdr:row>
      <xdr:rowOff>95250</xdr:rowOff>
    </xdr:from>
    <xdr:to>
      <xdr:col>2</xdr:col>
      <xdr:colOff>866775</xdr:colOff>
      <xdr:row>8</xdr:row>
      <xdr:rowOff>95250</xdr:rowOff>
    </xdr:to>
    <xdr:pic>
      <xdr:nvPicPr>
        <xdr:cNvPr id="17631" name="Picture 1" descr="LOGO DGI">
          <a:extLst>
            <a:ext uri="{FF2B5EF4-FFF2-40B4-BE49-F238E27FC236}">
              <a16:creationId xmlns:a16="http://schemas.microsoft.com/office/drawing/2014/main" id="{00000000-0008-0000-1B00-0000DF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904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17414" name="CommandButton1" hidden="1">
          <a:extLst>
            <a:ext uri="{63B3BB69-23CF-44E3-9099-C40C66FF867C}">
              <a14:compatExt xmlns:a14="http://schemas.microsoft.com/office/drawing/2010/main" spid="_x0000_s17414"/>
            </a:ext>
            <a:ext uri="{FF2B5EF4-FFF2-40B4-BE49-F238E27FC236}">
              <a16:creationId xmlns:a16="http://schemas.microsoft.com/office/drawing/2014/main" id="{00000000-0008-0000-1B00-0000064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95250</xdr:rowOff>
    </xdr:from>
    <xdr:to>
      <xdr:col>9</xdr:col>
      <xdr:colOff>638175</xdr:colOff>
      <xdr:row>7</xdr:row>
      <xdr:rowOff>0</xdr:rowOff>
    </xdr:to>
    <xdr:sp macro="" textlink="">
      <xdr:nvSpPr>
        <xdr:cNvPr id="17415" name="CommandButton2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00000000-0008-0000-1B00-0000074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476250</xdr:colOff>
      <xdr:row>22</xdr:row>
      <xdr:rowOff>95250</xdr:rowOff>
    </xdr:from>
    <xdr:to>
      <xdr:col>2</xdr:col>
      <xdr:colOff>866775</xdr:colOff>
      <xdr:row>25</xdr:row>
      <xdr:rowOff>95250</xdr:rowOff>
    </xdr:to>
    <xdr:pic>
      <xdr:nvPicPr>
        <xdr:cNvPr id="17632" name="Picture 8" descr="LOGO DGI">
          <a:extLst>
            <a:ext uri="{FF2B5EF4-FFF2-40B4-BE49-F238E27FC236}">
              <a16:creationId xmlns:a16="http://schemas.microsoft.com/office/drawing/2014/main" id="{00000000-0008-0000-1B00-0000E0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3752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39</xdr:row>
      <xdr:rowOff>95250</xdr:rowOff>
    </xdr:from>
    <xdr:to>
      <xdr:col>2</xdr:col>
      <xdr:colOff>866775</xdr:colOff>
      <xdr:row>42</xdr:row>
      <xdr:rowOff>95250</xdr:rowOff>
    </xdr:to>
    <xdr:pic>
      <xdr:nvPicPr>
        <xdr:cNvPr id="17633" name="Picture 9" descr="LOGO DGI">
          <a:extLst>
            <a:ext uri="{FF2B5EF4-FFF2-40B4-BE49-F238E27FC236}">
              <a16:creationId xmlns:a16="http://schemas.microsoft.com/office/drawing/2014/main" id="{00000000-0008-0000-1B00-0000E1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6600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56</xdr:row>
      <xdr:rowOff>95250</xdr:rowOff>
    </xdr:from>
    <xdr:to>
      <xdr:col>2</xdr:col>
      <xdr:colOff>866775</xdr:colOff>
      <xdr:row>59</xdr:row>
      <xdr:rowOff>95250</xdr:rowOff>
    </xdr:to>
    <xdr:pic>
      <xdr:nvPicPr>
        <xdr:cNvPr id="17634" name="Picture 10" descr="LOGO DGI">
          <a:extLst>
            <a:ext uri="{FF2B5EF4-FFF2-40B4-BE49-F238E27FC236}">
              <a16:creationId xmlns:a16="http://schemas.microsoft.com/office/drawing/2014/main" id="{00000000-0008-0000-1B00-0000E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9448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390525</xdr:colOff>
      <xdr:row>1</xdr:row>
      <xdr:rowOff>0</xdr:rowOff>
    </xdr:from>
    <xdr:to>
      <xdr:col>10</xdr:col>
      <xdr:colOff>866775</xdr:colOff>
      <xdr:row>4</xdr:row>
      <xdr:rowOff>104775</xdr:rowOff>
    </xdr:to>
    <xdr:sp macro="" textlink="">
      <xdr:nvSpPr>
        <xdr:cNvPr id="36865" name="CommandButton2" hidden="1">
          <a:extLst>
            <a:ext uri="{63B3BB69-23CF-44E3-9099-C40C66FF867C}">
              <a14:compatExt xmlns:a14="http://schemas.microsoft.com/office/drawing/2010/main" spid="_x0000_s36865"/>
            </a:ext>
            <a:ext uri="{FF2B5EF4-FFF2-40B4-BE49-F238E27FC236}">
              <a16:creationId xmlns:a16="http://schemas.microsoft.com/office/drawing/2014/main" id="{00000000-0008-0000-1C00-0000019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419100</xdr:colOff>
      <xdr:row>1</xdr:row>
      <xdr:rowOff>0</xdr:rowOff>
    </xdr:from>
    <xdr:to>
      <xdr:col>12</xdr:col>
      <xdr:colOff>285750</xdr:colOff>
      <xdr:row>4</xdr:row>
      <xdr:rowOff>133350</xdr:rowOff>
    </xdr:to>
    <xdr:sp macro="" textlink="">
      <xdr:nvSpPr>
        <xdr:cNvPr id="36866" name="CommandButton1" hidden="1">
          <a:extLst>
            <a:ext uri="{63B3BB69-23CF-44E3-9099-C40C66FF867C}">
              <a14:compatExt xmlns:a14="http://schemas.microsoft.com/office/drawing/2010/main" spid="_x0000_s36866"/>
            </a:ext>
            <a:ext uri="{FF2B5EF4-FFF2-40B4-BE49-F238E27FC236}">
              <a16:creationId xmlns:a16="http://schemas.microsoft.com/office/drawing/2014/main" id="{00000000-0008-0000-1C00-0000029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9</xdr:col>
      <xdr:colOff>381000</xdr:colOff>
      <xdr:row>4</xdr:row>
      <xdr:rowOff>133350</xdr:rowOff>
    </xdr:from>
    <xdr:to>
      <xdr:col>10</xdr:col>
      <xdr:colOff>876300</xdr:colOff>
      <xdr:row>8</xdr:row>
      <xdr:rowOff>66675</xdr:rowOff>
    </xdr:to>
    <xdr:sp macro="" textlink="">
      <xdr:nvSpPr>
        <xdr:cNvPr id="36867" name="CommandButton3" hidden="1">
          <a:extLst>
            <a:ext uri="{63B3BB69-23CF-44E3-9099-C40C66FF867C}">
              <a14:compatExt xmlns:a14="http://schemas.microsoft.com/office/drawing/2010/main" spid="_x0000_s36867"/>
            </a:ext>
            <a:ext uri="{FF2B5EF4-FFF2-40B4-BE49-F238E27FC236}">
              <a16:creationId xmlns:a16="http://schemas.microsoft.com/office/drawing/2014/main" id="{00000000-0008-0000-1C00-0000039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419100</xdr:colOff>
      <xdr:row>4</xdr:row>
      <xdr:rowOff>133350</xdr:rowOff>
    </xdr:from>
    <xdr:to>
      <xdr:col>12</xdr:col>
      <xdr:colOff>295275</xdr:colOff>
      <xdr:row>8</xdr:row>
      <xdr:rowOff>47625</xdr:rowOff>
    </xdr:to>
    <xdr:sp macro="" textlink="">
      <xdr:nvSpPr>
        <xdr:cNvPr id="36868" name="CommandButton4" hidden="1">
          <a:extLst>
            <a:ext uri="{63B3BB69-23CF-44E3-9099-C40C66FF867C}">
              <a14:compatExt xmlns:a14="http://schemas.microsoft.com/office/drawing/2010/main" spid="_x0000_s36868"/>
            </a:ext>
            <a:ext uri="{FF2B5EF4-FFF2-40B4-BE49-F238E27FC236}">
              <a16:creationId xmlns:a16="http://schemas.microsoft.com/office/drawing/2014/main" id="{00000000-0008-0000-1C00-0000049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5</xdr:row>
      <xdr:rowOff>114300</xdr:rowOff>
    </xdr:from>
    <xdr:to>
      <xdr:col>2</xdr:col>
      <xdr:colOff>876300</xdr:colOff>
      <xdr:row>8</xdr:row>
      <xdr:rowOff>114300</xdr:rowOff>
    </xdr:to>
    <xdr:pic>
      <xdr:nvPicPr>
        <xdr:cNvPr id="18548" name="Picture 1" descr="LOGO DGI">
          <a:extLst>
            <a:ext uri="{FF2B5EF4-FFF2-40B4-BE49-F238E27FC236}">
              <a16:creationId xmlns:a16="http://schemas.microsoft.com/office/drawing/2014/main" id="{00000000-0008-0000-1D00-000074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92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18436" name="CommandButton1" hidden="1">
          <a:extLst>
            <a:ext uri="{63B3BB69-23CF-44E3-9099-C40C66FF867C}">
              <a14:compatExt xmlns:a14="http://schemas.microsoft.com/office/drawing/2010/main" spid="_x0000_s18436"/>
            </a:ext>
            <a:ext uri="{FF2B5EF4-FFF2-40B4-BE49-F238E27FC236}">
              <a16:creationId xmlns:a16="http://schemas.microsoft.com/office/drawing/2014/main" id="{00000000-0008-0000-1D00-0000044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95250</xdr:rowOff>
    </xdr:from>
    <xdr:to>
      <xdr:col>9</xdr:col>
      <xdr:colOff>638175</xdr:colOff>
      <xdr:row>7</xdr:row>
      <xdr:rowOff>0</xdr:rowOff>
    </xdr:to>
    <xdr:sp macro="" textlink="">
      <xdr:nvSpPr>
        <xdr:cNvPr id="18437" name="CommandButton2" hidden="1">
          <a:extLst>
            <a:ext uri="{63B3BB69-23CF-44E3-9099-C40C66FF867C}">
              <a14:compatExt xmlns:a14="http://schemas.microsoft.com/office/drawing/2010/main" spid="_x0000_s18437"/>
            </a:ext>
            <a:ext uri="{FF2B5EF4-FFF2-40B4-BE49-F238E27FC236}">
              <a16:creationId xmlns:a16="http://schemas.microsoft.com/office/drawing/2014/main" id="{00000000-0008-0000-1D00-0000054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485775</xdr:colOff>
      <xdr:row>22</xdr:row>
      <xdr:rowOff>114300</xdr:rowOff>
    </xdr:from>
    <xdr:to>
      <xdr:col>2</xdr:col>
      <xdr:colOff>876300</xdr:colOff>
      <xdr:row>25</xdr:row>
      <xdr:rowOff>114300</xdr:rowOff>
    </xdr:to>
    <xdr:pic>
      <xdr:nvPicPr>
        <xdr:cNvPr id="18549" name="Picture 9" descr="LOGO DGI">
          <a:extLst>
            <a:ext uri="{FF2B5EF4-FFF2-40B4-BE49-F238E27FC236}">
              <a16:creationId xmlns:a16="http://schemas.microsoft.com/office/drawing/2014/main" id="{00000000-0008-0000-1D00-000075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3771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438150</xdr:colOff>
      <xdr:row>0</xdr:row>
      <xdr:rowOff>85725</xdr:rowOff>
    </xdr:from>
    <xdr:to>
      <xdr:col>10</xdr:col>
      <xdr:colOff>942975</xdr:colOff>
      <xdr:row>4</xdr:row>
      <xdr:rowOff>28575</xdr:rowOff>
    </xdr:to>
    <xdr:sp macro="" textlink="">
      <xdr:nvSpPr>
        <xdr:cNvPr id="37889" name="CommandButton2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1E00-0000019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485775</xdr:colOff>
      <xdr:row>0</xdr:row>
      <xdr:rowOff>104775</xdr:rowOff>
    </xdr:from>
    <xdr:to>
      <xdr:col>12</xdr:col>
      <xdr:colOff>295275</xdr:colOff>
      <xdr:row>4</xdr:row>
      <xdr:rowOff>28575</xdr:rowOff>
    </xdr:to>
    <xdr:sp macro="" textlink="">
      <xdr:nvSpPr>
        <xdr:cNvPr id="37890" name="CommandButton1" hidden="1">
          <a:extLst>
            <a:ext uri="{63B3BB69-23CF-44E3-9099-C40C66FF867C}">
              <a14:compatExt xmlns:a14="http://schemas.microsoft.com/office/drawing/2010/main" spid="_x0000_s37890"/>
            </a:ext>
            <a:ext uri="{FF2B5EF4-FFF2-40B4-BE49-F238E27FC236}">
              <a16:creationId xmlns:a16="http://schemas.microsoft.com/office/drawing/2014/main" id="{00000000-0008-0000-1E00-0000029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9</xdr:col>
      <xdr:colOff>428625</xdr:colOff>
      <xdr:row>4</xdr:row>
      <xdr:rowOff>142875</xdr:rowOff>
    </xdr:from>
    <xdr:to>
      <xdr:col>10</xdr:col>
      <xdr:colOff>952500</xdr:colOff>
      <xdr:row>8</xdr:row>
      <xdr:rowOff>47625</xdr:rowOff>
    </xdr:to>
    <xdr:sp macro="" textlink="">
      <xdr:nvSpPr>
        <xdr:cNvPr id="37891" name="CommandButton3" hidden="1">
          <a:extLst>
            <a:ext uri="{63B3BB69-23CF-44E3-9099-C40C66FF867C}">
              <a14:compatExt xmlns:a14="http://schemas.microsoft.com/office/drawing/2010/main" spid="_x0000_s37891"/>
            </a:ext>
            <a:ext uri="{FF2B5EF4-FFF2-40B4-BE49-F238E27FC236}">
              <a16:creationId xmlns:a16="http://schemas.microsoft.com/office/drawing/2014/main" id="{00000000-0008-0000-1E00-0000039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514350</xdr:colOff>
      <xdr:row>4</xdr:row>
      <xdr:rowOff>123825</xdr:rowOff>
    </xdr:from>
    <xdr:to>
      <xdr:col>12</xdr:col>
      <xdr:colOff>333375</xdr:colOff>
      <xdr:row>8</xdr:row>
      <xdr:rowOff>85725</xdr:rowOff>
    </xdr:to>
    <xdr:sp macro="" textlink="">
      <xdr:nvSpPr>
        <xdr:cNvPr id="37892" name="CommandButton4" hidden="1">
          <a:extLst>
            <a:ext uri="{63B3BB69-23CF-44E3-9099-C40C66FF867C}">
              <a14:compatExt xmlns:a14="http://schemas.microsoft.com/office/drawing/2010/main" spid="_x0000_s37892"/>
            </a:ext>
            <a:ext uri="{FF2B5EF4-FFF2-40B4-BE49-F238E27FC236}">
              <a16:creationId xmlns:a16="http://schemas.microsoft.com/office/drawing/2014/main" id="{00000000-0008-0000-1E00-0000049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476250</xdr:colOff>
      <xdr:row>5</xdr:row>
      <xdr:rowOff>123825</xdr:rowOff>
    </xdr:from>
    <xdr:to>
      <xdr:col>2</xdr:col>
      <xdr:colOff>866775</xdr:colOff>
      <xdr:row>8</xdr:row>
      <xdr:rowOff>123825</xdr:rowOff>
    </xdr:to>
    <xdr:pic>
      <xdr:nvPicPr>
        <xdr:cNvPr id="228378" name="Picture 1" descr="LOGO DGI">
          <a:extLst>
            <a:ext uri="{FF2B5EF4-FFF2-40B4-BE49-F238E27FC236}">
              <a16:creationId xmlns:a16="http://schemas.microsoft.com/office/drawing/2014/main" id="{00000000-0008-0000-1F00-00001A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933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19050</xdr:colOff>
      <xdr:row>1</xdr:row>
      <xdr:rowOff>28575</xdr:rowOff>
    </xdr:from>
    <xdr:to>
      <xdr:col>9</xdr:col>
      <xdr:colOff>142875</xdr:colOff>
      <xdr:row>4</xdr:row>
      <xdr:rowOff>76200</xdr:rowOff>
    </xdr:to>
    <xdr:sp macro="" textlink="">
      <xdr:nvSpPr>
        <xdr:cNvPr id="19464" name="CommandButton1" hidden="1">
          <a:extLst>
            <a:ext uri="{63B3BB69-23CF-44E3-9099-C40C66FF867C}">
              <a14:compatExt xmlns:a14="http://schemas.microsoft.com/office/drawing/2010/main" spid="_x0000_s19464"/>
            </a:ext>
            <a:ext uri="{FF2B5EF4-FFF2-40B4-BE49-F238E27FC236}">
              <a16:creationId xmlns:a16="http://schemas.microsoft.com/office/drawing/2014/main" id="{00000000-0008-0000-1F00-000008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19050</xdr:colOff>
      <xdr:row>4</xdr:row>
      <xdr:rowOff>104775</xdr:rowOff>
    </xdr:from>
    <xdr:to>
      <xdr:col>9</xdr:col>
      <xdr:colOff>657225</xdr:colOff>
      <xdr:row>7</xdr:row>
      <xdr:rowOff>9525</xdr:rowOff>
    </xdr:to>
    <xdr:sp macro="" textlink="">
      <xdr:nvSpPr>
        <xdr:cNvPr id="19465" name="CommandButton2" hidden="1">
          <a:extLst>
            <a:ext uri="{63B3BB69-23CF-44E3-9099-C40C66FF867C}">
              <a14:compatExt xmlns:a14="http://schemas.microsoft.com/office/drawing/2010/main" spid="_x0000_s19465"/>
            </a:ext>
            <a:ext uri="{FF2B5EF4-FFF2-40B4-BE49-F238E27FC236}">
              <a16:creationId xmlns:a16="http://schemas.microsoft.com/office/drawing/2014/main" id="{00000000-0008-0000-1F00-000009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79" name="Picture 11" descr="LOGO DGI">
          <a:extLst>
            <a:ext uri="{FF2B5EF4-FFF2-40B4-BE49-F238E27FC236}">
              <a16:creationId xmlns:a16="http://schemas.microsoft.com/office/drawing/2014/main" id="{00000000-0008-0000-1F00-00001B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0" name="Picture 12" descr="LOGO DGI">
          <a:extLst>
            <a:ext uri="{FF2B5EF4-FFF2-40B4-BE49-F238E27FC236}">
              <a16:creationId xmlns:a16="http://schemas.microsoft.com/office/drawing/2014/main" id="{00000000-0008-0000-1F00-00001C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1" name="Picture 13" descr="LOGO DGI">
          <a:extLst>
            <a:ext uri="{FF2B5EF4-FFF2-40B4-BE49-F238E27FC236}">
              <a16:creationId xmlns:a16="http://schemas.microsoft.com/office/drawing/2014/main" id="{00000000-0008-0000-1F00-00001D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2" name="Picture 14" descr="LOGO DGI">
          <a:extLst>
            <a:ext uri="{FF2B5EF4-FFF2-40B4-BE49-F238E27FC236}">
              <a16:creationId xmlns:a16="http://schemas.microsoft.com/office/drawing/2014/main" id="{00000000-0008-0000-1F00-00001E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3" name="Picture 15" descr="LOGO DGI">
          <a:extLst>
            <a:ext uri="{FF2B5EF4-FFF2-40B4-BE49-F238E27FC236}">
              <a16:creationId xmlns:a16="http://schemas.microsoft.com/office/drawing/2014/main" id="{00000000-0008-0000-1F00-00001F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4" name="Picture 16" descr="LOGO DGI">
          <a:extLst>
            <a:ext uri="{FF2B5EF4-FFF2-40B4-BE49-F238E27FC236}">
              <a16:creationId xmlns:a16="http://schemas.microsoft.com/office/drawing/2014/main" id="{00000000-0008-0000-1F00-000020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5" name="Picture 17" descr="LOGO DGI">
          <a:extLst>
            <a:ext uri="{FF2B5EF4-FFF2-40B4-BE49-F238E27FC236}">
              <a16:creationId xmlns:a16="http://schemas.microsoft.com/office/drawing/2014/main" id="{00000000-0008-0000-1F00-000021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6" name="Picture 18" descr="LOGO DGI">
          <a:extLst>
            <a:ext uri="{FF2B5EF4-FFF2-40B4-BE49-F238E27FC236}">
              <a16:creationId xmlns:a16="http://schemas.microsoft.com/office/drawing/2014/main" id="{00000000-0008-0000-1F00-000022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7" name="Picture 19" descr="LOGO DGI">
          <a:extLst>
            <a:ext uri="{FF2B5EF4-FFF2-40B4-BE49-F238E27FC236}">
              <a16:creationId xmlns:a16="http://schemas.microsoft.com/office/drawing/2014/main" id="{00000000-0008-0000-1F00-000023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8" name="Picture 20" descr="LOGO DGI">
          <a:extLst>
            <a:ext uri="{FF2B5EF4-FFF2-40B4-BE49-F238E27FC236}">
              <a16:creationId xmlns:a16="http://schemas.microsoft.com/office/drawing/2014/main" id="{00000000-0008-0000-1F00-000024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89" name="Picture 21" descr="LOGO DGI">
          <a:extLst>
            <a:ext uri="{FF2B5EF4-FFF2-40B4-BE49-F238E27FC236}">
              <a16:creationId xmlns:a16="http://schemas.microsoft.com/office/drawing/2014/main" id="{00000000-0008-0000-1F00-000025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0" name="Picture 22" descr="LOGO DGI">
          <a:extLst>
            <a:ext uri="{FF2B5EF4-FFF2-40B4-BE49-F238E27FC236}">
              <a16:creationId xmlns:a16="http://schemas.microsoft.com/office/drawing/2014/main" id="{00000000-0008-0000-1F00-000026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1" name="Picture 23" descr="LOGO DGI">
          <a:extLst>
            <a:ext uri="{FF2B5EF4-FFF2-40B4-BE49-F238E27FC236}">
              <a16:creationId xmlns:a16="http://schemas.microsoft.com/office/drawing/2014/main" id="{00000000-0008-0000-1F00-000027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2" name="Picture 24" descr="LOGO DGI">
          <a:extLst>
            <a:ext uri="{FF2B5EF4-FFF2-40B4-BE49-F238E27FC236}">
              <a16:creationId xmlns:a16="http://schemas.microsoft.com/office/drawing/2014/main" id="{00000000-0008-0000-1F00-000028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3" name="Picture 25" descr="LOGO DGI">
          <a:extLst>
            <a:ext uri="{FF2B5EF4-FFF2-40B4-BE49-F238E27FC236}">
              <a16:creationId xmlns:a16="http://schemas.microsoft.com/office/drawing/2014/main" id="{00000000-0008-0000-1F00-000029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4" name="Picture 26" descr="LOGO DGI">
          <a:extLst>
            <a:ext uri="{FF2B5EF4-FFF2-40B4-BE49-F238E27FC236}">
              <a16:creationId xmlns:a16="http://schemas.microsoft.com/office/drawing/2014/main" id="{00000000-0008-0000-1F00-00002A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5" name="Picture 27" descr="LOGO DGI">
          <a:extLst>
            <a:ext uri="{FF2B5EF4-FFF2-40B4-BE49-F238E27FC236}">
              <a16:creationId xmlns:a16="http://schemas.microsoft.com/office/drawing/2014/main" id="{00000000-0008-0000-1F00-00002B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6" name="Picture 28" descr="LOGO DGI">
          <a:extLst>
            <a:ext uri="{FF2B5EF4-FFF2-40B4-BE49-F238E27FC236}">
              <a16:creationId xmlns:a16="http://schemas.microsoft.com/office/drawing/2014/main" id="{00000000-0008-0000-1F00-00002C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7" name="Picture 29" descr="LOGO DGI">
          <a:extLst>
            <a:ext uri="{FF2B5EF4-FFF2-40B4-BE49-F238E27FC236}">
              <a16:creationId xmlns:a16="http://schemas.microsoft.com/office/drawing/2014/main" id="{00000000-0008-0000-1F00-00002D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8" name="Picture 30" descr="LOGO DGI">
          <a:extLst>
            <a:ext uri="{FF2B5EF4-FFF2-40B4-BE49-F238E27FC236}">
              <a16:creationId xmlns:a16="http://schemas.microsoft.com/office/drawing/2014/main" id="{00000000-0008-0000-1F00-00002E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399" name="Picture 31" descr="LOGO DGI">
          <a:extLst>
            <a:ext uri="{FF2B5EF4-FFF2-40B4-BE49-F238E27FC236}">
              <a16:creationId xmlns:a16="http://schemas.microsoft.com/office/drawing/2014/main" id="{00000000-0008-0000-1F00-00002F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0" name="Picture 32" descr="LOGO DGI">
          <a:extLst>
            <a:ext uri="{FF2B5EF4-FFF2-40B4-BE49-F238E27FC236}">
              <a16:creationId xmlns:a16="http://schemas.microsoft.com/office/drawing/2014/main" id="{00000000-0008-0000-1F00-000030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1" name="Picture 33" descr="LOGO DGI">
          <a:extLst>
            <a:ext uri="{FF2B5EF4-FFF2-40B4-BE49-F238E27FC236}">
              <a16:creationId xmlns:a16="http://schemas.microsoft.com/office/drawing/2014/main" id="{00000000-0008-0000-1F00-000031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2" name="Picture 34" descr="LOGO DGI">
          <a:extLst>
            <a:ext uri="{FF2B5EF4-FFF2-40B4-BE49-F238E27FC236}">
              <a16:creationId xmlns:a16="http://schemas.microsoft.com/office/drawing/2014/main" id="{00000000-0008-0000-1F00-000032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3" name="Picture 45" descr="LOGO DGI">
          <a:extLst>
            <a:ext uri="{FF2B5EF4-FFF2-40B4-BE49-F238E27FC236}">
              <a16:creationId xmlns:a16="http://schemas.microsoft.com/office/drawing/2014/main" id="{00000000-0008-0000-1F00-000033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4" name="Picture 46" descr="LOGO DGI">
          <a:extLst>
            <a:ext uri="{FF2B5EF4-FFF2-40B4-BE49-F238E27FC236}">
              <a16:creationId xmlns:a16="http://schemas.microsoft.com/office/drawing/2014/main" id="{00000000-0008-0000-1F00-000034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5" name="Picture 47" descr="LOGO DGI">
          <a:extLst>
            <a:ext uri="{FF2B5EF4-FFF2-40B4-BE49-F238E27FC236}">
              <a16:creationId xmlns:a16="http://schemas.microsoft.com/office/drawing/2014/main" id="{00000000-0008-0000-1F00-000035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6" name="Picture 48" descr="LOGO DGI">
          <a:extLst>
            <a:ext uri="{FF2B5EF4-FFF2-40B4-BE49-F238E27FC236}">
              <a16:creationId xmlns:a16="http://schemas.microsoft.com/office/drawing/2014/main" id="{00000000-0008-0000-1F00-000036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7" name="Picture 49" descr="LOGO DGI">
          <a:extLst>
            <a:ext uri="{FF2B5EF4-FFF2-40B4-BE49-F238E27FC236}">
              <a16:creationId xmlns:a16="http://schemas.microsoft.com/office/drawing/2014/main" id="{00000000-0008-0000-1F00-000037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8" name="Picture 50" descr="LOGO DGI">
          <a:extLst>
            <a:ext uri="{FF2B5EF4-FFF2-40B4-BE49-F238E27FC236}">
              <a16:creationId xmlns:a16="http://schemas.microsoft.com/office/drawing/2014/main" id="{00000000-0008-0000-1F00-000038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09" name="Picture 51" descr="LOGO DGI">
          <a:extLst>
            <a:ext uri="{FF2B5EF4-FFF2-40B4-BE49-F238E27FC236}">
              <a16:creationId xmlns:a16="http://schemas.microsoft.com/office/drawing/2014/main" id="{00000000-0008-0000-1F00-000039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0" name="Picture 52" descr="LOGO DGI">
          <a:extLst>
            <a:ext uri="{FF2B5EF4-FFF2-40B4-BE49-F238E27FC236}">
              <a16:creationId xmlns:a16="http://schemas.microsoft.com/office/drawing/2014/main" id="{00000000-0008-0000-1F00-00003A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1" name="Picture 53" descr="LOGO DGI">
          <a:extLst>
            <a:ext uri="{FF2B5EF4-FFF2-40B4-BE49-F238E27FC236}">
              <a16:creationId xmlns:a16="http://schemas.microsoft.com/office/drawing/2014/main" id="{00000000-0008-0000-1F00-00003B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2" name="Picture 54" descr="LOGO DGI">
          <a:extLst>
            <a:ext uri="{FF2B5EF4-FFF2-40B4-BE49-F238E27FC236}">
              <a16:creationId xmlns:a16="http://schemas.microsoft.com/office/drawing/2014/main" id="{00000000-0008-0000-1F00-00003C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3" name="Picture 55" descr="LOGO DGI">
          <a:extLst>
            <a:ext uri="{FF2B5EF4-FFF2-40B4-BE49-F238E27FC236}">
              <a16:creationId xmlns:a16="http://schemas.microsoft.com/office/drawing/2014/main" id="{00000000-0008-0000-1F00-00003D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4" name="Picture 56" descr="LOGO DGI">
          <a:extLst>
            <a:ext uri="{FF2B5EF4-FFF2-40B4-BE49-F238E27FC236}">
              <a16:creationId xmlns:a16="http://schemas.microsoft.com/office/drawing/2014/main" id="{00000000-0008-0000-1F00-00003E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5" name="Picture 57" descr="LOGO DGI">
          <a:extLst>
            <a:ext uri="{FF2B5EF4-FFF2-40B4-BE49-F238E27FC236}">
              <a16:creationId xmlns:a16="http://schemas.microsoft.com/office/drawing/2014/main" id="{00000000-0008-0000-1F00-00003F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6" name="Picture 58" descr="LOGO DGI">
          <a:extLst>
            <a:ext uri="{FF2B5EF4-FFF2-40B4-BE49-F238E27FC236}">
              <a16:creationId xmlns:a16="http://schemas.microsoft.com/office/drawing/2014/main" id="{00000000-0008-0000-1F00-000040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7" name="Picture 59" descr="LOGO DGI">
          <a:extLst>
            <a:ext uri="{FF2B5EF4-FFF2-40B4-BE49-F238E27FC236}">
              <a16:creationId xmlns:a16="http://schemas.microsoft.com/office/drawing/2014/main" id="{00000000-0008-0000-1F00-000041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8" name="Picture 60" descr="LOGO DGI">
          <a:extLst>
            <a:ext uri="{FF2B5EF4-FFF2-40B4-BE49-F238E27FC236}">
              <a16:creationId xmlns:a16="http://schemas.microsoft.com/office/drawing/2014/main" id="{00000000-0008-0000-1F00-000042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19" name="Picture 61" descr="LOGO DGI">
          <a:extLst>
            <a:ext uri="{FF2B5EF4-FFF2-40B4-BE49-F238E27FC236}">
              <a16:creationId xmlns:a16="http://schemas.microsoft.com/office/drawing/2014/main" id="{00000000-0008-0000-1F00-000043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20" name="Picture 62" descr="LOGO DGI">
          <a:extLst>
            <a:ext uri="{FF2B5EF4-FFF2-40B4-BE49-F238E27FC236}">
              <a16:creationId xmlns:a16="http://schemas.microsoft.com/office/drawing/2014/main" id="{00000000-0008-0000-1F00-000044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21" name="Picture 63" descr="LOGO DGI">
          <a:extLst>
            <a:ext uri="{FF2B5EF4-FFF2-40B4-BE49-F238E27FC236}">
              <a16:creationId xmlns:a16="http://schemas.microsoft.com/office/drawing/2014/main" id="{00000000-0008-0000-1F00-000045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</xdr:row>
      <xdr:rowOff>0</xdr:rowOff>
    </xdr:from>
    <xdr:to>
      <xdr:col>2</xdr:col>
      <xdr:colOff>866775</xdr:colOff>
      <xdr:row>20</xdr:row>
      <xdr:rowOff>0</xdr:rowOff>
    </xdr:to>
    <xdr:pic>
      <xdr:nvPicPr>
        <xdr:cNvPr id="228422" name="Picture 64" descr="LOGO DGI">
          <a:extLst>
            <a:ext uri="{FF2B5EF4-FFF2-40B4-BE49-F238E27FC236}">
              <a16:creationId xmlns:a16="http://schemas.microsoft.com/office/drawing/2014/main" id="{00000000-0008-0000-1F00-000046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22</xdr:row>
      <xdr:rowOff>123825</xdr:rowOff>
    </xdr:from>
    <xdr:to>
      <xdr:col>2</xdr:col>
      <xdr:colOff>866775</xdr:colOff>
      <xdr:row>25</xdr:row>
      <xdr:rowOff>123825</xdr:rowOff>
    </xdr:to>
    <xdr:pic>
      <xdr:nvPicPr>
        <xdr:cNvPr id="228423" name="Picture 65" descr="LOGO DGI">
          <a:extLst>
            <a:ext uri="{FF2B5EF4-FFF2-40B4-BE49-F238E27FC236}">
              <a16:creationId xmlns:a16="http://schemas.microsoft.com/office/drawing/2014/main" id="{00000000-0008-0000-1F00-000047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7814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39</xdr:row>
      <xdr:rowOff>123825</xdr:rowOff>
    </xdr:from>
    <xdr:to>
      <xdr:col>2</xdr:col>
      <xdr:colOff>866775</xdr:colOff>
      <xdr:row>42</xdr:row>
      <xdr:rowOff>123825</xdr:rowOff>
    </xdr:to>
    <xdr:pic>
      <xdr:nvPicPr>
        <xdr:cNvPr id="228424" name="Picture 66" descr="LOGO DGI">
          <a:extLst>
            <a:ext uri="{FF2B5EF4-FFF2-40B4-BE49-F238E27FC236}">
              <a16:creationId xmlns:a16="http://schemas.microsoft.com/office/drawing/2014/main" id="{00000000-0008-0000-1F00-000048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6629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56</xdr:row>
      <xdr:rowOff>123825</xdr:rowOff>
    </xdr:from>
    <xdr:to>
      <xdr:col>2</xdr:col>
      <xdr:colOff>866775</xdr:colOff>
      <xdr:row>59</xdr:row>
      <xdr:rowOff>123825</xdr:rowOff>
    </xdr:to>
    <xdr:pic>
      <xdr:nvPicPr>
        <xdr:cNvPr id="228425" name="Picture 67" descr="LOGO DGI">
          <a:extLst>
            <a:ext uri="{FF2B5EF4-FFF2-40B4-BE49-F238E27FC236}">
              <a16:creationId xmlns:a16="http://schemas.microsoft.com/office/drawing/2014/main" id="{00000000-0008-0000-1F00-000049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9477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73</xdr:row>
      <xdr:rowOff>123825</xdr:rowOff>
    </xdr:from>
    <xdr:to>
      <xdr:col>2</xdr:col>
      <xdr:colOff>866775</xdr:colOff>
      <xdr:row>76</xdr:row>
      <xdr:rowOff>123825</xdr:rowOff>
    </xdr:to>
    <xdr:pic>
      <xdr:nvPicPr>
        <xdr:cNvPr id="228426" name="Picture 68" descr="LOGO DGI">
          <a:extLst>
            <a:ext uri="{FF2B5EF4-FFF2-40B4-BE49-F238E27FC236}">
              <a16:creationId xmlns:a16="http://schemas.microsoft.com/office/drawing/2014/main" id="{00000000-0008-0000-1F00-00004A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2325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90</xdr:row>
      <xdr:rowOff>123825</xdr:rowOff>
    </xdr:from>
    <xdr:to>
      <xdr:col>2</xdr:col>
      <xdr:colOff>866775</xdr:colOff>
      <xdr:row>93</xdr:row>
      <xdr:rowOff>123825</xdr:rowOff>
    </xdr:to>
    <xdr:pic>
      <xdr:nvPicPr>
        <xdr:cNvPr id="228427" name="Picture 69" descr="LOGO DGI">
          <a:extLst>
            <a:ext uri="{FF2B5EF4-FFF2-40B4-BE49-F238E27FC236}">
              <a16:creationId xmlns:a16="http://schemas.microsoft.com/office/drawing/2014/main" id="{00000000-0008-0000-1F00-00004B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5173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107</xdr:row>
      <xdr:rowOff>123825</xdr:rowOff>
    </xdr:from>
    <xdr:to>
      <xdr:col>2</xdr:col>
      <xdr:colOff>866775</xdr:colOff>
      <xdr:row>110</xdr:row>
      <xdr:rowOff>123825</xdr:rowOff>
    </xdr:to>
    <xdr:pic>
      <xdr:nvPicPr>
        <xdr:cNvPr id="228428" name="Picture 70" descr="LOGO DGI">
          <a:extLst>
            <a:ext uri="{FF2B5EF4-FFF2-40B4-BE49-F238E27FC236}">
              <a16:creationId xmlns:a16="http://schemas.microsoft.com/office/drawing/2014/main" id="{00000000-0008-0000-1F00-00004C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8021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124</xdr:row>
      <xdr:rowOff>123825</xdr:rowOff>
    </xdr:from>
    <xdr:to>
      <xdr:col>2</xdr:col>
      <xdr:colOff>866775</xdr:colOff>
      <xdr:row>127</xdr:row>
      <xdr:rowOff>123825</xdr:rowOff>
    </xdr:to>
    <xdr:pic>
      <xdr:nvPicPr>
        <xdr:cNvPr id="228429" name="Picture 71" descr="LOGO DGI">
          <a:extLst>
            <a:ext uri="{FF2B5EF4-FFF2-40B4-BE49-F238E27FC236}">
              <a16:creationId xmlns:a16="http://schemas.microsoft.com/office/drawing/2014/main" id="{00000000-0008-0000-1F00-00004D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0869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141</xdr:row>
      <xdr:rowOff>123825</xdr:rowOff>
    </xdr:from>
    <xdr:to>
      <xdr:col>2</xdr:col>
      <xdr:colOff>866775</xdr:colOff>
      <xdr:row>144</xdr:row>
      <xdr:rowOff>123825</xdr:rowOff>
    </xdr:to>
    <xdr:pic>
      <xdr:nvPicPr>
        <xdr:cNvPr id="228430" name="Picture 72" descr="LOGO DGI">
          <a:extLst>
            <a:ext uri="{FF2B5EF4-FFF2-40B4-BE49-F238E27FC236}">
              <a16:creationId xmlns:a16="http://schemas.microsoft.com/office/drawing/2014/main" id="{00000000-0008-0000-1F00-00004E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3717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158</xdr:row>
      <xdr:rowOff>123825</xdr:rowOff>
    </xdr:from>
    <xdr:to>
      <xdr:col>2</xdr:col>
      <xdr:colOff>866775</xdr:colOff>
      <xdr:row>161</xdr:row>
      <xdr:rowOff>123825</xdr:rowOff>
    </xdr:to>
    <xdr:pic>
      <xdr:nvPicPr>
        <xdr:cNvPr id="228431" name="Picture 73" descr="LOGO DGI">
          <a:extLst>
            <a:ext uri="{FF2B5EF4-FFF2-40B4-BE49-F238E27FC236}">
              <a16:creationId xmlns:a16="http://schemas.microsoft.com/office/drawing/2014/main" id="{00000000-0008-0000-1F00-00004F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6565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175</xdr:row>
      <xdr:rowOff>123825</xdr:rowOff>
    </xdr:from>
    <xdr:to>
      <xdr:col>2</xdr:col>
      <xdr:colOff>866775</xdr:colOff>
      <xdr:row>178</xdr:row>
      <xdr:rowOff>123825</xdr:rowOff>
    </xdr:to>
    <xdr:pic>
      <xdr:nvPicPr>
        <xdr:cNvPr id="228432" name="Picture 74" descr="LOGO DGI">
          <a:extLst>
            <a:ext uri="{FF2B5EF4-FFF2-40B4-BE49-F238E27FC236}">
              <a16:creationId xmlns:a16="http://schemas.microsoft.com/office/drawing/2014/main" id="{00000000-0008-0000-1F00-000050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29413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192</xdr:row>
      <xdr:rowOff>123825</xdr:rowOff>
    </xdr:from>
    <xdr:to>
      <xdr:col>2</xdr:col>
      <xdr:colOff>866775</xdr:colOff>
      <xdr:row>195</xdr:row>
      <xdr:rowOff>123825</xdr:rowOff>
    </xdr:to>
    <xdr:pic>
      <xdr:nvPicPr>
        <xdr:cNvPr id="228433" name="Picture 75" descr="LOGO DGI">
          <a:extLst>
            <a:ext uri="{FF2B5EF4-FFF2-40B4-BE49-F238E27FC236}">
              <a16:creationId xmlns:a16="http://schemas.microsoft.com/office/drawing/2014/main" id="{00000000-0008-0000-1F00-000051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2261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476250</xdr:colOff>
      <xdr:row>209</xdr:row>
      <xdr:rowOff>123825</xdr:rowOff>
    </xdr:from>
    <xdr:to>
      <xdr:col>2</xdr:col>
      <xdr:colOff>866775</xdr:colOff>
      <xdr:row>212</xdr:row>
      <xdr:rowOff>123825</xdr:rowOff>
    </xdr:to>
    <xdr:pic>
      <xdr:nvPicPr>
        <xdr:cNvPr id="228434" name="Picture 76" descr="LOGO DGI">
          <a:extLst>
            <a:ext uri="{FF2B5EF4-FFF2-40B4-BE49-F238E27FC236}">
              <a16:creationId xmlns:a16="http://schemas.microsoft.com/office/drawing/2014/main" id="{00000000-0008-0000-1F00-0000527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35109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</xdr:colOff>
      <xdr:row>0</xdr:row>
      <xdr:rowOff>47625</xdr:rowOff>
    </xdr:from>
    <xdr:to>
      <xdr:col>10</xdr:col>
      <xdr:colOff>1066800</xdr:colOff>
      <xdr:row>3</xdr:row>
      <xdr:rowOff>161925</xdr:rowOff>
    </xdr:to>
    <xdr:sp macro="" textlink="">
      <xdr:nvSpPr>
        <xdr:cNvPr id="38913" name="CommandButton2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2000-0000019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571500</xdr:colOff>
      <xdr:row>0</xdr:row>
      <xdr:rowOff>9525</xdr:rowOff>
    </xdr:from>
    <xdr:to>
      <xdr:col>12</xdr:col>
      <xdr:colOff>352425</xdr:colOff>
      <xdr:row>3</xdr:row>
      <xdr:rowOff>152400</xdr:rowOff>
    </xdr:to>
    <xdr:sp macro="" textlink="">
      <xdr:nvSpPr>
        <xdr:cNvPr id="38914" name="CommandButton1" hidden="1">
          <a:extLst>
            <a:ext uri="{63B3BB69-23CF-44E3-9099-C40C66FF867C}">
              <a14:compatExt xmlns:a14="http://schemas.microsoft.com/office/drawing/2010/main" spid="_x0000_s38914"/>
            </a:ext>
            <a:ext uri="{FF2B5EF4-FFF2-40B4-BE49-F238E27FC236}">
              <a16:creationId xmlns:a16="http://schemas.microsoft.com/office/drawing/2014/main" id="{00000000-0008-0000-2000-0000029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19050</xdr:colOff>
      <xdr:row>4</xdr:row>
      <xdr:rowOff>142875</xdr:rowOff>
    </xdr:from>
    <xdr:to>
      <xdr:col>10</xdr:col>
      <xdr:colOff>1085850</xdr:colOff>
      <xdr:row>8</xdr:row>
      <xdr:rowOff>76200</xdr:rowOff>
    </xdr:to>
    <xdr:sp macro="" textlink="">
      <xdr:nvSpPr>
        <xdr:cNvPr id="38915" name="CommandButton3" hidden="1">
          <a:extLst>
            <a:ext uri="{63B3BB69-23CF-44E3-9099-C40C66FF867C}">
              <a14:compatExt xmlns:a14="http://schemas.microsoft.com/office/drawing/2010/main" spid="_x0000_s38915"/>
            </a:ext>
            <a:ext uri="{FF2B5EF4-FFF2-40B4-BE49-F238E27FC236}">
              <a16:creationId xmlns:a16="http://schemas.microsoft.com/office/drawing/2014/main" id="{00000000-0008-0000-2000-0000039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619125</xdr:colOff>
      <xdr:row>4</xdr:row>
      <xdr:rowOff>152400</xdr:rowOff>
    </xdr:from>
    <xdr:to>
      <xdr:col>12</xdr:col>
      <xdr:colOff>409575</xdr:colOff>
      <xdr:row>8</xdr:row>
      <xdr:rowOff>66675</xdr:rowOff>
    </xdr:to>
    <xdr:sp macro="" textlink="">
      <xdr:nvSpPr>
        <xdr:cNvPr id="38916" name="CommandButton4" hidden="1">
          <a:extLst>
            <a:ext uri="{63B3BB69-23CF-44E3-9099-C40C66FF867C}">
              <a14:compatExt xmlns:a14="http://schemas.microsoft.com/office/drawing/2010/main" spid="_x0000_s38916"/>
            </a:ext>
            <a:ext uri="{FF2B5EF4-FFF2-40B4-BE49-F238E27FC236}">
              <a16:creationId xmlns:a16="http://schemas.microsoft.com/office/drawing/2014/main" id="{00000000-0008-0000-2000-0000049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5</xdr:row>
      <xdr:rowOff>95250</xdr:rowOff>
    </xdr:from>
    <xdr:to>
      <xdr:col>2</xdr:col>
      <xdr:colOff>752475</xdr:colOff>
      <xdr:row>8</xdr:row>
      <xdr:rowOff>95250</xdr:rowOff>
    </xdr:to>
    <xdr:pic>
      <xdr:nvPicPr>
        <xdr:cNvPr id="219498" name="Picture 1" descr="LOGO DGI">
          <a:extLst>
            <a:ext uri="{FF2B5EF4-FFF2-40B4-BE49-F238E27FC236}">
              <a16:creationId xmlns:a16="http://schemas.microsoft.com/office/drawing/2014/main" id="{00000000-0008-0000-2100-00006A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904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1</xdr:row>
      <xdr:rowOff>28575</xdr:rowOff>
    </xdr:from>
    <xdr:to>
      <xdr:col>9</xdr:col>
      <xdr:colOff>133350</xdr:colOff>
      <xdr:row>4</xdr:row>
      <xdr:rowOff>76200</xdr:rowOff>
    </xdr:to>
    <xdr:sp macro="" textlink="">
      <xdr:nvSpPr>
        <xdr:cNvPr id="20523" name="CommandButton1" hidden="1">
          <a:extLst>
            <a:ext uri="{63B3BB69-23CF-44E3-9099-C40C66FF867C}">
              <a14:compatExt xmlns:a14="http://schemas.microsoft.com/office/drawing/2010/main" spid="_x0000_s20523"/>
            </a:ext>
            <a:ext uri="{FF2B5EF4-FFF2-40B4-BE49-F238E27FC236}">
              <a16:creationId xmlns:a16="http://schemas.microsoft.com/office/drawing/2014/main" id="{00000000-0008-0000-2100-00002B5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9525</xdr:colOff>
      <xdr:row>4</xdr:row>
      <xdr:rowOff>104775</xdr:rowOff>
    </xdr:from>
    <xdr:to>
      <xdr:col>9</xdr:col>
      <xdr:colOff>647700</xdr:colOff>
      <xdr:row>7</xdr:row>
      <xdr:rowOff>9525</xdr:rowOff>
    </xdr:to>
    <xdr:sp macro="" textlink="">
      <xdr:nvSpPr>
        <xdr:cNvPr id="20524" name="CommandButton2" hidden="1">
          <a:extLst>
            <a:ext uri="{63B3BB69-23CF-44E3-9099-C40C66FF867C}">
              <a14:compatExt xmlns:a14="http://schemas.microsoft.com/office/drawing/2010/main" spid="_x0000_s20524"/>
            </a:ext>
            <a:ext uri="{FF2B5EF4-FFF2-40B4-BE49-F238E27FC236}">
              <a16:creationId xmlns:a16="http://schemas.microsoft.com/office/drawing/2014/main" id="{00000000-0008-0000-2100-00002C5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499" name="Picture 64" descr="LOGO DGI">
          <a:extLst>
            <a:ext uri="{FF2B5EF4-FFF2-40B4-BE49-F238E27FC236}">
              <a16:creationId xmlns:a16="http://schemas.microsoft.com/office/drawing/2014/main" id="{00000000-0008-0000-2100-00006B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0" name="Picture 65" descr="LOGO DGI">
          <a:extLst>
            <a:ext uri="{FF2B5EF4-FFF2-40B4-BE49-F238E27FC236}">
              <a16:creationId xmlns:a16="http://schemas.microsoft.com/office/drawing/2014/main" id="{00000000-0008-0000-2100-00006C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1" name="Picture 66" descr="LOGO DGI">
          <a:extLst>
            <a:ext uri="{FF2B5EF4-FFF2-40B4-BE49-F238E27FC236}">
              <a16:creationId xmlns:a16="http://schemas.microsoft.com/office/drawing/2014/main" id="{00000000-0008-0000-2100-00006D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2" name="Picture 67" descr="LOGO DGI">
          <a:extLst>
            <a:ext uri="{FF2B5EF4-FFF2-40B4-BE49-F238E27FC236}">
              <a16:creationId xmlns:a16="http://schemas.microsoft.com/office/drawing/2014/main" id="{00000000-0008-0000-2100-00006E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3" name="Picture 68" descr="LOGO DGI">
          <a:extLst>
            <a:ext uri="{FF2B5EF4-FFF2-40B4-BE49-F238E27FC236}">
              <a16:creationId xmlns:a16="http://schemas.microsoft.com/office/drawing/2014/main" id="{00000000-0008-0000-2100-00006F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4" name="Picture 69" descr="LOGO DGI">
          <a:extLst>
            <a:ext uri="{FF2B5EF4-FFF2-40B4-BE49-F238E27FC236}">
              <a16:creationId xmlns:a16="http://schemas.microsoft.com/office/drawing/2014/main" id="{00000000-0008-0000-2100-000070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5" name="Picture 70" descr="LOGO DGI">
          <a:extLst>
            <a:ext uri="{FF2B5EF4-FFF2-40B4-BE49-F238E27FC236}">
              <a16:creationId xmlns:a16="http://schemas.microsoft.com/office/drawing/2014/main" id="{00000000-0008-0000-2100-000071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6" name="Picture 71" descr="LOGO DGI">
          <a:extLst>
            <a:ext uri="{FF2B5EF4-FFF2-40B4-BE49-F238E27FC236}">
              <a16:creationId xmlns:a16="http://schemas.microsoft.com/office/drawing/2014/main" id="{00000000-0008-0000-2100-000072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7" name="Picture 72" descr="LOGO DGI">
          <a:extLst>
            <a:ext uri="{FF2B5EF4-FFF2-40B4-BE49-F238E27FC236}">
              <a16:creationId xmlns:a16="http://schemas.microsoft.com/office/drawing/2014/main" id="{00000000-0008-0000-2100-000073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8" name="Picture 73" descr="LOGO DGI">
          <a:extLst>
            <a:ext uri="{FF2B5EF4-FFF2-40B4-BE49-F238E27FC236}">
              <a16:creationId xmlns:a16="http://schemas.microsoft.com/office/drawing/2014/main" id="{00000000-0008-0000-2100-000074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09" name="Picture 74" descr="LOGO DGI">
          <a:extLst>
            <a:ext uri="{FF2B5EF4-FFF2-40B4-BE49-F238E27FC236}">
              <a16:creationId xmlns:a16="http://schemas.microsoft.com/office/drawing/2014/main" id="{00000000-0008-0000-2100-000075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0" name="Picture 75" descr="LOGO DGI">
          <a:extLst>
            <a:ext uri="{FF2B5EF4-FFF2-40B4-BE49-F238E27FC236}">
              <a16:creationId xmlns:a16="http://schemas.microsoft.com/office/drawing/2014/main" id="{00000000-0008-0000-2100-000076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1" name="Picture 76" descr="LOGO DGI">
          <a:extLst>
            <a:ext uri="{FF2B5EF4-FFF2-40B4-BE49-F238E27FC236}">
              <a16:creationId xmlns:a16="http://schemas.microsoft.com/office/drawing/2014/main" id="{00000000-0008-0000-2100-000077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2" name="Picture 77" descr="LOGO DGI">
          <a:extLst>
            <a:ext uri="{FF2B5EF4-FFF2-40B4-BE49-F238E27FC236}">
              <a16:creationId xmlns:a16="http://schemas.microsoft.com/office/drawing/2014/main" id="{00000000-0008-0000-2100-000078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3" name="Picture 78" descr="LOGO DGI">
          <a:extLst>
            <a:ext uri="{FF2B5EF4-FFF2-40B4-BE49-F238E27FC236}">
              <a16:creationId xmlns:a16="http://schemas.microsoft.com/office/drawing/2014/main" id="{00000000-0008-0000-2100-000079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4" name="Picture 79" descr="LOGO DGI">
          <a:extLst>
            <a:ext uri="{FF2B5EF4-FFF2-40B4-BE49-F238E27FC236}">
              <a16:creationId xmlns:a16="http://schemas.microsoft.com/office/drawing/2014/main" id="{00000000-0008-0000-2100-00007A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5" name="Picture 80" descr="LOGO DGI">
          <a:extLst>
            <a:ext uri="{FF2B5EF4-FFF2-40B4-BE49-F238E27FC236}">
              <a16:creationId xmlns:a16="http://schemas.microsoft.com/office/drawing/2014/main" id="{00000000-0008-0000-2100-00007B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6" name="Picture 81" descr="LOGO DGI">
          <a:extLst>
            <a:ext uri="{FF2B5EF4-FFF2-40B4-BE49-F238E27FC236}">
              <a16:creationId xmlns:a16="http://schemas.microsoft.com/office/drawing/2014/main" id="{00000000-0008-0000-2100-00007C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0</xdr:rowOff>
    </xdr:to>
    <xdr:pic>
      <xdr:nvPicPr>
        <xdr:cNvPr id="219517" name="Picture 82" descr="LOGO DGI">
          <a:extLst>
            <a:ext uri="{FF2B5EF4-FFF2-40B4-BE49-F238E27FC236}">
              <a16:creationId xmlns:a16="http://schemas.microsoft.com/office/drawing/2014/main" id="{00000000-0008-0000-2100-00007D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18" name="Picture 102" descr="LOGO DGI">
          <a:extLst>
            <a:ext uri="{FF2B5EF4-FFF2-40B4-BE49-F238E27FC236}">
              <a16:creationId xmlns:a16="http://schemas.microsoft.com/office/drawing/2014/main" id="{00000000-0008-0000-2100-00007E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19" name="Picture 103" descr="LOGO DGI">
          <a:extLst>
            <a:ext uri="{FF2B5EF4-FFF2-40B4-BE49-F238E27FC236}">
              <a16:creationId xmlns:a16="http://schemas.microsoft.com/office/drawing/2014/main" id="{00000000-0008-0000-2100-00007F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0" name="Picture 104" descr="LOGO DGI">
          <a:extLst>
            <a:ext uri="{FF2B5EF4-FFF2-40B4-BE49-F238E27FC236}">
              <a16:creationId xmlns:a16="http://schemas.microsoft.com/office/drawing/2014/main" id="{00000000-0008-0000-2100-000080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1" name="Picture 105" descr="LOGO DGI">
          <a:extLst>
            <a:ext uri="{FF2B5EF4-FFF2-40B4-BE49-F238E27FC236}">
              <a16:creationId xmlns:a16="http://schemas.microsoft.com/office/drawing/2014/main" id="{00000000-0008-0000-2100-000081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2" name="Picture 106" descr="LOGO DGI">
          <a:extLst>
            <a:ext uri="{FF2B5EF4-FFF2-40B4-BE49-F238E27FC236}">
              <a16:creationId xmlns:a16="http://schemas.microsoft.com/office/drawing/2014/main" id="{00000000-0008-0000-2100-000082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3" name="Picture 107" descr="LOGO DGI">
          <a:extLst>
            <a:ext uri="{FF2B5EF4-FFF2-40B4-BE49-F238E27FC236}">
              <a16:creationId xmlns:a16="http://schemas.microsoft.com/office/drawing/2014/main" id="{00000000-0008-0000-2100-000083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4" name="Picture 108" descr="LOGO DGI">
          <a:extLst>
            <a:ext uri="{FF2B5EF4-FFF2-40B4-BE49-F238E27FC236}">
              <a16:creationId xmlns:a16="http://schemas.microsoft.com/office/drawing/2014/main" id="{00000000-0008-0000-2100-000084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5" name="Picture 109" descr="LOGO DGI">
          <a:extLst>
            <a:ext uri="{FF2B5EF4-FFF2-40B4-BE49-F238E27FC236}">
              <a16:creationId xmlns:a16="http://schemas.microsoft.com/office/drawing/2014/main" id="{00000000-0008-0000-2100-000085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6" name="Picture 110" descr="LOGO DGI">
          <a:extLst>
            <a:ext uri="{FF2B5EF4-FFF2-40B4-BE49-F238E27FC236}">
              <a16:creationId xmlns:a16="http://schemas.microsoft.com/office/drawing/2014/main" id="{00000000-0008-0000-2100-000086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7" name="Picture 111" descr="LOGO DGI">
          <a:extLst>
            <a:ext uri="{FF2B5EF4-FFF2-40B4-BE49-F238E27FC236}">
              <a16:creationId xmlns:a16="http://schemas.microsoft.com/office/drawing/2014/main" id="{00000000-0008-0000-2100-000087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8" name="Picture 112" descr="LOGO DGI">
          <a:extLst>
            <a:ext uri="{FF2B5EF4-FFF2-40B4-BE49-F238E27FC236}">
              <a16:creationId xmlns:a16="http://schemas.microsoft.com/office/drawing/2014/main" id="{00000000-0008-0000-2100-000088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29" name="Picture 113" descr="LOGO DGI">
          <a:extLst>
            <a:ext uri="{FF2B5EF4-FFF2-40B4-BE49-F238E27FC236}">
              <a16:creationId xmlns:a16="http://schemas.microsoft.com/office/drawing/2014/main" id="{00000000-0008-0000-2100-000089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0" name="Picture 114" descr="LOGO DGI">
          <a:extLst>
            <a:ext uri="{FF2B5EF4-FFF2-40B4-BE49-F238E27FC236}">
              <a16:creationId xmlns:a16="http://schemas.microsoft.com/office/drawing/2014/main" id="{00000000-0008-0000-2100-00008A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1" name="Picture 115" descr="LOGO DGI">
          <a:extLst>
            <a:ext uri="{FF2B5EF4-FFF2-40B4-BE49-F238E27FC236}">
              <a16:creationId xmlns:a16="http://schemas.microsoft.com/office/drawing/2014/main" id="{00000000-0008-0000-2100-00008B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2" name="Picture 116" descr="LOGO DGI">
          <a:extLst>
            <a:ext uri="{FF2B5EF4-FFF2-40B4-BE49-F238E27FC236}">
              <a16:creationId xmlns:a16="http://schemas.microsoft.com/office/drawing/2014/main" id="{00000000-0008-0000-2100-00008C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3" name="Picture 117" descr="LOGO DGI">
          <a:extLst>
            <a:ext uri="{FF2B5EF4-FFF2-40B4-BE49-F238E27FC236}">
              <a16:creationId xmlns:a16="http://schemas.microsoft.com/office/drawing/2014/main" id="{00000000-0008-0000-2100-00008D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4" name="Picture 118" descr="LOGO DGI">
          <a:extLst>
            <a:ext uri="{FF2B5EF4-FFF2-40B4-BE49-F238E27FC236}">
              <a16:creationId xmlns:a16="http://schemas.microsoft.com/office/drawing/2014/main" id="{00000000-0008-0000-2100-00008E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5" name="Picture 119" descr="LOGO DGI">
          <a:extLst>
            <a:ext uri="{FF2B5EF4-FFF2-40B4-BE49-F238E27FC236}">
              <a16:creationId xmlns:a16="http://schemas.microsoft.com/office/drawing/2014/main" id="{00000000-0008-0000-2100-00008F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6" name="Picture 120" descr="LOGO DGI">
          <a:extLst>
            <a:ext uri="{FF2B5EF4-FFF2-40B4-BE49-F238E27FC236}">
              <a16:creationId xmlns:a16="http://schemas.microsoft.com/office/drawing/2014/main" id="{00000000-0008-0000-2100-000090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7" name="Picture 121" descr="LOGO DGI">
          <a:extLst>
            <a:ext uri="{FF2B5EF4-FFF2-40B4-BE49-F238E27FC236}">
              <a16:creationId xmlns:a16="http://schemas.microsoft.com/office/drawing/2014/main" id="{00000000-0008-0000-2100-000091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8" name="Picture 122" descr="LOGO DGI">
          <a:extLst>
            <a:ext uri="{FF2B5EF4-FFF2-40B4-BE49-F238E27FC236}">
              <a16:creationId xmlns:a16="http://schemas.microsoft.com/office/drawing/2014/main" id="{00000000-0008-0000-2100-000092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39" name="Picture 123" descr="LOGO DGI">
          <a:extLst>
            <a:ext uri="{FF2B5EF4-FFF2-40B4-BE49-F238E27FC236}">
              <a16:creationId xmlns:a16="http://schemas.microsoft.com/office/drawing/2014/main" id="{00000000-0008-0000-2100-000093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0" name="Picture 124" descr="LOGO DGI">
          <a:extLst>
            <a:ext uri="{FF2B5EF4-FFF2-40B4-BE49-F238E27FC236}">
              <a16:creationId xmlns:a16="http://schemas.microsoft.com/office/drawing/2014/main" id="{00000000-0008-0000-2100-000094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1" name="Picture 125" descr="LOGO DGI">
          <a:extLst>
            <a:ext uri="{FF2B5EF4-FFF2-40B4-BE49-F238E27FC236}">
              <a16:creationId xmlns:a16="http://schemas.microsoft.com/office/drawing/2014/main" id="{00000000-0008-0000-2100-000095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2" name="Picture 126" descr="LOGO DGI">
          <a:extLst>
            <a:ext uri="{FF2B5EF4-FFF2-40B4-BE49-F238E27FC236}">
              <a16:creationId xmlns:a16="http://schemas.microsoft.com/office/drawing/2014/main" id="{00000000-0008-0000-2100-000096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3" name="Picture 127" descr="LOGO DGI">
          <a:extLst>
            <a:ext uri="{FF2B5EF4-FFF2-40B4-BE49-F238E27FC236}">
              <a16:creationId xmlns:a16="http://schemas.microsoft.com/office/drawing/2014/main" id="{00000000-0008-0000-2100-000097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4" name="Picture 128" descr="LOGO DGI">
          <a:extLst>
            <a:ext uri="{FF2B5EF4-FFF2-40B4-BE49-F238E27FC236}">
              <a16:creationId xmlns:a16="http://schemas.microsoft.com/office/drawing/2014/main" id="{00000000-0008-0000-2100-000098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5" name="Picture 129" descr="LOGO DGI">
          <a:extLst>
            <a:ext uri="{FF2B5EF4-FFF2-40B4-BE49-F238E27FC236}">
              <a16:creationId xmlns:a16="http://schemas.microsoft.com/office/drawing/2014/main" id="{00000000-0008-0000-2100-000099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6" name="Picture 130" descr="LOGO DGI">
          <a:extLst>
            <a:ext uri="{FF2B5EF4-FFF2-40B4-BE49-F238E27FC236}">
              <a16:creationId xmlns:a16="http://schemas.microsoft.com/office/drawing/2014/main" id="{00000000-0008-0000-2100-00009A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7" name="Picture 131" descr="LOGO DGI">
          <a:extLst>
            <a:ext uri="{FF2B5EF4-FFF2-40B4-BE49-F238E27FC236}">
              <a16:creationId xmlns:a16="http://schemas.microsoft.com/office/drawing/2014/main" id="{00000000-0008-0000-2100-00009B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8" name="Picture 132" descr="LOGO DGI">
          <a:extLst>
            <a:ext uri="{FF2B5EF4-FFF2-40B4-BE49-F238E27FC236}">
              <a16:creationId xmlns:a16="http://schemas.microsoft.com/office/drawing/2014/main" id="{00000000-0008-0000-2100-00009C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49" name="Picture 133" descr="LOGO DGI">
          <a:extLst>
            <a:ext uri="{FF2B5EF4-FFF2-40B4-BE49-F238E27FC236}">
              <a16:creationId xmlns:a16="http://schemas.microsoft.com/office/drawing/2014/main" id="{00000000-0008-0000-2100-00009D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0" name="Picture 134" descr="LOGO DGI">
          <a:extLst>
            <a:ext uri="{FF2B5EF4-FFF2-40B4-BE49-F238E27FC236}">
              <a16:creationId xmlns:a16="http://schemas.microsoft.com/office/drawing/2014/main" id="{00000000-0008-0000-2100-00009E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1" name="Picture 135" descr="LOGO DGI">
          <a:extLst>
            <a:ext uri="{FF2B5EF4-FFF2-40B4-BE49-F238E27FC236}">
              <a16:creationId xmlns:a16="http://schemas.microsoft.com/office/drawing/2014/main" id="{00000000-0008-0000-2100-00009F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2" name="Picture 136" descr="LOGO DGI">
          <a:extLst>
            <a:ext uri="{FF2B5EF4-FFF2-40B4-BE49-F238E27FC236}">
              <a16:creationId xmlns:a16="http://schemas.microsoft.com/office/drawing/2014/main" id="{00000000-0008-0000-2100-0000A0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3" name="Picture 137" descr="LOGO DGI">
          <a:extLst>
            <a:ext uri="{FF2B5EF4-FFF2-40B4-BE49-F238E27FC236}">
              <a16:creationId xmlns:a16="http://schemas.microsoft.com/office/drawing/2014/main" id="{00000000-0008-0000-2100-0000A1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4" name="Picture 138" descr="LOGO DGI">
          <a:extLst>
            <a:ext uri="{FF2B5EF4-FFF2-40B4-BE49-F238E27FC236}">
              <a16:creationId xmlns:a16="http://schemas.microsoft.com/office/drawing/2014/main" id="{00000000-0008-0000-2100-0000A2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5" name="Picture 139" descr="LOGO DGI">
          <a:extLst>
            <a:ext uri="{FF2B5EF4-FFF2-40B4-BE49-F238E27FC236}">
              <a16:creationId xmlns:a16="http://schemas.microsoft.com/office/drawing/2014/main" id="{00000000-0008-0000-2100-0000A3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6" name="Picture 140" descr="LOGO DGI">
          <a:extLst>
            <a:ext uri="{FF2B5EF4-FFF2-40B4-BE49-F238E27FC236}">
              <a16:creationId xmlns:a16="http://schemas.microsoft.com/office/drawing/2014/main" id="{00000000-0008-0000-2100-0000A4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7" name="Picture 141" descr="LOGO DGI">
          <a:extLst>
            <a:ext uri="{FF2B5EF4-FFF2-40B4-BE49-F238E27FC236}">
              <a16:creationId xmlns:a16="http://schemas.microsoft.com/office/drawing/2014/main" id="{00000000-0008-0000-2100-0000A5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8" name="Picture 142" descr="LOGO DGI">
          <a:extLst>
            <a:ext uri="{FF2B5EF4-FFF2-40B4-BE49-F238E27FC236}">
              <a16:creationId xmlns:a16="http://schemas.microsoft.com/office/drawing/2014/main" id="{00000000-0008-0000-2100-0000A6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59" name="Picture 143" descr="LOGO DGI">
          <a:extLst>
            <a:ext uri="{FF2B5EF4-FFF2-40B4-BE49-F238E27FC236}">
              <a16:creationId xmlns:a16="http://schemas.microsoft.com/office/drawing/2014/main" id="{00000000-0008-0000-2100-0000A7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0" name="Picture 144" descr="LOGO DGI">
          <a:extLst>
            <a:ext uri="{FF2B5EF4-FFF2-40B4-BE49-F238E27FC236}">
              <a16:creationId xmlns:a16="http://schemas.microsoft.com/office/drawing/2014/main" id="{00000000-0008-0000-2100-0000A8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1" name="Picture 145" descr="LOGO DGI">
          <a:extLst>
            <a:ext uri="{FF2B5EF4-FFF2-40B4-BE49-F238E27FC236}">
              <a16:creationId xmlns:a16="http://schemas.microsoft.com/office/drawing/2014/main" id="{00000000-0008-0000-2100-0000A9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2" name="Picture 146" descr="LOGO DGI">
          <a:extLst>
            <a:ext uri="{FF2B5EF4-FFF2-40B4-BE49-F238E27FC236}">
              <a16:creationId xmlns:a16="http://schemas.microsoft.com/office/drawing/2014/main" id="{00000000-0008-0000-2100-0000AA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3" name="Picture 147" descr="LOGO DGI">
          <a:extLst>
            <a:ext uri="{FF2B5EF4-FFF2-40B4-BE49-F238E27FC236}">
              <a16:creationId xmlns:a16="http://schemas.microsoft.com/office/drawing/2014/main" id="{00000000-0008-0000-2100-0000AB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4" name="Picture 148" descr="LOGO DGI">
          <a:extLst>
            <a:ext uri="{FF2B5EF4-FFF2-40B4-BE49-F238E27FC236}">
              <a16:creationId xmlns:a16="http://schemas.microsoft.com/office/drawing/2014/main" id="{00000000-0008-0000-2100-0000AC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5" name="Picture 149" descr="LOGO DGI">
          <a:extLst>
            <a:ext uri="{FF2B5EF4-FFF2-40B4-BE49-F238E27FC236}">
              <a16:creationId xmlns:a16="http://schemas.microsoft.com/office/drawing/2014/main" id="{00000000-0008-0000-2100-0000AD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6" name="Picture 150" descr="LOGO DGI">
          <a:extLst>
            <a:ext uri="{FF2B5EF4-FFF2-40B4-BE49-F238E27FC236}">
              <a16:creationId xmlns:a16="http://schemas.microsoft.com/office/drawing/2014/main" id="{00000000-0008-0000-2100-0000AE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7" name="Picture 151" descr="LOGO DGI">
          <a:extLst>
            <a:ext uri="{FF2B5EF4-FFF2-40B4-BE49-F238E27FC236}">
              <a16:creationId xmlns:a16="http://schemas.microsoft.com/office/drawing/2014/main" id="{00000000-0008-0000-2100-0000AF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8" name="Picture 152" descr="LOGO DGI">
          <a:extLst>
            <a:ext uri="{FF2B5EF4-FFF2-40B4-BE49-F238E27FC236}">
              <a16:creationId xmlns:a16="http://schemas.microsoft.com/office/drawing/2014/main" id="{00000000-0008-0000-2100-0000B0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69" name="Picture 153" descr="LOGO DGI">
          <a:extLst>
            <a:ext uri="{FF2B5EF4-FFF2-40B4-BE49-F238E27FC236}">
              <a16:creationId xmlns:a16="http://schemas.microsoft.com/office/drawing/2014/main" id="{00000000-0008-0000-2100-0000B1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70" name="Picture 154" descr="LOGO DGI">
          <a:extLst>
            <a:ext uri="{FF2B5EF4-FFF2-40B4-BE49-F238E27FC236}">
              <a16:creationId xmlns:a16="http://schemas.microsoft.com/office/drawing/2014/main" id="{00000000-0008-0000-2100-0000B2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71" name="Picture 155" descr="LOGO DGI">
          <a:extLst>
            <a:ext uri="{FF2B5EF4-FFF2-40B4-BE49-F238E27FC236}">
              <a16:creationId xmlns:a16="http://schemas.microsoft.com/office/drawing/2014/main" id="{00000000-0008-0000-2100-0000B3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72" name="Picture 156" descr="LOGO DGI">
          <a:extLst>
            <a:ext uri="{FF2B5EF4-FFF2-40B4-BE49-F238E27FC236}">
              <a16:creationId xmlns:a16="http://schemas.microsoft.com/office/drawing/2014/main" id="{00000000-0008-0000-2100-0000B4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73" name="Picture 157" descr="LOGO DGI">
          <a:extLst>
            <a:ext uri="{FF2B5EF4-FFF2-40B4-BE49-F238E27FC236}">
              <a16:creationId xmlns:a16="http://schemas.microsoft.com/office/drawing/2014/main" id="{00000000-0008-0000-2100-0000B5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74" name="Picture 158" descr="LOGO DGI">
          <a:extLst>
            <a:ext uri="{FF2B5EF4-FFF2-40B4-BE49-F238E27FC236}">
              <a16:creationId xmlns:a16="http://schemas.microsoft.com/office/drawing/2014/main" id="{00000000-0008-0000-2100-0000B6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75" name="Picture 159" descr="LOGO DGI">
          <a:extLst>
            <a:ext uri="{FF2B5EF4-FFF2-40B4-BE49-F238E27FC236}">
              <a16:creationId xmlns:a16="http://schemas.microsoft.com/office/drawing/2014/main" id="{00000000-0008-0000-2100-0000B7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</xdr:row>
      <xdr:rowOff>0</xdr:rowOff>
    </xdr:from>
    <xdr:to>
      <xdr:col>2</xdr:col>
      <xdr:colOff>752475</xdr:colOff>
      <xdr:row>20</xdr:row>
      <xdr:rowOff>9525</xdr:rowOff>
    </xdr:to>
    <xdr:pic>
      <xdr:nvPicPr>
        <xdr:cNvPr id="219576" name="Picture 160" descr="LOGO DGI">
          <a:extLst>
            <a:ext uri="{FF2B5EF4-FFF2-40B4-BE49-F238E27FC236}">
              <a16:creationId xmlns:a16="http://schemas.microsoft.com/office/drawing/2014/main" id="{00000000-0008-0000-2100-0000B8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8479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22</xdr:row>
      <xdr:rowOff>95250</xdr:rowOff>
    </xdr:from>
    <xdr:to>
      <xdr:col>2</xdr:col>
      <xdr:colOff>752475</xdr:colOff>
      <xdr:row>25</xdr:row>
      <xdr:rowOff>104775</xdr:rowOff>
    </xdr:to>
    <xdr:pic>
      <xdr:nvPicPr>
        <xdr:cNvPr id="219577" name="Picture 161" descr="LOGO DGI">
          <a:extLst>
            <a:ext uri="{FF2B5EF4-FFF2-40B4-BE49-F238E27FC236}">
              <a16:creationId xmlns:a16="http://schemas.microsoft.com/office/drawing/2014/main" id="{00000000-0008-0000-2100-0000B9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37528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39</xdr:row>
      <xdr:rowOff>95250</xdr:rowOff>
    </xdr:from>
    <xdr:to>
      <xdr:col>2</xdr:col>
      <xdr:colOff>752475</xdr:colOff>
      <xdr:row>42</xdr:row>
      <xdr:rowOff>104775</xdr:rowOff>
    </xdr:to>
    <xdr:pic>
      <xdr:nvPicPr>
        <xdr:cNvPr id="219578" name="Picture 162" descr="LOGO DGI">
          <a:extLst>
            <a:ext uri="{FF2B5EF4-FFF2-40B4-BE49-F238E27FC236}">
              <a16:creationId xmlns:a16="http://schemas.microsoft.com/office/drawing/2014/main" id="{00000000-0008-0000-2100-0000BA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66008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56</xdr:row>
      <xdr:rowOff>95250</xdr:rowOff>
    </xdr:from>
    <xdr:to>
      <xdr:col>2</xdr:col>
      <xdr:colOff>752475</xdr:colOff>
      <xdr:row>59</xdr:row>
      <xdr:rowOff>104775</xdr:rowOff>
    </xdr:to>
    <xdr:pic>
      <xdr:nvPicPr>
        <xdr:cNvPr id="219579" name="Picture 163" descr="LOGO DGI">
          <a:extLst>
            <a:ext uri="{FF2B5EF4-FFF2-40B4-BE49-F238E27FC236}">
              <a16:creationId xmlns:a16="http://schemas.microsoft.com/office/drawing/2014/main" id="{00000000-0008-0000-2100-0000BB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94488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73</xdr:row>
      <xdr:rowOff>95250</xdr:rowOff>
    </xdr:from>
    <xdr:to>
      <xdr:col>2</xdr:col>
      <xdr:colOff>752475</xdr:colOff>
      <xdr:row>76</xdr:row>
      <xdr:rowOff>104775</xdr:rowOff>
    </xdr:to>
    <xdr:pic>
      <xdr:nvPicPr>
        <xdr:cNvPr id="219580" name="Picture 164" descr="LOGO DGI">
          <a:extLst>
            <a:ext uri="{FF2B5EF4-FFF2-40B4-BE49-F238E27FC236}">
              <a16:creationId xmlns:a16="http://schemas.microsoft.com/office/drawing/2014/main" id="{00000000-0008-0000-2100-0000BC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122967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90</xdr:row>
      <xdr:rowOff>95250</xdr:rowOff>
    </xdr:from>
    <xdr:to>
      <xdr:col>2</xdr:col>
      <xdr:colOff>752475</xdr:colOff>
      <xdr:row>93</xdr:row>
      <xdr:rowOff>104775</xdr:rowOff>
    </xdr:to>
    <xdr:pic>
      <xdr:nvPicPr>
        <xdr:cNvPr id="219581" name="Picture 165" descr="LOGO DGI">
          <a:extLst>
            <a:ext uri="{FF2B5EF4-FFF2-40B4-BE49-F238E27FC236}">
              <a16:creationId xmlns:a16="http://schemas.microsoft.com/office/drawing/2014/main" id="{00000000-0008-0000-2100-0000BD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151447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107</xdr:row>
      <xdr:rowOff>95250</xdr:rowOff>
    </xdr:from>
    <xdr:to>
      <xdr:col>2</xdr:col>
      <xdr:colOff>752475</xdr:colOff>
      <xdr:row>110</xdr:row>
      <xdr:rowOff>104775</xdr:rowOff>
    </xdr:to>
    <xdr:pic>
      <xdr:nvPicPr>
        <xdr:cNvPr id="219582" name="Picture 166" descr="LOGO DGI">
          <a:extLst>
            <a:ext uri="{FF2B5EF4-FFF2-40B4-BE49-F238E27FC236}">
              <a16:creationId xmlns:a16="http://schemas.microsoft.com/office/drawing/2014/main" id="{00000000-0008-0000-2100-0000BE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179927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124</xdr:row>
      <xdr:rowOff>95250</xdr:rowOff>
    </xdr:from>
    <xdr:to>
      <xdr:col>2</xdr:col>
      <xdr:colOff>752475</xdr:colOff>
      <xdr:row>127</xdr:row>
      <xdr:rowOff>104775</xdr:rowOff>
    </xdr:to>
    <xdr:pic>
      <xdr:nvPicPr>
        <xdr:cNvPr id="219583" name="Picture 167" descr="LOGO DGI">
          <a:extLst>
            <a:ext uri="{FF2B5EF4-FFF2-40B4-BE49-F238E27FC236}">
              <a16:creationId xmlns:a16="http://schemas.microsoft.com/office/drawing/2014/main" id="{00000000-0008-0000-2100-0000BF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08407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141</xdr:row>
      <xdr:rowOff>95250</xdr:rowOff>
    </xdr:from>
    <xdr:to>
      <xdr:col>2</xdr:col>
      <xdr:colOff>752475</xdr:colOff>
      <xdr:row>144</xdr:row>
      <xdr:rowOff>104775</xdr:rowOff>
    </xdr:to>
    <xdr:pic>
      <xdr:nvPicPr>
        <xdr:cNvPr id="219584" name="Picture 168" descr="LOGO DGI">
          <a:extLst>
            <a:ext uri="{FF2B5EF4-FFF2-40B4-BE49-F238E27FC236}">
              <a16:creationId xmlns:a16="http://schemas.microsoft.com/office/drawing/2014/main" id="{00000000-0008-0000-2100-0000C0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36886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158</xdr:row>
      <xdr:rowOff>95250</xdr:rowOff>
    </xdr:from>
    <xdr:to>
      <xdr:col>2</xdr:col>
      <xdr:colOff>752475</xdr:colOff>
      <xdr:row>161</xdr:row>
      <xdr:rowOff>104775</xdr:rowOff>
    </xdr:to>
    <xdr:pic>
      <xdr:nvPicPr>
        <xdr:cNvPr id="219585" name="Picture 169" descr="LOGO DGI">
          <a:extLst>
            <a:ext uri="{FF2B5EF4-FFF2-40B4-BE49-F238E27FC236}">
              <a16:creationId xmlns:a16="http://schemas.microsoft.com/office/drawing/2014/main" id="{00000000-0008-0000-2100-0000C1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65366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175</xdr:row>
      <xdr:rowOff>95250</xdr:rowOff>
    </xdr:from>
    <xdr:to>
      <xdr:col>2</xdr:col>
      <xdr:colOff>752475</xdr:colOff>
      <xdr:row>178</xdr:row>
      <xdr:rowOff>104775</xdr:rowOff>
    </xdr:to>
    <xdr:pic>
      <xdr:nvPicPr>
        <xdr:cNvPr id="219586" name="Picture 170" descr="LOGO DGI">
          <a:extLst>
            <a:ext uri="{FF2B5EF4-FFF2-40B4-BE49-F238E27FC236}">
              <a16:creationId xmlns:a16="http://schemas.microsoft.com/office/drawing/2014/main" id="{00000000-0008-0000-2100-0000C2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93846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192</xdr:row>
      <xdr:rowOff>95250</xdr:rowOff>
    </xdr:from>
    <xdr:to>
      <xdr:col>2</xdr:col>
      <xdr:colOff>752475</xdr:colOff>
      <xdr:row>195</xdr:row>
      <xdr:rowOff>104775</xdr:rowOff>
    </xdr:to>
    <xdr:pic>
      <xdr:nvPicPr>
        <xdr:cNvPr id="219587" name="Picture 171" descr="LOGO DGI">
          <a:extLst>
            <a:ext uri="{FF2B5EF4-FFF2-40B4-BE49-F238E27FC236}">
              <a16:creationId xmlns:a16="http://schemas.microsoft.com/office/drawing/2014/main" id="{00000000-0008-0000-2100-0000C3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322326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209</xdr:row>
      <xdr:rowOff>95250</xdr:rowOff>
    </xdr:from>
    <xdr:to>
      <xdr:col>2</xdr:col>
      <xdr:colOff>752475</xdr:colOff>
      <xdr:row>212</xdr:row>
      <xdr:rowOff>104775</xdr:rowOff>
    </xdr:to>
    <xdr:pic>
      <xdr:nvPicPr>
        <xdr:cNvPr id="219588" name="Picture 172" descr="LOGO DGI">
          <a:extLst>
            <a:ext uri="{FF2B5EF4-FFF2-40B4-BE49-F238E27FC236}">
              <a16:creationId xmlns:a16="http://schemas.microsoft.com/office/drawing/2014/main" id="{00000000-0008-0000-2100-0000C4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350805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226</xdr:row>
      <xdr:rowOff>95250</xdr:rowOff>
    </xdr:from>
    <xdr:to>
      <xdr:col>2</xdr:col>
      <xdr:colOff>752475</xdr:colOff>
      <xdr:row>229</xdr:row>
      <xdr:rowOff>104775</xdr:rowOff>
    </xdr:to>
    <xdr:pic>
      <xdr:nvPicPr>
        <xdr:cNvPr id="219589" name="Picture 173" descr="LOGO DGI">
          <a:extLst>
            <a:ext uri="{FF2B5EF4-FFF2-40B4-BE49-F238E27FC236}">
              <a16:creationId xmlns:a16="http://schemas.microsoft.com/office/drawing/2014/main" id="{00000000-0008-0000-2100-0000C5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379285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243</xdr:row>
      <xdr:rowOff>95250</xdr:rowOff>
    </xdr:from>
    <xdr:to>
      <xdr:col>2</xdr:col>
      <xdr:colOff>752475</xdr:colOff>
      <xdr:row>246</xdr:row>
      <xdr:rowOff>104775</xdr:rowOff>
    </xdr:to>
    <xdr:pic>
      <xdr:nvPicPr>
        <xdr:cNvPr id="219590" name="Picture 174" descr="LOGO DGI">
          <a:extLst>
            <a:ext uri="{FF2B5EF4-FFF2-40B4-BE49-F238E27FC236}">
              <a16:creationId xmlns:a16="http://schemas.microsoft.com/office/drawing/2014/main" id="{00000000-0008-0000-2100-0000C6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407765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260</xdr:row>
      <xdr:rowOff>95250</xdr:rowOff>
    </xdr:from>
    <xdr:to>
      <xdr:col>2</xdr:col>
      <xdr:colOff>752475</xdr:colOff>
      <xdr:row>263</xdr:row>
      <xdr:rowOff>104775</xdr:rowOff>
    </xdr:to>
    <xdr:pic>
      <xdr:nvPicPr>
        <xdr:cNvPr id="219591" name="Picture 175" descr="LOGO DGI">
          <a:extLst>
            <a:ext uri="{FF2B5EF4-FFF2-40B4-BE49-F238E27FC236}">
              <a16:creationId xmlns:a16="http://schemas.microsoft.com/office/drawing/2014/main" id="{00000000-0008-0000-2100-0000C7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436245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277</xdr:row>
      <xdr:rowOff>95250</xdr:rowOff>
    </xdr:from>
    <xdr:to>
      <xdr:col>2</xdr:col>
      <xdr:colOff>752475</xdr:colOff>
      <xdr:row>280</xdr:row>
      <xdr:rowOff>104775</xdr:rowOff>
    </xdr:to>
    <xdr:pic>
      <xdr:nvPicPr>
        <xdr:cNvPr id="219592" name="Picture 176" descr="LOGO DGI">
          <a:extLst>
            <a:ext uri="{FF2B5EF4-FFF2-40B4-BE49-F238E27FC236}">
              <a16:creationId xmlns:a16="http://schemas.microsoft.com/office/drawing/2014/main" id="{00000000-0008-0000-2100-0000C8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464724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294</xdr:row>
      <xdr:rowOff>95250</xdr:rowOff>
    </xdr:from>
    <xdr:to>
      <xdr:col>2</xdr:col>
      <xdr:colOff>752475</xdr:colOff>
      <xdr:row>297</xdr:row>
      <xdr:rowOff>104775</xdr:rowOff>
    </xdr:to>
    <xdr:pic>
      <xdr:nvPicPr>
        <xdr:cNvPr id="219593" name="Picture 177" descr="LOGO DGI">
          <a:extLst>
            <a:ext uri="{FF2B5EF4-FFF2-40B4-BE49-F238E27FC236}">
              <a16:creationId xmlns:a16="http://schemas.microsoft.com/office/drawing/2014/main" id="{00000000-0008-0000-2100-0000C9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493204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311</xdr:row>
      <xdr:rowOff>95250</xdr:rowOff>
    </xdr:from>
    <xdr:to>
      <xdr:col>2</xdr:col>
      <xdr:colOff>752475</xdr:colOff>
      <xdr:row>314</xdr:row>
      <xdr:rowOff>104775</xdr:rowOff>
    </xdr:to>
    <xdr:pic>
      <xdr:nvPicPr>
        <xdr:cNvPr id="219594" name="Picture 178" descr="LOGO DGI">
          <a:extLst>
            <a:ext uri="{FF2B5EF4-FFF2-40B4-BE49-F238E27FC236}">
              <a16:creationId xmlns:a16="http://schemas.microsoft.com/office/drawing/2014/main" id="{00000000-0008-0000-2100-0000CA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5216842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328</xdr:row>
      <xdr:rowOff>95250</xdr:rowOff>
    </xdr:from>
    <xdr:to>
      <xdr:col>2</xdr:col>
      <xdr:colOff>752475</xdr:colOff>
      <xdr:row>331</xdr:row>
      <xdr:rowOff>104775</xdr:rowOff>
    </xdr:to>
    <xdr:pic>
      <xdr:nvPicPr>
        <xdr:cNvPr id="219595" name="Picture 179" descr="LOGO DGI">
          <a:extLst>
            <a:ext uri="{FF2B5EF4-FFF2-40B4-BE49-F238E27FC236}">
              <a16:creationId xmlns:a16="http://schemas.microsoft.com/office/drawing/2014/main" id="{00000000-0008-0000-2100-0000CB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5501640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345</xdr:row>
      <xdr:rowOff>95250</xdr:rowOff>
    </xdr:from>
    <xdr:to>
      <xdr:col>2</xdr:col>
      <xdr:colOff>752475</xdr:colOff>
      <xdr:row>348</xdr:row>
      <xdr:rowOff>104775</xdr:rowOff>
    </xdr:to>
    <xdr:pic>
      <xdr:nvPicPr>
        <xdr:cNvPr id="219596" name="Picture 180" descr="LOGO DGI">
          <a:extLst>
            <a:ext uri="{FF2B5EF4-FFF2-40B4-BE49-F238E27FC236}">
              <a16:creationId xmlns:a16="http://schemas.microsoft.com/office/drawing/2014/main" id="{00000000-0008-0000-2100-0000CC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57864375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362</xdr:row>
      <xdr:rowOff>95250</xdr:rowOff>
    </xdr:from>
    <xdr:to>
      <xdr:col>2</xdr:col>
      <xdr:colOff>752475</xdr:colOff>
      <xdr:row>365</xdr:row>
      <xdr:rowOff>104775</xdr:rowOff>
    </xdr:to>
    <xdr:pic>
      <xdr:nvPicPr>
        <xdr:cNvPr id="219597" name="Picture 181" descr="LOGO DGI">
          <a:extLst>
            <a:ext uri="{FF2B5EF4-FFF2-40B4-BE49-F238E27FC236}">
              <a16:creationId xmlns:a16="http://schemas.microsoft.com/office/drawing/2014/main" id="{00000000-0008-0000-2100-0000CD5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60712350"/>
          <a:ext cx="3905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0</xdr:row>
      <xdr:rowOff>133350</xdr:rowOff>
    </xdr:from>
    <xdr:to>
      <xdr:col>10</xdr:col>
      <xdr:colOff>1085850</xdr:colOff>
      <xdr:row>4</xdr:row>
      <xdr:rowOff>76200</xdr:rowOff>
    </xdr:to>
    <xdr:sp macro="" textlink="">
      <xdr:nvSpPr>
        <xdr:cNvPr id="39937" name="CommandButton2" hidden="1">
          <a:extLst>
            <a:ext uri="{63B3BB69-23CF-44E3-9099-C40C66FF867C}">
              <a14:compatExt xmlns:a14="http://schemas.microsoft.com/office/drawing/2010/main" spid="_x0000_s39937"/>
            </a:ext>
            <a:ext uri="{FF2B5EF4-FFF2-40B4-BE49-F238E27FC236}">
              <a16:creationId xmlns:a16="http://schemas.microsoft.com/office/drawing/2014/main" id="{00000000-0008-0000-2200-0000019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619125</xdr:colOff>
      <xdr:row>0</xdr:row>
      <xdr:rowOff>104775</xdr:rowOff>
    </xdr:from>
    <xdr:to>
      <xdr:col>12</xdr:col>
      <xdr:colOff>409575</xdr:colOff>
      <xdr:row>4</xdr:row>
      <xdr:rowOff>76200</xdr:rowOff>
    </xdr:to>
    <xdr:sp macro="" textlink="">
      <xdr:nvSpPr>
        <xdr:cNvPr id="39938" name="CommandButton1" hidden="1">
          <a:extLst>
            <a:ext uri="{63B3BB69-23CF-44E3-9099-C40C66FF867C}">
              <a14:compatExt xmlns:a14="http://schemas.microsoft.com/office/drawing/2010/main" spid="_x0000_s39938"/>
            </a:ext>
            <a:ext uri="{FF2B5EF4-FFF2-40B4-BE49-F238E27FC236}">
              <a16:creationId xmlns:a16="http://schemas.microsoft.com/office/drawing/2014/main" id="{00000000-0008-0000-2200-0000029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38100</xdr:colOff>
      <xdr:row>5</xdr:row>
      <xdr:rowOff>85725</xdr:rowOff>
    </xdr:from>
    <xdr:to>
      <xdr:col>10</xdr:col>
      <xdr:colOff>1104900</xdr:colOff>
      <xdr:row>9</xdr:row>
      <xdr:rowOff>19050</xdr:rowOff>
    </xdr:to>
    <xdr:sp macro="" textlink="">
      <xdr:nvSpPr>
        <xdr:cNvPr id="39939" name="CommandButton3" hidden="1">
          <a:extLst>
            <a:ext uri="{63B3BB69-23CF-44E3-9099-C40C66FF867C}">
              <a14:compatExt xmlns:a14="http://schemas.microsoft.com/office/drawing/2010/main" spid="_x0000_s39939"/>
            </a:ext>
            <a:ext uri="{FF2B5EF4-FFF2-40B4-BE49-F238E27FC236}">
              <a16:creationId xmlns:a16="http://schemas.microsoft.com/office/drawing/2014/main" id="{00000000-0008-0000-2200-0000039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647700</xdr:colOff>
      <xdr:row>5</xdr:row>
      <xdr:rowOff>85725</xdr:rowOff>
    </xdr:from>
    <xdr:to>
      <xdr:col>12</xdr:col>
      <xdr:colOff>447675</xdr:colOff>
      <xdr:row>9</xdr:row>
      <xdr:rowOff>0</xdr:rowOff>
    </xdr:to>
    <xdr:sp macro="" textlink="">
      <xdr:nvSpPr>
        <xdr:cNvPr id="39940" name="CommandButton4" hidden="1">
          <a:extLst>
            <a:ext uri="{63B3BB69-23CF-44E3-9099-C40C66FF867C}">
              <a14:compatExt xmlns:a14="http://schemas.microsoft.com/office/drawing/2010/main" spid="_x0000_s39940"/>
            </a:ext>
            <a:ext uri="{FF2B5EF4-FFF2-40B4-BE49-F238E27FC236}">
              <a16:creationId xmlns:a16="http://schemas.microsoft.com/office/drawing/2014/main" id="{00000000-0008-0000-2200-0000049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5</xdr:row>
      <xdr:rowOff>142875</xdr:rowOff>
    </xdr:from>
    <xdr:to>
      <xdr:col>2</xdr:col>
      <xdr:colOff>847725</xdr:colOff>
      <xdr:row>8</xdr:row>
      <xdr:rowOff>142875</xdr:rowOff>
    </xdr:to>
    <xdr:pic>
      <xdr:nvPicPr>
        <xdr:cNvPr id="175886" name="Picture 1" descr="LOGO DGI">
          <a:extLst>
            <a:ext uri="{FF2B5EF4-FFF2-40B4-BE49-F238E27FC236}">
              <a16:creationId xmlns:a16="http://schemas.microsoft.com/office/drawing/2014/main" id="{00000000-0008-0000-2300-00000E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952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1</xdr:row>
      <xdr:rowOff>28575</xdr:rowOff>
    </xdr:from>
    <xdr:to>
      <xdr:col>9</xdr:col>
      <xdr:colOff>133350</xdr:colOff>
      <xdr:row>4</xdr:row>
      <xdr:rowOff>76200</xdr:rowOff>
    </xdr:to>
    <xdr:sp macro="" textlink="">
      <xdr:nvSpPr>
        <xdr:cNvPr id="21517" name="CommandButton1" hidden="1">
          <a:extLst>
            <a:ext uri="{63B3BB69-23CF-44E3-9099-C40C66FF867C}">
              <a14:compatExt xmlns:a14="http://schemas.microsoft.com/office/drawing/2010/main" spid="_x0000_s21517"/>
            </a:ext>
            <a:ext uri="{FF2B5EF4-FFF2-40B4-BE49-F238E27FC236}">
              <a16:creationId xmlns:a16="http://schemas.microsoft.com/office/drawing/2014/main" id="{00000000-0008-0000-2300-00000D5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9525</xdr:colOff>
      <xdr:row>4</xdr:row>
      <xdr:rowOff>104775</xdr:rowOff>
    </xdr:from>
    <xdr:to>
      <xdr:col>9</xdr:col>
      <xdr:colOff>647700</xdr:colOff>
      <xdr:row>7</xdr:row>
      <xdr:rowOff>9525</xdr:rowOff>
    </xdr:to>
    <xdr:sp macro="" textlink="">
      <xdr:nvSpPr>
        <xdr:cNvPr id="21518" name="CommandButton2" hidden="1">
          <a:extLst>
            <a:ext uri="{63B3BB69-23CF-44E3-9099-C40C66FF867C}">
              <a14:compatExt xmlns:a14="http://schemas.microsoft.com/office/drawing/2010/main" spid="_x0000_s21518"/>
            </a:ext>
            <a:ext uri="{FF2B5EF4-FFF2-40B4-BE49-F238E27FC236}">
              <a16:creationId xmlns:a16="http://schemas.microsoft.com/office/drawing/2014/main" id="{00000000-0008-0000-2300-00000E5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87" name="Picture 23" descr="LOGO DGI">
          <a:extLst>
            <a:ext uri="{FF2B5EF4-FFF2-40B4-BE49-F238E27FC236}">
              <a16:creationId xmlns:a16="http://schemas.microsoft.com/office/drawing/2014/main" id="{00000000-0008-0000-2300-00000F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88" name="Picture 24" descr="LOGO DGI">
          <a:extLst>
            <a:ext uri="{FF2B5EF4-FFF2-40B4-BE49-F238E27FC236}">
              <a16:creationId xmlns:a16="http://schemas.microsoft.com/office/drawing/2014/main" id="{00000000-0008-0000-2300-000010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89" name="Picture 25" descr="LOGO DGI">
          <a:extLst>
            <a:ext uri="{FF2B5EF4-FFF2-40B4-BE49-F238E27FC236}">
              <a16:creationId xmlns:a16="http://schemas.microsoft.com/office/drawing/2014/main" id="{00000000-0008-0000-2300-000011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90" name="Picture 26" descr="LOGO DGI">
          <a:extLst>
            <a:ext uri="{FF2B5EF4-FFF2-40B4-BE49-F238E27FC236}">
              <a16:creationId xmlns:a16="http://schemas.microsoft.com/office/drawing/2014/main" id="{00000000-0008-0000-2300-000012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91" name="Picture 27" descr="LOGO DGI">
          <a:extLst>
            <a:ext uri="{FF2B5EF4-FFF2-40B4-BE49-F238E27FC236}">
              <a16:creationId xmlns:a16="http://schemas.microsoft.com/office/drawing/2014/main" id="{00000000-0008-0000-2300-000013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92" name="Picture 28" descr="LOGO DGI">
          <a:extLst>
            <a:ext uri="{FF2B5EF4-FFF2-40B4-BE49-F238E27FC236}">
              <a16:creationId xmlns:a16="http://schemas.microsoft.com/office/drawing/2014/main" id="{00000000-0008-0000-2300-000014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93" name="Picture 29" descr="LOGO DGI">
          <a:extLst>
            <a:ext uri="{FF2B5EF4-FFF2-40B4-BE49-F238E27FC236}">
              <a16:creationId xmlns:a16="http://schemas.microsoft.com/office/drawing/2014/main" id="{00000000-0008-0000-2300-000015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894" name="Picture 30" descr="LOGO DGI">
          <a:extLst>
            <a:ext uri="{FF2B5EF4-FFF2-40B4-BE49-F238E27FC236}">
              <a16:creationId xmlns:a16="http://schemas.microsoft.com/office/drawing/2014/main" id="{00000000-0008-0000-2300-000016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895" name="Picture 31" descr="LOGO DGI">
          <a:extLst>
            <a:ext uri="{FF2B5EF4-FFF2-40B4-BE49-F238E27FC236}">
              <a16:creationId xmlns:a16="http://schemas.microsoft.com/office/drawing/2014/main" id="{00000000-0008-0000-2300-000017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896" name="Picture 32" descr="LOGO DGI">
          <a:extLst>
            <a:ext uri="{FF2B5EF4-FFF2-40B4-BE49-F238E27FC236}">
              <a16:creationId xmlns:a16="http://schemas.microsoft.com/office/drawing/2014/main" id="{00000000-0008-0000-2300-000018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897" name="Picture 33" descr="LOGO DGI">
          <a:extLst>
            <a:ext uri="{FF2B5EF4-FFF2-40B4-BE49-F238E27FC236}">
              <a16:creationId xmlns:a16="http://schemas.microsoft.com/office/drawing/2014/main" id="{00000000-0008-0000-2300-000019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898" name="Picture 34" descr="LOGO DGI">
          <a:extLst>
            <a:ext uri="{FF2B5EF4-FFF2-40B4-BE49-F238E27FC236}">
              <a16:creationId xmlns:a16="http://schemas.microsoft.com/office/drawing/2014/main" id="{00000000-0008-0000-2300-00001A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899" name="Picture 35" descr="LOGO DGI">
          <a:extLst>
            <a:ext uri="{FF2B5EF4-FFF2-40B4-BE49-F238E27FC236}">
              <a16:creationId xmlns:a16="http://schemas.microsoft.com/office/drawing/2014/main" id="{00000000-0008-0000-2300-00001B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900" name="Picture 36" descr="LOGO DGI">
          <a:extLst>
            <a:ext uri="{FF2B5EF4-FFF2-40B4-BE49-F238E27FC236}">
              <a16:creationId xmlns:a16="http://schemas.microsoft.com/office/drawing/2014/main" id="{00000000-0008-0000-2300-00001C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901" name="Picture 37" descr="LOGO DGI">
          <a:extLst>
            <a:ext uri="{FF2B5EF4-FFF2-40B4-BE49-F238E27FC236}">
              <a16:creationId xmlns:a16="http://schemas.microsoft.com/office/drawing/2014/main" id="{00000000-0008-0000-2300-00001D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902" name="Picture 38" descr="LOGO DGI">
          <a:extLst>
            <a:ext uri="{FF2B5EF4-FFF2-40B4-BE49-F238E27FC236}">
              <a16:creationId xmlns:a16="http://schemas.microsoft.com/office/drawing/2014/main" id="{00000000-0008-0000-2300-00001E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838200</xdr:colOff>
      <xdr:row>20</xdr:row>
      <xdr:rowOff>0</xdr:rowOff>
    </xdr:to>
    <xdr:pic>
      <xdr:nvPicPr>
        <xdr:cNvPr id="175903" name="Picture 39" descr="LOGO DGI">
          <a:extLst>
            <a:ext uri="{FF2B5EF4-FFF2-40B4-BE49-F238E27FC236}">
              <a16:creationId xmlns:a16="http://schemas.microsoft.com/office/drawing/2014/main" id="{00000000-0008-0000-2300-00001F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810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04" name="Picture 40" descr="LOGO DGI">
          <a:extLst>
            <a:ext uri="{FF2B5EF4-FFF2-40B4-BE49-F238E27FC236}">
              <a16:creationId xmlns:a16="http://schemas.microsoft.com/office/drawing/2014/main" id="{00000000-0008-0000-2300-000020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05" name="Picture 41" descr="LOGO DGI">
          <a:extLst>
            <a:ext uri="{FF2B5EF4-FFF2-40B4-BE49-F238E27FC236}">
              <a16:creationId xmlns:a16="http://schemas.microsoft.com/office/drawing/2014/main" id="{00000000-0008-0000-2300-000021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06" name="Picture 42" descr="LOGO DGI">
          <a:extLst>
            <a:ext uri="{FF2B5EF4-FFF2-40B4-BE49-F238E27FC236}">
              <a16:creationId xmlns:a16="http://schemas.microsoft.com/office/drawing/2014/main" id="{00000000-0008-0000-2300-000022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07" name="Picture 43" descr="LOGO DGI">
          <a:extLst>
            <a:ext uri="{FF2B5EF4-FFF2-40B4-BE49-F238E27FC236}">
              <a16:creationId xmlns:a16="http://schemas.microsoft.com/office/drawing/2014/main" id="{00000000-0008-0000-2300-000023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08" name="Picture 44" descr="LOGO DGI">
          <a:extLst>
            <a:ext uri="{FF2B5EF4-FFF2-40B4-BE49-F238E27FC236}">
              <a16:creationId xmlns:a16="http://schemas.microsoft.com/office/drawing/2014/main" id="{00000000-0008-0000-2300-000024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09" name="Picture 45" descr="LOGO DGI">
          <a:extLst>
            <a:ext uri="{FF2B5EF4-FFF2-40B4-BE49-F238E27FC236}">
              <a16:creationId xmlns:a16="http://schemas.microsoft.com/office/drawing/2014/main" id="{00000000-0008-0000-2300-000025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0" name="Picture 46" descr="LOGO DGI">
          <a:extLst>
            <a:ext uri="{FF2B5EF4-FFF2-40B4-BE49-F238E27FC236}">
              <a16:creationId xmlns:a16="http://schemas.microsoft.com/office/drawing/2014/main" id="{00000000-0008-0000-2300-000026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1" name="Picture 47" descr="LOGO DGI">
          <a:extLst>
            <a:ext uri="{FF2B5EF4-FFF2-40B4-BE49-F238E27FC236}">
              <a16:creationId xmlns:a16="http://schemas.microsoft.com/office/drawing/2014/main" id="{00000000-0008-0000-2300-000027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2" name="Picture 48" descr="LOGO DGI">
          <a:extLst>
            <a:ext uri="{FF2B5EF4-FFF2-40B4-BE49-F238E27FC236}">
              <a16:creationId xmlns:a16="http://schemas.microsoft.com/office/drawing/2014/main" id="{00000000-0008-0000-2300-000028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3" name="Picture 49" descr="LOGO DGI">
          <a:extLst>
            <a:ext uri="{FF2B5EF4-FFF2-40B4-BE49-F238E27FC236}">
              <a16:creationId xmlns:a16="http://schemas.microsoft.com/office/drawing/2014/main" id="{00000000-0008-0000-2300-000029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4" name="Picture 50" descr="LOGO DGI">
          <a:extLst>
            <a:ext uri="{FF2B5EF4-FFF2-40B4-BE49-F238E27FC236}">
              <a16:creationId xmlns:a16="http://schemas.microsoft.com/office/drawing/2014/main" id="{00000000-0008-0000-2300-00002A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5" name="Picture 51" descr="LOGO DGI">
          <a:extLst>
            <a:ext uri="{FF2B5EF4-FFF2-40B4-BE49-F238E27FC236}">
              <a16:creationId xmlns:a16="http://schemas.microsoft.com/office/drawing/2014/main" id="{00000000-0008-0000-2300-00002B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6" name="Picture 52" descr="LOGO DGI">
          <a:extLst>
            <a:ext uri="{FF2B5EF4-FFF2-40B4-BE49-F238E27FC236}">
              <a16:creationId xmlns:a16="http://schemas.microsoft.com/office/drawing/2014/main" id="{00000000-0008-0000-2300-00002C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7" name="Picture 53" descr="LOGO DGI">
          <a:extLst>
            <a:ext uri="{FF2B5EF4-FFF2-40B4-BE49-F238E27FC236}">
              <a16:creationId xmlns:a16="http://schemas.microsoft.com/office/drawing/2014/main" id="{00000000-0008-0000-2300-00002D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8" name="Picture 54" descr="LOGO DGI">
          <a:extLst>
            <a:ext uri="{FF2B5EF4-FFF2-40B4-BE49-F238E27FC236}">
              <a16:creationId xmlns:a16="http://schemas.microsoft.com/office/drawing/2014/main" id="{00000000-0008-0000-2300-00002E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19" name="Picture 55" descr="LOGO DGI">
          <a:extLst>
            <a:ext uri="{FF2B5EF4-FFF2-40B4-BE49-F238E27FC236}">
              <a16:creationId xmlns:a16="http://schemas.microsoft.com/office/drawing/2014/main" id="{00000000-0008-0000-2300-00002F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20" name="Picture 56" descr="LOGO DGI">
          <a:extLst>
            <a:ext uri="{FF2B5EF4-FFF2-40B4-BE49-F238E27FC236}">
              <a16:creationId xmlns:a16="http://schemas.microsoft.com/office/drawing/2014/main" id="{00000000-0008-0000-2300-000030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</xdr:row>
      <xdr:rowOff>0</xdr:rowOff>
    </xdr:from>
    <xdr:to>
      <xdr:col>2</xdr:col>
      <xdr:colOff>847725</xdr:colOff>
      <xdr:row>20</xdr:row>
      <xdr:rowOff>0</xdr:rowOff>
    </xdr:to>
    <xdr:pic>
      <xdr:nvPicPr>
        <xdr:cNvPr id="175921" name="Picture 57" descr="LOGO DGI">
          <a:extLst>
            <a:ext uri="{FF2B5EF4-FFF2-40B4-BE49-F238E27FC236}">
              <a16:creationId xmlns:a16="http://schemas.microsoft.com/office/drawing/2014/main" id="{00000000-0008-0000-2300-000031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4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22</xdr:row>
      <xdr:rowOff>142875</xdr:rowOff>
    </xdr:from>
    <xdr:to>
      <xdr:col>2</xdr:col>
      <xdr:colOff>847725</xdr:colOff>
      <xdr:row>25</xdr:row>
      <xdr:rowOff>142875</xdr:rowOff>
    </xdr:to>
    <xdr:pic>
      <xdr:nvPicPr>
        <xdr:cNvPr id="175922" name="Picture 58" descr="LOGO DGI">
          <a:extLst>
            <a:ext uri="{FF2B5EF4-FFF2-40B4-BE49-F238E27FC236}">
              <a16:creationId xmlns:a16="http://schemas.microsoft.com/office/drawing/2014/main" id="{00000000-0008-0000-2300-000032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3800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39</xdr:row>
      <xdr:rowOff>142875</xdr:rowOff>
    </xdr:from>
    <xdr:to>
      <xdr:col>2</xdr:col>
      <xdr:colOff>847725</xdr:colOff>
      <xdr:row>42</xdr:row>
      <xdr:rowOff>142875</xdr:rowOff>
    </xdr:to>
    <xdr:pic>
      <xdr:nvPicPr>
        <xdr:cNvPr id="175923" name="Picture 59" descr="LOGO DGI">
          <a:extLst>
            <a:ext uri="{FF2B5EF4-FFF2-40B4-BE49-F238E27FC236}">
              <a16:creationId xmlns:a16="http://schemas.microsoft.com/office/drawing/2014/main" id="{00000000-0008-0000-2300-000033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6648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56</xdr:row>
      <xdr:rowOff>142875</xdr:rowOff>
    </xdr:from>
    <xdr:to>
      <xdr:col>2</xdr:col>
      <xdr:colOff>847725</xdr:colOff>
      <xdr:row>59</xdr:row>
      <xdr:rowOff>142875</xdr:rowOff>
    </xdr:to>
    <xdr:pic>
      <xdr:nvPicPr>
        <xdr:cNvPr id="175924" name="Picture 60" descr="LOGO DGI">
          <a:extLst>
            <a:ext uri="{FF2B5EF4-FFF2-40B4-BE49-F238E27FC236}">
              <a16:creationId xmlns:a16="http://schemas.microsoft.com/office/drawing/2014/main" id="{00000000-0008-0000-2300-000034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94964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73</xdr:row>
      <xdr:rowOff>142875</xdr:rowOff>
    </xdr:from>
    <xdr:to>
      <xdr:col>2</xdr:col>
      <xdr:colOff>847725</xdr:colOff>
      <xdr:row>76</xdr:row>
      <xdr:rowOff>142875</xdr:rowOff>
    </xdr:to>
    <xdr:pic>
      <xdr:nvPicPr>
        <xdr:cNvPr id="175925" name="Picture 61" descr="LOGO DGI">
          <a:extLst>
            <a:ext uri="{FF2B5EF4-FFF2-40B4-BE49-F238E27FC236}">
              <a16:creationId xmlns:a16="http://schemas.microsoft.com/office/drawing/2014/main" id="{00000000-0008-0000-2300-000035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2344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90</xdr:row>
      <xdr:rowOff>142875</xdr:rowOff>
    </xdr:from>
    <xdr:to>
      <xdr:col>2</xdr:col>
      <xdr:colOff>847725</xdr:colOff>
      <xdr:row>93</xdr:row>
      <xdr:rowOff>142875</xdr:rowOff>
    </xdr:to>
    <xdr:pic>
      <xdr:nvPicPr>
        <xdr:cNvPr id="175926" name="Picture 62" descr="LOGO DGI">
          <a:extLst>
            <a:ext uri="{FF2B5EF4-FFF2-40B4-BE49-F238E27FC236}">
              <a16:creationId xmlns:a16="http://schemas.microsoft.com/office/drawing/2014/main" id="{00000000-0008-0000-2300-000036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5192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107</xdr:row>
      <xdr:rowOff>142875</xdr:rowOff>
    </xdr:from>
    <xdr:to>
      <xdr:col>2</xdr:col>
      <xdr:colOff>847725</xdr:colOff>
      <xdr:row>110</xdr:row>
      <xdr:rowOff>142875</xdr:rowOff>
    </xdr:to>
    <xdr:pic>
      <xdr:nvPicPr>
        <xdr:cNvPr id="175927" name="Picture 63" descr="LOGO DGI">
          <a:extLst>
            <a:ext uri="{FF2B5EF4-FFF2-40B4-BE49-F238E27FC236}">
              <a16:creationId xmlns:a16="http://schemas.microsoft.com/office/drawing/2014/main" id="{00000000-0008-0000-2300-000037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8040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124</xdr:row>
      <xdr:rowOff>142875</xdr:rowOff>
    </xdr:from>
    <xdr:to>
      <xdr:col>2</xdr:col>
      <xdr:colOff>847725</xdr:colOff>
      <xdr:row>127</xdr:row>
      <xdr:rowOff>142875</xdr:rowOff>
    </xdr:to>
    <xdr:pic>
      <xdr:nvPicPr>
        <xdr:cNvPr id="175928" name="Picture 64" descr="LOGO DGI">
          <a:extLst>
            <a:ext uri="{FF2B5EF4-FFF2-40B4-BE49-F238E27FC236}">
              <a16:creationId xmlns:a16="http://schemas.microsoft.com/office/drawing/2014/main" id="{00000000-0008-0000-2300-000038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0888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141</xdr:row>
      <xdr:rowOff>142875</xdr:rowOff>
    </xdr:from>
    <xdr:to>
      <xdr:col>2</xdr:col>
      <xdr:colOff>847725</xdr:colOff>
      <xdr:row>144</xdr:row>
      <xdr:rowOff>142875</xdr:rowOff>
    </xdr:to>
    <xdr:pic>
      <xdr:nvPicPr>
        <xdr:cNvPr id="175929" name="Picture 65" descr="LOGO DGI">
          <a:extLst>
            <a:ext uri="{FF2B5EF4-FFF2-40B4-BE49-F238E27FC236}">
              <a16:creationId xmlns:a16="http://schemas.microsoft.com/office/drawing/2014/main" id="{00000000-0008-0000-2300-000039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3736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158</xdr:row>
      <xdr:rowOff>142875</xdr:rowOff>
    </xdr:from>
    <xdr:to>
      <xdr:col>2</xdr:col>
      <xdr:colOff>847725</xdr:colOff>
      <xdr:row>161</xdr:row>
      <xdr:rowOff>142875</xdr:rowOff>
    </xdr:to>
    <xdr:pic>
      <xdr:nvPicPr>
        <xdr:cNvPr id="175930" name="Picture 66" descr="LOGO DGI">
          <a:extLst>
            <a:ext uri="{FF2B5EF4-FFF2-40B4-BE49-F238E27FC236}">
              <a16:creationId xmlns:a16="http://schemas.microsoft.com/office/drawing/2014/main" id="{00000000-0008-0000-2300-00003A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6584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175</xdr:row>
      <xdr:rowOff>142875</xdr:rowOff>
    </xdr:from>
    <xdr:to>
      <xdr:col>2</xdr:col>
      <xdr:colOff>847725</xdr:colOff>
      <xdr:row>178</xdr:row>
      <xdr:rowOff>142875</xdr:rowOff>
    </xdr:to>
    <xdr:pic>
      <xdr:nvPicPr>
        <xdr:cNvPr id="175931" name="Picture 67" descr="LOGO DGI">
          <a:extLst>
            <a:ext uri="{FF2B5EF4-FFF2-40B4-BE49-F238E27FC236}">
              <a16:creationId xmlns:a16="http://schemas.microsoft.com/office/drawing/2014/main" id="{00000000-0008-0000-2300-00003B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9432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192</xdr:row>
      <xdr:rowOff>142875</xdr:rowOff>
    </xdr:from>
    <xdr:to>
      <xdr:col>2</xdr:col>
      <xdr:colOff>847725</xdr:colOff>
      <xdr:row>195</xdr:row>
      <xdr:rowOff>142875</xdr:rowOff>
    </xdr:to>
    <xdr:pic>
      <xdr:nvPicPr>
        <xdr:cNvPr id="175932" name="Picture 68" descr="LOGO DGI">
          <a:extLst>
            <a:ext uri="{FF2B5EF4-FFF2-40B4-BE49-F238E27FC236}">
              <a16:creationId xmlns:a16="http://schemas.microsoft.com/office/drawing/2014/main" id="{00000000-0008-0000-2300-00003C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32280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209</xdr:row>
      <xdr:rowOff>142875</xdr:rowOff>
    </xdr:from>
    <xdr:to>
      <xdr:col>2</xdr:col>
      <xdr:colOff>847725</xdr:colOff>
      <xdr:row>212</xdr:row>
      <xdr:rowOff>142875</xdr:rowOff>
    </xdr:to>
    <xdr:pic>
      <xdr:nvPicPr>
        <xdr:cNvPr id="175933" name="Picture 69" descr="LOGO DGI">
          <a:extLst>
            <a:ext uri="{FF2B5EF4-FFF2-40B4-BE49-F238E27FC236}">
              <a16:creationId xmlns:a16="http://schemas.microsoft.com/office/drawing/2014/main" id="{00000000-0008-0000-2300-00003D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35128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226</xdr:row>
      <xdr:rowOff>142875</xdr:rowOff>
    </xdr:from>
    <xdr:to>
      <xdr:col>2</xdr:col>
      <xdr:colOff>847725</xdr:colOff>
      <xdr:row>229</xdr:row>
      <xdr:rowOff>142875</xdr:rowOff>
    </xdr:to>
    <xdr:pic>
      <xdr:nvPicPr>
        <xdr:cNvPr id="175934" name="Picture 70" descr="LOGO DGI">
          <a:extLst>
            <a:ext uri="{FF2B5EF4-FFF2-40B4-BE49-F238E27FC236}">
              <a16:creationId xmlns:a16="http://schemas.microsoft.com/office/drawing/2014/main" id="{00000000-0008-0000-2300-00003E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37976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243</xdr:row>
      <xdr:rowOff>142875</xdr:rowOff>
    </xdr:from>
    <xdr:to>
      <xdr:col>2</xdr:col>
      <xdr:colOff>847725</xdr:colOff>
      <xdr:row>246</xdr:row>
      <xdr:rowOff>142875</xdr:rowOff>
    </xdr:to>
    <xdr:pic>
      <xdr:nvPicPr>
        <xdr:cNvPr id="175935" name="Picture 71" descr="LOGO DGI">
          <a:extLst>
            <a:ext uri="{FF2B5EF4-FFF2-40B4-BE49-F238E27FC236}">
              <a16:creationId xmlns:a16="http://schemas.microsoft.com/office/drawing/2014/main" id="{00000000-0008-0000-2300-00003F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40824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260</xdr:row>
      <xdr:rowOff>142875</xdr:rowOff>
    </xdr:from>
    <xdr:to>
      <xdr:col>2</xdr:col>
      <xdr:colOff>847725</xdr:colOff>
      <xdr:row>263</xdr:row>
      <xdr:rowOff>142875</xdr:rowOff>
    </xdr:to>
    <xdr:pic>
      <xdr:nvPicPr>
        <xdr:cNvPr id="175936" name="Picture 72" descr="LOGO DGI">
          <a:extLst>
            <a:ext uri="{FF2B5EF4-FFF2-40B4-BE49-F238E27FC236}">
              <a16:creationId xmlns:a16="http://schemas.microsoft.com/office/drawing/2014/main" id="{00000000-0008-0000-2300-000040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436721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277</xdr:row>
      <xdr:rowOff>142875</xdr:rowOff>
    </xdr:from>
    <xdr:to>
      <xdr:col>2</xdr:col>
      <xdr:colOff>847725</xdr:colOff>
      <xdr:row>280</xdr:row>
      <xdr:rowOff>142875</xdr:rowOff>
    </xdr:to>
    <xdr:pic>
      <xdr:nvPicPr>
        <xdr:cNvPr id="175937" name="Picture 73" descr="LOGO DGI">
          <a:extLst>
            <a:ext uri="{FF2B5EF4-FFF2-40B4-BE49-F238E27FC236}">
              <a16:creationId xmlns:a16="http://schemas.microsoft.com/office/drawing/2014/main" id="{00000000-0008-0000-2300-000041AF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46520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76200</xdr:rowOff>
    </xdr:from>
    <xdr:to>
      <xdr:col>10</xdr:col>
      <xdr:colOff>1047750</xdr:colOff>
      <xdr:row>4</xdr:row>
      <xdr:rowOff>0</xdr:rowOff>
    </xdr:to>
    <xdr:sp macro="" textlink="">
      <xdr:nvSpPr>
        <xdr:cNvPr id="40961" name="CommandButton2" hidden="1">
          <a:extLst>
            <a:ext uri="{63B3BB69-23CF-44E3-9099-C40C66FF867C}">
              <a14:compatExt xmlns:a14="http://schemas.microsoft.com/office/drawing/2010/main" spid="_x0000_s40961"/>
            </a:ext>
            <a:ext uri="{FF2B5EF4-FFF2-40B4-BE49-F238E27FC236}">
              <a16:creationId xmlns:a16="http://schemas.microsoft.com/office/drawing/2014/main" id="{00000000-0008-0000-2400-000001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552450</xdr:colOff>
      <xdr:row>0</xdr:row>
      <xdr:rowOff>38100</xdr:rowOff>
    </xdr:from>
    <xdr:to>
      <xdr:col>12</xdr:col>
      <xdr:colOff>371475</xdr:colOff>
      <xdr:row>4</xdr:row>
      <xdr:rowOff>9525</xdr:rowOff>
    </xdr:to>
    <xdr:sp macro="" textlink="">
      <xdr:nvSpPr>
        <xdr:cNvPr id="40962" name="CommandButton1" hidden="1">
          <a:extLst>
            <a:ext uri="{63B3BB69-23CF-44E3-9099-C40C66FF867C}">
              <a14:compatExt xmlns:a14="http://schemas.microsoft.com/office/drawing/2010/main" spid="_x0000_s40962"/>
            </a:ext>
            <a:ext uri="{FF2B5EF4-FFF2-40B4-BE49-F238E27FC236}">
              <a16:creationId xmlns:a16="http://schemas.microsoft.com/office/drawing/2014/main" id="{00000000-0008-0000-2400-000002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0</xdr:colOff>
      <xdr:row>4</xdr:row>
      <xdr:rowOff>152400</xdr:rowOff>
    </xdr:from>
    <xdr:to>
      <xdr:col>10</xdr:col>
      <xdr:colOff>1066800</xdr:colOff>
      <xdr:row>8</xdr:row>
      <xdr:rowOff>66675</xdr:rowOff>
    </xdr:to>
    <xdr:sp macro="" textlink="">
      <xdr:nvSpPr>
        <xdr:cNvPr id="40963" name="CommandButton3" hidden="1">
          <a:extLst>
            <a:ext uri="{63B3BB69-23CF-44E3-9099-C40C66FF867C}">
              <a14:compatExt xmlns:a14="http://schemas.microsoft.com/office/drawing/2010/main" spid="_x0000_s40963"/>
            </a:ext>
            <a:ext uri="{FF2B5EF4-FFF2-40B4-BE49-F238E27FC236}">
              <a16:creationId xmlns:a16="http://schemas.microsoft.com/office/drawing/2014/main" id="{00000000-0008-0000-2400-000003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11</xdr:col>
      <xdr:colOff>542925</xdr:colOff>
      <xdr:row>5</xdr:row>
      <xdr:rowOff>0</xdr:rowOff>
    </xdr:from>
    <xdr:to>
      <xdr:col>12</xdr:col>
      <xdr:colOff>371475</xdr:colOff>
      <xdr:row>8</xdr:row>
      <xdr:rowOff>76200</xdr:rowOff>
    </xdr:to>
    <xdr:sp macro="" textlink="">
      <xdr:nvSpPr>
        <xdr:cNvPr id="40964" name="CommandButton4" hidden="1">
          <a:extLst>
            <a:ext uri="{63B3BB69-23CF-44E3-9099-C40C66FF867C}">
              <a14:compatExt xmlns:a14="http://schemas.microsoft.com/office/drawing/2010/main" spid="_x0000_s40964"/>
            </a:ext>
            <a:ext uri="{FF2B5EF4-FFF2-40B4-BE49-F238E27FC236}">
              <a16:creationId xmlns:a16="http://schemas.microsoft.com/office/drawing/2014/main" id="{00000000-0008-0000-2400-000004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5</xdr:row>
      <xdr:rowOff>104775</xdr:rowOff>
    </xdr:from>
    <xdr:to>
      <xdr:col>2</xdr:col>
      <xdr:colOff>847725</xdr:colOff>
      <xdr:row>8</xdr:row>
      <xdr:rowOff>104775</xdr:rowOff>
    </xdr:to>
    <xdr:pic>
      <xdr:nvPicPr>
        <xdr:cNvPr id="22860" name="Picture 1" descr="LOGO DGI">
          <a:extLst>
            <a:ext uri="{FF2B5EF4-FFF2-40B4-BE49-F238E27FC236}">
              <a16:creationId xmlns:a16="http://schemas.microsoft.com/office/drawing/2014/main" id="{00000000-0008-0000-2500-00004C5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914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</xdr:row>
      <xdr:rowOff>28575</xdr:rowOff>
    </xdr:from>
    <xdr:to>
      <xdr:col>9</xdr:col>
      <xdr:colOff>123825</xdr:colOff>
      <xdr:row>4</xdr:row>
      <xdr:rowOff>76200</xdr:rowOff>
    </xdr:to>
    <xdr:sp macro="" textlink="">
      <xdr:nvSpPr>
        <xdr:cNvPr id="22535" name="CommandButton1" hidden="1">
          <a:extLst>
            <a:ext uri="{63B3BB69-23CF-44E3-9099-C40C66FF867C}">
              <a14:compatExt xmlns:a14="http://schemas.microsoft.com/office/drawing/2010/main" spid="_x0000_s22535"/>
            </a:ext>
            <a:ext uri="{FF2B5EF4-FFF2-40B4-BE49-F238E27FC236}">
              <a16:creationId xmlns:a16="http://schemas.microsoft.com/office/drawing/2014/main" id="{00000000-0008-0000-2500-0000075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0</xdr:colOff>
      <xdr:row>4</xdr:row>
      <xdr:rowOff>95250</xdr:rowOff>
    </xdr:from>
    <xdr:to>
      <xdr:col>9</xdr:col>
      <xdr:colOff>638175</xdr:colOff>
      <xdr:row>7</xdr:row>
      <xdr:rowOff>0</xdr:rowOff>
    </xdr:to>
    <xdr:sp macro="" textlink="">
      <xdr:nvSpPr>
        <xdr:cNvPr id="22536" name="CommandButton2" hidden="1">
          <a:extLst>
            <a:ext uri="{63B3BB69-23CF-44E3-9099-C40C66FF867C}">
              <a14:compatExt xmlns:a14="http://schemas.microsoft.com/office/drawing/2010/main" spid="_x0000_s22536"/>
            </a:ext>
            <a:ext uri="{FF2B5EF4-FFF2-40B4-BE49-F238E27FC236}">
              <a16:creationId xmlns:a16="http://schemas.microsoft.com/office/drawing/2014/main" id="{00000000-0008-0000-2500-0000085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457200</xdr:colOff>
      <xdr:row>22</xdr:row>
      <xdr:rowOff>104775</xdr:rowOff>
    </xdr:from>
    <xdr:to>
      <xdr:col>2</xdr:col>
      <xdr:colOff>847725</xdr:colOff>
      <xdr:row>25</xdr:row>
      <xdr:rowOff>104775</xdr:rowOff>
    </xdr:to>
    <xdr:pic>
      <xdr:nvPicPr>
        <xdr:cNvPr id="22861" name="Picture 9" descr="LOGO DGI">
          <a:extLst>
            <a:ext uri="{FF2B5EF4-FFF2-40B4-BE49-F238E27FC236}">
              <a16:creationId xmlns:a16="http://schemas.microsoft.com/office/drawing/2014/main" id="{00000000-0008-0000-2500-00004D5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3762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39</xdr:row>
      <xdr:rowOff>104775</xdr:rowOff>
    </xdr:from>
    <xdr:to>
      <xdr:col>2</xdr:col>
      <xdr:colOff>847725</xdr:colOff>
      <xdr:row>42</xdr:row>
      <xdr:rowOff>104775</xdr:rowOff>
    </xdr:to>
    <xdr:pic>
      <xdr:nvPicPr>
        <xdr:cNvPr id="22862" name="Picture 10" descr="LOGO DGI">
          <a:extLst>
            <a:ext uri="{FF2B5EF4-FFF2-40B4-BE49-F238E27FC236}">
              <a16:creationId xmlns:a16="http://schemas.microsoft.com/office/drawing/2014/main" id="{00000000-0008-0000-2500-00004E5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6610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56</xdr:row>
      <xdr:rowOff>104775</xdr:rowOff>
    </xdr:from>
    <xdr:to>
      <xdr:col>2</xdr:col>
      <xdr:colOff>847725</xdr:colOff>
      <xdr:row>59</xdr:row>
      <xdr:rowOff>104775</xdr:rowOff>
    </xdr:to>
    <xdr:pic>
      <xdr:nvPicPr>
        <xdr:cNvPr id="22863" name="Picture 11" descr="LOGO DGI">
          <a:extLst>
            <a:ext uri="{FF2B5EF4-FFF2-40B4-BE49-F238E27FC236}">
              <a16:creationId xmlns:a16="http://schemas.microsoft.com/office/drawing/2014/main" id="{00000000-0008-0000-2500-00004F5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9458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73</xdr:row>
      <xdr:rowOff>104775</xdr:rowOff>
    </xdr:from>
    <xdr:to>
      <xdr:col>2</xdr:col>
      <xdr:colOff>847725</xdr:colOff>
      <xdr:row>76</xdr:row>
      <xdr:rowOff>104775</xdr:rowOff>
    </xdr:to>
    <xdr:pic>
      <xdr:nvPicPr>
        <xdr:cNvPr id="22864" name="Picture 12" descr="LOGO DGI">
          <a:extLst>
            <a:ext uri="{FF2B5EF4-FFF2-40B4-BE49-F238E27FC236}">
              <a16:creationId xmlns:a16="http://schemas.microsoft.com/office/drawing/2014/main" id="{00000000-0008-0000-2500-0000505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2306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90</xdr:row>
      <xdr:rowOff>104775</xdr:rowOff>
    </xdr:from>
    <xdr:to>
      <xdr:col>2</xdr:col>
      <xdr:colOff>847725</xdr:colOff>
      <xdr:row>93</xdr:row>
      <xdr:rowOff>104775</xdr:rowOff>
    </xdr:to>
    <xdr:pic>
      <xdr:nvPicPr>
        <xdr:cNvPr id="22865" name="Picture 13" descr="LOGO DGI">
          <a:extLst>
            <a:ext uri="{FF2B5EF4-FFF2-40B4-BE49-F238E27FC236}">
              <a16:creationId xmlns:a16="http://schemas.microsoft.com/office/drawing/2014/main" id="{00000000-0008-0000-2500-0000515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5154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142875</xdr:rowOff>
    </xdr:from>
    <xdr:to>
      <xdr:col>10</xdr:col>
      <xdr:colOff>323850</xdr:colOff>
      <xdr:row>4</xdr:row>
      <xdr:rowOff>95250</xdr:rowOff>
    </xdr:to>
    <xdr:sp macro="" textlink="">
      <xdr:nvSpPr>
        <xdr:cNvPr id="3076" name="CommandButton2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2600-000004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571500</xdr:colOff>
      <xdr:row>0</xdr:row>
      <xdr:rowOff>133350</xdr:rowOff>
    </xdr:from>
    <xdr:to>
      <xdr:col>11</xdr:col>
      <xdr:colOff>533400</xdr:colOff>
      <xdr:row>4</xdr:row>
      <xdr:rowOff>114300</xdr:rowOff>
    </xdr:to>
    <xdr:sp macro="" textlink="">
      <xdr:nvSpPr>
        <xdr:cNvPr id="3077" name="CommandButton1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2600-000005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9</xdr:col>
      <xdr:colOff>0</xdr:colOff>
      <xdr:row>5</xdr:row>
      <xdr:rowOff>57150</xdr:rowOff>
    </xdr:from>
    <xdr:to>
      <xdr:col>10</xdr:col>
      <xdr:colOff>342900</xdr:colOff>
      <xdr:row>8</xdr:row>
      <xdr:rowOff>152400</xdr:rowOff>
    </xdr:to>
    <xdr:sp macro="" textlink="">
      <xdr:nvSpPr>
        <xdr:cNvPr id="3078" name="CommandButton3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2600-000006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571500</xdr:colOff>
      <xdr:row>5</xdr:row>
      <xdr:rowOff>38100</xdr:rowOff>
    </xdr:from>
    <xdr:to>
      <xdr:col>11</xdr:col>
      <xdr:colOff>542925</xdr:colOff>
      <xdr:row>8</xdr:row>
      <xdr:rowOff>114300</xdr:rowOff>
    </xdr:to>
    <xdr:sp macro="" textlink="">
      <xdr:nvSpPr>
        <xdr:cNvPr id="3079" name="CommandButton4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2600-000007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0</xdr:col>
      <xdr:colOff>552450</xdr:colOff>
      <xdr:row>3</xdr:row>
      <xdr:rowOff>114300</xdr:rowOff>
    </xdr:to>
    <xdr:pic>
      <xdr:nvPicPr>
        <xdr:cNvPr id="214544" name="Picture 1" descr="LOGO DGI">
          <a:extLst>
            <a:ext uri="{FF2B5EF4-FFF2-40B4-BE49-F238E27FC236}">
              <a16:creationId xmlns:a16="http://schemas.microsoft.com/office/drawing/2014/main" id="{00000000-0008-0000-2700-00001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4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</xdr:row>
      <xdr:rowOff>114300</xdr:rowOff>
    </xdr:from>
    <xdr:to>
      <xdr:col>0</xdr:col>
      <xdr:colOff>552450</xdr:colOff>
      <xdr:row>20</xdr:row>
      <xdr:rowOff>114300</xdr:rowOff>
    </xdr:to>
    <xdr:pic>
      <xdr:nvPicPr>
        <xdr:cNvPr id="214545" name="Picture 2" descr="LOGO DGI">
          <a:extLst>
            <a:ext uri="{FF2B5EF4-FFF2-40B4-BE49-F238E27FC236}">
              <a16:creationId xmlns:a16="http://schemas.microsoft.com/office/drawing/2014/main" id="{00000000-0008-0000-2700-00001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943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34</xdr:row>
      <xdr:rowOff>114300</xdr:rowOff>
    </xdr:from>
    <xdr:to>
      <xdr:col>0</xdr:col>
      <xdr:colOff>552450</xdr:colOff>
      <xdr:row>37</xdr:row>
      <xdr:rowOff>114300</xdr:rowOff>
    </xdr:to>
    <xdr:pic>
      <xdr:nvPicPr>
        <xdr:cNvPr id="214546" name="Picture 3" descr="LOGO DGI">
          <a:extLst>
            <a:ext uri="{FF2B5EF4-FFF2-40B4-BE49-F238E27FC236}">
              <a16:creationId xmlns:a16="http://schemas.microsoft.com/office/drawing/2014/main" id="{00000000-0008-0000-2700-00001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772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51</xdr:row>
      <xdr:rowOff>114300</xdr:rowOff>
    </xdr:from>
    <xdr:to>
      <xdr:col>0</xdr:col>
      <xdr:colOff>552450</xdr:colOff>
      <xdr:row>54</xdr:row>
      <xdr:rowOff>114300</xdr:rowOff>
    </xdr:to>
    <xdr:pic>
      <xdr:nvPicPr>
        <xdr:cNvPr id="214547" name="Picture 4" descr="LOGO DGI">
          <a:extLst>
            <a:ext uri="{FF2B5EF4-FFF2-40B4-BE49-F238E27FC236}">
              <a16:creationId xmlns:a16="http://schemas.microsoft.com/office/drawing/2014/main" id="{00000000-0008-0000-2700-00001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601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68</xdr:row>
      <xdr:rowOff>114300</xdr:rowOff>
    </xdr:from>
    <xdr:to>
      <xdr:col>0</xdr:col>
      <xdr:colOff>552450</xdr:colOff>
      <xdr:row>71</xdr:row>
      <xdr:rowOff>114300</xdr:rowOff>
    </xdr:to>
    <xdr:pic>
      <xdr:nvPicPr>
        <xdr:cNvPr id="214548" name="Picture 5" descr="LOGO DGI">
          <a:extLst>
            <a:ext uri="{FF2B5EF4-FFF2-40B4-BE49-F238E27FC236}">
              <a16:creationId xmlns:a16="http://schemas.microsoft.com/office/drawing/2014/main" id="{00000000-0008-0000-2700-00001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4300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85</xdr:row>
      <xdr:rowOff>114300</xdr:rowOff>
    </xdr:from>
    <xdr:to>
      <xdr:col>0</xdr:col>
      <xdr:colOff>552450</xdr:colOff>
      <xdr:row>88</xdr:row>
      <xdr:rowOff>114300</xdr:rowOff>
    </xdr:to>
    <xdr:pic>
      <xdr:nvPicPr>
        <xdr:cNvPr id="214549" name="Picture 6" descr="LOGO DGI">
          <a:extLst>
            <a:ext uri="{FF2B5EF4-FFF2-40B4-BE49-F238E27FC236}">
              <a16:creationId xmlns:a16="http://schemas.microsoft.com/office/drawing/2014/main" id="{00000000-0008-0000-2700-00001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258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102</xdr:row>
      <xdr:rowOff>114300</xdr:rowOff>
    </xdr:from>
    <xdr:to>
      <xdr:col>0</xdr:col>
      <xdr:colOff>552450</xdr:colOff>
      <xdr:row>105</xdr:row>
      <xdr:rowOff>114300</xdr:rowOff>
    </xdr:to>
    <xdr:pic>
      <xdr:nvPicPr>
        <xdr:cNvPr id="214550" name="Picture 7" descr="LOGO DGI">
          <a:extLst>
            <a:ext uri="{FF2B5EF4-FFF2-40B4-BE49-F238E27FC236}">
              <a16:creationId xmlns:a16="http://schemas.microsoft.com/office/drawing/2014/main" id="{00000000-0008-0000-2700-00001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119</xdr:row>
      <xdr:rowOff>114300</xdr:rowOff>
    </xdr:from>
    <xdr:to>
      <xdr:col>0</xdr:col>
      <xdr:colOff>552450</xdr:colOff>
      <xdr:row>122</xdr:row>
      <xdr:rowOff>114300</xdr:rowOff>
    </xdr:to>
    <xdr:pic>
      <xdr:nvPicPr>
        <xdr:cNvPr id="214551" name="Picture 8" descr="LOGO DGI">
          <a:extLst>
            <a:ext uri="{FF2B5EF4-FFF2-40B4-BE49-F238E27FC236}">
              <a16:creationId xmlns:a16="http://schemas.microsoft.com/office/drawing/2014/main" id="{00000000-0008-0000-2700-00001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916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136</xdr:row>
      <xdr:rowOff>114300</xdr:rowOff>
    </xdr:from>
    <xdr:to>
      <xdr:col>0</xdr:col>
      <xdr:colOff>552450</xdr:colOff>
      <xdr:row>139</xdr:row>
      <xdr:rowOff>114300</xdr:rowOff>
    </xdr:to>
    <xdr:pic>
      <xdr:nvPicPr>
        <xdr:cNvPr id="214552" name="Picture 9" descr="LOGO DGI">
          <a:extLst>
            <a:ext uri="{FF2B5EF4-FFF2-40B4-BE49-F238E27FC236}">
              <a16:creationId xmlns:a16="http://schemas.microsoft.com/office/drawing/2014/main" id="{00000000-0008-0000-2700-00001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274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153</xdr:row>
      <xdr:rowOff>114300</xdr:rowOff>
    </xdr:from>
    <xdr:to>
      <xdr:col>0</xdr:col>
      <xdr:colOff>552450</xdr:colOff>
      <xdr:row>156</xdr:row>
      <xdr:rowOff>114300</xdr:rowOff>
    </xdr:to>
    <xdr:pic>
      <xdr:nvPicPr>
        <xdr:cNvPr id="214553" name="Picture 10" descr="LOGO DGI">
          <a:extLst>
            <a:ext uri="{FF2B5EF4-FFF2-40B4-BE49-F238E27FC236}">
              <a16:creationId xmlns:a16="http://schemas.microsoft.com/office/drawing/2014/main" id="{00000000-0008-0000-2700-00001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574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170</xdr:row>
      <xdr:rowOff>114300</xdr:rowOff>
    </xdr:from>
    <xdr:to>
      <xdr:col>0</xdr:col>
      <xdr:colOff>552450</xdr:colOff>
      <xdr:row>173</xdr:row>
      <xdr:rowOff>114300</xdr:rowOff>
    </xdr:to>
    <xdr:pic>
      <xdr:nvPicPr>
        <xdr:cNvPr id="214554" name="Picture 11" descr="LOGO DGI">
          <a:extLst>
            <a:ext uri="{FF2B5EF4-FFF2-40B4-BE49-F238E27FC236}">
              <a16:creationId xmlns:a16="http://schemas.microsoft.com/office/drawing/2014/main" id="{00000000-0008-0000-2700-00001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840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187</xdr:row>
      <xdr:rowOff>114300</xdr:rowOff>
    </xdr:from>
    <xdr:to>
      <xdr:col>0</xdr:col>
      <xdr:colOff>552450</xdr:colOff>
      <xdr:row>190</xdr:row>
      <xdr:rowOff>114300</xdr:rowOff>
    </xdr:to>
    <xdr:pic>
      <xdr:nvPicPr>
        <xdr:cNvPr id="214555" name="Picture 12" descr="LOGO DGI">
          <a:extLst>
            <a:ext uri="{FF2B5EF4-FFF2-40B4-BE49-F238E27FC236}">
              <a16:creationId xmlns:a16="http://schemas.microsoft.com/office/drawing/2014/main" id="{00000000-0008-0000-2700-00001B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1232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204</xdr:row>
      <xdr:rowOff>114300</xdr:rowOff>
    </xdr:from>
    <xdr:to>
      <xdr:col>0</xdr:col>
      <xdr:colOff>552450</xdr:colOff>
      <xdr:row>207</xdr:row>
      <xdr:rowOff>114300</xdr:rowOff>
    </xdr:to>
    <xdr:pic>
      <xdr:nvPicPr>
        <xdr:cNvPr id="214556" name="Picture 13" descr="LOGO DGI">
          <a:extLst>
            <a:ext uri="{FF2B5EF4-FFF2-40B4-BE49-F238E27FC236}">
              <a16:creationId xmlns:a16="http://schemas.microsoft.com/office/drawing/2014/main" id="{00000000-0008-0000-2700-00001C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4061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221</xdr:row>
      <xdr:rowOff>114300</xdr:rowOff>
    </xdr:from>
    <xdr:to>
      <xdr:col>0</xdr:col>
      <xdr:colOff>552450</xdr:colOff>
      <xdr:row>224</xdr:row>
      <xdr:rowOff>114300</xdr:rowOff>
    </xdr:to>
    <xdr:pic>
      <xdr:nvPicPr>
        <xdr:cNvPr id="214557" name="Picture 14" descr="LOGO DGI">
          <a:extLst>
            <a:ext uri="{FF2B5EF4-FFF2-40B4-BE49-F238E27FC236}">
              <a16:creationId xmlns:a16="http://schemas.microsoft.com/office/drawing/2014/main" id="{00000000-0008-0000-2700-00001D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6890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238</xdr:row>
      <xdr:rowOff>114300</xdr:rowOff>
    </xdr:from>
    <xdr:to>
      <xdr:col>0</xdr:col>
      <xdr:colOff>552450</xdr:colOff>
      <xdr:row>241</xdr:row>
      <xdr:rowOff>114300</xdr:rowOff>
    </xdr:to>
    <xdr:pic>
      <xdr:nvPicPr>
        <xdr:cNvPr id="214558" name="Picture 15" descr="LOGO DGI">
          <a:extLst>
            <a:ext uri="{FF2B5EF4-FFF2-40B4-BE49-F238E27FC236}">
              <a16:creationId xmlns:a16="http://schemas.microsoft.com/office/drawing/2014/main" id="{00000000-0008-0000-2700-00001E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9719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255</xdr:row>
      <xdr:rowOff>114300</xdr:rowOff>
    </xdr:from>
    <xdr:to>
      <xdr:col>0</xdr:col>
      <xdr:colOff>552450</xdr:colOff>
      <xdr:row>258</xdr:row>
      <xdr:rowOff>114300</xdr:rowOff>
    </xdr:to>
    <xdr:pic>
      <xdr:nvPicPr>
        <xdr:cNvPr id="214559" name="Picture 16" descr="LOGO DGI">
          <a:extLst>
            <a:ext uri="{FF2B5EF4-FFF2-40B4-BE49-F238E27FC236}">
              <a16:creationId xmlns:a16="http://schemas.microsoft.com/office/drawing/2014/main" id="{00000000-0008-0000-2700-00001F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2548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272</xdr:row>
      <xdr:rowOff>114300</xdr:rowOff>
    </xdr:from>
    <xdr:to>
      <xdr:col>0</xdr:col>
      <xdr:colOff>552450</xdr:colOff>
      <xdr:row>275</xdr:row>
      <xdr:rowOff>114300</xdr:rowOff>
    </xdr:to>
    <xdr:pic>
      <xdr:nvPicPr>
        <xdr:cNvPr id="214560" name="Picture 17" descr="LOGO DGI">
          <a:extLst>
            <a:ext uri="{FF2B5EF4-FFF2-40B4-BE49-F238E27FC236}">
              <a16:creationId xmlns:a16="http://schemas.microsoft.com/office/drawing/2014/main" id="{00000000-0008-0000-2700-00002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5377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289</xdr:row>
      <xdr:rowOff>114300</xdr:rowOff>
    </xdr:from>
    <xdr:to>
      <xdr:col>0</xdr:col>
      <xdr:colOff>552450</xdr:colOff>
      <xdr:row>292</xdr:row>
      <xdr:rowOff>114300</xdr:rowOff>
    </xdr:to>
    <xdr:pic>
      <xdr:nvPicPr>
        <xdr:cNvPr id="214561" name="Picture 18" descr="LOGO DGI">
          <a:extLst>
            <a:ext uri="{FF2B5EF4-FFF2-40B4-BE49-F238E27FC236}">
              <a16:creationId xmlns:a16="http://schemas.microsoft.com/office/drawing/2014/main" id="{00000000-0008-0000-2700-00002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82060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306</xdr:row>
      <xdr:rowOff>114300</xdr:rowOff>
    </xdr:from>
    <xdr:to>
      <xdr:col>0</xdr:col>
      <xdr:colOff>552450</xdr:colOff>
      <xdr:row>309</xdr:row>
      <xdr:rowOff>114300</xdr:rowOff>
    </xdr:to>
    <xdr:pic>
      <xdr:nvPicPr>
        <xdr:cNvPr id="214562" name="Picture 19" descr="LOGO DGI">
          <a:extLst>
            <a:ext uri="{FF2B5EF4-FFF2-40B4-BE49-F238E27FC236}">
              <a16:creationId xmlns:a16="http://schemas.microsoft.com/office/drawing/2014/main" id="{00000000-0008-0000-2700-00002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1034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323</xdr:row>
      <xdr:rowOff>114300</xdr:rowOff>
    </xdr:from>
    <xdr:to>
      <xdr:col>0</xdr:col>
      <xdr:colOff>552450</xdr:colOff>
      <xdr:row>326</xdr:row>
      <xdr:rowOff>114300</xdr:rowOff>
    </xdr:to>
    <xdr:pic>
      <xdr:nvPicPr>
        <xdr:cNvPr id="214563" name="Picture 20" descr="LOGO DGI">
          <a:extLst>
            <a:ext uri="{FF2B5EF4-FFF2-40B4-BE49-F238E27FC236}">
              <a16:creationId xmlns:a16="http://schemas.microsoft.com/office/drawing/2014/main" id="{00000000-0008-0000-2700-00002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3863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340</xdr:row>
      <xdr:rowOff>114300</xdr:rowOff>
    </xdr:from>
    <xdr:to>
      <xdr:col>0</xdr:col>
      <xdr:colOff>552450</xdr:colOff>
      <xdr:row>343</xdr:row>
      <xdr:rowOff>114300</xdr:rowOff>
    </xdr:to>
    <xdr:pic>
      <xdr:nvPicPr>
        <xdr:cNvPr id="214564" name="Picture 21" descr="LOGO DGI">
          <a:extLst>
            <a:ext uri="{FF2B5EF4-FFF2-40B4-BE49-F238E27FC236}">
              <a16:creationId xmlns:a16="http://schemas.microsoft.com/office/drawing/2014/main" id="{00000000-0008-0000-2700-00002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6692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357</xdr:row>
      <xdr:rowOff>114300</xdr:rowOff>
    </xdr:from>
    <xdr:to>
      <xdr:col>0</xdr:col>
      <xdr:colOff>552450</xdr:colOff>
      <xdr:row>360</xdr:row>
      <xdr:rowOff>114300</xdr:rowOff>
    </xdr:to>
    <xdr:pic>
      <xdr:nvPicPr>
        <xdr:cNvPr id="214565" name="Picture 22" descr="LOGO DGI">
          <a:extLst>
            <a:ext uri="{FF2B5EF4-FFF2-40B4-BE49-F238E27FC236}">
              <a16:creationId xmlns:a16="http://schemas.microsoft.com/office/drawing/2014/main" id="{00000000-0008-0000-2700-00002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9521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374</xdr:row>
      <xdr:rowOff>114300</xdr:rowOff>
    </xdr:from>
    <xdr:to>
      <xdr:col>0</xdr:col>
      <xdr:colOff>552450</xdr:colOff>
      <xdr:row>377</xdr:row>
      <xdr:rowOff>114300</xdr:rowOff>
    </xdr:to>
    <xdr:pic>
      <xdr:nvPicPr>
        <xdr:cNvPr id="214566" name="Picture 23" descr="LOGO DGI">
          <a:extLst>
            <a:ext uri="{FF2B5EF4-FFF2-40B4-BE49-F238E27FC236}">
              <a16:creationId xmlns:a16="http://schemas.microsoft.com/office/drawing/2014/main" id="{00000000-0008-0000-2700-00002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62350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391</xdr:row>
      <xdr:rowOff>114300</xdr:rowOff>
    </xdr:from>
    <xdr:to>
      <xdr:col>0</xdr:col>
      <xdr:colOff>552450</xdr:colOff>
      <xdr:row>394</xdr:row>
      <xdr:rowOff>114300</xdr:rowOff>
    </xdr:to>
    <xdr:pic>
      <xdr:nvPicPr>
        <xdr:cNvPr id="214567" name="Picture 24" descr="LOGO DGI">
          <a:extLst>
            <a:ext uri="{FF2B5EF4-FFF2-40B4-BE49-F238E27FC236}">
              <a16:creationId xmlns:a16="http://schemas.microsoft.com/office/drawing/2014/main" id="{00000000-0008-0000-2700-00002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65179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408</xdr:row>
      <xdr:rowOff>114300</xdr:rowOff>
    </xdr:from>
    <xdr:to>
      <xdr:col>0</xdr:col>
      <xdr:colOff>552450</xdr:colOff>
      <xdr:row>411</xdr:row>
      <xdr:rowOff>114300</xdr:rowOff>
    </xdr:to>
    <xdr:pic>
      <xdr:nvPicPr>
        <xdr:cNvPr id="214568" name="Picture 25" descr="LOGO DGI">
          <a:extLst>
            <a:ext uri="{FF2B5EF4-FFF2-40B4-BE49-F238E27FC236}">
              <a16:creationId xmlns:a16="http://schemas.microsoft.com/office/drawing/2014/main" id="{00000000-0008-0000-2700-00002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68008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425</xdr:row>
      <xdr:rowOff>114300</xdr:rowOff>
    </xdr:from>
    <xdr:to>
      <xdr:col>0</xdr:col>
      <xdr:colOff>552450</xdr:colOff>
      <xdr:row>428</xdr:row>
      <xdr:rowOff>114300</xdr:rowOff>
    </xdr:to>
    <xdr:pic>
      <xdr:nvPicPr>
        <xdr:cNvPr id="214569" name="Picture 26" descr="LOGO DGI">
          <a:extLst>
            <a:ext uri="{FF2B5EF4-FFF2-40B4-BE49-F238E27FC236}">
              <a16:creationId xmlns:a16="http://schemas.microsoft.com/office/drawing/2014/main" id="{00000000-0008-0000-2700-00002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08374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442</xdr:row>
      <xdr:rowOff>114300</xdr:rowOff>
    </xdr:from>
    <xdr:to>
      <xdr:col>0</xdr:col>
      <xdr:colOff>552450</xdr:colOff>
      <xdr:row>445</xdr:row>
      <xdr:rowOff>114300</xdr:rowOff>
    </xdr:to>
    <xdr:pic>
      <xdr:nvPicPr>
        <xdr:cNvPr id="214570" name="Picture 39" descr="LOGO DGI">
          <a:extLst>
            <a:ext uri="{FF2B5EF4-FFF2-40B4-BE49-F238E27FC236}">
              <a16:creationId xmlns:a16="http://schemas.microsoft.com/office/drawing/2014/main" id="{00000000-0008-0000-2700-00002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3666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459</xdr:row>
      <xdr:rowOff>114300</xdr:rowOff>
    </xdr:from>
    <xdr:to>
      <xdr:col>0</xdr:col>
      <xdr:colOff>552450</xdr:colOff>
      <xdr:row>462</xdr:row>
      <xdr:rowOff>114300</xdr:rowOff>
    </xdr:to>
    <xdr:pic>
      <xdr:nvPicPr>
        <xdr:cNvPr id="214571" name="Picture 40" descr="LOGO DGI">
          <a:extLst>
            <a:ext uri="{FF2B5EF4-FFF2-40B4-BE49-F238E27FC236}">
              <a16:creationId xmlns:a16="http://schemas.microsoft.com/office/drawing/2014/main" id="{00000000-0008-0000-2700-00002B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6495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476</xdr:row>
      <xdr:rowOff>114300</xdr:rowOff>
    </xdr:from>
    <xdr:to>
      <xdr:col>0</xdr:col>
      <xdr:colOff>552450</xdr:colOff>
      <xdr:row>479</xdr:row>
      <xdr:rowOff>114300</xdr:rowOff>
    </xdr:to>
    <xdr:pic>
      <xdr:nvPicPr>
        <xdr:cNvPr id="214572" name="Picture 41" descr="LOGO DGI">
          <a:extLst>
            <a:ext uri="{FF2B5EF4-FFF2-40B4-BE49-F238E27FC236}">
              <a16:creationId xmlns:a16="http://schemas.microsoft.com/office/drawing/2014/main" id="{00000000-0008-0000-2700-00002C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9324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493</xdr:row>
      <xdr:rowOff>114300</xdr:rowOff>
    </xdr:from>
    <xdr:to>
      <xdr:col>0</xdr:col>
      <xdr:colOff>552450</xdr:colOff>
      <xdr:row>496</xdr:row>
      <xdr:rowOff>114300</xdr:rowOff>
    </xdr:to>
    <xdr:pic>
      <xdr:nvPicPr>
        <xdr:cNvPr id="214573" name="Picture 42" descr="LOGO DGI">
          <a:extLst>
            <a:ext uri="{FF2B5EF4-FFF2-40B4-BE49-F238E27FC236}">
              <a16:creationId xmlns:a16="http://schemas.microsoft.com/office/drawing/2014/main" id="{00000000-0008-0000-2700-00002D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21531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510</xdr:row>
      <xdr:rowOff>114300</xdr:rowOff>
    </xdr:from>
    <xdr:to>
      <xdr:col>0</xdr:col>
      <xdr:colOff>552450</xdr:colOff>
      <xdr:row>513</xdr:row>
      <xdr:rowOff>114300</xdr:rowOff>
    </xdr:to>
    <xdr:pic>
      <xdr:nvPicPr>
        <xdr:cNvPr id="214574" name="Picture 43" descr="LOGO DGI">
          <a:extLst>
            <a:ext uri="{FF2B5EF4-FFF2-40B4-BE49-F238E27FC236}">
              <a16:creationId xmlns:a16="http://schemas.microsoft.com/office/drawing/2014/main" id="{00000000-0008-0000-2700-00002E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49820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527</xdr:row>
      <xdr:rowOff>114300</xdr:rowOff>
    </xdr:from>
    <xdr:to>
      <xdr:col>0</xdr:col>
      <xdr:colOff>552450</xdr:colOff>
      <xdr:row>530</xdr:row>
      <xdr:rowOff>114300</xdr:rowOff>
    </xdr:to>
    <xdr:pic>
      <xdr:nvPicPr>
        <xdr:cNvPr id="214575" name="Picture 44" descr="LOGO DGI">
          <a:extLst>
            <a:ext uri="{FF2B5EF4-FFF2-40B4-BE49-F238E27FC236}">
              <a16:creationId xmlns:a16="http://schemas.microsoft.com/office/drawing/2014/main" id="{00000000-0008-0000-2700-00002F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7810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544</xdr:row>
      <xdr:rowOff>114300</xdr:rowOff>
    </xdr:from>
    <xdr:to>
      <xdr:col>0</xdr:col>
      <xdr:colOff>552450</xdr:colOff>
      <xdr:row>547</xdr:row>
      <xdr:rowOff>114300</xdr:rowOff>
    </xdr:to>
    <xdr:pic>
      <xdr:nvPicPr>
        <xdr:cNvPr id="214576" name="Picture 45" descr="LOGO DGI">
          <a:extLst>
            <a:ext uri="{FF2B5EF4-FFF2-40B4-BE49-F238E27FC236}">
              <a16:creationId xmlns:a16="http://schemas.microsoft.com/office/drawing/2014/main" id="{00000000-0008-0000-2700-00003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0639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561</xdr:row>
      <xdr:rowOff>114300</xdr:rowOff>
    </xdr:from>
    <xdr:to>
      <xdr:col>0</xdr:col>
      <xdr:colOff>552450</xdr:colOff>
      <xdr:row>564</xdr:row>
      <xdr:rowOff>114300</xdr:rowOff>
    </xdr:to>
    <xdr:pic>
      <xdr:nvPicPr>
        <xdr:cNvPr id="214577" name="Picture 46" descr="LOGO DGI">
          <a:extLst>
            <a:ext uri="{FF2B5EF4-FFF2-40B4-BE49-F238E27FC236}">
              <a16:creationId xmlns:a16="http://schemas.microsoft.com/office/drawing/2014/main" id="{00000000-0008-0000-2700-00003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3468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578</xdr:row>
      <xdr:rowOff>114300</xdr:rowOff>
    </xdr:from>
    <xdr:to>
      <xdr:col>0</xdr:col>
      <xdr:colOff>552450</xdr:colOff>
      <xdr:row>581</xdr:row>
      <xdr:rowOff>114300</xdr:rowOff>
    </xdr:to>
    <xdr:pic>
      <xdr:nvPicPr>
        <xdr:cNvPr id="214578" name="Picture 47" descr="LOGO DGI">
          <a:extLst>
            <a:ext uri="{FF2B5EF4-FFF2-40B4-BE49-F238E27FC236}">
              <a16:creationId xmlns:a16="http://schemas.microsoft.com/office/drawing/2014/main" id="{00000000-0008-0000-2700-00003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6297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595</xdr:row>
      <xdr:rowOff>114300</xdr:rowOff>
    </xdr:from>
    <xdr:to>
      <xdr:col>0</xdr:col>
      <xdr:colOff>552450</xdr:colOff>
      <xdr:row>598</xdr:row>
      <xdr:rowOff>114300</xdr:rowOff>
    </xdr:to>
    <xdr:pic>
      <xdr:nvPicPr>
        <xdr:cNvPr id="214579" name="Picture 48" descr="LOGO DGI">
          <a:extLst>
            <a:ext uri="{FF2B5EF4-FFF2-40B4-BE49-F238E27FC236}">
              <a16:creationId xmlns:a16="http://schemas.microsoft.com/office/drawing/2014/main" id="{00000000-0008-0000-2700-00003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9126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612</xdr:row>
      <xdr:rowOff>114300</xdr:rowOff>
    </xdr:from>
    <xdr:to>
      <xdr:col>0</xdr:col>
      <xdr:colOff>552450</xdr:colOff>
      <xdr:row>615</xdr:row>
      <xdr:rowOff>114300</xdr:rowOff>
    </xdr:to>
    <xdr:pic>
      <xdr:nvPicPr>
        <xdr:cNvPr id="214580" name="Picture 49" descr="LOGO DGI">
          <a:extLst>
            <a:ext uri="{FF2B5EF4-FFF2-40B4-BE49-F238E27FC236}">
              <a16:creationId xmlns:a16="http://schemas.microsoft.com/office/drawing/2014/main" id="{00000000-0008-0000-2700-00003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1955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629</xdr:row>
      <xdr:rowOff>114300</xdr:rowOff>
    </xdr:from>
    <xdr:to>
      <xdr:col>0</xdr:col>
      <xdr:colOff>552450</xdr:colOff>
      <xdr:row>632</xdr:row>
      <xdr:rowOff>114300</xdr:rowOff>
    </xdr:to>
    <xdr:pic>
      <xdr:nvPicPr>
        <xdr:cNvPr id="214581" name="Picture 50" descr="LOGO DGI">
          <a:extLst>
            <a:ext uri="{FF2B5EF4-FFF2-40B4-BE49-F238E27FC236}">
              <a16:creationId xmlns:a16="http://schemas.microsoft.com/office/drawing/2014/main" id="{00000000-0008-0000-2700-00003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4784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646</xdr:row>
      <xdr:rowOff>114300</xdr:rowOff>
    </xdr:from>
    <xdr:to>
      <xdr:col>0</xdr:col>
      <xdr:colOff>552450</xdr:colOff>
      <xdr:row>649</xdr:row>
      <xdr:rowOff>114300</xdr:rowOff>
    </xdr:to>
    <xdr:pic>
      <xdr:nvPicPr>
        <xdr:cNvPr id="214582" name="Picture 51" descr="LOGO DGI">
          <a:extLst>
            <a:ext uri="{FF2B5EF4-FFF2-40B4-BE49-F238E27FC236}">
              <a16:creationId xmlns:a16="http://schemas.microsoft.com/office/drawing/2014/main" id="{00000000-0008-0000-2700-00003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7613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663</xdr:row>
      <xdr:rowOff>114300</xdr:rowOff>
    </xdr:from>
    <xdr:to>
      <xdr:col>0</xdr:col>
      <xdr:colOff>552450</xdr:colOff>
      <xdr:row>666</xdr:row>
      <xdr:rowOff>114300</xdr:rowOff>
    </xdr:to>
    <xdr:pic>
      <xdr:nvPicPr>
        <xdr:cNvPr id="214583" name="Picture 52" descr="LOGO DGI">
          <a:extLst>
            <a:ext uri="{FF2B5EF4-FFF2-40B4-BE49-F238E27FC236}">
              <a16:creationId xmlns:a16="http://schemas.microsoft.com/office/drawing/2014/main" id="{00000000-0008-0000-2700-00003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0442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680</xdr:row>
      <xdr:rowOff>114300</xdr:rowOff>
    </xdr:from>
    <xdr:to>
      <xdr:col>0</xdr:col>
      <xdr:colOff>552450</xdr:colOff>
      <xdr:row>683</xdr:row>
      <xdr:rowOff>114300</xdr:rowOff>
    </xdr:to>
    <xdr:pic>
      <xdr:nvPicPr>
        <xdr:cNvPr id="214584" name="Picture 53" descr="LOGO DGI">
          <a:extLst>
            <a:ext uri="{FF2B5EF4-FFF2-40B4-BE49-F238E27FC236}">
              <a16:creationId xmlns:a16="http://schemas.microsoft.com/office/drawing/2014/main" id="{00000000-0008-0000-2700-00003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3271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697</xdr:row>
      <xdr:rowOff>114300</xdr:rowOff>
    </xdr:from>
    <xdr:to>
      <xdr:col>0</xdr:col>
      <xdr:colOff>552450</xdr:colOff>
      <xdr:row>700</xdr:row>
      <xdr:rowOff>114300</xdr:rowOff>
    </xdr:to>
    <xdr:pic>
      <xdr:nvPicPr>
        <xdr:cNvPr id="214585" name="Picture 54" descr="LOGO DGI">
          <a:extLst>
            <a:ext uri="{FF2B5EF4-FFF2-40B4-BE49-F238E27FC236}">
              <a16:creationId xmlns:a16="http://schemas.microsoft.com/office/drawing/2014/main" id="{00000000-0008-0000-2700-00003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6100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714</xdr:row>
      <xdr:rowOff>114300</xdr:rowOff>
    </xdr:from>
    <xdr:to>
      <xdr:col>0</xdr:col>
      <xdr:colOff>552450</xdr:colOff>
      <xdr:row>717</xdr:row>
      <xdr:rowOff>114300</xdr:rowOff>
    </xdr:to>
    <xdr:pic>
      <xdr:nvPicPr>
        <xdr:cNvPr id="214586" name="Picture 55" descr="LOGO DGI">
          <a:extLst>
            <a:ext uri="{FF2B5EF4-FFF2-40B4-BE49-F238E27FC236}">
              <a16:creationId xmlns:a16="http://schemas.microsoft.com/office/drawing/2014/main" id="{00000000-0008-0000-2700-00003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8929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731</xdr:row>
      <xdr:rowOff>114300</xdr:rowOff>
    </xdr:from>
    <xdr:to>
      <xdr:col>0</xdr:col>
      <xdr:colOff>552450</xdr:colOff>
      <xdr:row>734</xdr:row>
      <xdr:rowOff>114300</xdr:rowOff>
    </xdr:to>
    <xdr:pic>
      <xdr:nvPicPr>
        <xdr:cNvPr id="214587" name="Picture 56" descr="LOGO DGI">
          <a:extLst>
            <a:ext uri="{FF2B5EF4-FFF2-40B4-BE49-F238E27FC236}">
              <a16:creationId xmlns:a16="http://schemas.microsoft.com/office/drawing/2014/main" id="{00000000-0008-0000-2700-00003B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1758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748</xdr:row>
      <xdr:rowOff>114300</xdr:rowOff>
    </xdr:from>
    <xdr:to>
      <xdr:col>0</xdr:col>
      <xdr:colOff>552450</xdr:colOff>
      <xdr:row>751</xdr:row>
      <xdr:rowOff>114300</xdr:rowOff>
    </xdr:to>
    <xdr:pic>
      <xdr:nvPicPr>
        <xdr:cNvPr id="214588" name="Picture 57" descr="LOGO DGI">
          <a:extLst>
            <a:ext uri="{FF2B5EF4-FFF2-40B4-BE49-F238E27FC236}">
              <a16:creationId xmlns:a16="http://schemas.microsoft.com/office/drawing/2014/main" id="{00000000-0008-0000-2700-00003C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45870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765</xdr:row>
      <xdr:rowOff>114300</xdr:rowOff>
    </xdr:from>
    <xdr:to>
      <xdr:col>0</xdr:col>
      <xdr:colOff>552450</xdr:colOff>
      <xdr:row>768</xdr:row>
      <xdr:rowOff>114300</xdr:rowOff>
    </xdr:to>
    <xdr:pic>
      <xdr:nvPicPr>
        <xdr:cNvPr id="214589" name="Picture 58" descr="LOGO DGI">
          <a:extLst>
            <a:ext uri="{FF2B5EF4-FFF2-40B4-BE49-F238E27FC236}">
              <a16:creationId xmlns:a16="http://schemas.microsoft.com/office/drawing/2014/main" id="{00000000-0008-0000-2700-00003D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7415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782</xdr:row>
      <xdr:rowOff>114300</xdr:rowOff>
    </xdr:from>
    <xdr:to>
      <xdr:col>0</xdr:col>
      <xdr:colOff>552450</xdr:colOff>
      <xdr:row>785</xdr:row>
      <xdr:rowOff>114300</xdr:rowOff>
    </xdr:to>
    <xdr:pic>
      <xdr:nvPicPr>
        <xdr:cNvPr id="214590" name="Picture 59" descr="LOGO DGI">
          <a:extLst>
            <a:ext uri="{FF2B5EF4-FFF2-40B4-BE49-F238E27FC236}">
              <a16:creationId xmlns:a16="http://schemas.microsoft.com/office/drawing/2014/main" id="{00000000-0008-0000-2700-00003E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0244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799</xdr:row>
      <xdr:rowOff>114300</xdr:rowOff>
    </xdr:from>
    <xdr:to>
      <xdr:col>0</xdr:col>
      <xdr:colOff>552450</xdr:colOff>
      <xdr:row>802</xdr:row>
      <xdr:rowOff>114300</xdr:rowOff>
    </xdr:to>
    <xdr:pic>
      <xdr:nvPicPr>
        <xdr:cNvPr id="214591" name="Picture 60" descr="LOGO DGI">
          <a:extLst>
            <a:ext uri="{FF2B5EF4-FFF2-40B4-BE49-F238E27FC236}">
              <a16:creationId xmlns:a16="http://schemas.microsoft.com/office/drawing/2014/main" id="{00000000-0008-0000-2700-00003F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3073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816</xdr:row>
      <xdr:rowOff>114300</xdr:rowOff>
    </xdr:from>
    <xdr:to>
      <xdr:col>0</xdr:col>
      <xdr:colOff>552450</xdr:colOff>
      <xdr:row>819</xdr:row>
      <xdr:rowOff>114300</xdr:rowOff>
    </xdr:to>
    <xdr:pic>
      <xdr:nvPicPr>
        <xdr:cNvPr id="214592" name="Picture 61" descr="LOGO DGI">
          <a:extLst>
            <a:ext uri="{FF2B5EF4-FFF2-40B4-BE49-F238E27FC236}">
              <a16:creationId xmlns:a16="http://schemas.microsoft.com/office/drawing/2014/main" id="{00000000-0008-0000-2700-00004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5902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833</xdr:row>
      <xdr:rowOff>114300</xdr:rowOff>
    </xdr:from>
    <xdr:to>
      <xdr:col>0</xdr:col>
      <xdr:colOff>552450</xdr:colOff>
      <xdr:row>836</xdr:row>
      <xdr:rowOff>114300</xdr:rowOff>
    </xdr:to>
    <xdr:pic>
      <xdr:nvPicPr>
        <xdr:cNvPr id="214593" name="Picture 62" descr="LOGO DGI">
          <a:extLst>
            <a:ext uri="{FF2B5EF4-FFF2-40B4-BE49-F238E27FC236}">
              <a16:creationId xmlns:a16="http://schemas.microsoft.com/office/drawing/2014/main" id="{00000000-0008-0000-2700-00004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8731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850</xdr:row>
      <xdr:rowOff>114300</xdr:rowOff>
    </xdr:from>
    <xdr:to>
      <xdr:col>0</xdr:col>
      <xdr:colOff>552450</xdr:colOff>
      <xdr:row>853</xdr:row>
      <xdr:rowOff>114300</xdr:rowOff>
    </xdr:to>
    <xdr:pic>
      <xdr:nvPicPr>
        <xdr:cNvPr id="214594" name="Picture 63" descr="LOGO DGI">
          <a:extLst>
            <a:ext uri="{FF2B5EF4-FFF2-40B4-BE49-F238E27FC236}">
              <a16:creationId xmlns:a16="http://schemas.microsoft.com/office/drawing/2014/main" id="{00000000-0008-0000-2700-00004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1560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867</xdr:row>
      <xdr:rowOff>114300</xdr:rowOff>
    </xdr:from>
    <xdr:to>
      <xdr:col>0</xdr:col>
      <xdr:colOff>552450</xdr:colOff>
      <xdr:row>870</xdr:row>
      <xdr:rowOff>114300</xdr:rowOff>
    </xdr:to>
    <xdr:pic>
      <xdr:nvPicPr>
        <xdr:cNvPr id="214595" name="Picture 64" descr="LOGO DGI">
          <a:extLst>
            <a:ext uri="{FF2B5EF4-FFF2-40B4-BE49-F238E27FC236}">
              <a16:creationId xmlns:a16="http://schemas.microsoft.com/office/drawing/2014/main" id="{00000000-0008-0000-2700-00004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4389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884</xdr:row>
      <xdr:rowOff>114300</xdr:rowOff>
    </xdr:from>
    <xdr:to>
      <xdr:col>0</xdr:col>
      <xdr:colOff>552450</xdr:colOff>
      <xdr:row>887</xdr:row>
      <xdr:rowOff>114300</xdr:rowOff>
    </xdr:to>
    <xdr:pic>
      <xdr:nvPicPr>
        <xdr:cNvPr id="214596" name="Picture 65" descr="LOGO DGI">
          <a:extLst>
            <a:ext uri="{FF2B5EF4-FFF2-40B4-BE49-F238E27FC236}">
              <a16:creationId xmlns:a16="http://schemas.microsoft.com/office/drawing/2014/main" id="{00000000-0008-0000-2700-00004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7218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901</xdr:row>
      <xdr:rowOff>114300</xdr:rowOff>
    </xdr:from>
    <xdr:to>
      <xdr:col>0</xdr:col>
      <xdr:colOff>552450</xdr:colOff>
      <xdr:row>904</xdr:row>
      <xdr:rowOff>114300</xdr:rowOff>
    </xdr:to>
    <xdr:pic>
      <xdr:nvPicPr>
        <xdr:cNvPr id="214597" name="Picture 66" descr="LOGO DGI">
          <a:extLst>
            <a:ext uri="{FF2B5EF4-FFF2-40B4-BE49-F238E27FC236}">
              <a16:creationId xmlns:a16="http://schemas.microsoft.com/office/drawing/2014/main" id="{00000000-0008-0000-2700-00004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0047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918</xdr:row>
      <xdr:rowOff>114300</xdr:rowOff>
    </xdr:from>
    <xdr:to>
      <xdr:col>0</xdr:col>
      <xdr:colOff>552450</xdr:colOff>
      <xdr:row>921</xdr:row>
      <xdr:rowOff>114300</xdr:rowOff>
    </xdr:to>
    <xdr:pic>
      <xdr:nvPicPr>
        <xdr:cNvPr id="214598" name="Picture 67" descr="LOGO DGI">
          <a:extLst>
            <a:ext uri="{FF2B5EF4-FFF2-40B4-BE49-F238E27FC236}">
              <a16:creationId xmlns:a16="http://schemas.microsoft.com/office/drawing/2014/main" id="{00000000-0008-0000-2700-00004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2876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935</xdr:row>
      <xdr:rowOff>114300</xdr:rowOff>
    </xdr:from>
    <xdr:to>
      <xdr:col>0</xdr:col>
      <xdr:colOff>552450</xdr:colOff>
      <xdr:row>938</xdr:row>
      <xdr:rowOff>114300</xdr:rowOff>
    </xdr:to>
    <xdr:pic>
      <xdr:nvPicPr>
        <xdr:cNvPr id="214599" name="Picture 68" descr="LOGO DGI">
          <a:extLst>
            <a:ext uri="{FF2B5EF4-FFF2-40B4-BE49-F238E27FC236}">
              <a16:creationId xmlns:a16="http://schemas.microsoft.com/office/drawing/2014/main" id="{00000000-0008-0000-2700-00004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5705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952</xdr:row>
      <xdr:rowOff>114300</xdr:rowOff>
    </xdr:from>
    <xdr:to>
      <xdr:col>0</xdr:col>
      <xdr:colOff>552450</xdr:colOff>
      <xdr:row>955</xdr:row>
      <xdr:rowOff>114300</xdr:rowOff>
    </xdr:to>
    <xdr:pic>
      <xdr:nvPicPr>
        <xdr:cNvPr id="214600" name="Picture 69" descr="LOGO DGI">
          <a:extLst>
            <a:ext uri="{FF2B5EF4-FFF2-40B4-BE49-F238E27FC236}">
              <a16:creationId xmlns:a16="http://schemas.microsoft.com/office/drawing/2014/main" id="{00000000-0008-0000-2700-00004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8534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969</xdr:row>
      <xdr:rowOff>114300</xdr:rowOff>
    </xdr:from>
    <xdr:to>
      <xdr:col>0</xdr:col>
      <xdr:colOff>552450</xdr:colOff>
      <xdr:row>972</xdr:row>
      <xdr:rowOff>114300</xdr:rowOff>
    </xdr:to>
    <xdr:pic>
      <xdr:nvPicPr>
        <xdr:cNvPr id="214601" name="Picture 70" descr="LOGO DGI">
          <a:extLst>
            <a:ext uri="{FF2B5EF4-FFF2-40B4-BE49-F238E27FC236}">
              <a16:creationId xmlns:a16="http://schemas.microsoft.com/office/drawing/2014/main" id="{00000000-0008-0000-2700-00004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13630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986</xdr:row>
      <xdr:rowOff>114300</xdr:rowOff>
    </xdr:from>
    <xdr:to>
      <xdr:col>0</xdr:col>
      <xdr:colOff>552450</xdr:colOff>
      <xdr:row>989</xdr:row>
      <xdr:rowOff>114300</xdr:rowOff>
    </xdr:to>
    <xdr:pic>
      <xdr:nvPicPr>
        <xdr:cNvPr id="214602" name="Picture 71" descr="LOGO DGI">
          <a:extLst>
            <a:ext uri="{FF2B5EF4-FFF2-40B4-BE49-F238E27FC236}">
              <a16:creationId xmlns:a16="http://schemas.microsoft.com/office/drawing/2014/main" id="{00000000-0008-0000-2700-00004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4191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1003</xdr:row>
      <xdr:rowOff>114300</xdr:rowOff>
    </xdr:from>
    <xdr:to>
      <xdr:col>0</xdr:col>
      <xdr:colOff>552450</xdr:colOff>
      <xdr:row>1006</xdr:row>
      <xdr:rowOff>114300</xdr:rowOff>
    </xdr:to>
    <xdr:pic>
      <xdr:nvPicPr>
        <xdr:cNvPr id="214603" name="Picture 72" descr="LOGO DGI">
          <a:extLst>
            <a:ext uri="{FF2B5EF4-FFF2-40B4-BE49-F238E27FC236}">
              <a16:creationId xmlns:a16="http://schemas.microsoft.com/office/drawing/2014/main" id="{00000000-0008-0000-2700-00004B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7020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1020</xdr:row>
      <xdr:rowOff>114300</xdr:rowOff>
    </xdr:from>
    <xdr:to>
      <xdr:col>0</xdr:col>
      <xdr:colOff>552450</xdr:colOff>
      <xdr:row>1023</xdr:row>
      <xdr:rowOff>114300</xdr:rowOff>
    </xdr:to>
    <xdr:pic>
      <xdr:nvPicPr>
        <xdr:cNvPr id="214604" name="Picture 73" descr="LOGO DGI">
          <a:extLst>
            <a:ext uri="{FF2B5EF4-FFF2-40B4-BE49-F238E27FC236}">
              <a16:creationId xmlns:a16="http://schemas.microsoft.com/office/drawing/2014/main" id="{00000000-0008-0000-2700-00004C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9849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1037</xdr:row>
      <xdr:rowOff>114300</xdr:rowOff>
    </xdr:from>
    <xdr:to>
      <xdr:col>0</xdr:col>
      <xdr:colOff>552450</xdr:colOff>
      <xdr:row>1040</xdr:row>
      <xdr:rowOff>114300</xdr:rowOff>
    </xdr:to>
    <xdr:pic>
      <xdr:nvPicPr>
        <xdr:cNvPr id="214605" name="Picture 74" descr="LOGO DGI">
          <a:extLst>
            <a:ext uri="{FF2B5EF4-FFF2-40B4-BE49-F238E27FC236}">
              <a16:creationId xmlns:a16="http://schemas.microsoft.com/office/drawing/2014/main" id="{00000000-0008-0000-2700-00004D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2678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1054</xdr:row>
      <xdr:rowOff>114300</xdr:rowOff>
    </xdr:from>
    <xdr:to>
      <xdr:col>0</xdr:col>
      <xdr:colOff>552450</xdr:colOff>
      <xdr:row>1057</xdr:row>
      <xdr:rowOff>114300</xdr:rowOff>
    </xdr:to>
    <xdr:pic>
      <xdr:nvPicPr>
        <xdr:cNvPr id="214606" name="Picture 75" descr="LOGO DGI">
          <a:extLst>
            <a:ext uri="{FF2B5EF4-FFF2-40B4-BE49-F238E27FC236}">
              <a16:creationId xmlns:a16="http://schemas.microsoft.com/office/drawing/2014/main" id="{00000000-0008-0000-2700-00004E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5507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1071</xdr:row>
      <xdr:rowOff>152400</xdr:rowOff>
    </xdr:from>
    <xdr:to>
      <xdr:col>0</xdr:col>
      <xdr:colOff>533400</xdr:colOff>
      <xdr:row>1074</xdr:row>
      <xdr:rowOff>152400</xdr:rowOff>
    </xdr:to>
    <xdr:pic>
      <xdr:nvPicPr>
        <xdr:cNvPr id="214607" name="Picture 76" descr="LOGO DGI">
          <a:extLst>
            <a:ext uri="{FF2B5EF4-FFF2-40B4-BE49-F238E27FC236}">
              <a16:creationId xmlns:a16="http://schemas.microsoft.com/office/drawing/2014/main" id="{00000000-0008-0000-2700-00004F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78374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1088</xdr:row>
      <xdr:rowOff>152400</xdr:rowOff>
    </xdr:from>
    <xdr:to>
      <xdr:col>0</xdr:col>
      <xdr:colOff>533400</xdr:colOff>
      <xdr:row>1091</xdr:row>
      <xdr:rowOff>152400</xdr:rowOff>
    </xdr:to>
    <xdr:pic>
      <xdr:nvPicPr>
        <xdr:cNvPr id="214608" name="Picture 77" descr="LOGO DGI">
          <a:extLst>
            <a:ext uri="{FF2B5EF4-FFF2-40B4-BE49-F238E27FC236}">
              <a16:creationId xmlns:a16="http://schemas.microsoft.com/office/drawing/2014/main" id="{00000000-0008-0000-2700-00005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81203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1105</xdr:row>
      <xdr:rowOff>152400</xdr:rowOff>
    </xdr:from>
    <xdr:to>
      <xdr:col>0</xdr:col>
      <xdr:colOff>533400</xdr:colOff>
      <xdr:row>1108</xdr:row>
      <xdr:rowOff>152400</xdr:rowOff>
    </xdr:to>
    <xdr:pic>
      <xdr:nvPicPr>
        <xdr:cNvPr id="214609" name="Picture 78" descr="LOGO DGI">
          <a:extLst>
            <a:ext uri="{FF2B5EF4-FFF2-40B4-BE49-F238E27FC236}">
              <a16:creationId xmlns:a16="http://schemas.microsoft.com/office/drawing/2014/main" id="{00000000-0008-0000-2700-00005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84032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1122</xdr:row>
      <xdr:rowOff>152400</xdr:rowOff>
    </xdr:from>
    <xdr:to>
      <xdr:col>0</xdr:col>
      <xdr:colOff>533400</xdr:colOff>
      <xdr:row>1125</xdr:row>
      <xdr:rowOff>152400</xdr:rowOff>
    </xdr:to>
    <xdr:pic>
      <xdr:nvPicPr>
        <xdr:cNvPr id="214610" name="Picture 79" descr="LOGO DGI">
          <a:extLst>
            <a:ext uri="{FF2B5EF4-FFF2-40B4-BE49-F238E27FC236}">
              <a16:creationId xmlns:a16="http://schemas.microsoft.com/office/drawing/2014/main" id="{00000000-0008-0000-2700-00005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86861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1139</xdr:row>
      <xdr:rowOff>152400</xdr:rowOff>
    </xdr:from>
    <xdr:to>
      <xdr:col>0</xdr:col>
      <xdr:colOff>533400</xdr:colOff>
      <xdr:row>1142</xdr:row>
      <xdr:rowOff>152400</xdr:rowOff>
    </xdr:to>
    <xdr:pic>
      <xdr:nvPicPr>
        <xdr:cNvPr id="214611" name="Picture 80" descr="LOGO DGI">
          <a:extLst>
            <a:ext uri="{FF2B5EF4-FFF2-40B4-BE49-F238E27FC236}">
              <a16:creationId xmlns:a16="http://schemas.microsoft.com/office/drawing/2014/main" id="{00000000-0008-0000-2700-00005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89690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1156</xdr:row>
      <xdr:rowOff>152400</xdr:rowOff>
    </xdr:from>
    <xdr:to>
      <xdr:col>0</xdr:col>
      <xdr:colOff>533400</xdr:colOff>
      <xdr:row>1159</xdr:row>
      <xdr:rowOff>152400</xdr:rowOff>
    </xdr:to>
    <xdr:pic>
      <xdr:nvPicPr>
        <xdr:cNvPr id="214612" name="Picture 81" descr="LOGO DGI">
          <a:extLst>
            <a:ext uri="{FF2B5EF4-FFF2-40B4-BE49-F238E27FC236}">
              <a16:creationId xmlns:a16="http://schemas.microsoft.com/office/drawing/2014/main" id="{00000000-0008-0000-2700-00005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92519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1173</xdr:row>
      <xdr:rowOff>152400</xdr:rowOff>
    </xdr:from>
    <xdr:to>
      <xdr:col>0</xdr:col>
      <xdr:colOff>533400</xdr:colOff>
      <xdr:row>1176</xdr:row>
      <xdr:rowOff>152400</xdr:rowOff>
    </xdr:to>
    <xdr:pic>
      <xdr:nvPicPr>
        <xdr:cNvPr id="214613" name="Picture 82" descr="LOGO DGI">
          <a:extLst>
            <a:ext uri="{FF2B5EF4-FFF2-40B4-BE49-F238E27FC236}">
              <a16:creationId xmlns:a16="http://schemas.microsoft.com/office/drawing/2014/main" id="{00000000-0008-0000-2700-00005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95348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1190</xdr:row>
      <xdr:rowOff>152400</xdr:rowOff>
    </xdr:from>
    <xdr:to>
      <xdr:col>0</xdr:col>
      <xdr:colOff>533400</xdr:colOff>
      <xdr:row>1193</xdr:row>
      <xdr:rowOff>152400</xdr:rowOff>
    </xdr:to>
    <xdr:pic>
      <xdr:nvPicPr>
        <xdr:cNvPr id="214614" name="Picture 83" descr="LOGO DGI">
          <a:extLst>
            <a:ext uri="{FF2B5EF4-FFF2-40B4-BE49-F238E27FC236}">
              <a16:creationId xmlns:a16="http://schemas.microsoft.com/office/drawing/2014/main" id="{00000000-0008-0000-2700-00005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98177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1207</xdr:row>
      <xdr:rowOff>152400</xdr:rowOff>
    </xdr:from>
    <xdr:to>
      <xdr:col>0</xdr:col>
      <xdr:colOff>533400</xdr:colOff>
      <xdr:row>1210</xdr:row>
      <xdr:rowOff>152400</xdr:rowOff>
    </xdr:to>
    <xdr:pic>
      <xdr:nvPicPr>
        <xdr:cNvPr id="214615" name="Picture 84" descr="LOGO DGI">
          <a:extLst>
            <a:ext uri="{FF2B5EF4-FFF2-40B4-BE49-F238E27FC236}">
              <a16:creationId xmlns:a16="http://schemas.microsoft.com/office/drawing/2014/main" id="{00000000-0008-0000-2700-00005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01006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1224</xdr:row>
      <xdr:rowOff>152400</xdr:rowOff>
    </xdr:from>
    <xdr:to>
      <xdr:col>0</xdr:col>
      <xdr:colOff>533400</xdr:colOff>
      <xdr:row>1227</xdr:row>
      <xdr:rowOff>152400</xdr:rowOff>
    </xdr:to>
    <xdr:pic>
      <xdr:nvPicPr>
        <xdr:cNvPr id="214616" name="Picture 85" descr="LOGO DGI">
          <a:extLst>
            <a:ext uri="{FF2B5EF4-FFF2-40B4-BE49-F238E27FC236}">
              <a16:creationId xmlns:a16="http://schemas.microsoft.com/office/drawing/2014/main" id="{00000000-0008-0000-2700-00005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038350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1241</xdr:row>
      <xdr:rowOff>152400</xdr:rowOff>
    </xdr:from>
    <xdr:to>
      <xdr:col>0</xdr:col>
      <xdr:colOff>533400</xdr:colOff>
      <xdr:row>1244</xdr:row>
      <xdr:rowOff>152400</xdr:rowOff>
    </xdr:to>
    <xdr:pic>
      <xdr:nvPicPr>
        <xdr:cNvPr id="214617" name="Picture 86" descr="LOGO DGI">
          <a:extLst>
            <a:ext uri="{FF2B5EF4-FFF2-40B4-BE49-F238E27FC236}">
              <a16:creationId xmlns:a16="http://schemas.microsoft.com/office/drawing/2014/main" id="{00000000-0008-0000-2700-00005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06663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1258</xdr:row>
      <xdr:rowOff>152400</xdr:rowOff>
    </xdr:from>
    <xdr:to>
      <xdr:col>0</xdr:col>
      <xdr:colOff>533400</xdr:colOff>
      <xdr:row>1261</xdr:row>
      <xdr:rowOff>152400</xdr:rowOff>
    </xdr:to>
    <xdr:pic>
      <xdr:nvPicPr>
        <xdr:cNvPr id="214618" name="Picture 87" descr="LOGO DGI">
          <a:extLst>
            <a:ext uri="{FF2B5EF4-FFF2-40B4-BE49-F238E27FC236}">
              <a16:creationId xmlns:a16="http://schemas.microsoft.com/office/drawing/2014/main" id="{00000000-0008-0000-2700-00005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09492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1275</xdr:row>
      <xdr:rowOff>152400</xdr:rowOff>
    </xdr:from>
    <xdr:to>
      <xdr:col>0</xdr:col>
      <xdr:colOff>533400</xdr:colOff>
      <xdr:row>1278</xdr:row>
      <xdr:rowOff>152400</xdr:rowOff>
    </xdr:to>
    <xdr:pic>
      <xdr:nvPicPr>
        <xdr:cNvPr id="214619" name="Picture 88" descr="LOGO DGI">
          <a:extLst>
            <a:ext uri="{FF2B5EF4-FFF2-40B4-BE49-F238E27FC236}">
              <a16:creationId xmlns:a16="http://schemas.microsoft.com/office/drawing/2014/main" id="{00000000-0008-0000-2700-00005B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12321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1292</xdr:row>
      <xdr:rowOff>152400</xdr:rowOff>
    </xdr:from>
    <xdr:to>
      <xdr:col>0</xdr:col>
      <xdr:colOff>533400</xdr:colOff>
      <xdr:row>1295</xdr:row>
      <xdr:rowOff>152400</xdr:rowOff>
    </xdr:to>
    <xdr:pic>
      <xdr:nvPicPr>
        <xdr:cNvPr id="214620" name="Picture 89" descr="LOGO DGI">
          <a:extLst>
            <a:ext uri="{FF2B5EF4-FFF2-40B4-BE49-F238E27FC236}">
              <a16:creationId xmlns:a16="http://schemas.microsoft.com/office/drawing/2014/main" id="{00000000-0008-0000-2700-00005C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15150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1309</xdr:row>
      <xdr:rowOff>152400</xdr:rowOff>
    </xdr:from>
    <xdr:to>
      <xdr:col>0</xdr:col>
      <xdr:colOff>533400</xdr:colOff>
      <xdr:row>1312</xdr:row>
      <xdr:rowOff>152400</xdr:rowOff>
    </xdr:to>
    <xdr:pic>
      <xdr:nvPicPr>
        <xdr:cNvPr id="214621" name="Picture 90" descr="LOGO DGI">
          <a:extLst>
            <a:ext uri="{FF2B5EF4-FFF2-40B4-BE49-F238E27FC236}">
              <a16:creationId xmlns:a16="http://schemas.microsoft.com/office/drawing/2014/main" id="{00000000-0008-0000-2700-00005D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17979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1326</xdr:row>
      <xdr:rowOff>152400</xdr:rowOff>
    </xdr:from>
    <xdr:to>
      <xdr:col>0</xdr:col>
      <xdr:colOff>533400</xdr:colOff>
      <xdr:row>1329</xdr:row>
      <xdr:rowOff>152400</xdr:rowOff>
    </xdr:to>
    <xdr:pic>
      <xdr:nvPicPr>
        <xdr:cNvPr id="214622" name="Picture 91" descr="LOGO DGI">
          <a:extLst>
            <a:ext uri="{FF2B5EF4-FFF2-40B4-BE49-F238E27FC236}">
              <a16:creationId xmlns:a16="http://schemas.microsoft.com/office/drawing/2014/main" id="{00000000-0008-0000-2700-00005E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20808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1343</xdr:row>
      <xdr:rowOff>152400</xdr:rowOff>
    </xdr:from>
    <xdr:to>
      <xdr:col>0</xdr:col>
      <xdr:colOff>533400</xdr:colOff>
      <xdr:row>1346</xdr:row>
      <xdr:rowOff>152400</xdr:rowOff>
    </xdr:to>
    <xdr:pic>
      <xdr:nvPicPr>
        <xdr:cNvPr id="214623" name="Picture 92" descr="LOGO DGI">
          <a:extLst>
            <a:ext uri="{FF2B5EF4-FFF2-40B4-BE49-F238E27FC236}">
              <a16:creationId xmlns:a16="http://schemas.microsoft.com/office/drawing/2014/main" id="{00000000-0008-0000-2700-00005F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23637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1360</xdr:row>
      <xdr:rowOff>152400</xdr:rowOff>
    </xdr:from>
    <xdr:to>
      <xdr:col>0</xdr:col>
      <xdr:colOff>533400</xdr:colOff>
      <xdr:row>1363</xdr:row>
      <xdr:rowOff>152400</xdr:rowOff>
    </xdr:to>
    <xdr:pic>
      <xdr:nvPicPr>
        <xdr:cNvPr id="214624" name="Picture 93" descr="LOGO DGI">
          <a:extLst>
            <a:ext uri="{FF2B5EF4-FFF2-40B4-BE49-F238E27FC236}">
              <a16:creationId xmlns:a16="http://schemas.microsoft.com/office/drawing/2014/main" id="{00000000-0008-0000-2700-00006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26466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1377</xdr:row>
      <xdr:rowOff>152400</xdr:rowOff>
    </xdr:from>
    <xdr:to>
      <xdr:col>0</xdr:col>
      <xdr:colOff>533400</xdr:colOff>
      <xdr:row>1380</xdr:row>
      <xdr:rowOff>152400</xdr:rowOff>
    </xdr:to>
    <xdr:pic>
      <xdr:nvPicPr>
        <xdr:cNvPr id="214625" name="Picture 94" descr="LOGO DGI">
          <a:extLst>
            <a:ext uri="{FF2B5EF4-FFF2-40B4-BE49-F238E27FC236}">
              <a16:creationId xmlns:a16="http://schemas.microsoft.com/office/drawing/2014/main" id="{00000000-0008-0000-2700-00006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29295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1394</xdr:row>
      <xdr:rowOff>152400</xdr:rowOff>
    </xdr:from>
    <xdr:to>
      <xdr:col>0</xdr:col>
      <xdr:colOff>533400</xdr:colOff>
      <xdr:row>1397</xdr:row>
      <xdr:rowOff>152400</xdr:rowOff>
    </xdr:to>
    <xdr:pic>
      <xdr:nvPicPr>
        <xdr:cNvPr id="214626" name="Picture 95" descr="LOGO DGI">
          <a:extLst>
            <a:ext uri="{FF2B5EF4-FFF2-40B4-BE49-F238E27FC236}">
              <a16:creationId xmlns:a16="http://schemas.microsoft.com/office/drawing/2014/main" id="{00000000-0008-0000-2700-00006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32124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1411</xdr:row>
      <xdr:rowOff>152400</xdr:rowOff>
    </xdr:from>
    <xdr:to>
      <xdr:col>0</xdr:col>
      <xdr:colOff>533400</xdr:colOff>
      <xdr:row>1414</xdr:row>
      <xdr:rowOff>152400</xdr:rowOff>
    </xdr:to>
    <xdr:pic>
      <xdr:nvPicPr>
        <xdr:cNvPr id="214627" name="Picture 96" descr="LOGO DGI">
          <a:extLst>
            <a:ext uri="{FF2B5EF4-FFF2-40B4-BE49-F238E27FC236}">
              <a16:creationId xmlns:a16="http://schemas.microsoft.com/office/drawing/2014/main" id="{00000000-0008-0000-2700-00006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34953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1428</xdr:row>
      <xdr:rowOff>152400</xdr:rowOff>
    </xdr:from>
    <xdr:to>
      <xdr:col>0</xdr:col>
      <xdr:colOff>533400</xdr:colOff>
      <xdr:row>1431</xdr:row>
      <xdr:rowOff>152400</xdr:rowOff>
    </xdr:to>
    <xdr:pic>
      <xdr:nvPicPr>
        <xdr:cNvPr id="214628" name="Picture 97" descr="LOGO DGI">
          <a:extLst>
            <a:ext uri="{FF2B5EF4-FFF2-40B4-BE49-F238E27FC236}">
              <a16:creationId xmlns:a16="http://schemas.microsoft.com/office/drawing/2014/main" id="{00000000-0008-0000-2700-00006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37782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1445</xdr:row>
      <xdr:rowOff>152400</xdr:rowOff>
    </xdr:from>
    <xdr:to>
      <xdr:col>0</xdr:col>
      <xdr:colOff>533400</xdr:colOff>
      <xdr:row>1448</xdr:row>
      <xdr:rowOff>152400</xdr:rowOff>
    </xdr:to>
    <xdr:pic>
      <xdr:nvPicPr>
        <xdr:cNvPr id="214629" name="Picture 98" descr="LOGO DGI">
          <a:extLst>
            <a:ext uri="{FF2B5EF4-FFF2-40B4-BE49-F238E27FC236}">
              <a16:creationId xmlns:a16="http://schemas.microsoft.com/office/drawing/2014/main" id="{00000000-0008-0000-2700-00006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406110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1462</xdr:row>
      <xdr:rowOff>152400</xdr:rowOff>
    </xdr:from>
    <xdr:to>
      <xdr:col>0</xdr:col>
      <xdr:colOff>533400</xdr:colOff>
      <xdr:row>1465</xdr:row>
      <xdr:rowOff>152400</xdr:rowOff>
    </xdr:to>
    <xdr:pic>
      <xdr:nvPicPr>
        <xdr:cNvPr id="214630" name="Picture 99" descr="LOGO DGI">
          <a:extLst>
            <a:ext uri="{FF2B5EF4-FFF2-40B4-BE49-F238E27FC236}">
              <a16:creationId xmlns:a16="http://schemas.microsoft.com/office/drawing/2014/main" id="{00000000-0008-0000-2700-00006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43439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1479</xdr:row>
      <xdr:rowOff>152400</xdr:rowOff>
    </xdr:from>
    <xdr:to>
      <xdr:col>0</xdr:col>
      <xdr:colOff>533400</xdr:colOff>
      <xdr:row>1482</xdr:row>
      <xdr:rowOff>152400</xdr:rowOff>
    </xdr:to>
    <xdr:pic>
      <xdr:nvPicPr>
        <xdr:cNvPr id="214631" name="Picture 100" descr="LOGO DGI">
          <a:extLst>
            <a:ext uri="{FF2B5EF4-FFF2-40B4-BE49-F238E27FC236}">
              <a16:creationId xmlns:a16="http://schemas.microsoft.com/office/drawing/2014/main" id="{00000000-0008-0000-2700-00006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46268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1496</xdr:row>
      <xdr:rowOff>152400</xdr:rowOff>
    </xdr:from>
    <xdr:to>
      <xdr:col>0</xdr:col>
      <xdr:colOff>533400</xdr:colOff>
      <xdr:row>1499</xdr:row>
      <xdr:rowOff>152400</xdr:rowOff>
    </xdr:to>
    <xdr:pic>
      <xdr:nvPicPr>
        <xdr:cNvPr id="214632" name="Picture 101" descr="LOGO DGI">
          <a:extLst>
            <a:ext uri="{FF2B5EF4-FFF2-40B4-BE49-F238E27FC236}">
              <a16:creationId xmlns:a16="http://schemas.microsoft.com/office/drawing/2014/main" id="{00000000-0008-0000-2700-00006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49097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1513</xdr:row>
      <xdr:rowOff>152400</xdr:rowOff>
    </xdr:from>
    <xdr:to>
      <xdr:col>0</xdr:col>
      <xdr:colOff>533400</xdr:colOff>
      <xdr:row>1516</xdr:row>
      <xdr:rowOff>152400</xdr:rowOff>
    </xdr:to>
    <xdr:pic>
      <xdr:nvPicPr>
        <xdr:cNvPr id="214633" name="Picture 102" descr="LOGO DGI">
          <a:extLst>
            <a:ext uri="{FF2B5EF4-FFF2-40B4-BE49-F238E27FC236}">
              <a16:creationId xmlns:a16="http://schemas.microsoft.com/office/drawing/2014/main" id="{00000000-0008-0000-2700-00006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51926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1530</xdr:row>
      <xdr:rowOff>152400</xdr:rowOff>
    </xdr:from>
    <xdr:to>
      <xdr:col>0</xdr:col>
      <xdr:colOff>533400</xdr:colOff>
      <xdr:row>1533</xdr:row>
      <xdr:rowOff>152400</xdr:rowOff>
    </xdr:to>
    <xdr:pic>
      <xdr:nvPicPr>
        <xdr:cNvPr id="214634" name="Picture 103" descr="LOGO DGI">
          <a:extLst>
            <a:ext uri="{FF2B5EF4-FFF2-40B4-BE49-F238E27FC236}">
              <a16:creationId xmlns:a16="http://schemas.microsoft.com/office/drawing/2014/main" id="{00000000-0008-0000-2700-00006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54755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1547</xdr:row>
      <xdr:rowOff>152400</xdr:rowOff>
    </xdr:from>
    <xdr:to>
      <xdr:col>0</xdr:col>
      <xdr:colOff>533400</xdr:colOff>
      <xdr:row>1550</xdr:row>
      <xdr:rowOff>152400</xdr:rowOff>
    </xdr:to>
    <xdr:pic>
      <xdr:nvPicPr>
        <xdr:cNvPr id="214635" name="Picture 104" descr="LOGO DGI">
          <a:extLst>
            <a:ext uri="{FF2B5EF4-FFF2-40B4-BE49-F238E27FC236}">
              <a16:creationId xmlns:a16="http://schemas.microsoft.com/office/drawing/2014/main" id="{00000000-0008-0000-2700-00006B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57584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1564</xdr:row>
      <xdr:rowOff>152400</xdr:rowOff>
    </xdr:from>
    <xdr:to>
      <xdr:col>0</xdr:col>
      <xdr:colOff>533400</xdr:colOff>
      <xdr:row>1567</xdr:row>
      <xdr:rowOff>152400</xdr:rowOff>
    </xdr:to>
    <xdr:pic>
      <xdr:nvPicPr>
        <xdr:cNvPr id="214636" name="Picture 105" descr="LOGO DGI">
          <a:extLst>
            <a:ext uri="{FF2B5EF4-FFF2-40B4-BE49-F238E27FC236}">
              <a16:creationId xmlns:a16="http://schemas.microsoft.com/office/drawing/2014/main" id="{00000000-0008-0000-2700-00006C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60413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1581</xdr:row>
      <xdr:rowOff>152400</xdr:rowOff>
    </xdr:from>
    <xdr:to>
      <xdr:col>0</xdr:col>
      <xdr:colOff>533400</xdr:colOff>
      <xdr:row>1584</xdr:row>
      <xdr:rowOff>152400</xdr:rowOff>
    </xdr:to>
    <xdr:pic>
      <xdr:nvPicPr>
        <xdr:cNvPr id="214637" name="Picture 106" descr="LOGO DGI">
          <a:extLst>
            <a:ext uri="{FF2B5EF4-FFF2-40B4-BE49-F238E27FC236}">
              <a16:creationId xmlns:a16="http://schemas.microsoft.com/office/drawing/2014/main" id="{00000000-0008-0000-2700-00006D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632424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1598</xdr:row>
      <xdr:rowOff>152400</xdr:rowOff>
    </xdr:from>
    <xdr:to>
      <xdr:col>0</xdr:col>
      <xdr:colOff>533400</xdr:colOff>
      <xdr:row>1601</xdr:row>
      <xdr:rowOff>152400</xdr:rowOff>
    </xdr:to>
    <xdr:pic>
      <xdr:nvPicPr>
        <xdr:cNvPr id="214638" name="Picture 107" descr="LOGO DGI">
          <a:extLst>
            <a:ext uri="{FF2B5EF4-FFF2-40B4-BE49-F238E27FC236}">
              <a16:creationId xmlns:a16="http://schemas.microsoft.com/office/drawing/2014/main" id="{00000000-0008-0000-2700-00006E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66071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1615</xdr:row>
      <xdr:rowOff>152400</xdr:rowOff>
    </xdr:from>
    <xdr:to>
      <xdr:col>0</xdr:col>
      <xdr:colOff>533400</xdr:colOff>
      <xdr:row>1618</xdr:row>
      <xdr:rowOff>152400</xdr:rowOff>
    </xdr:to>
    <xdr:pic>
      <xdr:nvPicPr>
        <xdr:cNvPr id="214639" name="Picture 108" descr="LOGO DGI">
          <a:extLst>
            <a:ext uri="{FF2B5EF4-FFF2-40B4-BE49-F238E27FC236}">
              <a16:creationId xmlns:a16="http://schemas.microsoft.com/office/drawing/2014/main" id="{00000000-0008-0000-2700-00006F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68900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1632</xdr:row>
      <xdr:rowOff>152400</xdr:rowOff>
    </xdr:from>
    <xdr:to>
      <xdr:col>0</xdr:col>
      <xdr:colOff>533400</xdr:colOff>
      <xdr:row>1635</xdr:row>
      <xdr:rowOff>152400</xdr:rowOff>
    </xdr:to>
    <xdr:pic>
      <xdr:nvPicPr>
        <xdr:cNvPr id="214640" name="Picture 109" descr="LOGO DGI">
          <a:extLst>
            <a:ext uri="{FF2B5EF4-FFF2-40B4-BE49-F238E27FC236}">
              <a16:creationId xmlns:a16="http://schemas.microsoft.com/office/drawing/2014/main" id="{00000000-0008-0000-2700-00007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71729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1649</xdr:row>
      <xdr:rowOff>152400</xdr:rowOff>
    </xdr:from>
    <xdr:to>
      <xdr:col>0</xdr:col>
      <xdr:colOff>533400</xdr:colOff>
      <xdr:row>1652</xdr:row>
      <xdr:rowOff>152400</xdr:rowOff>
    </xdr:to>
    <xdr:pic>
      <xdr:nvPicPr>
        <xdr:cNvPr id="214641" name="Picture 110" descr="LOGO DGI">
          <a:extLst>
            <a:ext uri="{FF2B5EF4-FFF2-40B4-BE49-F238E27FC236}">
              <a16:creationId xmlns:a16="http://schemas.microsoft.com/office/drawing/2014/main" id="{00000000-0008-0000-2700-00007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745581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1666</xdr:row>
      <xdr:rowOff>152400</xdr:rowOff>
    </xdr:from>
    <xdr:to>
      <xdr:col>0</xdr:col>
      <xdr:colOff>533400</xdr:colOff>
      <xdr:row>1669</xdr:row>
      <xdr:rowOff>152400</xdr:rowOff>
    </xdr:to>
    <xdr:pic>
      <xdr:nvPicPr>
        <xdr:cNvPr id="214642" name="Picture 111" descr="LOGO DGI">
          <a:extLst>
            <a:ext uri="{FF2B5EF4-FFF2-40B4-BE49-F238E27FC236}">
              <a16:creationId xmlns:a16="http://schemas.microsoft.com/office/drawing/2014/main" id="{00000000-0008-0000-2700-00007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773870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1683</xdr:row>
      <xdr:rowOff>152400</xdr:rowOff>
    </xdr:from>
    <xdr:to>
      <xdr:col>0</xdr:col>
      <xdr:colOff>533400</xdr:colOff>
      <xdr:row>1686</xdr:row>
      <xdr:rowOff>152400</xdr:rowOff>
    </xdr:to>
    <xdr:pic>
      <xdr:nvPicPr>
        <xdr:cNvPr id="214643" name="Picture 112" descr="LOGO DGI">
          <a:extLst>
            <a:ext uri="{FF2B5EF4-FFF2-40B4-BE49-F238E27FC236}">
              <a16:creationId xmlns:a16="http://schemas.microsoft.com/office/drawing/2014/main" id="{00000000-0008-0000-2700-00007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80215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1700</xdr:row>
      <xdr:rowOff>152400</xdr:rowOff>
    </xdr:from>
    <xdr:to>
      <xdr:col>0</xdr:col>
      <xdr:colOff>533400</xdr:colOff>
      <xdr:row>1703</xdr:row>
      <xdr:rowOff>152400</xdr:rowOff>
    </xdr:to>
    <xdr:pic>
      <xdr:nvPicPr>
        <xdr:cNvPr id="214644" name="Picture 113" descr="LOGO DGI">
          <a:extLst>
            <a:ext uri="{FF2B5EF4-FFF2-40B4-BE49-F238E27FC236}">
              <a16:creationId xmlns:a16="http://schemas.microsoft.com/office/drawing/2014/main" id="{00000000-0008-0000-2700-00007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83044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1717</xdr:row>
      <xdr:rowOff>152400</xdr:rowOff>
    </xdr:from>
    <xdr:to>
      <xdr:col>0</xdr:col>
      <xdr:colOff>533400</xdr:colOff>
      <xdr:row>1720</xdr:row>
      <xdr:rowOff>152400</xdr:rowOff>
    </xdr:to>
    <xdr:pic>
      <xdr:nvPicPr>
        <xdr:cNvPr id="214645" name="Picture 118" descr="LOGO DGI">
          <a:extLst>
            <a:ext uri="{FF2B5EF4-FFF2-40B4-BE49-F238E27FC236}">
              <a16:creationId xmlns:a16="http://schemas.microsoft.com/office/drawing/2014/main" id="{00000000-0008-0000-2700-00007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85873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1734</xdr:row>
      <xdr:rowOff>152400</xdr:rowOff>
    </xdr:from>
    <xdr:to>
      <xdr:col>0</xdr:col>
      <xdr:colOff>533400</xdr:colOff>
      <xdr:row>1737</xdr:row>
      <xdr:rowOff>152400</xdr:rowOff>
    </xdr:to>
    <xdr:pic>
      <xdr:nvPicPr>
        <xdr:cNvPr id="214646" name="Picture 119" descr="LOGO DGI">
          <a:extLst>
            <a:ext uri="{FF2B5EF4-FFF2-40B4-BE49-F238E27FC236}">
              <a16:creationId xmlns:a16="http://schemas.microsoft.com/office/drawing/2014/main" id="{00000000-0008-0000-2700-00007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88702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1751</xdr:row>
      <xdr:rowOff>152400</xdr:rowOff>
    </xdr:from>
    <xdr:to>
      <xdr:col>0</xdr:col>
      <xdr:colOff>533400</xdr:colOff>
      <xdr:row>1754</xdr:row>
      <xdr:rowOff>152400</xdr:rowOff>
    </xdr:to>
    <xdr:pic>
      <xdr:nvPicPr>
        <xdr:cNvPr id="214647" name="Picture 120" descr="LOGO DGI">
          <a:extLst>
            <a:ext uri="{FF2B5EF4-FFF2-40B4-BE49-F238E27FC236}">
              <a16:creationId xmlns:a16="http://schemas.microsoft.com/office/drawing/2014/main" id="{00000000-0008-0000-2700-00007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91531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1768</xdr:row>
      <xdr:rowOff>152400</xdr:rowOff>
    </xdr:from>
    <xdr:to>
      <xdr:col>0</xdr:col>
      <xdr:colOff>533400</xdr:colOff>
      <xdr:row>1771</xdr:row>
      <xdr:rowOff>152400</xdr:rowOff>
    </xdr:to>
    <xdr:pic>
      <xdr:nvPicPr>
        <xdr:cNvPr id="214648" name="Picture 121" descr="LOGO DGI">
          <a:extLst>
            <a:ext uri="{FF2B5EF4-FFF2-40B4-BE49-F238E27FC236}">
              <a16:creationId xmlns:a16="http://schemas.microsoft.com/office/drawing/2014/main" id="{00000000-0008-0000-2700-00007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94360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1785</xdr:row>
      <xdr:rowOff>152400</xdr:rowOff>
    </xdr:from>
    <xdr:to>
      <xdr:col>0</xdr:col>
      <xdr:colOff>533400</xdr:colOff>
      <xdr:row>1788</xdr:row>
      <xdr:rowOff>152400</xdr:rowOff>
    </xdr:to>
    <xdr:pic>
      <xdr:nvPicPr>
        <xdr:cNvPr id="214649" name="Picture 122" descr="LOGO DGI">
          <a:extLst>
            <a:ext uri="{FF2B5EF4-FFF2-40B4-BE49-F238E27FC236}">
              <a16:creationId xmlns:a16="http://schemas.microsoft.com/office/drawing/2014/main" id="{00000000-0008-0000-2700-00007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97189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1802</xdr:row>
      <xdr:rowOff>152400</xdr:rowOff>
    </xdr:from>
    <xdr:to>
      <xdr:col>0</xdr:col>
      <xdr:colOff>533400</xdr:colOff>
      <xdr:row>1805</xdr:row>
      <xdr:rowOff>152400</xdr:rowOff>
    </xdr:to>
    <xdr:pic>
      <xdr:nvPicPr>
        <xdr:cNvPr id="214650" name="Picture 123" descr="LOGO DGI">
          <a:extLst>
            <a:ext uri="{FF2B5EF4-FFF2-40B4-BE49-F238E27FC236}">
              <a16:creationId xmlns:a16="http://schemas.microsoft.com/office/drawing/2014/main" id="{00000000-0008-0000-2700-00007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0018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1819</xdr:row>
      <xdr:rowOff>152400</xdr:rowOff>
    </xdr:from>
    <xdr:to>
      <xdr:col>0</xdr:col>
      <xdr:colOff>533400</xdr:colOff>
      <xdr:row>1822</xdr:row>
      <xdr:rowOff>152400</xdr:rowOff>
    </xdr:to>
    <xdr:pic>
      <xdr:nvPicPr>
        <xdr:cNvPr id="214651" name="Picture 124" descr="LOGO DGI">
          <a:extLst>
            <a:ext uri="{FF2B5EF4-FFF2-40B4-BE49-F238E27FC236}">
              <a16:creationId xmlns:a16="http://schemas.microsoft.com/office/drawing/2014/main" id="{00000000-0008-0000-2700-00007B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2847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1836</xdr:row>
      <xdr:rowOff>152400</xdr:rowOff>
    </xdr:from>
    <xdr:to>
      <xdr:col>0</xdr:col>
      <xdr:colOff>533400</xdr:colOff>
      <xdr:row>1839</xdr:row>
      <xdr:rowOff>152400</xdr:rowOff>
    </xdr:to>
    <xdr:pic>
      <xdr:nvPicPr>
        <xdr:cNvPr id="214652" name="Picture 125" descr="LOGO DGI">
          <a:extLst>
            <a:ext uri="{FF2B5EF4-FFF2-40B4-BE49-F238E27FC236}">
              <a16:creationId xmlns:a16="http://schemas.microsoft.com/office/drawing/2014/main" id="{00000000-0008-0000-2700-00007C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5676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1853</xdr:row>
      <xdr:rowOff>152400</xdr:rowOff>
    </xdr:from>
    <xdr:to>
      <xdr:col>0</xdr:col>
      <xdr:colOff>533400</xdr:colOff>
      <xdr:row>1856</xdr:row>
      <xdr:rowOff>152400</xdr:rowOff>
    </xdr:to>
    <xdr:pic>
      <xdr:nvPicPr>
        <xdr:cNvPr id="214653" name="Picture 126" descr="LOGO DGI">
          <a:extLst>
            <a:ext uri="{FF2B5EF4-FFF2-40B4-BE49-F238E27FC236}">
              <a16:creationId xmlns:a16="http://schemas.microsoft.com/office/drawing/2014/main" id="{00000000-0008-0000-2700-00007D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8505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1870</xdr:row>
      <xdr:rowOff>152400</xdr:rowOff>
    </xdr:from>
    <xdr:to>
      <xdr:col>0</xdr:col>
      <xdr:colOff>533400</xdr:colOff>
      <xdr:row>1873</xdr:row>
      <xdr:rowOff>152400</xdr:rowOff>
    </xdr:to>
    <xdr:pic>
      <xdr:nvPicPr>
        <xdr:cNvPr id="214654" name="Picture 127" descr="LOGO DGI">
          <a:extLst>
            <a:ext uri="{FF2B5EF4-FFF2-40B4-BE49-F238E27FC236}">
              <a16:creationId xmlns:a16="http://schemas.microsoft.com/office/drawing/2014/main" id="{00000000-0008-0000-2700-00007E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11334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1887</xdr:row>
      <xdr:rowOff>152400</xdr:rowOff>
    </xdr:from>
    <xdr:to>
      <xdr:col>0</xdr:col>
      <xdr:colOff>533400</xdr:colOff>
      <xdr:row>1890</xdr:row>
      <xdr:rowOff>152400</xdr:rowOff>
    </xdr:to>
    <xdr:pic>
      <xdr:nvPicPr>
        <xdr:cNvPr id="214655" name="Picture 128" descr="LOGO DGI">
          <a:extLst>
            <a:ext uri="{FF2B5EF4-FFF2-40B4-BE49-F238E27FC236}">
              <a16:creationId xmlns:a16="http://schemas.microsoft.com/office/drawing/2014/main" id="{00000000-0008-0000-2700-00007F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14163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1904</xdr:row>
      <xdr:rowOff>152400</xdr:rowOff>
    </xdr:from>
    <xdr:to>
      <xdr:col>0</xdr:col>
      <xdr:colOff>533400</xdr:colOff>
      <xdr:row>1907</xdr:row>
      <xdr:rowOff>152400</xdr:rowOff>
    </xdr:to>
    <xdr:pic>
      <xdr:nvPicPr>
        <xdr:cNvPr id="214656" name="Picture 129" descr="LOGO DGI">
          <a:extLst>
            <a:ext uri="{FF2B5EF4-FFF2-40B4-BE49-F238E27FC236}">
              <a16:creationId xmlns:a16="http://schemas.microsoft.com/office/drawing/2014/main" id="{00000000-0008-0000-2700-000080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169920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1921</xdr:row>
      <xdr:rowOff>152400</xdr:rowOff>
    </xdr:from>
    <xdr:to>
      <xdr:col>0</xdr:col>
      <xdr:colOff>533400</xdr:colOff>
      <xdr:row>1924</xdr:row>
      <xdr:rowOff>152400</xdr:rowOff>
    </xdr:to>
    <xdr:pic>
      <xdr:nvPicPr>
        <xdr:cNvPr id="214657" name="Picture 130" descr="LOGO DGI">
          <a:extLst>
            <a:ext uri="{FF2B5EF4-FFF2-40B4-BE49-F238E27FC236}">
              <a16:creationId xmlns:a16="http://schemas.microsoft.com/office/drawing/2014/main" id="{00000000-0008-0000-2700-000081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19820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1938</xdr:row>
      <xdr:rowOff>152400</xdr:rowOff>
    </xdr:from>
    <xdr:to>
      <xdr:col>0</xdr:col>
      <xdr:colOff>533400</xdr:colOff>
      <xdr:row>1941</xdr:row>
      <xdr:rowOff>152400</xdr:rowOff>
    </xdr:to>
    <xdr:pic>
      <xdr:nvPicPr>
        <xdr:cNvPr id="214658" name="Picture 131" descr="LOGO DGI">
          <a:extLst>
            <a:ext uri="{FF2B5EF4-FFF2-40B4-BE49-F238E27FC236}">
              <a16:creationId xmlns:a16="http://schemas.microsoft.com/office/drawing/2014/main" id="{00000000-0008-0000-2700-000082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22649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1955</xdr:row>
      <xdr:rowOff>152400</xdr:rowOff>
    </xdr:from>
    <xdr:to>
      <xdr:col>0</xdr:col>
      <xdr:colOff>533400</xdr:colOff>
      <xdr:row>1958</xdr:row>
      <xdr:rowOff>152400</xdr:rowOff>
    </xdr:to>
    <xdr:pic>
      <xdr:nvPicPr>
        <xdr:cNvPr id="214659" name="Picture 132" descr="LOGO DGI">
          <a:extLst>
            <a:ext uri="{FF2B5EF4-FFF2-40B4-BE49-F238E27FC236}">
              <a16:creationId xmlns:a16="http://schemas.microsoft.com/office/drawing/2014/main" id="{00000000-0008-0000-2700-000083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25478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1972</xdr:row>
      <xdr:rowOff>152400</xdr:rowOff>
    </xdr:from>
    <xdr:to>
      <xdr:col>0</xdr:col>
      <xdr:colOff>533400</xdr:colOff>
      <xdr:row>1975</xdr:row>
      <xdr:rowOff>152400</xdr:rowOff>
    </xdr:to>
    <xdr:pic>
      <xdr:nvPicPr>
        <xdr:cNvPr id="214660" name="Picture 133" descr="LOGO DGI">
          <a:extLst>
            <a:ext uri="{FF2B5EF4-FFF2-40B4-BE49-F238E27FC236}">
              <a16:creationId xmlns:a16="http://schemas.microsoft.com/office/drawing/2014/main" id="{00000000-0008-0000-2700-000084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28307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1989</xdr:row>
      <xdr:rowOff>152400</xdr:rowOff>
    </xdr:from>
    <xdr:to>
      <xdr:col>0</xdr:col>
      <xdr:colOff>533400</xdr:colOff>
      <xdr:row>1992</xdr:row>
      <xdr:rowOff>152400</xdr:rowOff>
    </xdr:to>
    <xdr:pic>
      <xdr:nvPicPr>
        <xdr:cNvPr id="214661" name="Picture 134" descr="LOGO DGI">
          <a:extLst>
            <a:ext uri="{FF2B5EF4-FFF2-40B4-BE49-F238E27FC236}">
              <a16:creationId xmlns:a16="http://schemas.microsoft.com/office/drawing/2014/main" id="{00000000-0008-0000-2700-000085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31136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2006</xdr:row>
      <xdr:rowOff>152400</xdr:rowOff>
    </xdr:from>
    <xdr:to>
      <xdr:col>0</xdr:col>
      <xdr:colOff>533400</xdr:colOff>
      <xdr:row>2009</xdr:row>
      <xdr:rowOff>152400</xdr:rowOff>
    </xdr:to>
    <xdr:pic>
      <xdr:nvPicPr>
        <xdr:cNvPr id="214662" name="Picture 135" descr="LOGO DGI">
          <a:extLst>
            <a:ext uri="{FF2B5EF4-FFF2-40B4-BE49-F238E27FC236}">
              <a16:creationId xmlns:a16="http://schemas.microsoft.com/office/drawing/2014/main" id="{00000000-0008-0000-2700-000086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33965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2023</xdr:row>
      <xdr:rowOff>152400</xdr:rowOff>
    </xdr:from>
    <xdr:to>
      <xdr:col>0</xdr:col>
      <xdr:colOff>533400</xdr:colOff>
      <xdr:row>2026</xdr:row>
      <xdr:rowOff>152400</xdr:rowOff>
    </xdr:to>
    <xdr:pic>
      <xdr:nvPicPr>
        <xdr:cNvPr id="214663" name="Picture 136" descr="LOGO DGI">
          <a:extLst>
            <a:ext uri="{FF2B5EF4-FFF2-40B4-BE49-F238E27FC236}">
              <a16:creationId xmlns:a16="http://schemas.microsoft.com/office/drawing/2014/main" id="{00000000-0008-0000-2700-000087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36794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2040</xdr:row>
      <xdr:rowOff>152400</xdr:rowOff>
    </xdr:from>
    <xdr:to>
      <xdr:col>0</xdr:col>
      <xdr:colOff>533400</xdr:colOff>
      <xdr:row>2043</xdr:row>
      <xdr:rowOff>152400</xdr:rowOff>
    </xdr:to>
    <xdr:pic>
      <xdr:nvPicPr>
        <xdr:cNvPr id="214664" name="Picture 137" descr="LOGO DGI">
          <a:extLst>
            <a:ext uri="{FF2B5EF4-FFF2-40B4-BE49-F238E27FC236}">
              <a16:creationId xmlns:a16="http://schemas.microsoft.com/office/drawing/2014/main" id="{00000000-0008-0000-2700-000088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39623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2057</xdr:row>
      <xdr:rowOff>152400</xdr:rowOff>
    </xdr:from>
    <xdr:to>
      <xdr:col>0</xdr:col>
      <xdr:colOff>533400</xdr:colOff>
      <xdr:row>2060</xdr:row>
      <xdr:rowOff>152400</xdr:rowOff>
    </xdr:to>
    <xdr:pic>
      <xdr:nvPicPr>
        <xdr:cNvPr id="214665" name="Picture 138" descr="LOGO DGI">
          <a:extLst>
            <a:ext uri="{FF2B5EF4-FFF2-40B4-BE49-F238E27FC236}">
              <a16:creationId xmlns:a16="http://schemas.microsoft.com/office/drawing/2014/main" id="{00000000-0008-0000-2700-000089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42452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2074</xdr:row>
      <xdr:rowOff>152400</xdr:rowOff>
    </xdr:from>
    <xdr:to>
      <xdr:col>0</xdr:col>
      <xdr:colOff>533400</xdr:colOff>
      <xdr:row>2077</xdr:row>
      <xdr:rowOff>152400</xdr:rowOff>
    </xdr:to>
    <xdr:pic>
      <xdr:nvPicPr>
        <xdr:cNvPr id="214666" name="Picture 142" descr="LOGO DGI">
          <a:extLst>
            <a:ext uri="{FF2B5EF4-FFF2-40B4-BE49-F238E27FC236}">
              <a16:creationId xmlns:a16="http://schemas.microsoft.com/office/drawing/2014/main" id="{00000000-0008-0000-2700-00008A46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45281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104775</xdr:colOff>
      <xdr:row>0</xdr:row>
      <xdr:rowOff>85725</xdr:rowOff>
    </xdr:from>
    <xdr:to>
      <xdr:col>9</xdr:col>
      <xdr:colOff>228600</xdr:colOff>
      <xdr:row>3</xdr:row>
      <xdr:rowOff>133350</xdr:rowOff>
    </xdr:to>
    <xdr:sp macro="" textlink="">
      <xdr:nvSpPr>
        <xdr:cNvPr id="23697" name="CommandButton1" hidden="1">
          <a:extLst>
            <a:ext uri="{63B3BB69-23CF-44E3-9099-C40C66FF867C}">
              <a14:compatExt xmlns:a14="http://schemas.microsoft.com/office/drawing/2010/main" spid="_x0000_s23697"/>
            </a:ext>
            <a:ext uri="{FF2B5EF4-FFF2-40B4-BE49-F238E27FC236}">
              <a16:creationId xmlns:a16="http://schemas.microsoft.com/office/drawing/2014/main" id="{00000000-0008-0000-2700-0000915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95250</xdr:colOff>
      <xdr:row>3</xdr:row>
      <xdr:rowOff>152400</xdr:rowOff>
    </xdr:from>
    <xdr:to>
      <xdr:col>10</xdr:col>
      <xdr:colOff>361950</xdr:colOff>
      <xdr:row>6</xdr:row>
      <xdr:rowOff>57150</xdr:rowOff>
    </xdr:to>
    <xdr:sp macro="" textlink="">
      <xdr:nvSpPr>
        <xdr:cNvPr id="23698" name="CommandButton2" hidden="1">
          <a:extLst>
            <a:ext uri="{63B3BB69-23CF-44E3-9099-C40C66FF867C}">
              <a14:compatExt xmlns:a14="http://schemas.microsoft.com/office/drawing/2010/main" spid="_x0000_s23698"/>
            </a:ext>
            <a:ext uri="{FF2B5EF4-FFF2-40B4-BE49-F238E27FC236}">
              <a16:creationId xmlns:a16="http://schemas.microsoft.com/office/drawing/2014/main" id="{00000000-0008-0000-2700-0000925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114300</xdr:colOff>
      <xdr:row>6</xdr:row>
      <xdr:rowOff>95250</xdr:rowOff>
    </xdr:from>
    <xdr:to>
      <xdr:col>10</xdr:col>
      <xdr:colOff>381000</xdr:colOff>
      <xdr:row>9</xdr:row>
      <xdr:rowOff>0</xdr:rowOff>
    </xdr:to>
    <xdr:sp macro="" textlink="">
      <xdr:nvSpPr>
        <xdr:cNvPr id="23699" name="CommandButton3" hidden="1">
          <a:extLst>
            <a:ext uri="{63B3BB69-23CF-44E3-9099-C40C66FF867C}">
              <a14:compatExt xmlns:a14="http://schemas.microsoft.com/office/drawing/2010/main" spid="_x0000_s23699"/>
            </a:ext>
            <a:ext uri="{FF2B5EF4-FFF2-40B4-BE49-F238E27FC236}">
              <a16:creationId xmlns:a16="http://schemas.microsoft.com/office/drawing/2014/main" id="{00000000-0008-0000-2700-0000935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133350</xdr:colOff>
      <xdr:row>17</xdr:row>
      <xdr:rowOff>0</xdr:rowOff>
    </xdr:from>
    <xdr:to>
      <xdr:col>10</xdr:col>
      <xdr:colOff>400050</xdr:colOff>
      <xdr:row>19</xdr:row>
      <xdr:rowOff>66675</xdr:rowOff>
    </xdr:to>
    <xdr:sp macro="" textlink="">
      <xdr:nvSpPr>
        <xdr:cNvPr id="23700" name="CommandButton4" hidden="1">
          <a:extLst>
            <a:ext uri="{63B3BB69-23CF-44E3-9099-C40C66FF867C}">
              <a14:compatExt xmlns:a14="http://schemas.microsoft.com/office/drawing/2010/main" spid="_x0000_s23700"/>
            </a:ext>
            <a:ext uri="{FF2B5EF4-FFF2-40B4-BE49-F238E27FC236}">
              <a16:creationId xmlns:a16="http://schemas.microsoft.com/office/drawing/2014/main" id="{00000000-0008-0000-2700-0000945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123825</xdr:colOff>
      <xdr:row>9</xdr:row>
      <xdr:rowOff>47625</xdr:rowOff>
    </xdr:from>
    <xdr:to>
      <xdr:col>10</xdr:col>
      <xdr:colOff>390525</xdr:colOff>
      <xdr:row>11</xdr:row>
      <xdr:rowOff>38100</xdr:rowOff>
    </xdr:to>
    <xdr:sp macro="" textlink="">
      <xdr:nvSpPr>
        <xdr:cNvPr id="23701" name="CommandButton5" hidden="1">
          <a:extLst>
            <a:ext uri="{63B3BB69-23CF-44E3-9099-C40C66FF867C}">
              <a14:compatExt xmlns:a14="http://schemas.microsoft.com/office/drawing/2010/main" spid="_x0000_s23701"/>
            </a:ext>
            <a:ext uri="{FF2B5EF4-FFF2-40B4-BE49-F238E27FC236}">
              <a16:creationId xmlns:a16="http://schemas.microsoft.com/office/drawing/2014/main" id="{00000000-0008-0000-2700-0000955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123825</xdr:colOff>
      <xdr:row>11</xdr:row>
      <xdr:rowOff>76200</xdr:rowOff>
    </xdr:from>
    <xdr:to>
      <xdr:col>10</xdr:col>
      <xdr:colOff>390525</xdr:colOff>
      <xdr:row>13</xdr:row>
      <xdr:rowOff>142875</xdr:rowOff>
    </xdr:to>
    <xdr:sp macro="" textlink="">
      <xdr:nvSpPr>
        <xdr:cNvPr id="23702" name="CommandButton6" hidden="1">
          <a:extLst>
            <a:ext uri="{63B3BB69-23CF-44E3-9099-C40C66FF867C}">
              <a14:compatExt xmlns:a14="http://schemas.microsoft.com/office/drawing/2010/main" spid="_x0000_s23702"/>
            </a:ext>
            <a:ext uri="{FF2B5EF4-FFF2-40B4-BE49-F238E27FC236}">
              <a16:creationId xmlns:a16="http://schemas.microsoft.com/office/drawing/2014/main" id="{00000000-0008-0000-2700-0000965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123825</xdr:colOff>
      <xdr:row>14</xdr:row>
      <xdr:rowOff>38100</xdr:rowOff>
    </xdr:from>
    <xdr:to>
      <xdr:col>10</xdr:col>
      <xdr:colOff>390525</xdr:colOff>
      <xdr:row>16</xdr:row>
      <xdr:rowOff>104775</xdr:rowOff>
    </xdr:to>
    <xdr:sp macro="" textlink="">
      <xdr:nvSpPr>
        <xdr:cNvPr id="23703" name="CommandButton7" hidden="1">
          <a:extLst>
            <a:ext uri="{63B3BB69-23CF-44E3-9099-C40C66FF867C}">
              <a14:compatExt xmlns:a14="http://schemas.microsoft.com/office/drawing/2010/main" spid="_x0000_s23703"/>
            </a:ext>
            <a:ext uri="{FF2B5EF4-FFF2-40B4-BE49-F238E27FC236}">
              <a16:creationId xmlns:a16="http://schemas.microsoft.com/office/drawing/2014/main" id="{00000000-0008-0000-2700-0000975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142875</xdr:colOff>
      <xdr:row>0</xdr:row>
      <xdr:rowOff>123825</xdr:rowOff>
    </xdr:from>
    <xdr:to>
      <xdr:col>10</xdr:col>
      <xdr:colOff>171450</xdr:colOff>
      <xdr:row>4</xdr:row>
      <xdr:rowOff>28575</xdr:rowOff>
    </xdr:to>
    <xdr:sp macro="" textlink="">
      <xdr:nvSpPr>
        <xdr:cNvPr id="7469" name="CommandButton2" hidden="1">
          <a:extLst>
            <a:ext uri="{63B3BB69-23CF-44E3-9099-C40C66FF867C}">
              <a14:compatExt xmlns:a14="http://schemas.microsoft.com/office/drawing/2010/main" spid="_x0000_s7469"/>
            </a:ext>
            <a:ext uri="{FF2B5EF4-FFF2-40B4-BE49-F238E27FC236}">
              <a16:creationId xmlns:a16="http://schemas.microsoft.com/office/drawing/2014/main" id="{00000000-0008-0000-2800-00002D1D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352425</xdr:colOff>
      <xdr:row>0</xdr:row>
      <xdr:rowOff>114300</xdr:rowOff>
    </xdr:from>
    <xdr:to>
      <xdr:col>11</xdr:col>
      <xdr:colOff>314325</xdr:colOff>
      <xdr:row>4</xdr:row>
      <xdr:rowOff>47625</xdr:rowOff>
    </xdr:to>
    <xdr:sp macro="" textlink="">
      <xdr:nvSpPr>
        <xdr:cNvPr id="7470" name="CommandButton1" hidden="1">
          <a:extLst>
            <a:ext uri="{63B3BB69-23CF-44E3-9099-C40C66FF867C}">
              <a14:compatExt xmlns:a14="http://schemas.microsoft.com/office/drawing/2010/main" spid="_x0000_s7470"/>
            </a:ext>
            <a:ext uri="{FF2B5EF4-FFF2-40B4-BE49-F238E27FC236}">
              <a16:creationId xmlns:a16="http://schemas.microsoft.com/office/drawing/2014/main" id="{00000000-0008-0000-2800-00002E1D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9</xdr:col>
      <xdr:colOff>133350</xdr:colOff>
      <xdr:row>5</xdr:row>
      <xdr:rowOff>38100</xdr:rowOff>
    </xdr:from>
    <xdr:to>
      <xdr:col>10</xdr:col>
      <xdr:colOff>180975</xdr:colOff>
      <xdr:row>8</xdr:row>
      <xdr:rowOff>133350</xdr:rowOff>
    </xdr:to>
    <xdr:sp macro="" textlink="">
      <xdr:nvSpPr>
        <xdr:cNvPr id="7471" name="CommandButton3" hidden="1">
          <a:extLst>
            <a:ext uri="{63B3BB69-23CF-44E3-9099-C40C66FF867C}">
              <a14:compatExt xmlns:a14="http://schemas.microsoft.com/office/drawing/2010/main" spid="_x0000_s7471"/>
            </a:ext>
            <a:ext uri="{FF2B5EF4-FFF2-40B4-BE49-F238E27FC236}">
              <a16:creationId xmlns:a16="http://schemas.microsoft.com/office/drawing/2014/main" id="{00000000-0008-0000-2800-00002F1D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 editAs="oneCell">
    <xdr:from>
      <xdr:col>10</xdr:col>
      <xdr:colOff>342900</xdr:colOff>
      <xdr:row>5</xdr:row>
      <xdr:rowOff>47625</xdr:rowOff>
    </xdr:from>
    <xdr:to>
      <xdr:col>11</xdr:col>
      <xdr:colOff>314325</xdr:colOff>
      <xdr:row>8</xdr:row>
      <xdr:rowOff>123825</xdr:rowOff>
    </xdr:to>
    <xdr:sp macro="" textlink="">
      <xdr:nvSpPr>
        <xdr:cNvPr id="7472" name="CommandButton4" hidden="1">
          <a:extLst>
            <a:ext uri="{63B3BB69-23CF-44E3-9099-C40C66FF867C}">
              <a14:compatExt xmlns:a14="http://schemas.microsoft.com/office/drawing/2010/main" spid="_x0000_s7472"/>
            </a:ext>
            <a:ext uri="{FF2B5EF4-FFF2-40B4-BE49-F238E27FC236}">
              <a16:creationId xmlns:a16="http://schemas.microsoft.com/office/drawing/2014/main" id="{00000000-0008-0000-2800-0000301D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0</xdr:col>
      <xdr:colOff>552450</xdr:colOff>
      <xdr:row>3</xdr:row>
      <xdr:rowOff>114300</xdr:rowOff>
    </xdr:to>
    <xdr:pic>
      <xdr:nvPicPr>
        <xdr:cNvPr id="215517" name="Picture 1" descr="LOGO DGI">
          <a:extLst>
            <a:ext uri="{FF2B5EF4-FFF2-40B4-BE49-F238E27FC236}">
              <a16:creationId xmlns:a16="http://schemas.microsoft.com/office/drawing/2014/main" id="{00000000-0008-0000-2900-0000DD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4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</xdr:row>
      <xdr:rowOff>114300</xdr:rowOff>
    </xdr:from>
    <xdr:to>
      <xdr:col>0</xdr:col>
      <xdr:colOff>552450</xdr:colOff>
      <xdr:row>20</xdr:row>
      <xdr:rowOff>114300</xdr:rowOff>
    </xdr:to>
    <xdr:pic>
      <xdr:nvPicPr>
        <xdr:cNvPr id="215518" name="Picture 2" descr="LOGO DGI">
          <a:extLst>
            <a:ext uri="{FF2B5EF4-FFF2-40B4-BE49-F238E27FC236}">
              <a16:creationId xmlns:a16="http://schemas.microsoft.com/office/drawing/2014/main" id="{00000000-0008-0000-2900-0000DE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943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34</xdr:row>
      <xdr:rowOff>114300</xdr:rowOff>
    </xdr:from>
    <xdr:to>
      <xdr:col>0</xdr:col>
      <xdr:colOff>552450</xdr:colOff>
      <xdr:row>37</xdr:row>
      <xdr:rowOff>114300</xdr:rowOff>
    </xdr:to>
    <xdr:pic>
      <xdr:nvPicPr>
        <xdr:cNvPr id="215519" name="Picture 3" descr="LOGO DGI">
          <a:extLst>
            <a:ext uri="{FF2B5EF4-FFF2-40B4-BE49-F238E27FC236}">
              <a16:creationId xmlns:a16="http://schemas.microsoft.com/office/drawing/2014/main" id="{00000000-0008-0000-2900-0000DF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772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51</xdr:row>
      <xdr:rowOff>114300</xdr:rowOff>
    </xdr:from>
    <xdr:to>
      <xdr:col>0</xdr:col>
      <xdr:colOff>552450</xdr:colOff>
      <xdr:row>54</xdr:row>
      <xdr:rowOff>114300</xdr:rowOff>
    </xdr:to>
    <xdr:pic>
      <xdr:nvPicPr>
        <xdr:cNvPr id="215520" name="Picture 4" descr="LOGO DGI">
          <a:extLst>
            <a:ext uri="{FF2B5EF4-FFF2-40B4-BE49-F238E27FC236}">
              <a16:creationId xmlns:a16="http://schemas.microsoft.com/office/drawing/2014/main" id="{00000000-0008-0000-2900-0000E0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601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68</xdr:row>
      <xdr:rowOff>114300</xdr:rowOff>
    </xdr:from>
    <xdr:to>
      <xdr:col>0</xdr:col>
      <xdr:colOff>552450</xdr:colOff>
      <xdr:row>71</xdr:row>
      <xdr:rowOff>114300</xdr:rowOff>
    </xdr:to>
    <xdr:pic>
      <xdr:nvPicPr>
        <xdr:cNvPr id="215521" name="Picture 5" descr="LOGO DGI">
          <a:extLst>
            <a:ext uri="{FF2B5EF4-FFF2-40B4-BE49-F238E27FC236}">
              <a16:creationId xmlns:a16="http://schemas.microsoft.com/office/drawing/2014/main" id="{00000000-0008-0000-2900-0000E1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4300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85</xdr:row>
      <xdr:rowOff>114300</xdr:rowOff>
    </xdr:from>
    <xdr:to>
      <xdr:col>0</xdr:col>
      <xdr:colOff>552450</xdr:colOff>
      <xdr:row>88</xdr:row>
      <xdr:rowOff>114300</xdr:rowOff>
    </xdr:to>
    <xdr:pic>
      <xdr:nvPicPr>
        <xdr:cNvPr id="215522" name="Picture 6" descr="LOGO DGI">
          <a:extLst>
            <a:ext uri="{FF2B5EF4-FFF2-40B4-BE49-F238E27FC236}">
              <a16:creationId xmlns:a16="http://schemas.microsoft.com/office/drawing/2014/main" id="{00000000-0008-0000-2900-0000E2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258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102</xdr:row>
      <xdr:rowOff>114300</xdr:rowOff>
    </xdr:from>
    <xdr:to>
      <xdr:col>0</xdr:col>
      <xdr:colOff>552450</xdr:colOff>
      <xdr:row>105</xdr:row>
      <xdr:rowOff>114300</xdr:rowOff>
    </xdr:to>
    <xdr:pic>
      <xdr:nvPicPr>
        <xdr:cNvPr id="215523" name="Picture 7" descr="LOGO DGI">
          <a:extLst>
            <a:ext uri="{FF2B5EF4-FFF2-40B4-BE49-F238E27FC236}">
              <a16:creationId xmlns:a16="http://schemas.microsoft.com/office/drawing/2014/main" id="{00000000-0008-0000-2900-0000E3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087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119</xdr:row>
      <xdr:rowOff>114300</xdr:rowOff>
    </xdr:from>
    <xdr:to>
      <xdr:col>0</xdr:col>
      <xdr:colOff>552450</xdr:colOff>
      <xdr:row>122</xdr:row>
      <xdr:rowOff>114300</xdr:rowOff>
    </xdr:to>
    <xdr:pic>
      <xdr:nvPicPr>
        <xdr:cNvPr id="215524" name="Picture 8" descr="LOGO DGI">
          <a:extLst>
            <a:ext uri="{FF2B5EF4-FFF2-40B4-BE49-F238E27FC236}">
              <a16:creationId xmlns:a16="http://schemas.microsoft.com/office/drawing/2014/main" id="{00000000-0008-0000-2900-0000E4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916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136</xdr:row>
      <xdr:rowOff>114300</xdr:rowOff>
    </xdr:from>
    <xdr:to>
      <xdr:col>0</xdr:col>
      <xdr:colOff>552450</xdr:colOff>
      <xdr:row>139</xdr:row>
      <xdr:rowOff>114300</xdr:rowOff>
    </xdr:to>
    <xdr:pic>
      <xdr:nvPicPr>
        <xdr:cNvPr id="215525" name="Picture 9" descr="LOGO DGI">
          <a:extLst>
            <a:ext uri="{FF2B5EF4-FFF2-40B4-BE49-F238E27FC236}">
              <a16:creationId xmlns:a16="http://schemas.microsoft.com/office/drawing/2014/main" id="{00000000-0008-0000-2900-0000E5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2745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153</xdr:row>
      <xdr:rowOff>114300</xdr:rowOff>
    </xdr:from>
    <xdr:to>
      <xdr:col>0</xdr:col>
      <xdr:colOff>552450</xdr:colOff>
      <xdr:row>156</xdr:row>
      <xdr:rowOff>114300</xdr:rowOff>
    </xdr:to>
    <xdr:pic>
      <xdr:nvPicPr>
        <xdr:cNvPr id="215526" name="Picture 10" descr="LOGO DGI">
          <a:extLst>
            <a:ext uri="{FF2B5EF4-FFF2-40B4-BE49-F238E27FC236}">
              <a16:creationId xmlns:a16="http://schemas.microsoft.com/office/drawing/2014/main" id="{00000000-0008-0000-2900-0000E6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574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170</xdr:row>
      <xdr:rowOff>114300</xdr:rowOff>
    </xdr:from>
    <xdr:to>
      <xdr:col>0</xdr:col>
      <xdr:colOff>552450</xdr:colOff>
      <xdr:row>173</xdr:row>
      <xdr:rowOff>114300</xdr:rowOff>
    </xdr:to>
    <xdr:pic>
      <xdr:nvPicPr>
        <xdr:cNvPr id="215527" name="Picture 11" descr="LOGO DGI">
          <a:extLst>
            <a:ext uri="{FF2B5EF4-FFF2-40B4-BE49-F238E27FC236}">
              <a16:creationId xmlns:a16="http://schemas.microsoft.com/office/drawing/2014/main" id="{00000000-0008-0000-2900-0000E7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8403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187</xdr:row>
      <xdr:rowOff>114300</xdr:rowOff>
    </xdr:from>
    <xdr:to>
      <xdr:col>0</xdr:col>
      <xdr:colOff>552450</xdr:colOff>
      <xdr:row>190</xdr:row>
      <xdr:rowOff>114300</xdr:rowOff>
    </xdr:to>
    <xdr:pic>
      <xdr:nvPicPr>
        <xdr:cNvPr id="215528" name="Picture 12" descr="LOGO DGI">
          <a:extLst>
            <a:ext uri="{FF2B5EF4-FFF2-40B4-BE49-F238E27FC236}">
              <a16:creationId xmlns:a16="http://schemas.microsoft.com/office/drawing/2014/main" id="{00000000-0008-0000-2900-0000E8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1232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204</xdr:row>
      <xdr:rowOff>114300</xdr:rowOff>
    </xdr:from>
    <xdr:to>
      <xdr:col>0</xdr:col>
      <xdr:colOff>552450</xdr:colOff>
      <xdr:row>207</xdr:row>
      <xdr:rowOff>114300</xdr:rowOff>
    </xdr:to>
    <xdr:pic>
      <xdr:nvPicPr>
        <xdr:cNvPr id="215529" name="Picture 13" descr="LOGO DGI">
          <a:extLst>
            <a:ext uri="{FF2B5EF4-FFF2-40B4-BE49-F238E27FC236}">
              <a16:creationId xmlns:a16="http://schemas.microsoft.com/office/drawing/2014/main" id="{00000000-0008-0000-2900-0000E9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4061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221</xdr:row>
      <xdr:rowOff>114300</xdr:rowOff>
    </xdr:from>
    <xdr:to>
      <xdr:col>0</xdr:col>
      <xdr:colOff>552450</xdr:colOff>
      <xdr:row>224</xdr:row>
      <xdr:rowOff>114300</xdr:rowOff>
    </xdr:to>
    <xdr:pic>
      <xdr:nvPicPr>
        <xdr:cNvPr id="215530" name="Picture 14" descr="LOGO DGI">
          <a:extLst>
            <a:ext uri="{FF2B5EF4-FFF2-40B4-BE49-F238E27FC236}">
              <a16:creationId xmlns:a16="http://schemas.microsoft.com/office/drawing/2014/main" id="{00000000-0008-0000-2900-0000EA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6890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238</xdr:row>
      <xdr:rowOff>114300</xdr:rowOff>
    </xdr:from>
    <xdr:to>
      <xdr:col>0</xdr:col>
      <xdr:colOff>552450</xdr:colOff>
      <xdr:row>241</xdr:row>
      <xdr:rowOff>114300</xdr:rowOff>
    </xdr:to>
    <xdr:pic>
      <xdr:nvPicPr>
        <xdr:cNvPr id="215531" name="Picture 15" descr="LOGO DGI">
          <a:extLst>
            <a:ext uri="{FF2B5EF4-FFF2-40B4-BE49-F238E27FC236}">
              <a16:creationId xmlns:a16="http://schemas.microsoft.com/office/drawing/2014/main" id="{00000000-0008-0000-2900-0000EB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9719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255</xdr:row>
      <xdr:rowOff>114300</xdr:rowOff>
    </xdr:from>
    <xdr:to>
      <xdr:col>0</xdr:col>
      <xdr:colOff>552450</xdr:colOff>
      <xdr:row>258</xdr:row>
      <xdr:rowOff>114300</xdr:rowOff>
    </xdr:to>
    <xdr:pic>
      <xdr:nvPicPr>
        <xdr:cNvPr id="215532" name="Picture 16" descr="LOGO DGI">
          <a:extLst>
            <a:ext uri="{FF2B5EF4-FFF2-40B4-BE49-F238E27FC236}">
              <a16:creationId xmlns:a16="http://schemas.microsoft.com/office/drawing/2014/main" id="{00000000-0008-0000-2900-0000EC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2548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272</xdr:row>
      <xdr:rowOff>114300</xdr:rowOff>
    </xdr:from>
    <xdr:to>
      <xdr:col>0</xdr:col>
      <xdr:colOff>552450</xdr:colOff>
      <xdr:row>275</xdr:row>
      <xdr:rowOff>114300</xdr:rowOff>
    </xdr:to>
    <xdr:pic>
      <xdr:nvPicPr>
        <xdr:cNvPr id="215533" name="Picture 17" descr="LOGO DGI">
          <a:extLst>
            <a:ext uri="{FF2B5EF4-FFF2-40B4-BE49-F238E27FC236}">
              <a16:creationId xmlns:a16="http://schemas.microsoft.com/office/drawing/2014/main" id="{00000000-0008-0000-2900-0000ED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5377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289</xdr:row>
      <xdr:rowOff>114300</xdr:rowOff>
    </xdr:from>
    <xdr:to>
      <xdr:col>0</xdr:col>
      <xdr:colOff>552450</xdr:colOff>
      <xdr:row>292</xdr:row>
      <xdr:rowOff>114300</xdr:rowOff>
    </xdr:to>
    <xdr:pic>
      <xdr:nvPicPr>
        <xdr:cNvPr id="215534" name="Picture 35" descr="LOGO DGI">
          <a:extLst>
            <a:ext uri="{FF2B5EF4-FFF2-40B4-BE49-F238E27FC236}">
              <a16:creationId xmlns:a16="http://schemas.microsoft.com/office/drawing/2014/main" id="{00000000-0008-0000-2900-0000EE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82060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306</xdr:row>
      <xdr:rowOff>114300</xdr:rowOff>
    </xdr:from>
    <xdr:to>
      <xdr:col>0</xdr:col>
      <xdr:colOff>552450</xdr:colOff>
      <xdr:row>309</xdr:row>
      <xdr:rowOff>114300</xdr:rowOff>
    </xdr:to>
    <xdr:pic>
      <xdr:nvPicPr>
        <xdr:cNvPr id="215535" name="Picture 36" descr="LOGO DGI">
          <a:extLst>
            <a:ext uri="{FF2B5EF4-FFF2-40B4-BE49-F238E27FC236}">
              <a16:creationId xmlns:a16="http://schemas.microsoft.com/office/drawing/2014/main" id="{00000000-0008-0000-2900-0000EF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1034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323</xdr:row>
      <xdr:rowOff>114300</xdr:rowOff>
    </xdr:from>
    <xdr:to>
      <xdr:col>0</xdr:col>
      <xdr:colOff>552450</xdr:colOff>
      <xdr:row>326</xdr:row>
      <xdr:rowOff>114300</xdr:rowOff>
    </xdr:to>
    <xdr:pic>
      <xdr:nvPicPr>
        <xdr:cNvPr id="215536" name="Picture 37" descr="LOGO DGI">
          <a:extLst>
            <a:ext uri="{FF2B5EF4-FFF2-40B4-BE49-F238E27FC236}">
              <a16:creationId xmlns:a16="http://schemas.microsoft.com/office/drawing/2014/main" id="{00000000-0008-0000-2900-0000F0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3863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340</xdr:row>
      <xdr:rowOff>114300</xdr:rowOff>
    </xdr:from>
    <xdr:to>
      <xdr:col>0</xdr:col>
      <xdr:colOff>552450</xdr:colOff>
      <xdr:row>343</xdr:row>
      <xdr:rowOff>114300</xdr:rowOff>
    </xdr:to>
    <xdr:pic>
      <xdr:nvPicPr>
        <xdr:cNvPr id="215537" name="Picture 38" descr="LOGO DGI">
          <a:extLst>
            <a:ext uri="{FF2B5EF4-FFF2-40B4-BE49-F238E27FC236}">
              <a16:creationId xmlns:a16="http://schemas.microsoft.com/office/drawing/2014/main" id="{00000000-0008-0000-2900-0000F1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6692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357</xdr:row>
      <xdr:rowOff>114300</xdr:rowOff>
    </xdr:from>
    <xdr:to>
      <xdr:col>0</xdr:col>
      <xdr:colOff>552450</xdr:colOff>
      <xdr:row>360</xdr:row>
      <xdr:rowOff>114300</xdr:rowOff>
    </xdr:to>
    <xdr:pic>
      <xdr:nvPicPr>
        <xdr:cNvPr id="215538" name="Picture 39" descr="LOGO DGI">
          <a:extLst>
            <a:ext uri="{FF2B5EF4-FFF2-40B4-BE49-F238E27FC236}">
              <a16:creationId xmlns:a16="http://schemas.microsoft.com/office/drawing/2014/main" id="{00000000-0008-0000-2900-0000F2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9521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374</xdr:row>
      <xdr:rowOff>114300</xdr:rowOff>
    </xdr:from>
    <xdr:to>
      <xdr:col>0</xdr:col>
      <xdr:colOff>552450</xdr:colOff>
      <xdr:row>377</xdr:row>
      <xdr:rowOff>114300</xdr:rowOff>
    </xdr:to>
    <xdr:pic>
      <xdr:nvPicPr>
        <xdr:cNvPr id="215539" name="Picture 40" descr="LOGO DGI">
          <a:extLst>
            <a:ext uri="{FF2B5EF4-FFF2-40B4-BE49-F238E27FC236}">
              <a16:creationId xmlns:a16="http://schemas.microsoft.com/office/drawing/2014/main" id="{00000000-0008-0000-2900-0000F3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62350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391</xdr:row>
      <xdr:rowOff>114300</xdr:rowOff>
    </xdr:from>
    <xdr:to>
      <xdr:col>0</xdr:col>
      <xdr:colOff>552450</xdr:colOff>
      <xdr:row>394</xdr:row>
      <xdr:rowOff>114300</xdr:rowOff>
    </xdr:to>
    <xdr:pic>
      <xdr:nvPicPr>
        <xdr:cNvPr id="215540" name="Picture 41" descr="LOGO DGI">
          <a:extLst>
            <a:ext uri="{FF2B5EF4-FFF2-40B4-BE49-F238E27FC236}">
              <a16:creationId xmlns:a16="http://schemas.microsoft.com/office/drawing/2014/main" id="{00000000-0008-0000-2900-0000F4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65179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408</xdr:row>
      <xdr:rowOff>114300</xdr:rowOff>
    </xdr:from>
    <xdr:to>
      <xdr:col>0</xdr:col>
      <xdr:colOff>552450</xdr:colOff>
      <xdr:row>411</xdr:row>
      <xdr:rowOff>114300</xdr:rowOff>
    </xdr:to>
    <xdr:pic>
      <xdr:nvPicPr>
        <xdr:cNvPr id="215541" name="Picture 42" descr="LOGO DGI">
          <a:extLst>
            <a:ext uri="{FF2B5EF4-FFF2-40B4-BE49-F238E27FC236}">
              <a16:creationId xmlns:a16="http://schemas.microsoft.com/office/drawing/2014/main" id="{00000000-0008-0000-2900-0000F5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68008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425</xdr:row>
      <xdr:rowOff>114300</xdr:rowOff>
    </xdr:from>
    <xdr:to>
      <xdr:col>0</xdr:col>
      <xdr:colOff>552450</xdr:colOff>
      <xdr:row>428</xdr:row>
      <xdr:rowOff>114300</xdr:rowOff>
    </xdr:to>
    <xdr:pic>
      <xdr:nvPicPr>
        <xdr:cNvPr id="215542" name="Picture 43" descr="LOGO DGI">
          <a:extLst>
            <a:ext uri="{FF2B5EF4-FFF2-40B4-BE49-F238E27FC236}">
              <a16:creationId xmlns:a16="http://schemas.microsoft.com/office/drawing/2014/main" id="{00000000-0008-0000-2900-0000F6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08374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442</xdr:row>
      <xdr:rowOff>114300</xdr:rowOff>
    </xdr:from>
    <xdr:to>
      <xdr:col>0</xdr:col>
      <xdr:colOff>552450</xdr:colOff>
      <xdr:row>445</xdr:row>
      <xdr:rowOff>114300</xdr:rowOff>
    </xdr:to>
    <xdr:pic>
      <xdr:nvPicPr>
        <xdr:cNvPr id="215543" name="Picture 44" descr="LOGO DGI">
          <a:extLst>
            <a:ext uri="{FF2B5EF4-FFF2-40B4-BE49-F238E27FC236}">
              <a16:creationId xmlns:a16="http://schemas.microsoft.com/office/drawing/2014/main" id="{00000000-0008-0000-2900-0000F7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3666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459</xdr:row>
      <xdr:rowOff>114300</xdr:rowOff>
    </xdr:from>
    <xdr:to>
      <xdr:col>0</xdr:col>
      <xdr:colOff>552450</xdr:colOff>
      <xdr:row>462</xdr:row>
      <xdr:rowOff>114300</xdr:rowOff>
    </xdr:to>
    <xdr:pic>
      <xdr:nvPicPr>
        <xdr:cNvPr id="215544" name="Picture 45" descr="LOGO DGI">
          <a:extLst>
            <a:ext uri="{FF2B5EF4-FFF2-40B4-BE49-F238E27FC236}">
              <a16:creationId xmlns:a16="http://schemas.microsoft.com/office/drawing/2014/main" id="{00000000-0008-0000-2900-0000F8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6495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476</xdr:row>
      <xdr:rowOff>114300</xdr:rowOff>
    </xdr:from>
    <xdr:to>
      <xdr:col>0</xdr:col>
      <xdr:colOff>552450</xdr:colOff>
      <xdr:row>479</xdr:row>
      <xdr:rowOff>114300</xdr:rowOff>
    </xdr:to>
    <xdr:pic>
      <xdr:nvPicPr>
        <xdr:cNvPr id="215545" name="Picture 46" descr="LOGO DGI">
          <a:extLst>
            <a:ext uri="{FF2B5EF4-FFF2-40B4-BE49-F238E27FC236}">
              <a16:creationId xmlns:a16="http://schemas.microsoft.com/office/drawing/2014/main" id="{00000000-0008-0000-2900-0000F9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9324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493</xdr:row>
      <xdr:rowOff>114300</xdr:rowOff>
    </xdr:from>
    <xdr:to>
      <xdr:col>0</xdr:col>
      <xdr:colOff>552450</xdr:colOff>
      <xdr:row>496</xdr:row>
      <xdr:rowOff>114300</xdr:rowOff>
    </xdr:to>
    <xdr:pic>
      <xdr:nvPicPr>
        <xdr:cNvPr id="215546" name="Picture 47" descr="LOGO DGI">
          <a:extLst>
            <a:ext uri="{FF2B5EF4-FFF2-40B4-BE49-F238E27FC236}">
              <a16:creationId xmlns:a16="http://schemas.microsoft.com/office/drawing/2014/main" id="{00000000-0008-0000-2900-0000FA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21531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510</xdr:row>
      <xdr:rowOff>114300</xdr:rowOff>
    </xdr:from>
    <xdr:to>
      <xdr:col>0</xdr:col>
      <xdr:colOff>552450</xdr:colOff>
      <xdr:row>513</xdr:row>
      <xdr:rowOff>114300</xdr:rowOff>
    </xdr:to>
    <xdr:pic>
      <xdr:nvPicPr>
        <xdr:cNvPr id="215547" name="Picture 48" descr="LOGO DGI">
          <a:extLst>
            <a:ext uri="{FF2B5EF4-FFF2-40B4-BE49-F238E27FC236}">
              <a16:creationId xmlns:a16="http://schemas.microsoft.com/office/drawing/2014/main" id="{00000000-0008-0000-2900-0000FB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49820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527</xdr:row>
      <xdr:rowOff>114300</xdr:rowOff>
    </xdr:from>
    <xdr:to>
      <xdr:col>0</xdr:col>
      <xdr:colOff>552450</xdr:colOff>
      <xdr:row>530</xdr:row>
      <xdr:rowOff>114300</xdr:rowOff>
    </xdr:to>
    <xdr:pic>
      <xdr:nvPicPr>
        <xdr:cNvPr id="215548" name="Picture 49" descr="LOGO DGI">
          <a:extLst>
            <a:ext uri="{FF2B5EF4-FFF2-40B4-BE49-F238E27FC236}">
              <a16:creationId xmlns:a16="http://schemas.microsoft.com/office/drawing/2014/main" id="{00000000-0008-0000-2900-0000FC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7810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544</xdr:row>
      <xdr:rowOff>114300</xdr:rowOff>
    </xdr:from>
    <xdr:to>
      <xdr:col>0</xdr:col>
      <xdr:colOff>552450</xdr:colOff>
      <xdr:row>547</xdr:row>
      <xdr:rowOff>114300</xdr:rowOff>
    </xdr:to>
    <xdr:pic>
      <xdr:nvPicPr>
        <xdr:cNvPr id="215549" name="Picture 50" descr="LOGO DGI">
          <a:extLst>
            <a:ext uri="{FF2B5EF4-FFF2-40B4-BE49-F238E27FC236}">
              <a16:creationId xmlns:a16="http://schemas.microsoft.com/office/drawing/2014/main" id="{00000000-0008-0000-2900-0000FD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0639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561</xdr:row>
      <xdr:rowOff>114300</xdr:rowOff>
    </xdr:from>
    <xdr:to>
      <xdr:col>0</xdr:col>
      <xdr:colOff>552450</xdr:colOff>
      <xdr:row>564</xdr:row>
      <xdr:rowOff>114300</xdr:rowOff>
    </xdr:to>
    <xdr:pic>
      <xdr:nvPicPr>
        <xdr:cNvPr id="215550" name="Picture 55" descr="LOGO DGI">
          <a:extLst>
            <a:ext uri="{FF2B5EF4-FFF2-40B4-BE49-F238E27FC236}">
              <a16:creationId xmlns:a16="http://schemas.microsoft.com/office/drawing/2014/main" id="{00000000-0008-0000-2900-0000FE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3468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578</xdr:row>
      <xdr:rowOff>114300</xdr:rowOff>
    </xdr:from>
    <xdr:to>
      <xdr:col>0</xdr:col>
      <xdr:colOff>552450</xdr:colOff>
      <xdr:row>581</xdr:row>
      <xdr:rowOff>114300</xdr:rowOff>
    </xdr:to>
    <xdr:pic>
      <xdr:nvPicPr>
        <xdr:cNvPr id="215551" name="Picture 56" descr="LOGO DGI">
          <a:extLst>
            <a:ext uri="{FF2B5EF4-FFF2-40B4-BE49-F238E27FC236}">
              <a16:creationId xmlns:a16="http://schemas.microsoft.com/office/drawing/2014/main" id="{00000000-0008-0000-2900-0000FF49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6297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595</xdr:row>
      <xdr:rowOff>114300</xdr:rowOff>
    </xdr:from>
    <xdr:to>
      <xdr:col>0</xdr:col>
      <xdr:colOff>552450</xdr:colOff>
      <xdr:row>598</xdr:row>
      <xdr:rowOff>114300</xdr:rowOff>
    </xdr:to>
    <xdr:pic>
      <xdr:nvPicPr>
        <xdr:cNvPr id="215552" name="Picture 57" descr="LOGO DGI">
          <a:extLst>
            <a:ext uri="{FF2B5EF4-FFF2-40B4-BE49-F238E27FC236}">
              <a16:creationId xmlns:a16="http://schemas.microsoft.com/office/drawing/2014/main" id="{00000000-0008-0000-2900-000000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9126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612</xdr:row>
      <xdr:rowOff>114300</xdr:rowOff>
    </xdr:from>
    <xdr:to>
      <xdr:col>0</xdr:col>
      <xdr:colOff>552450</xdr:colOff>
      <xdr:row>615</xdr:row>
      <xdr:rowOff>114300</xdr:rowOff>
    </xdr:to>
    <xdr:pic>
      <xdr:nvPicPr>
        <xdr:cNvPr id="215553" name="Picture 58" descr="LOGO DGI">
          <a:extLst>
            <a:ext uri="{FF2B5EF4-FFF2-40B4-BE49-F238E27FC236}">
              <a16:creationId xmlns:a16="http://schemas.microsoft.com/office/drawing/2014/main" id="{00000000-0008-0000-2900-000001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1955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629</xdr:row>
      <xdr:rowOff>114300</xdr:rowOff>
    </xdr:from>
    <xdr:to>
      <xdr:col>0</xdr:col>
      <xdr:colOff>552450</xdr:colOff>
      <xdr:row>632</xdr:row>
      <xdr:rowOff>114300</xdr:rowOff>
    </xdr:to>
    <xdr:pic>
      <xdr:nvPicPr>
        <xdr:cNvPr id="215554" name="Picture 59" descr="LOGO DGI">
          <a:extLst>
            <a:ext uri="{FF2B5EF4-FFF2-40B4-BE49-F238E27FC236}">
              <a16:creationId xmlns:a16="http://schemas.microsoft.com/office/drawing/2014/main" id="{00000000-0008-0000-2900-000002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4784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646</xdr:row>
      <xdr:rowOff>114300</xdr:rowOff>
    </xdr:from>
    <xdr:to>
      <xdr:col>0</xdr:col>
      <xdr:colOff>552450</xdr:colOff>
      <xdr:row>649</xdr:row>
      <xdr:rowOff>114300</xdr:rowOff>
    </xdr:to>
    <xdr:pic>
      <xdr:nvPicPr>
        <xdr:cNvPr id="215555" name="Picture 60" descr="LOGO DGI">
          <a:extLst>
            <a:ext uri="{FF2B5EF4-FFF2-40B4-BE49-F238E27FC236}">
              <a16:creationId xmlns:a16="http://schemas.microsoft.com/office/drawing/2014/main" id="{00000000-0008-0000-2900-000003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7613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731</xdr:row>
      <xdr:rowOff>114300</xdr:rowOff>
    </xdr:from>
    <xdr:to>
      <xdr:col>0</xdr:col>
      <xdr:colOff>552450</xdr:colOff>
      <xdr:row>734</xdr:row>
      <xdr:rowOff>114300</xdr:rowOff>
    </xdr:to>
    <xdr:pic>
      <xdr:nvPicPr>
        <xdr:cNvPr id="215556" name="Picture 61" descr="LOGO DGI">
          <a:extLst>
            <a:ext uri="{FF2B5EF4-FFF2-40B4-BE49-F238E27FC236}">
              <a16:creationId xmlns:a16="http://schemas.microsoft.com/office/drawing/2014/main" id="{00000000-0008-0000-2900-000004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1758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748</xdr:row>
      <xdr:rowOff>114300</xdr:rowOff>
    </xdr:from>
    <xdr:to>
      <xdr:col>0</xdr:col>
      <xdr:colOff>552450</xdr:colOff>
      <xdr:row>751</xdr:row>
      <xdr:rowOff>114300</xdr:rowOff>
    </xdr:to>
    <xdr:pic>
      <xdr:nvPicPr>
        <xdr:cNvPr id="215557" name="Picture 62" descr="LOGO DGI">
          <a:extLst>
            <a:ext uri="{FF2B5EF4-FFF2-40B4-BE49-F238E27FC236}">
              <a16:creationId xmlns:a16="http://schemas.microsoft.com/office/drawing/2014/main" id="{00000000-0008-0000-2900-000005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45870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765</xdr:row>
      <xdr:rowOff>114300</xdr:rowOff>
    </xdr:from>
    <xdr:to>
      <xdr:col>0</xdr:col>
      <xdr:colOff>552450</xdr:colOff>
      <xdr:row>768</xdr:row>
      <xdr:rowOff>114300</xdr:rowOff>
    </xdr:to>
    <xdr:pic>
      <xdr:nvPicPr>
        <xdr:cNvPr id="215558" name="Picture 63" descr="LOGO DGI">
          <a:extLst>
            <a:ext uri="{FF2B5EF4-FFF2-40B4-BE49-F238E27FC236}">
              <a16:creationId xmlns:a16="http://schemas.microsoft.com/office/drawing/2014/main" id="{00000000-0008-0000-2900-000006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7415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782</xdr:row>
      <xdr:rowOff>114300</xdr:rowOff>
    </xdr:from>
    <xdr:to>
      <xdr:col>0</xdr:col>
      <xdr:colOff>552450</xdr:colOff>
      <xdr:row>785</xdr:row>
      <xdr:rowOff>114300</xdr:rowOff>
    </xdr:to>
    <xdr:pic>
      <xdr:nvPicPr>
        <xdr:cNvPr id="215559" name="Picture 64" descr="LOGO DGI">
          <a:extLst>
            <a:ext uri="{FF2B5EF4-FFF2-40B4-BE49-F238E27FC236}">
              <a16:creationId xmlns:a16="http://schemas.microsoft.com/office/drawing/2014/main" id="{00000000-0008-0000-2900-000007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0244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799</xdr:row>
      <xdr:rowOff>114300</xdr:rowOff>
    </xdr:from>
    <xdr:to>
      <xdr:col>0</xdr:col>
      <xdr:colOff>552450</xdr:colOff>
      <xdr:row>802</xdr:row>
      <xdr:rowOff>114300</xdr:rowOff>
    </xdr:to>
    <xdr:pic>
      <xdr:nvPicPr>
        <xdr:cNvPr id="215560" name="Picture 65" descr="LOGO DGI">
          <a:extLst>
            <a:ext uri="{FF2B5EF4-FFF2-40B4-BE49-F238E27FC236}">
              <a16:creationId xmlns:a16="http://schemas.microsoft.com/office/drawing/2014/main" id="{00000000-0008-0000-2900-000008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3073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816</xdr:row>
      <xdr:rowOff>114300</xdr:rowOff>
    </xdr:from>
    <xdr:to>
      <xdr:col>0</xdr:col>
      <xdr:colOff>552450</xdr:colOff>
      <xdr:row>819</xdr:row>
      <xdr:rowOff>114300</xdr:rowOff>
    </xdr:to>
    <xdr:pic>
      <xdr:nvPicPr>
        <xdr:cNvPr id="215561" name="Picture 66" descr="LOGO DGI">
          <a:extLst>
            <a:ext uri="{FF2B5EF4-FFF2-40B4-BE49-F238E27FC236}">
              <a16:creationId xmlns:a16="http://schemas.microsoft.com/office/drawing/2014/main" id="{00000000-0008-0000-2900-000009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5902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833</xdr:row>
      <xdr:rowOff>114300</xdr:rowOff>
    </xdr:from>
    <xdr:to>
      <xdr:col>0</xdr:col>
      <xdr:colOff>552450</xdr:colOff>
      <xdr:row>836</xdr:row>
      <xdr:rowOff>114300</xdr:rowOff>
    </xdr:to>
    <xdr:pic>
      <xdr:nvPicPr>
        <xdr:cNvPr id="215562" name="Picture 67" descr="LOGO DGI">
          <a:extLst>
            <a:ext uri="{FF2B5EF4-FFF2-40B4-BE49-F238E27FC236}">
              <a16:creationId xmlns:a16="http://schemas.microsoft.com/office/drawing/2014/main" id="{00000000-0008-0000-2900-00000A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8731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850</xdr:row>
      <xdr:rowOff>114300</xdr:rowOff>
    </xdr:from>
    <xdr:to>
      <xdr:col>0</xdr:col>
      <xdr:colOff>552450</xdr:colOff>
      <xdr:row>853</xdr:row>
      <xdr:rowOff>114300</xdr:rowOff>
    </xdr:to>
    <xdr:pic>
      <xdr:nvPicPr>
        <xdr:cNvPr id="215563" name="Picture 68" descr="LOGO DGI">
          <a:extLst>
            <a:ext uri="{FF2B5EF4-FFF2-40B4-BE49-F238E27FC236}">
              <a16:creationId xmlns:a16="http://schemas.microsoft.com/office/drawing/2014/main" id="{00000000-0008-0000-2900-00000B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1560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867</xdr:row>
      <xdr:rowOff>114300</xdr:rowOff>
    </xdr:from>
    <xdr:to>
      <xdr:col>0</xdr:col>
      <xdr:colOff>552450</xdr:colOff>
      <xdr:row>870</xdr:row>
      <xdr:rowOff>114300</xdr:rowOff>
    </xdr:to>
    <xdr:pic>
      <xdr:nvPicPr>
        <xdr:cNvPr id="215564" name="Picture 69" descr="LOGO DGI">
          <a:extLst>
            <a:ext uri="{FF2B5EF4-FFF2-40B4-BE49-F238E27FC236}">
              <a16:creationId xmlns:a16="http://schemas.microsoft.com/office/drawing/2014/main" id="{00000000-0008-0000-2900-00000C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4389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884</xdr:row>
      <xdr:rowOff>114300</xdr:rowOff>
    </xdr:from>
    <xdr:to>
      <xdr:col>0</xdr:col>
      <xdr:colOff>552450</xdr:colOff>
      <xdr:row>887</xdr:row>
      <xdr:rowOff>114300</xdr:rowOff>
    </xdr:to>
    <xdr:pic>
      <xdr:nvPicPr>
        <xdr:cNvPr id="215565" name="Picture 70" descr="LOGO DGI">
          <a:extLst>
            <a:ext uri="{FF2B5EF4-FFF2-40B4-BE49-F238E27FC236}">
              <a16:creationId xmlns:a16="http://schemas.microsoft.com/office/drawing/2014/main" id="{00000000-0008-0000-2900-00000D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7218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901</xdr:row>
      <xdr:rowOff>114300</xdr:rowOff>
    </xdr:from>
    <xdr:to>
      <xdr:col>0</xdr:col>
      <xdr:colOff>552450</xdr:colOff>
      <xdr:row>904</xdr:row>
      <xdr:rowOff>114300</xdr:rowOff>
    </xdr:to>
    <xdr:pic>
      <xdr:nvPicPr>
        <xdr:cNvPr id="215566" name="Picture 71" descr="LOGO DGI">
          <a:extLst>
            <a:ext uri="{FF2B5EF4-FFF2-40B4-BE49-F238E27FC236}">
              <a16:creationId xmlns:a16="http://schemas.microsoft.com/office/drawing/2014/main" id="{00000000-0008-0000-2900-00000E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0047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918</xdr:row>
      <xdr:rowOff>114300</xdr:rowOff>
    </xdr:from>
    <xdr:to>
      <xdr:col>0</xdr:col>
      <xdr:colOff>552450</xdr:colOff>
      <xdr:row>921</xdr:row>
      <xdr:rowOff>114300</xdr:rowOff>
    </xdr:to>
    <xdr:pic>
      <xdr:nvPicPr>
        <xdr:cNvPr id="215567" name="Picture 72" descr="LOGO DGI">
          <a:extLst>
            <a:ext uri="{FF2B5EF4-FFF2-40B4-BE49-F238E27FC236}">
              <a16:creationId xmlns:a16="http://schemas.microsoft.com/office/drawing/2014/main" id="{00000000-0008-0000-2900-00000F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2876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969</xdr:row>
      <xdr:rowOff>114300</xdr:rowOff>
    </xdr:from>
    <xdr:to>
      <xdr:col>0</xdr:col>
      <xdr:colOff>552450</xdr:colOff>
      <xdr:row>972</xdr:row>
      <xdr:rowOff>114300</xdr:rowOff>
    </xdr:to>
    <xdr:pic>
      <xdr:nvPicPr>
        <xdr:cNvPr id="215568" name="Picture 73" descr="LOGO DGI">
          <a:extLst>
            <a:ext uri="{FF2B5EF4-FFF2-40B4-BE49-F238E27FC236}">
              <a16:creationId xmlns:a16="http://schemas.microsoft.com/office/drawing/2014/main" id="{00000000-0008-0000-2900-000010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13630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986</xdr:row>
      <xdr:rowOff>114300</xdr:rowOff>
    </xdr:from>
    <xdr:to>
      <xdr:col>0</xdr:col>
      <xdr:colOff>552450</xdr:colOff>
      <xdr:row>989</xdr:row>
      <xdr:rowOff>114300</xdr:rowOff>
    </xdr:to>
    <xdr:pic>
      <xdr:nvPicPr>
        <xdr:cNvPr id="215569" name="Picture 74" descr="LOGO DGI">
          <a:extLst>
            <a:ext uri="{FF2B5EF4-FFF2-40B4-BE49-F238E27FC236}">
              <a16:creationId xmlns:a16="http://schemas.microsoft.com/office/drawing/2014/main" id="{00000000-0008-0000-2900-000011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4191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1003</xdr:row>
      <xdr:rowOff>114300</xdr:rowOff>
    </xdr:from>
    <xdr:to>
      <xdr:col>0</xdr:col>
      <xdr:colOff>552450</xdr:colOff>
      <xdr:row>1006</xdr:row>
      <xdr:rowOff>114300</xdr:rowOff>
    </xdr:to>
    <xdr:pic>
      <xdr:nvPicPr>
        <xdr:cNvPr id="215570" name="Picture 75" descr="LOGO DGI">
          <a:extLst>
            <a:ext uri="{FF2B5EF4-FFF2-40B4-BE49-F238E27FC236}">
              <a16:creationId xmlns:a16="http://schemas.microsoft.com/office/drawing/2014/main" id="{00000000-0008-0000-2900-000012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7020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1020</xdr:row>
      <xdr:rowOff>114300</xdr:rowOff>
    </xdr:from>
    <xdr:to>
      <xdr:col>0</xdr:col>
      <xdr:colOff>552450</xdr:colOff>
      <xdr:row>1023</xdr:row>
      <xdr:rowOff>114300</xdr:rowOff>
    </xdr:to>
    <xdr:pic>
      <xdr:nvPicPr>
        <xdr:cNvPr id="215571" name="Picture 76" descr="LOGO DGI">
          <a:extLst>
            <a:ext uri="{FF2B5EF4-FFF2-40B4-BE49-F238E27FC236}">
              <a16:creationId xmlns:a16="http://schemas.microsoft.com/office/drawing/2014/main" id="{00000000-0008-0000-2900-000013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69849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1037</xdr:row>
      <xdr:rowOff>114300</xdr:rowOff>
    </xdr:from>
    <xdr:to>
      <xdr:col>0</xdr:col>
      <xdr:colOff>552450</xdr:colOff>
      <xdr:row>1040</xdr:row>
      <xdr:rowOff>114300</xdr:rowOff>
    </xdr:to>
    <xdr:pic>
      <xdr:nvPicPr>
        <xdr:cNvPr id="215572" name="Picture 77" descr="LOGO DGI">
          <a:extLst>
            <a:ext uri="{FF2B5EF4-FFF2-40B4-BE49-F238E27FC236}">
              <a16:creationId xmlns:a16="http://schemas.microsoft.com/office/drawing/2014/main" id="{00000000-0008-0000-2900-000014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2678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1054</xdr:row>
      <xdr:rowOff>114300</xdr:rowOff>
    </xdr:from>
    <xdr:to>
      <xdr:col>0</xdr:col>
      <xdr:colOff>552450</xdr:colOff>
      <xdr:row>1057</xdr:row>
      <xdr:rowOff>114300</xdr:rowOff>
    </xdr:to>
    <xdr:pic>
      <xdr:nvPicPr>
        <xdr:cNvPr id="215573" name="Picture 78" descr="LOGO DGI">
          <a:extLst>
            <a:ext uri="{FF2B5EF4-FFF2-40B4-BE49-F238E27FC236}">
              <a16:creationId xmlns:a16="http://schemas.microsoft.com/office/drawing/2014/main" id="{00000000-0008-0000-2900-000015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5507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1071</xdr:row>
      <xdr:rowOff>114300</xdr:rowOff>
    </xdr:from>
    <xdr:to>
      <xdr:col>0</xdr:col>
      <xdr:colOff>552450</xdr:colOff>
      <xdr:row>1074</xdr:row>
      <xdr:rowOff>114300</xdr:rowOff>
    </xdr:to>
    <xdr:pic>
      <xdr:nvPicPr>
        <xdr:cNvPr id="215574" name="Picture 79" descr="LOGO DGI">
          <a:extLst>
            <a:ext uri="{FF2B5EF4-FFF2-40B4-BE49-F238E27FC236}">
              <a16:creationId xmlns:a16="http://schemas.microsoft.com/office/drawing/2014/main" id="{00000000-0008-0000-2900-000016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8336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1088</xdr:row>
      <xdr:rowOff>114300</xdr:rowOff>
    </xdr:from>
    <xdr:to>
      <xdr:col>0</xdr:col>
      <xdr:colOff>552450</xdr:colOff>
      <xdr:row>1091</xdr:row>
      <xdr:rowOff>114300</xdr:rowOff>
    </xdr:to>
    <xdr:pic>
      <xdr:nvPicPr>
        <xdr:cNvPr id="215575" name="Picture 80" descr="LOGO DGI">
          <a:extLst>
            <a:ext uri="{FF2B5EF4-FFF2-40B4-BE49-F238E27FC236}">
              <a16:creationId xmlns:a16="http://schemas.microsoft.com/office/drawing/2014/main" id="{00000000-0008-0000-2900-000017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811655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1105</xdr:row>
      <xdr:rowOff>114300</xdr:rowOff>
    </xdr:from>
    <xdr:to>
      <xdr:col>0</xdr:col>
      <xdr:colOff>552450</xdr:colOff>
      <xdr:row>1108</xdr:row>
      <xdr:rowOff>114300</xdr:rowOff>
    </xdr:to>
    <xdr:pic>
      <xdr:nvPicPr>
        <xdr:cNvPr id="215576" name="Picture 81" descr="LOGO DGI">
          <a:extLst>
            <a:ext uri="{FF2B5EF4-FFF2-40B4-BE49-F238E27FC236}">
              <a16:creationId xmlns:a16="http://schemas.microsoft.com/office/drawing/2014/main" id="{00000000-0008-0000-2900-000018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839944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1122</xdr:row>
      <xdr:rowOff>114300</xdr:rowOff>
    </xdr:from>
    <xdr:to>
      <xdr:col>0</xdr:col>
      <xdr:colOff>552450</xdr:colOff>
      <xdr:row>1125</xdr:row>
      <xdr:rowOff>114300</xdr:rowOff>
    </xdr:to>
    <xdr:pic>
      <xdr:nvPicPr>
        <xdr:cNvPr id="215577" name="Picture 82" descr="LOGO DGI">
          <a:extLst>
            <a:ext uri="{FF2B5EF4-FFF2-40B4-BE49-F238E27FC236}">
              <a16:creationId xmlns:a16="http://schemas.microsoft.com/office/drawing/2014/main" id="{00000000-0008-0000-2900-000019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868233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1190</xdr:row>
      <xdr:rowOff>114300</xdr:rowOff>
    </xdr:from>
    <xdr:to>
      <xdr:col>0</xdr:col>
      <xdr:colOff>552450</xdr:colOff>
      <xdr:row>1193</xdr:row>
      <xdr:rowOff>114300</xdr:rowOff>
    </xdr:to>
    <xdr:pic>
      <xdr:nvPicPr>
        <xdr:cNvPr id="215578" name="Picture 83" descr="LOGO DGI">
          <a:extLst>
            <a:ext uri="{FF2B5EF4-FFF2-40B4-BE49-F238E27FC236}">
              <a16:creationId xmlns:a16="http://schemas.microsoft.com/office/drawing/2014/main" id="{00000000-0008-0000-2900-00001A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81390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1207</xdr:row>
      <xdr:rowOff>114300</xdr:rowOff>
    </xdr:from>
    <xdr:to>
      <xdr:col>0</xdr:col>
      <xdr:colOff>552450</xdr:colOff>
      <xdr:row>1210</xdr:row>
      <xdr:rowOff>114300</xdr:rowOff>
    </xdr:to>
    <xdr:pic>
      <xdr:nvPicPr>
        <xdr:cNvPr id="215579" name="Picture 84" descr="LOGO DGI">
          <a:extLst>
            <a:ext uri="{FF2B5EF4-FFF2-40B4-BE49-F238E27FC236}">
              <a16:creationId xmlns:a16="http://schemas.microsoft.com/office/drawing/2014/main" id="{00000000-0008-0000-2900-00001B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009679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1224</xdr:row>
      <xdr:rowOff>114300</xdr:rowOff>
    </xdr:from>
    <xdr:to>
      <xdr:col>0</xdr:col>
      <xdr:colOff>552450</xdr:colOff>
      <xdr:row>1227</xdr:row>
      <xdr:rowOff>114300</xdr:rowOff>
    </xdr:to>
    <xdr:pic>
      <xdr:nvPicPr>
        <xdr:cNvPr id="215580" name="Picture 85" descr="LOGO DGI">
          <a:extLst>
            <a:ext uri="{FF2B5EF4-FFF2-40B4-BE49-F238E27FC236}">
              <a16:creationId xmlns:a16="http://schemas.microsoft.com/office/drawing/2014/main" id="{00000000-0008-0000-2900-00001C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037969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1241</xdr:row>
      <xdr:rowOff>114300</xdr:rowOff>
    </xdr:from>
    <xdr:to>
      <xdr:col>0</xdr:col>
      <xdr:colOff>552450</xdr:colOff>
      <xdr:row>1244</xdr:row>
      <xdr:rowOff>114300</xdr:rowOff>
    </xdr:to>
    <xdr:pic>
      <xdr:nvPicPr>
        <xdr:cNvPr id="215581" name="Picture 86" descr="LOGO DGI">
          <a:extLst>
            <a:ext uri="{FF2B5EF4-FFF2-40B4-BE49-F238E27FC236}">
              <a16:creationId xmlns:a16="http://schemas.microsoft.com/office/drawing/2014/main" id="{00000000-0008-0000-2900-00001D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066258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1258</xdr:row>
      <xdr:rowOff>114300</xdr:rowOff>
    </xdr:from>
    <xdr:to>
      <xdr:col>0</xdr:col>
      <xdr:colOff>552450</xdr:colOff>
      <xdr:row>1261</xdr:row>
      <xdr:rowOff>114300</xdr:rowOff>
    </xdr:to>
    <xdr:pic>
      <xdr:nvPicPr>
        <xdr:cNvPr id="215582" name="Picture 87" descr="LOGO DGI">
          <a:extLst>
            <a:ext uri="{FF2B5EF4-FFF2-40B4-BE49-F238E27FC236}">
              <a16:creationId xmlns:a16="http://schemas.microsoft.com/office/drawing/2014/main" id="{00000000-0008-0000-2900-00001E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094547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1275</xdr:row>
      <xdr:rowOff>114300</xdr:rowOff>
    </xdr:from>
    <xdr:to>
      <xdr:col>0</xdr:col>
      <xdr:colOff>552450</xdr:colOff>
      <xdr:row>1278</xdr:row>
      <xdr:rowOff>114300</xdr:rowOff>
    </xdr:to>
    <xdr:pic>
      <xdr:nvPicPr>
        <xdr:cNvPr id="215583" name="Picture 88" descr="LOGO DGI">
          <a:extLst>
            <a:ext uri="{FF2B5EF4-FFF2-40B4-BE49-F238E27FC236}">
              <a16:creationId xmlns:a16="http://schemas.microsoft.com/office/drawing/2014/main" id="{00000000-0008-0000-2900-00001F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122836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1292</xdr:row>
      <xdr:rowOff>114300</xdr:rowOff>
    </xdr:from>
    <xdr:to>
      <xdr:col>0</xdr:col>
      <xdr:colOff>552450</xdr:colOff>
      <xdr:row>1295</xdr:row>
      <xdr:rowOff>114300</xdr:rowOff>
    </xdr:to>
    <xdr:pic>
      <xdr:nvPicPr>
        <xdr:cNvPr id="215584" name="Picture 89" descr="LOGO DGI">
          <a:extLst>
            <a:ext uri="{FF2B5EF4-FFF2-40B4-BE49-F238E27FC236}">
              <a16:creationId xmlns:a16="http://schemas.microsoft.com/office/drawing/2014/main" id="{00000000-0008-0000-2900-000020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151126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1309</xdr:row>
      <xdr:rowOff>114300</xdr:rowOff>
    </xdr:from>
    <xdr:to>
      <xdr:col>0</xdr:col>
      <xdr:colOff>552450</xdr:colOff>
      <xdr:row>1312</xdr:row>
      <xdr:rowOff>114300</xdr:rowOff>
    </xdr:to>
    <xdr:pic>
      <xdr:nvPicPr>
        <xdr:cNvPr id="215585" name="Picture 90" descr="LOGO DGI">
          <a:extLst>
            <a:ext uri="{FF2B5EF4-FFF2-40B4-BE49-F238E27FC236}">
              <a16:creationId xmlns:a16="http://schemas.microsoft.com/office/drawing/2014/main" id="{00000000-0008-0000-2900-000021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179415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1326</xdr:row>
      <xdr:rowOff>114300</xdr:rowOff>
    </xdr:from>
    <xdr:to>
      <xdr:col>0</xdr:col>
      <xdr:colOff>552450</xdr:colOff>
      <xdr:row>1329</xdr:row>
      <xdr:rowOff>114300</xdr:rowOff>
    </xdr:to>
    <xdr:pic>
      <xdr:nvPicPr>
        <xdr:cNvPr id="215586" name="Picture 91" descr="LOGO DGI">
          <a:extLst>
            <a:ext uri="{FF2B5EF4-FFF2-40B4-BE49-F238E27FC236}">
              <a16:creationId xmlns:a16="http://schemas.microsoft.com/office/drawing/2014/main" id="{00000000-0008-0000-2900-000022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207704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1343</xdr:row>
      <xdr:rowOff>114300</xdr:rowOff>
    </xdr:from>
    <xdr:to>
      <xdr:col>0</xdr:col>
      <xdr:colOff>552450</xdr:colOff>
      <xdr:row>1346</xdr:row>
      <xdr:rowOff>114300</xdr:rowOff>
    </xdr:to>
    <xdr:pic>
      <xdr:nvPicPr>
        <xdr:cNvPr id="215587" name="Picture 92" descr="LOGO DGI">
          <a:extLst>
            <a:ext uri="{FF2B5EF4-FFF2-40B4-BE49-F238E27FC236}">
              <a16:creationId xmlns:a16="http://schemas.microsoft.com/office/drawing/2014/main" id="{00000000-0008-0000-2900-000023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23599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1360</xdr:row>
      <xdr:rowOff>114300</xdr:rowOff>
    </xdr:from>
    <xdr:to>
      <xdr:col>0</xdr:col>
      <xdr:colOff>552450</xdr:colOff>
      <xdr:row>1363</xdr:row>
      <xdr:rowOff>114300</xdr:rowOff>
    </xdr:to>
    <xdr:pic>
      <xdr:nvPicPr>
        <xdr:cNvPr id="215588" name="Picture 93" descr="LOGO DGI">
          <a:extLst>
            <a:ext uri="{FF2B5EF4-FFF2-40B4-BE49-F238E27FC236}">
              <a16:creationId xmlns:a16="http://schemas.microsoft.com/office/drawing/2014/main" id="{00000000-0008-0000-2900-000024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26428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1377</xdr:row>
      <xdr:rowOff>114300</xdr:rowOff>
    </xdr:from>
    <xdr:to>
      <xdr:col>0</xdr:col>
      <xdr:colOff>552450</xdr:colOff>
      <xdr:row>1380</xdr:row>
      <xdr:rowOff>114300</xdr:rowOff>
    </xdr:to>
    <xdr:pic>
      <xdr:nvPicPr>
        <xdr:cNvPr id="215589" name="Picture 94" descr="LOGO DGI">
          <a:extLst>
            <a:ext uri="{FF2B5EF4-FFF2-40B4-BE49-F238E27FC236}">
              <a16:creationId xmlns:a16="http://schemas.microsoft.com/office/drawing/2014/main" id="{00000000-0008-0000-2900-000025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29257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1394</xdr:row>
      <xdr:rowOff>114300</xdr:rowOff>
    </xdr:from>
    <xdr:to>
      <xdr:col>0</xdr:col>
      <xdr:colOff>552450</xdr:colOff>
      <xdr:row>1397</xdr:row>
      <xdr:rowOff>114300</xdr:rowOff>
    </xdr:to>
    <xdr:pic>
      <xdr:nvPicPr>
        <xdr:cNvPr id="215590" name="Picture 95" descr="LOGO DGI">
          <a:extLst>
            <a:ext uri="{FF2B5EF4-FFF2-40B4-BE49-F238E27FC236}">
              <a16:creationId xmlns:a16="http://schemas.microsoft.com/office/drawing/2014/main" id="{00000000-0008-0000-2900-000026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320861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1411</xdr:row>
      <xdr:rowOff>114300</xdr:rowOff>
    </xdr:from>
    <xdr:to>
      <xdr:col>0</xdr:col>
      <xdr:colOff>552450</xdr:colOff>
      <xdr:row>1414</xdr:row>
      <xdr:rowOff>114300</xdr:rowOff>
    </xdr:to>
    <xdr:pic>
      <xdr:nvPicPr>
        <xdr:cNvPr id="215591" name="Picture 96" descr="LOGO DGI">
          <a:extLst>
            <a:ext uri="{FF2B5EF4-FFF2-40B4-BE49-F238E27FC236}">
              <a16:creationId xmlns:a16="http://schemas.microsoft.com/office/drawing/2014/main" id="{00000000-0008-0000-2900-000027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349150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1428</xdr:row>
      <xdr:rowOff>114300</xdr:rowOff>
    </xdr:from>
    <xdr:to>
      <xdr:col>0</xdr:col>
      <xdr:colOff>552450</xdr:colOff>
      <xdr:row>1431</xdr:row>
      <xdr:rowOff>114300</xdr:rowOff>
    </xdr:to>
    <xdr:pic>
      <xdr:nvPicPr>
        <xdr:cNvPr id="215592" name="Picture 97" descr="LOGO DGI">
          <a:extLst>
            <a:ext uri="{FF2B5EF4-FFF2-40B4-BE49-F238E27FC236}">
              <a16:creationId xmlns:a16="http://schemas.microsoft.com/office/drawing/2014/main" id="{00000000-0008-0000-2900-000028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377440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1445</xdr:row>
      <xdr:rowOff>114300</xdr:rowOff>
    </xdr:from>
    <xdr:to>
      <xdr:col>0</xdr:col>
      <xdr:colOff>552450</xdr:colOff>
      <xdr:row>1448</xdr:row>
      <xdr:rowOff>114300</xdr:rowOff>
    </xdr:to>
    <xdr:pic>
      <xdr:nvPicPr>
        <xdr:cNvPr id="215593" name="Picture 98" descr="LOGO DGI">
          <a:extLst>
            <a:ext uri="{FF2B5EF4-FFF2-40B4-BE49-F238E27FC236}">
              <a16:creationId xmlns:a16="http://schemas.microsoft.com/office/drawing/2014/main" id="{00000000-0008-0000-2900-000029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405729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1462</xdr:row>
      <xdr:rowOff>114300</xdr:rowOff>
    </xdr:from>
    <xdr:to>
      <xdr:col>0</xdr:col>
      <xdr:colOff>552450</xdr:colOff>
      <xdr:row>1465</xdr:row>
      <xdr:rowOff>114300</xdr:rowOff>
    </xdr:to>
    <xdr:pic>
      <xdr:nvPicPr>
        <xdr:cNvPr id="215594" name="Picture 99" descr="LOGO DGI">
          <a:extLst>
            <a:ext uri="{FF2B5EF4-FFF2-40B4-BE49-F238E27FC236}">
              <a16:creationId xmlns:a16="http://schemas.microsoft.com/office/drawing/2014/main" id="{00000000-0008-0000-2900-00002A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434018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1479</xdr:row>
      <xdr:rowOff>114300</xdr:rowOff>
    </xdr:from>
    <xdr:to>
      <xdr:col>0</xdr:col>
      <xdr:colOff>552450</xdr:colOff>
      <xdr:row>1482</xdr:row>
      <xdr:rowOff>114300</xdr:rowOff>
    </xdr:to>
    <xdr:pic>
      <xdr:nvPicPr>
        <xdr:cNvPr id="215595" name="Picture 100" descr="LOGO DGI">
          <a:extLst>
            <a:ext uri="{FF2B5EF4-FFF2-40B4-BE49-F238E27FC236}">
              <a16:creationId xmlns:a16="http://schemas.microsoft.com/office/drawing/2014/main" id="{00000000-0008-0000-2900-00002B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462307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1496</xdr:row>
      <xdr:rowOff>114300</xdr:rowOff>
    </xdr:from>
    <xdr:to>
      <xdr:col>0</xdr:col>
      <xdr:colOff>552450</xdr:colOff>
      <xdr:row>1499</xdr:row>
      <xdr:rowOff>114300</xdr:rowOff>
    </xdr:to>
    <xdr:pic>
      <xdr:nvPicPr>
        <xdr:cNvPr id="215596" name="Picture 101" descr="LOGO DGI">
          <a:extLst>
            <a:ext uri="{FF2B5EF4-FFF2-40B4-BE49-F238E27FC236}">
              <a16:creationId xmlns:a16="http://schemas.microsoft.com/office/drawing/2014/main" id="{00000000-0008-0000-2900-00002C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490597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1513</xdr:row>
      <xdr:rowOff>114300</xdr:rowOff>
    </xdr:from>
    <xdr:to>
      <xdr:col>0</xdr:col>
      <xdr:colOff>552450</xdr:colOff>
      <xdr:row>1516</xdr:row>
      <xdr:rowOff>114300</xdr:rowOff>
    </xdr:to>
    <xdr:pic>
      <xdr:nvPicPr>
        <xdr:cNvPr id="215597" name="Picture 102" descr="LOGO DGI">
          <a:extLst>
            <a:ext uri="{FF2B5EF4-FFF2-40B4-BE49-F238E27FC236}">
              <a16:creationId xmlns:a16="http://schemas.microsoft.com/office/drawing/2014/main" id="{00000000-0008-0000-2900-00002D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18886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1530</xdr:row>
      <xdr:rowOff>114300</xdr:rowOff>
    </xdr:from>
    <xdr:to>
      <xdr:col>0</xdr:col>
      <xdr:colOff>552450</xdr:colOff>
      <xdr:row>1533</xdr:row>
      <xdr:rowOff>114300</xdr:rowOff>
    </xdr:to>
    <xdr:pic>
      <xdr:nvPicPr>
        <xdr:cNvPr id="215598" name="Picture 103" descr="LOGO DGI">
          <a:extLst>
            <a:ext uri="{FF2B5EF4-FFF2-40B4-BE49-F238E27FC236}">
              <a16:creationId xmlns:a16="http://schemas.microsoft.com/office/drawing/2014/main" id="{00000000-0008-0000-2900-00002E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47175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1547</xdr:row>
      <xdr:rowOff>114300</xdr:rowOff>
    </xdr:from>
    <xdr:to>
      <xdr:col>0</xdr:col>
      <xdr:colOff>552450</xdr:colOff>
      <xdr:row>1550</xdr:row>
      <xdr:rowOff>114300</xdr:rowOff>
    </xdr:to>
    <xdr:pic>
      <xdr:nvPicPr>
        <xdr:cNvPr id="215599" name="Picture 104" descr="LOGO DGI">
          <a:extLst>
            <a:ext uri="{FF2B5EF4-FFF2-40B4-BE49-F238E27FC236}">
              <a16:creationId xmlns:a16="http://schemas.microsoft.com/office/drawing/2014/main" id="{00000000-0008-0000-2900-00002F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75464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1564</xdr:row>
      <xdr:rowOff>114300</xdr:rowOff>
    </xdr:from>
    <xdr:to>
      <xdr:col>0</xdr:col>
      <xdr:colOff>552450</xdr:colOff>
      <xdr:row>1567</xdr:row>
      <xdr:rowOff>114300</xdr:rowOff>
    </xdr:to>
    <xdr:pic>
      <xdr:nvPicPr>
        <xdr:cNvPr id="215600" name="Picture 106" descr="LOGO DGI">
          <a:extLst>
            <a:ext uri="{FF2B5EF4-FFF2-40B4-BE49-F238E27FC236}">
              <a16:creationId xmlns:a16="http://schemas.microsoft.com/office/drawing/2014/main" id="{00000000-0008-0000-2900-000030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603754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1581</xdr:row>
      <xdr:rowOff>114300</xdr:rowOff>
    </xdr:from>
    <xdr:to>
      <xdr:col>0</xdr:col>
      <xdr:colOff>552450</xdr:colOff>
      <xdr:row>1584</xdr:row>
      <xdr:rowOff>114300</xdr:rowOff>
    </xdr:to>
    <xdr:pic>
      <xdr:nvPicPr>
        <xdr:cNvPr id="215601" name="Picture 107" descr="LOGO DGI">
          <a:extLst>
            <a:ext uri="{FF2B5EF4-FFF2-40B4-BE49-F238E27FC236}">
              <a16:creationId xmlns:a16="http://schemas.microsoft.com/office/drawing/2014/main" id="{00000000-0008-0000-2900-000031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632043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1598</xdr:row>
      <xdr:rowOff>114300</xdr:rowOff>
    </xdr:from>
    <xdr:to>
      <xdr:col>0</xdr:col>
      <xdr:colOff>552450</xdr:colOff>
      <xdr:row>1601</xdr:row>
      <xdr:rowOff>114300</xdr:rowOff>
    </xdr:to>
    <xdr:pic>
      <xdr:nvPicPr>
        <xdr:cNvPr id="215602" name="Picture 108" descr="LOGO DGI">
          <a:extLst>
            <a:ext uri="{FF2B5EF4-FFF2-40B4-BE49-F238E27FC236}">
              <a16:creationId xmlns:a16="http://schemas.microsoft.com/office/drawing/2014/main" id="{00000000-0008-0000-2900-000032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660332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1615</xdr:row>
      <xdr:rowOff>114300</xdr:rowOff>
    </xdr:from>
    <xdr:to>
      <xdr:col>0</xdr:col>
      <xdr:colOff>552450</xdr:colOff>
      <xdr:row>1618</xdr:row>
      <xdr:rowOff>114300</xdr:rowOff>
    </xdr:to>
    <xdr:pic>
      <xdr:nvPicPr>
        <xdr:cNvPr id="215603" name="Picture 109" descr="LOGO DGI">
          <a:extLst>
            <a:ext uri="{FF2B5EF4-FFF2-40B4-BE49-F238E27FC236}">
              <a16:creationId xmlns:a16="http://schemas.microsoft.com/office/drawing/2014/main" id="{00000000-0008-0000-2900-000033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68862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1632</xdr:row>
      <xdr:rowOff>114300</xdr:rowOff>
    </xdr:from>
    <xdr:to>
      <xdr:col>0</xdr:col>
      <xdr:colOff>552450</xdr:colOff>
      <xdr:row>1635</xdr:row>
      <xdr:rowOff>114300</xdr:rowOff>
    </xdr:to>
    <xdr:pic>
      <xdr:nvPicPr>
        <xdr:cNvPr id="215604" name="Picture 110" descr="LOGO DGI">
          <a:extLst>
            <a:ext uri="{FF2B5EF4-FFF2-40B4-BE49-F238E27FC236}">
              <a16:creationId xmlns:a16="http://schemas.microsoft.com/office/drawing/2014/main" id="{00000000-0008-0000-2900-000034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71691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1649</xdr:row>
      <xdr:rowOff>114300</xdr:rowOff>
    </xdr:from>
    <xdr:to>
      <xdr:col>0</xdr:col>
      <xdr:colOff>552450</xdr:colOff>
      <xdr:row>1652</xdr:row>
      <xdr:rowOff>114300</xdr:rowOff>
    </xdr:to>
    <xdr:pic>
      <xdr:nvPicPr>
        <xdr:cNvPr id="215605" name="Picture 111" descr="LOGO DGI">
          <a:extLst>
            <a:ext uri="{FF2B5EF4-FFF2-40B4-BE49-F238E27FC236}">
              <a16:creationId xmlns:a16="http://schemas.microsoft.com/office/drawing/2014/main" id="{00000000-0008-0000-2900-000035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745200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1666</xdr:row>
      <xdr:rowOff>114300</xdr:rowOff>
    </xdr:from>
    <xdr:to>
      <xdr:col>0</xdr:col>
      <xdr:colOff>552450</xdr:colOff>
      <xdr:row>1669</xdr:row>
      <xdr:rowOff>114300</xdr:rowOff>
    </xdr:to>
    <xdr:pic>
      <xdr:nvPicPr>
        <xdr:cNvPr id="215606" name="Picture 112" descr="LOGO DGI">
          <a:extLst>
            <a:ext uri="{FF2B5EF4-FFF2-40B4-BE49-F238E27FC236}">
              <a16:creationId xmlns:a16="http://schemas.microsoft.com/office/drawing/2014/main" id="{00000000-0008-0000-2900-000036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773489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1683</xdr:row>
      <xdr:rowOff>114300</xdr:rowOff>
    </xdr:from>
    <xdr:to>
      <xdr:col>0</xdr:col>
      <xdr:colOff>552450</xdr:colOff>
      <xdr:row>1686</xdr:row>
      <xdr:rowOff>114300</xdr:rowOff>
    </xdr:to>
    <xdr:pic>
      <xdr:nvPicPr>
        <xdr:cNvPr id="215607" name="Picture 113" descr="LOGO DGI">
          <a:extLst>
            <a:ext uri="{FF2B5EF4-FFF2-40B4-BE49-F238E27FC236}">
              <a16:creationId xmlns:a16="http://schemas.microsoft.com/office/drawing/2014/main" id="{00000000-0008-0000-2900-000037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801778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1700</xdr:row>
      <xdr:rowOff>114300</xdr:rowOff>
    </xdr:from>
    <xdr:to>
      <xdr:col>0</xdr:col>
      <xdr:colOff>552450</xdr:colOff>
      <xdr:row>1703</xdr:row>
      <xdr:rowOff>114300</xdr:rowOff>
    </xdr:to>
    <xdr:pic>
      <xdr:nvPicPr>
        <xdr:cNvPr id="215608" name="Picture 114" descr="LOGO DGI">
          <a:extLst>
            <a:ext uri="{FF2B5EF4-FFF2-40B4-BE49-F238E27FC236}">
              <a16:creationId xmlns:a16="http://schemas.microsoft.com/office/drawing/2014/main" id="{00000000-0008-0000-2900-000038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830068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1717</xdr:row>
      <xdr:rowOff>114300</xdr:rowOff>
    </xdr:from>
    <xdr:to>
      <xdr:col>0</xdr:col>
      <xdr:colOff>552450</xdr:colOff>
      <xdr:row>1720</xdr:row>
      <xdr:rowOff>114300</xdr:rowOff>
    </xdr:to>
    <xdr:pic>
      <xdr:nvPicPr>
        <xdr:cNvPr id="215609" name="Picture 115" descr="LOGO DGI">
          <a:extLst>
            <a:ext uri="{FF2B5EF4-FFF2-40B4-BE49-F238E27FC236}">
              <a16:creationId xmlns:a16="http://schemas.microsoft.com/office/drawing/2014/main" id="{00000000-0008-0000-2900-000039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858357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1734</xdr:row>
      <xdr:rowOff>114300</xdr:rowOff>
    </xdr:from>
    <xdr:to>
      <xdr:col>0</xdr:col>
      <xdr:colOff>552450</xdr:colOff>
      <xdr:row>1737</xdr:row>
      <xdr:rowOff>114300</xdr:rowOff>
    </xdr:to>
    <xdr:pic>
      <xdr:nvPicPr>
        <xdr:cNvPr id="215610" name="Picture 116" descr="LOGO DGI">
          <a:extLst>
            <a:ext uri="{FF2B5EF4-FFF2-40B4-BE49-F238E27FC236}">
              <a16:creationId xmlns:a16="http://schemas.microsoft.com/office/drawing/2014/main" id="{00000000-0008-0000-2900-00003A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8866465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1751</xdr:row>
      <xdr:rowOff>114300</xdr:rowOff>
    </xdr:from>
    <xdr:to>
      <xdr:col>0</xdr:col>
      <xdr:colOff>552450</xdr:colOff>
      <xdr:row>1754</xdr:row>
      <xdr:rowOff>114300</xdr:rowOff>
    </xdr:to>
    <xdr:pic>
      <xdr:nvPicPr>
        <xdr:cNvPr id="215611" name="Picture 117" descr="LOGO DGI">
          <a:extLst>
            <a:ext uri="{FF2B5EF4-FFF2-40B4-BE49-F238E27FC236}">
              <a16:creationId xmlns:a16="http://schemas.microsoft.com/office/drawing/2014/main" id="{00000000-0008-0000-2900-00003B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914935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663</xdr:row>
      <xdr:rowOff>114300</xdr:rowOff>
    </xdr:from>
    <xdr:to>
      <xdr:col>0</xdr:col>
      <xdr:colOff>552450</xdr:colOff>
      <xdr:row>666</xdr:row>
      <xdr:rowOff>114300</xdr:rowOff>
    </xdr:to>
    <xdr:pic>
      <xdr:nvPicPr>
        <xdr:cNvPr id="215612" name="Picture 121" descr="LOGO DGI">
          <a:extLst>
            <a:ext uri="{FF2B5EF4-FFF2-40B4-BE49-F238E27FC236}">
              <a16:creationId xmlns:a16="http://schemas.microsoft.com/office/drawing/2014/main" id="{00000000-0008-0000-2900-00003C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04423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680</xdr:row>
      <xdr:rowOff>114300</xdr:rowOff>
    </xdr:from>
    <xdr:to>
      <xdr:col>0</xdr:col>
      <xdr:colOff>552450</xdr:colOff>
      <xdr:row>683</xdr:row>
      <xdr:rowOff>114300</xdr:rowOff>
    </xdr:to>
    <xdr:pic>
      <xdr:nvPicPr>
        <xdr:cNvPr id="215613" name="Picture 122" descr="LOGO DGI">
          <a:extLst>
            <a:ext uri="{FF2B5EF4-FFF2-40B4-BE49-F238E27FC236}">
              <a16:creationId xmlns:a16="http://schemas.microsoft.com/office/drawing/2014/main" id="{00000000-0008-0000-2900-00003D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32713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697</xdr:row>
      <xdr:rowOff>114300</xdr:rowOff>
    </xdr:from>
    <xdr:to>
      <xdr:col>0</xdr:col>
      <xdr:colOff>552450</xdr:colOff>
      <xdr:row>700</xdr:row>
      <xdr:rowOff>114300</xdr:rowOff>
    </xdr:to>
    <xdr:pic>
      <xdr:nvPicPr>
        <xdr:cNvPr id="215614" name="Picture 123" descr="LOGO DGI">
          <a:extLst>
            <a:ext uri="{FF2B5EF4-FFF2-40B4-BE49-F238E27FC236}">
              <a16:creationId xmlns:a16="http://schemas.microsoft.com/office/drawing/2014/main" id="{00000000-0008-0000-2900-00003E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61002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935</xdr:row>
      <xdr:rowOff>114300</xdr:rowOff>
    </xdr:from>
    <xdr:to>
      <xdr:col>0</xdr:col>
      <xdr:colOff>552450</xdr:colOff>
      <xdr:row>938</xdr:row>
      <xdr:rowOff>114300</xdr:rowOff>
    </xdr:to>
    <xdr:pic>
      <xdr:nvPicPr>
        <xdr:cNvPr id="215615" name="Picture 124" descr="LOGO DGI">
          <a:extLst>
            <a:ext uri="{FF2B5EF4-FFF2-40B4-BE49-F238E27FC236}">
              <a16:creationId xmlns:a16="http://schemas.microsoft.com/office/drawing/2014/main" id="{00000000-0008-0000-2900-00003F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57051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952</xdr:row>
      <xdr:rowOff>114300</xdr:rowOff>
    </xdr:from>
    <xdr:to>
      <xdr:col>0</xdr:col>
      <xdr:colOff>552450</xdr:colOff>
      <xdr:row>955</xdr:row>
      <xdr:rowOff>114300</xdr:rowOff>
    </xdr:to>
    <xdr:pic>
      <xdr:nvPicPr>
        <xdr:cNvPr id="215616" name="Picture 125" descr="LOGO DGI">
          <a:extLst>
            <a:ext uri="{FF2B5EF4-FFF2-40B4-BE49-F238E27FC236}">
              <a16:creationId xmlns:a16="http://schemas.microsoft.com/office/drawing/2014/main" id="{00000000-0008-0000-2900-000040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85341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1139</xdr:row>
      <xdr:rowOff>114300</xdr:rowOff>
    </xdr:from>
    <xdr:to>
      <xdr:col>0</xdr:col>
      <xdr:colOff>552450</xdr:colOff>
      <xdr:row>1142</xdr:row>
      <xdr:rowOff>114300</xdr:rowOff>
    </xdr:to>
    <xdr:pic>
      <xdr:nvPicPr>
        <xdr:cNvPr id="215617" name="Picture 126" descr="LOGO DGI">
          <a:extLst>
            <a:ext uri="{FF2B5EF4-FFF2-40B4-BE49-F238E27FC236}">
              <a16:creationId xmlns:a16="http://schemas.microsoft.com/office/drawing/2014/main" id="{00000000-0008-0000-2900-000041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8965227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1156</xdr:row>
      <xdr:rowOff>114300</xdr:rowOff>
    </xdr:from>
    <xdr:to>
      <xdr:col>0</xdr:col>
      <xdr:colOff>552450</xdr:colOff>
      <xdr:row>1159</xdr:row>
      <xdr:rowOff>114300</xdr:rowOff>
    </xdr:to>
    <xdr:pic>
      <xdr:nvPicPr>
        <xdr:cNvPr id="215618" name="Picture 127" descr="LOGO DGI">
          <a:extLst>
            <a:ext uri="{FF2B5EF4-FFF2-40B4-BE49-F238E27FC236}">
              <a16:creationId xmlns:a16="http://schemas.microsoft.com/office/drawing/2014/main" id="{00000000-0008-0000-2900-000042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2481200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1173</xdr:row>
      <xdr:rowOff>114300</xdr:rowOff>
    </xdr:from>
    <xdr:to>
      <xdr:col>0</xdr:col>
      <xdr:colOff>552450</xdr:colOff>
      <xdr:row>1176</xdr:row>
      <xdr:rowOff>114300</xdr:rowOff>
    </xdr:to>
    <xdr:pic>
      <xdr:nvPicPr>
        <xdr:cNvPr id="215619" name="Picture 128" descr="LOGO DGI">
          <a:extLst>
            <a:ext uri="{FF2B5EF4-FFF2-40B4-BE49-F238E27FC236}">
              <a16:creationId xmlns:a16="http://schemas.microsoft.com/office/drawing/2014/main" id="{00000000-0008-0000-2900-0000434A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5310125"/>
          <a:ext cx="3905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104775</xdr:colOff>
      <xdr:row>1</xdr:row>
      <xdr:rowOff>0</xdr:rowOff>
    </xdr:from>
    <xdr:to>
      <xdr:col>9</xdr:col>
      <xdr:colOff>228600</xdr:colOff>
      <xdr:row>4</xdr:row>
      <xdr:rowOff>47625</xdr:rowOff>
    </xdr:to>
    <xdr:sp macro="" textlink="">
      <xdr:nvSpPr>
        <xdr:cNvPr id="24705" name="CommandButton1" hidden="1">
          <a:extLst>
            <a:ext uri="{63B3BB69-23CF-44E3-9099-C40C66FF867C}">
              <a14:compatExt xmlns:a14="http://schemas.microsoft.com/office/drawing/2010/main" spid="_x0000_s24705"/>
            </a:ext>
            <a:ext uri="{FF2B5EF4-FFF2-40B4-BE49-F238E27FC236}">
              <a16:creationId xmlns:a16="http://schemas.microsoft.com/office/drawing/2014/main" id="{00000000-0008-0000-2900-000081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4</xdr:row>
      <xdr:rowOff>95250</xdr:rowOff>
    </xdr:from>
    <xdr:to>
      <xdr:col>10</xdr:col>
      <xdr:colOff>523875</xdr:colOff>
      <xdr:row>7</xdr:row>
      <xdr:rowOff>0</xdr:rowOff>
    </xdr:to>
    <xdr:sp macro="" textlink="">
      <xdr:nvSpPr>
        <xdr:cNvPr id="24706" name="CommandButton2" hidden="1">
          <a:extLst>
            <a:ext uri="{63B3BB69-23CF-44E3-9099-C40C66FF867C}">
              <a14:compatExt xmlns:a14="http://schemas.microsoft.com/office/drawing/2010/main" spid="_x0000_s24706"/>
            </a:ext>
            <a:ext uri="{FF2B5EF4-FFF2-40B4-BE49-F238E27FC236}">
              <a16:creationId xmlns:a16="http://schemas.microsoft.com/office/drawing/2014/main" id="{00000000-0008-0000-2900-000082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23</xdr:row>
      <xdr:rowOff>9525</xdr:rowOff>
    </xdr:from>
    <xdr:to>
      <xdr:col>10</xdr:col>
      <xdr:colOff>523875</xdr:colOff>
      <xdr:row>25</xdr:row>
      <xdr:rowOff>76200</xdr:rowOff>
    </xdr:to>
    <xdr:sp macro="" textlink="">
      <xdr:nvSpPr>
        <xdr:cNvPr id="24707" name="CommandButton3" hidden="1">
          <a:extLst>
            <a:ext uri="{63B3BB69-23CF-44E3-9099-C40C66FF867C}">
              <a14:compatExt xmlns:a14="http://schemas.microsoft.com/office/drawing/2010/main" spid="_x0000_s24707"/>
            </a:ext>
            <a:ext uri="{FF2B5EF4-FFF2-40B4-BE49-F238E27FC236}">
              <a16:creationId xmlns:a16="http://schemas.microsoft.com/office/drawing/2014/main" id="{00000000-0008-0000-2900-000083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20</xdr:row>
      <xdr:rowOff>47625</xdr:rowOff>
    </xdr:from>
    <xdr:to>
      <xdr:col>10</xdr:col>
      <xdr:colOff>523875</xdr:colOff>
      <xdr:row>22</xdr:row>
      <xdr:rowOff>114300</xdr:rowOff>
    </xdr:to>
    <xdr:sp macro="" textlink="">
      <xdr:nvSpPr>
        <xdr:cNvPr id="24708" name="CommandButton4" hidden="1">
          <a:extLst>
            <a:ext uri="{63B3BB69-23CF-44E3-9099-C40C66FF867C}">
              <a14:compatExt xmlns:a14="http://schemas.microsoft.com/office/drawing/2010/main" spid="_x0000_s24708"/>
            </a:ext>
            <a:ext uri="{FF2B5EF4-FFF2-40B4-BE49-F238E27FC236}">
              <a16:creationId xmlns:a16="http://schemas.microsoft.com/office/drawing/2014/main" id="{00000000-0008-0000-2900-000084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7</xdr:row>
      <xdr:rowOff>38100</xdr:rowOff>
    </xdr:from>
    <xdr:to>
      <xdr:col>10</xdr:col>
      <xdr:colOff>523875</xdr:colOff>
      <xdr:row>9</xdr:row>
      <xdr:rowOff>104775</xdr:rowOff>
    </xdr:to>
    <xdr:sp macro="" textlink="">
      <xdr:nvSpPr>
        <xdr:cNvPr id="24709" name="CommandButton5" hidden="1">
          <a:extLst>
            <a:ext uri="{63B3BB69-23CF-44E3-9099-C40C66FF867C}">
              <a14:compatExt xmlns:a14="http://schemas.microsoft.com/office/drawing/2010/main" spid="_x0000_s24709"/>
            </a:ext>
            <a:ext uri="{FF2B5EF4-FFF2-40B4-BE49-F238E27FC236}">
              <a16:creationId xmlns:a16="http://schemas.microsoft.com/office/drawing/2014/main" id="{00000000-0008-0000-2900-000085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17</xdr:row>
      <xdr:rowOff>95250</xdr:rowOff>
    </xdr:from>
    <xdr:to>
      <xdr:col>10</xdr:col>
      <xdr:colOff>523875</xdr:colOff>
      <xdr:row>20</xdr:row>
      <xdr:rowOff>0</xdr:rowOff>
    </xdr:to>
    <xdr:sp macro="" textlink="">
      <xdr:nvSpPr>
        <xdr:cNvPr id="24710" name="CommandButton6" hidden="1">
          <a:extLst>
            <a:ext uri="{63B3BB69-23CF-44E3-9099-C40C66FF867C}">
              <a14:compatExt xmlns:a14="http://schemas.microsoft.com/office/drawing/2010/main" spid="_x0000_s24710"/>
            </a:ext>
            <a:ext uri="{FF2B5EF4-FFF2-40B4-BE49-F238E27FC236}">
              <a16:creationId xmlns:a16="http://schemas.microsoft.com/office/drawing/2014/main" id="{00000000-0008-0000-2900-000086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9</xdr:row>
      <xdr:rowOff>161925</xdr:rowOff>
    </xdr:from>
    <xdr:to>
      <xdr:col>10</xdr:col>
      <xdr:colOff>523875</xdr:colOff>
      <xdr:row>11</xdr:row>
      <xdr:rowOff>152400</xdr:rowOff>
    </xdr:to>
    <xdr:sp macro="" textlink="">
      <xdr:nvSpPr>
        <xdr:cNvPr id="24711" name="CommandButton7" hidden="1">
          <a:extLst>
            <a:ext uri="{63B3BB69-23CF-44E3-9099-C40C66FF867C}">
              <a14:compatExt xmlns:a14="http://schemas.microsoft.com/office/drawing/2010/main" spid="_x0000_s24711"/>
            </a:ext>
            <a:ext uri="{FF2B5EF4-FFF2-40B4-BE49-F238E27FC236}">
              <a16:creationId xmlns:a16="http://schemas.microsoft.com/office/drawing/2014/main" id="{00000000-0008-0000-2900-000087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12</xdr:row>
      <xdr:rowOff>38100</xdr:rowOff>
    </xdr:from>
    <xdr:to>
      <xdr:col>10</xdr:col>
      <xdr:colOff>523875</xdr:colOff>
      <xdr:row>14</xdr:row>
      <xdr:rowOff>104775</xdr:rowOff>
    </xdr:to>
    <xdr:sp macro="" textlink="">
      <xdr:nvSpPr>
        <xdr:cNvPr id="24712" name="CommandButton8" hidden="1">
          <a:extLst>
            <a:ext uri="{63B3BB69-23CF-44E3-9099-C40C66FF867C}">
              <a14:compatExt xmlns:a14="http://schemas.microsoft.com/office/drawing/2010/main" spid="_x0000_s24712"/>
            </a:ext>
            <a:ext uri="{FF2B5EF4-FFF2-40B4-BE49-F238E27FC236}">
              <a16:creationId xmlns:a16="http://schemas.microsoft.com/office/drawing/2014/main" id="{00000000-0008-0000-2900-000088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104775</xdr:colOff>
      <xdr:row>14</xdr:row>
      <xdr:rowOff>152400</xdr:rowOff>
    </xdr:from>
    <xdr:to>
      <xdr:col>10</xdr:col>
      <xdr:colOff>523875</xdr:colOff>
      <xdr:row>17</xdr:row>
      <xdr:rowOff>57150</xdr:rowOff>
    </xdr:to>
    <xdr:sp macro="" textlink="">
      <xdr:nvSpPr>
        <xdr:cNvPr id="24713" name="CommandButton9" hidden="1">
          <a:extLst>
            <a:ext uri="{63B3BB69-23CF-44E3-9099-C40C66FF867C}">
              <a14:compatExt xmlns:a14="http://schemas.microsoft.com/office/drawing/2010/main" spid="_x0000_s24713"/>
            </a:ext>
            <a:ext uri="{FF2B5EF4-FFF2-40B4-BE49-F238E27FC236}">
              <a16:creationId xmlns:a16="http://schemas.microsoft.com/office/drawing/2014/main" id="{00000000-0008-0000-2900-0000896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5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4"/>
  <dimension ref="B1:AD45"/>
  <sheetViews>
    <sheetView topLeftCell="N1" zoomScale="75" workbookViewId="0" xr3:uid="{AEA406A1-0E4B-5B11-9CD5-51D6E497D94C}">
      <selection activeCell="C3" sqref="C3"/>
    </sheetView>
  </sheetViews>
  <sheetFormatPr defaultColWidth="11.42578125" defaultRowHeight="12.75"/>
  <cols>
    <col min="1" max="1" width="4.28515625" customWidth="1"/>
    <col min="4" max="4" width="3.42578125" customWidth="1"/>
    <col min="7" max="7" width="3.140625" customWidth="1"/>
    <col min="10" max="10" width="3.85546875" customWidth="1"/>
    <col min="13" max="13" width="4.85546875" customWidth="1"/>
    <col min="16" max="16" width="4.5703125" customWidth="1"/>
    <col min="18" max="18" width="13.28515625" customWidth="1"/>
    <col min="19" max="19" width="5.85546875" customWidth="1"/>
    <col min="22" max="22" width="5.7109375" customWidth="1"/>
    <col min="25" max="25" width="5.85546875" customWidth="1"/>
  </cols>
  <sheetData>
    <row r="1" spans="2:30" ht="13.5" thickBot="1"/>
    <row r="2" spans="2:30">
      <c r="B2" s="644" t="s">
        <v>0</v>
      </c>
      <c r="C2" s="645"/>
      <c r="E2" s="644" t="s">
        <v>1</v>
      </c>
      <c r="F2" s="645"/>
      <c r="H2" s="646" t="s">
        <v>2</v>
      </c>
      <c r="I2" s="647"/>
      <c r="K2" s="646" t="s">
        <v>3</v>
      </c>
      <c r="L2" s="647"/>
      <c r="N2" s="646" t="s">
        <v>4</v>
      </c>
      <c r="O2" s="647"/>
      <c r="Q2" s="648" t="s">
        <v>5</v>
      </c>
      <c r="R2" s="649"/>
      <c r="T2" s="646" t="s">
        <v>6</v>
      </c>
      <c r="U2" s="647"/>
      <c r="W2" s="646" t="s">
        <v>7</v>
      </c>
      <c r="X2" s="647"/>
      <c r="Z2" s="646" t="s">
        <v>8</v>
      </c>
      <c r="AA2" s="647"/>
      <c r="AC2" s="646" t="s">
        <v>9</v>
      </c>
      <c r="AD2" s="647"/>
    </row>
    <row r="3" spans="2:30" ht="13.5" thickBot="1">
      <c r="B3" s="295" t="s">
        <v>10</v>
      </c>
      <c r="C3" s="296" t="s">
        <v>11</v>
      </c>
      <c r="E3" s="295" t="s">
        <v>10</v>
      </c>
      <c r="F3" s="296" t="s">
        <v>11</v>
      </c>
      <c r="H3" s="309" t="s">
        <v>10</v>
      </c>
      <c r="I3" s="310" t="s">
        <v>11</v>
      </c>
      <c r="K3" s="309" t="s">
        <v>10</v>
      </c>
      <c r="L3" s="310" t="s">
        <v>11</v>
      </c>
      <c r="N3" s="309" t="s">
        <v>10</v>
      </c>
      <c r="O3" s="310" t="s">
        <v>11</v>
      </c>
      <c r="Q3" s="309" t="s">
        <v>10</v>
      </c>
      <c r="R3" s="310" t="s">
        <v>11</v>
      </c>
      <c r="T3" s="309" t="s">
        <v>10</v>
      </c>
      <c r="U3" s="310" t="s">
        <v>11</v>
      </c>
      <c r="W3" s="309" t="s">
        <v>10</v>
      </c>
      <c r="X3" s="310" t="s">
        <v>11</v>
      </c>
      <c r="Z3" s="309" t="s">
        <v>10</v>
      </c>
      <c r="AA3" s="310" t="s">
        <v>11</v>
      </c>
      <c r="AC3" s="309" t="s">
        <v>10</v>
      </c>
      <c r="AD3" s="310" t="s">
        <v>11</v>
      </c>
    </row>
    <row r="4" spans="2:30" ht="13.5" thickTop="1">
      <c r="B4" s="51">
        <v>29</v>
      </c>
      <c r="C4" s="292">
        <v>26.3079</v>
      </c>
      <c r="E4" s="35">
        <v>26</v>
      </c>
      <c r="F4" s="293">
        <v>25.353000000000002</v>
      </c>
      <c r="H4" s="51">
        <v>23</v>
      </c>
      <c r="I4" s="292">
        <v>25.392199999999999</v>
      </c>
      <c r="K4" s="51">
        <v>26</v>
      </c>
      <c r="L4" s="292">
        <v>28.930800000000001</v>
      </c>
      <c r="N4" s="561">
        <v>9</v>
      </c>
      <c r="O4" s="562">
        <v>22</v>
      </c>
      <c r="Q4" s="51">
        <v>8</v>
      </c>
      <c r="R4" s="292">
        <v>33.771799999999999</v>
      </c>
      <c r="T4" s="51">
        <v>12</v>
      </c>
      <c r="U4" s="292">
        <v>41.190600000000003</v>
      </c>
      <c r="W4" s="51">
        <v>25</v>
      </c>
      <c r="X4" s="306">
        <v>24</v>
      </c>
      <c r="Z4" s="51">
        <v>21</v>
      </c>
      <c r="AA4" s="306">
        <v>19</v>
      </c>
      <c r="AC4" s="333">
        <v>8</v>
      </c>
      <c r="AD4" s="334">
        <v>18</v>
      </c>
    </row>
    <row r="5" spans="2:30">
      <c r="B5" s="35">
        <v>30</v>
      </c>
      <c r="C5" s="293">
        <v>31.6145</v>
      </c>
      <c r="E5" s="35">
        <v>27</v>
      </c>
      <c r="F5" s="293">
        <v>31.237200000000001</v>
      </c>
      <c r="H5" s="35">
        <v>24</v>
      </c>
      <c r="I5" s="293">
        <v>30.630600000000001</v>
      </c>
      <c r="K5" s="35">
        <v>27</v>
      </c>
      <c r="L5" s="293">
        <v>34.166499999999999</v>
      </c>
      <c r="N5" s="35">
        <v>11</v>
      </c>
      <c r="O5" s="293">
        <v>30.781300000000002</v>
      </c>
      <c r="Q5" s="35">
        <v>9</v>
      </c>
      <c r="R5" s="293">
        <v>40.667299999999997</v>
      </c>
      <c r="T5" s="35">
        <v>13</v>
      </c>
      <c r="U5" s="293">
        <v>46.753300000000003</v>
      </c>
      <c r="W5" s="35">
        <v>26</v>
      </c>
      <c r="X5" s="304">
        <v>30</v>
      </c>
      <c r="Z5" s="35">
        <v>22</v>
      </c>
      <c r="AA5" s="304">
        <v>24</v>
      </c>
      <c r="AC5" s="75">
        <v>9</v>
      </c>
      <c r="AD5" s="331">
        <v>22</v>
      </c>
    </row>
    <row r="6" spans="2:30">
      <c r="B6" s="35">
        <v>31</v>
      </c>
      <c r="C6" s="293">
        <v>37.266500000000001</v>
      </c>
      <c r="E6" s="35">
        <v>28</v>
      </c>
      <c r="F6" s="293">
        <v>37.552900000000001</v>
      </c>
      <c r="H6" s="35">
        <v>25</v>
      </c>
      <c r="I6" s="293">
        <v>36.2258</v>
      </c>
      <c r="K6" s="51">
        <v>28</v>
      </c>
      <c r="L6" s="293">
        <v>39.718899999999998</v>
      </c>
      <c r="N6" s="35">
        <v>12</v>
      </c>
      <c r="O6" s="293">
        <v>35.319699999999997</v>
      </c>
      <c r="Q6" s="35">
        <v>10</v>
      </c>
      <c r="R6" s="293">
        <v>48.028700000000001</v>
      </c>
      <c r="T6" s="35">
        <v>14</v>
      </c>
      <c r="U6" s="293">
        <v>52.572200000000002</v>
      </c>
      <c r="W6" s="35">
        <v>27</v>
      </c>
      <c r="X6" s="304">
        <v>37</v>
      </c>
      <c r="Z6" s="35">
        <v>23</v>
      </c>
      <c r="AA6" s="304">
        <v>30</v>
      </c>
      <c r="AC6" s="75">
        <v>10</v>
      </c>
      <c r="AD6" s="304">
        <v>25</v>
      </c>
    </row>
    <row r="7" spans="2:30">
      <c r="B7" s="35">
        <v>32</v>
      </c>
      <c r="C7" s="293">
        <v>43.25</v>
      </c>
      <c r="E7" s="35">
        <v>29</v>
      </c>
      <c r="F7" s="293">
        <v>44.284100000000002</v>
      </c>
      <c r="H7" s="35">
        <v>26</v>
      </c>
      <c r="I7" s="293">
        <v>42.159300000000002</v>
      </c>
      <c r="K7" s="35">
        <v>29</v>
      </c>
      <c r="L7" s="293">
        <v>45.577500000000001</v>
      </c>
      <c r="N7" s="35">
        <v>13</v>
      </c>
      <c r="O7" s="293">
        <v>40.090600000000002</v>
      </c>
      <c r="Q7" s="35">
        <v>11</v>
      </c>
      <c r="R7" s="293">
        <v>55.840400000000002</v>
      </c>
      <c r="T7" s="35">
        <v>15</v>
      </c>
      <c r="U7" s="293">
        <v>58.642699999999998</v>
      </c>
      <c r="W7" s="35">
        <v>28</v>
      </c>
      <c r="X7" s="304">
        <v>45</v>
      </c>
      <c r="Z7" s="35">
        <v>24</v>
      </c>
      <c r="AA7" s="304">
        <v>36</v>
      </c>
      <c r="AC7" s="75">
        <v>11</v>
      </c>
      <c r="AD7" s="304">
        <v>29</v>
      </c>
    </row>
    <row r="8" spans="2:30">
      <c r="B8" s="35">
        <v>33</v>
      </c>
      <c r="C8" s="293">
        <v>49.5518</v>
      </c>
      <c r="E8" s="35">
        <v>30</v>
      </c>
      <c r="F8" s="293">
        <v>51.411499999999997</v>
      </c>
      <c r="H8" s="35">
        <v>27</v>
      </c>
      <c r="I8" s="293">
        <v>48.424599999999998</v>
      </c>
      <c r="K8" s="51">
        <v>30</v>
      </c>
      <c r="L8" s="293">
        <v>51.735700000000001</v>
      </c>
      <c r="N8" s="35">
        <v>14</v>
      </c>
      <c r="O8" s="293">
        <v>45.0886</v>
      </c>
      <c r="Q8" s="35">
        <v>12</v>
      </c>
      <c r="R8" s="293">
        <v>64.092200000000005</v>
      </c>
      <c r="T8" s="35">
        <v>16</v>
      </c>
      <c r="U8" s="293">
        <v>64.956999999999994</v>
      </c>
      <c r="W8" s="35">
        <v>29</v>
      </c>
      <c r="X8" s="304">
        <v>53</v>
      </c>
      <c r="Z8" s="35">
        <v>25</v>
      </c>
      <c r="AA8" s="304">
        <v>42</v>
      </c>
      <c r="AC8" s="75">
        <v>12</v>
      </c>
      <c r="AD8" s="304">
        <v>34</v>
      </c>
    </row>
    <row r="9" spans="2:30">
      <c r="B9" s="35">
        <v>34</v>
      </c>
      <c r="C9" s="293">
        <v>56.165700000000001</v>
      </c>
      <c r="E9" s="35">
        <v>31</v>
      </c>
      <c r="F9" s="293">
        <v>58.925899999999999</v>
      </c>
      <c r="H9" s="35">
        <v>28</v>
      </c>
      <c r="I9" s="293">
        <v>55.009399999999999</v>
      </c>
      <c r="K9" s="35">
        <v>31</v>
      </c>
      <c r="L9" s="293">
        <v>58.182200000000002</v>
      </c>
      <c r="N9" s="35">
        <v>15</v>
      </c>
      <c r="O9" s="293">
        <v>50.307200000000002</v>
      </c>
      <c r="Q9" s="35">
        <v>13</v>
      </c>
      <c r="R9" s="293">
        <v>72.769099999999995</v>
      </c>
      <c r="T9" s="35">
        <v>17</v>
      </c>
      <c r="U9" s="293">
        <v>71.513400000000004</v>
      </c>
      <c r="W9" s="35">
        <v>30</v>
      </c>
      <c r="X9" s="304">
        <v>61</v>
      </c>
      <c r="Z9" s="35">
        <v>26</v>
      </c>
      <c r="AA9" s="304">
        <v>49</v>
      </c>
      <c r="AC9" s="75">
        <v>13</v>
      </c>
      <c r="AD9" s="304">
        <v>38</v>
      </c>
    </row>
    <row r="10" spans="2:30">
      <c r="B10" s="35">
        <v>35</v>
      </c>
      <c r="C10" s="293">
        <v>63.0807</v>
      </c>
      <c r="E10" s="35">
        <v>32</v>
      </c>
      <c r="F10" s="293">
        <v>66.813299999999998</v>
      </c>
      <c r="H10" s="35">
        <v>29</v>
      </c>
      <c r="I10" s="293">
        <v>61.904899999999998</v>
      </c>
      <c r="K10" s="51">
        <v>32</v>
      </c>
      <c r="L10" s="293">
        <v>64.914500000000004</v>
      </c>
      <c r="N10" s="35">
        <v>16</v>
      </c>
      <c r="O10" s="293">
        <v>55.742199999999997</v>
      </c>
      <c r="Q10" s="35">
        <v>14</v>
      </c>
      <c r="R10" s="293">
        <v>81.860500000000002</v>
      </c>
      <c r="T10" s="35">
        <v>18</v>
      </c>
      <c r="U10" s="293">
        <v>78.303899999999999</v>
      </c>
      <c r="W10" s="35">
        <v>31</v>
      </c>
      <c r="X10" s="304">
        <v>70</v>
      </c>
      <c r="Z10" s="35">
        <v>27</v>
      </c>
      <c r="AA10" s="304">
        <v>56</v>
      </c>
      <c r="AC10" s="75">
        <v>14</v>
      </c>
      <c r="AD10" s="304">
        <v>43</v>
      </c>
    </row>
    <row r="11" spans="2:30">
      <c r="B11" s="35">
        <v>36</v>
      </c>
      <c r="C11" s="293">
        <v>70.291700000000006</v>
      </c>
      <c r="E11" s="35">
        <v>33</v>
      </c>
      <c r="F11" s="293">
        <v>75.065299999999993</v>
      </c>
      <c r="H11" s="35">
        <v>30</v>
      </c>
      <c r="I11" s="293">
        <v>69.106700000000004</v>
      </c>
      <c r="K11" s="35">
        <v>33</v>
      </c>
      <c r="L11" s="293">
        <v>71.924000000000007</v>
      </c>
      <c r="N11" s="35">
        <v>17</v>
      </c>
      <c r="O11" s="293">
        <v>61.3872</v>
      </c>
      <c r="Q11" s="35">
        <v>15</v>
      </c>
      <c r="R11" s="293">
        <v>91.357200000000006</v>
      </c>
      <c r="T11" s="35">
        <v>19</v>
      </c>
      <c r="U11" s="293">
        <v>85.327399999999997</v>
      </c>
      <c r="W11" s="35">
        <v>32</v>
      </c>
      <c r="X11" s="304">
        <v>79</v>
      </c>
      <c r="Z11" s="35">
        <v>28</v>
      </c>
      <c r="AA11" s="304">
        <v>63</v>
      </c>
      <c r="AC11" s="75">
        <v>15</v>
      </c>
      <c r="AD11" s="304">
        <v>48</v>
      </c>
    </row>
    <row r="12" spans="2:30">
      <c r="B12" s="35">
        <v>37</v>
      </c>
      <c r="C12" s="293">
        <v>77.7898</v>
      </c>
      <c r="E12" s="35">
        <v>34</v>
      </c>
      <c r="F12" s="293">
        <v>83.674099999999996</v>
      </c>
      <c r="H12" s="35">
        <v>31</v>
      </c>
      <c r="I12" s="293">
        <v>76.603399999999993</v>
      </c>
      <c r="K12" s="51">
        <v>34</v>
      </c>
      <c r="L12" s="293">
        <v>79.204800000000006</v>
      </c>
      <c r="N12" s="35">
        <v>18</v>
      </c>
      <c r="O12" s="293">
        <v>67.239000000000004</v>
      </c>
      <c r="Q12" s="35">
        <v>16</v>
      </c>
      <c r="R12" s="293">
        <v>101.2487</v>
      </c>
      <c r="T12" s="35">
        <v>20</v>
      </c>
      <c r="U12" s="293">
        <v>92.5779</v>
      </c>
      <c r="W12" s="35">
        <v>33</v>
      </c>
      <c r="X12" s="304">
        <v>90</v>
      </c>
      <c r="Z12" s="35">
        <v>29</v>
      </c>
      <c r="AA12" s="304">
        <v>71</v>
      </c>
      <c r="AC12" s="75">
        <v>16</v>
      </c>
      <c r="AD12" s="304">
        <v>53</v>
      </c>
    </row>
    <row r="13" spans="2:30">
      <c r="B13" s="35">
        <v>38</v>
      </c>
      <c r="C13" s="293">
        <v>85.570999999999998</v>
      </c>
      <c r="E13" s="35">
        <v>35</v>
      </c>
      <c r="F13" s="293">
        <v>92.630499999999998</v>
      </c>
      <c r="H13" s="35">
        <v>32</v>
      </c>
      <c r="I13" s="293">
        <v>84.394099999999995</v>
      </c>
      <c r="K13" s="35">
        <v>35</v>
      </c>
      <c r="L13" s="293">
        <v>86.752399999999994</v>
      </c>
      <c r="N13" s="35">
        <v>19</v>
      </c>
      <c r="O13" s="293">
        <v>73.292299999999997</v>
      </c>
      <c r="Q13" s="35">
        <v>17</v>
      </c>
      <c r="R13" s="293">
        <v>111.5312</v>
      </c>
      <c r="T13" s="35">
        <v>21</v>
      </c>
      <c r="U13" s="293">
        <v>100.0513</v>
      </c>
      <c r="W13" s="35">
        <v>34</v>
      </c>
      <c r="X13" s="304">
        <v>100</v>
      </c>
      <c r="Z13" s="35">
        <v>30</v>
      </c>
      <c r="AA13" s="304">
        <v>80</v>
      </c>
      <c r="AC13" s="75">
        <v>17</v>
      </c>
      <c r="AD13" s="304">
        <v>58</v>
      </c>
    </row>
    <row r="14" spans="2:30">
      <c r="B14" s="35">
        <v>39</v>
      </c>
      <c r="C14" s="293">
        <v>93.63</v>
      </c>
      <c r="E14" s="35">
        <v>36</v>
      </c>
      <c r="F14" s="293">
        <v>101.92870000000001</v>
      </c>
      <c r="H14" s="35">
        <v>33</v>
      </c>
      <c r="I14" s="293">
        <v>92.470299999999995</v>
      </c>
      <c r="K14" s="51">
        <v>36</v>
      </c>
      <c r="L14" s="293">
        <v>94.560299999999998</v>
      </c>
      <c r="N14" s="35">
        <v>20</v>
      </c>
      <c r="O14" s="293">
        <v>79.5458</v>
      </c>
      <c r="Q14" s="35">
        <v>18</v>
      </c>
      <c r="R14" s="293">
        <v>122.19029999999999</v>
      </c>
      <c r="T14" s="35">
        <v>22</v>
      </c>
      <c r="U14" s="293">
        <v>107.7456</v>
      </c>
      <c r="W14" s="35">
        <v>35</v>
      </c>
      <c r="X14" s="304">
        <v>110</v>
      </c>
      <c r="Z14" s="35">
        <v>31</v>
      </c>
      <c r="AA14" s="304">
        <v>88</v>
      </c>
      <c r="AC14" s="75">
        <v>18</v>
      </c>
      <c r="AD14" s="304">
        <v>64</v>
      </c>
    </row>
    <row r="15" spans="2:30">
      <c r="B15" s="35">
        <v>40</v>
      </c>
      <c r="C15" s="293">
        <v>101.9589</v>
      </c>
      <c r="E15" s="35">
        <v>37</v>
      </c>
      <c r="F15" s="293">
        <v>111.5591</v>
      </c>
      <c r="H15" s="35">
        <v>34</v>
      </c>
      <c r="I15" s="293">
        <v>100.8282</v>
      </c>
      <c r="K15" s="35">
        <v>37</v>
      </c>
      <c r="L15" s="293">
        <v>102.6249</v>
      </c>
      <c r="N15" s="35">
        <v>21</v>
      </c>
      <c r="O15" s="293">
        <v>85.995000000000005</v>
      </c>
      <c r="Q15" s="35">
        <v>19</v>
      </c>
      <c r="R15" s="293">
        <v>133.2227</v>
      </c>
      <c r="T15" s="35">
        <v>23</v>
      </c>
      <c r="U15" s="293">
        <v>115.6542</v>
      </c>
      <c r="W15" s="35">
        <v>36</v>
      </c>
      <c r="X15" s="304">
        <v>122</v>
      </c>
      <c r="Z15" s="35">
        <v>32</v>
      </c>
      <c r="AA15" s="304">
        <v>97</v>
      </c>
      <c r="AC15" s="75">
        <v>19</v>
      </c>
      <c r="AD15" s="304">
        <v>69</v>
      </c>
    </row>
    <row r="16" spans="2:30">
      <c r="B16" s="35">
        <v>41</v>
      </c>
      <c r="C16" s="293">
        <v>110.5545</v>
      </c>
      <c r="E16" s="35">
        <v>38</v>
      </c>
      <c r="F16" s="293">
        <v>121.51730000000001</v>
      </c>
      <c r="H16" s="35">
        <v>35</v>
      </c>
      <c r="I16" s="293">
        <v>109.45950000000001</v>
      </c>
      <c r="K16" s="51">
        <v>38</v>
      </c>
      <c r="L16" s="293">
        <v>110.9418</v>
      </c>
      <c r="N16" s="35">
        <v>22</v>
      </c>
      <c r="O16" s="293">
        <v>92.636899999999997</v>
      </c>
      <c r="Q16" s="35">
        <v>20</v>
      </c>
      <c r="R16" s="293">
        <v>144.62190000000001</v>
      </c>
      <c r="T16" s="35">
        <v>24</v>
      </c>
      <c r="U16" s="293">
        <v>123.7756</v>
      </c>
      <c r="W16" s="35">
        <v>37</v>
      </c>
      <c r="X16" s="304">
        <v>133</v>
      </c>
      <c r="Z16" s="35">
        <v>33</v>
      </c>
      <c r="AA16" s="304">
        <v>106</v>
      </c>
      <c r="AC16" s="75">
        <v>20</v>
      </c>
      <c r="AD16" s="304">
        <v>75</v>
      </c>
    </row>
    <row r="17" spans="2:30">
      <c r="B17" s="35">
        <v>42</v>
      </c>
      <c r="C17" s="293">
        <v>119.41249999999999</v>
      </c>
      <c r="E17" s="35">
        <v>39</v>
      </c>
      <c r="F17" s="293">
        <v>131.80189999999999</v>
      </c>
      <c r="H17" s="35">
        <v>36</v>
      </c>
      <c r="I17" s="293">
        <v>118.36069999999999</v>
      </c>
      <c r="K17" s="35">
        <v>39</v>
      </c>
      <c r="L17" s="293">
        <v>119.5104</v>
      </c>
      <c r="N17" s="35">
        <v>23</v>
      </c>
      <c r="O17" s="293">
        <v>99.470699999999994</v>
      </c>
      <c r="Q17" s="35">
        <v>21</v>
      </c>
      <c r="R17" s="293">
        <v>156.38059999999999</v>
      </c>
      <c r="T17" s="35">
        <v>25</v>
      </c>
      <c r="U17" s="293">
        <v>132.10669999999999</v>
      </c>
      <c r="W17" s="35">
        <v>38</v>
      </c>
      <c r="X17" s="304">
        <v>145</v>
      </c>
      <c r="Z17" s="35">
        <v>34</v>
      </c>
      <c r="AA17" s="304">
        <v>116</v>
      </c>
      <c r="AC17" s="75">
        <v>21</v>
      </c>
      <c r="AD17" s="304">
        <v>81</v>
      </c>
    </row>
    <row r="18" spans="2:30">
      <c r="B18" s="35">
        <v>43</v>
      </c>
      <c r="C18" s="293">
        <v>128.5333</v>
      </c>
      <c r="E18" s="35">
        <v>40</v>
      </c>
      <c r="F18" s="293">
        <v>142.3991</v>
      </c>
      <c r="H18" s="35">
        <v>37</v>
      </c>
      <c r="I18" s="293">
        <v>127.5286</v>
      </c>
      <c r="K18" s="51">
        <v>40</v>
      </c>
      <c r="L18" s="293">
        <v>128.32</v>
      </c>
      <c r="N18" s="35">
        <v>24</v>
      </c>
      <c r="O18" s="293">
        <v>106.4911</v>
      </c>
      <c r="Q18" s="35">
        <v>22</v>
      </c>
      <c r="R18" s="293">
        <v>168.49590000000001</v>
      </c>
      <c r="T18" s="35">
        <v>26</v>
      </c>
      <c r="U18" s="293">
        <v>140.642</v>
      </c>
      <c r="W18" s="35">
        <v>39</v>
      </c>
      <c r="X18" s="304">
        <v>157</v>
      </c>
      <c r="Z18" s="35">
        <v>35</v>
      </c>
      <c r="AA18" s="304">
        <v>126</v>
      </c>
      <c r="AC18" s="75">
        <v>22</v>
      </c>
      <c r="AD18" s="304">
        <v>87</v>
      </c>
    </row>
    <row r="19" spans="2:30">
      <c r="B19" s="35">
        <v>44</v>
      </c>
      <c r="C19" s="293">
        <v>137.904</v>
      </c>
      <c r="E19" s="35">
        <v>41</v>
      </c>
      <c r="F19" s="293">
        <v>153.3083</v>
      </c>
      <c r="H19" s="35">
        <v>38</v>
      </c>
      <c r="I19" s="293">
        <v>136.95859999999999</v>
      </c>
      <c r="K19" s="35">
        <v>41</v>
      </c>
      <c r="L19" s="293">
        <v>137.369</v>
      </c>
      <c r="N19" s="35">
        <v>25</v>
      </c>
      <c r="O19" s="293">
        <v>113.7208</v>
      </c>
      <c r="Q19" s="35">
        <v>23</v>
      </c>
      <c r="R19" s="293">
        <v>180.96090000000001</v>
      </c>
      <c r="T19" s="35">
        <v>27</v>
      </c>
      <c r="U19" s="293">
        <v>149.3836</v>
      </c>
      <c r="W19" s="35">
        <v>40</v>
      </c>
      <c r="X19" s="304">
        <v>170</v>
      </c>
      <c r="Z19" s="35">
        <v>36</v>
      </c>
      <c r="AA19" s="304">
        <v>136</v>
      </c>
      <c r="AC19" s="75">
        <v>23</v>
      </c>
      <c r="AD19" s="304">
        <v>94</v>
      </c>
    </row>
    <row r="20" spans="2:30">
      <c r="B20" s="35">
        <v>45</v>
      </c>
      <c r="C20" s="293">
        <v>147.52549999999999</v>
      </c>
      <c r="E20" s="35">
        <v>42</v>
      </c>
      <c r="F20" s="293">
        <v>164.52500000000001</v>
      </c>
      <c r="H20" s="35">
        <v>39</v>
      </c>
      <c r="I20" s="293">
        <v>146.64680000000001</v>
      </c>
      <c r="K20" s="51">
        <v>42</v>
      </c>
      <c r="L20" s="293">
        <v>146.65719999999999</v>
      </c>
      <c r="N20" s="35">
        <v>26</v>
      </c>
      <c r="O20" s="293">
        <v>121.134</v>
      </c>
      <c r="Q20" s="35">
        <v>24</v>
      </c>
      <c r="R20" s="293">
        <v>193.7705</v>
      </c>
      <c r="T20" s="35">
        <v>28</v>
      </c>
      <c r="U20" s="293">
        <v>158.32650000000001</v>
      </c>
      <c r="W20" s="35">
        <v>41</v>
      </c>
      <c r="X20" s="304">
        <v>183</v>
      </c>
      <c r="Z20" s="35">
        <v>37</v>
      </c>
      <c r="AA20" s="304">
        <v>146</v>
      </c>
      <c r="AC20" s="75">
        <v>24</v>
      </c>
      <c r="AD20" s="304">
        <v>101</v>
      </c>
    </row>
    <row r="21" spans="2:30" ht="13.5" thickBot="1">
      <c r="B21" s="36">
        <v>46</v>
      </c>
      <c r="C21" s="294">
        <v>157.39429999999999</v>
      </c>
      <c r="E21" s="35">
        <v>43</v>
      </c>
      <c r="F21" s="293">
        <v>176.04490000000001</v>
      </c>
      <c r="H21" s="35">
        <v>40</v>
      </c>
      <c r="I21" s="293">
        <v>156.5943</v>
      </c>
      <c r="K21" s="35">
        <v>43</v>
      </c>
      <c r="L21" s="293">
        <v>156.1797</v>
      </c>
      <c r="N21" s="35">
        <v>27</v>
      </c>
      <c r="O21" s="293">
        <v>128.72819999999999</v>
      </c>
      <c r="Q21" s="35">
        <v>25</v>
      </c>
      <c r="R21" s="293">
        <v>206.91980000000001</v>
      </c>
      <c r="T21" s="35">
        <v>29</v>
      </c>
      <c r="U21" s="293">
        <v>167.47409999999999</v>
      </c>
      <c r="W21" s="35">
        <v>42</v>
      </c>
      <c r="X21" s="304">
        <v>197</v>
      </c>
      <c r="Z21" s="35">
        <v>38</v>
      </c>
      <c r="AA21" s="304">
        <v>157</v>
      </c>
      <c r="AC21" s="75">
        <v>25</v>
      </c>
      <c r="AD21" s="304">
        <v>107</v>
      </c>
    </row>
    <row r="22" spans="2:30">
      <c r="E22" s="35">
        <v>44</v>
      </c>
      <c r="F22" s="293">
        <v>187.864</v>
      </c>
      <c r="H22" s="35">
        <v>41</v>
      </c>
      <c r="I22" s="293">
        <v>166.786</v>
      </c>
      <c r="K22" s="51">
        <v>44</v>
      </c>
      <c r="L22" s="293">
        <v>165.9333</v>
      </c>
      <c r="N22" s="35">
        <v>28</v>
      </c>
      <c r="O22" s="293">
        <v>136.501</v>
      </c>
      <c r="Q22" s="35">
        <v>26</v>
      </c>
      <c r="R22" s="293">
        <v>220.40170000000001</v>
      </c>
      <c r="T22" s="35">
        <v>30</v>
      </c>
      <c r="U22" s="293">
        <v>176.8527</v>
      </c>
      <c r="W22" s="35">
        <v>43</v>
      </c>
      <c r="X22" s="304">
        <v>210</v>
      </c>
      <c r="Z22" s="35">
        <v>39</v>
      </c>
      <c r="AA22" s="304">
        <v>169</v>
      </c>
      <c r="AC22" s="75">
        <v>26</v>
      </c>
      <c r="AD22" s="304">
        <v>114</v>
      </c>
    </row>
    <row r="23" spans="2:30" ht="13.5" thickBot="1">
      <c r="E23" s="35">
        <v>45</v>
      </c>
      <c r="F23" s="293">
        <v>199.97819999999999</v>
      </c>
      <c r="H23" s="35">
        <v>42</v>
      </c>
      <c r="I23" s="293">
        <v>177.22739999999999</v>
      </c>
      <c r="K23" s="35">
        <v>45</v>
      </c>
      <c r="L23" s="293">
        <v>175.9151</v>
      </c>
      <c r="N23" s="35">
        <v>29</v>
      </c>
      <c r="O23" s="293">
        <v>144.4503</v>
      </c>
      <c r="Q23" s="35">
        <v>27</v>
      </c>
      <c r="R23" s="293">
        <v>234.21690000000001</v>
      </c>
      <c r="T23" s="35">
        <v>31</v>
      </c>
      <c r="U23" s="293">
        <v>186.4308</v>
      </c>
      <c r="W23" s="35">
        <v>44</v>
      </c>
      <c r="X23" s="304">
        <v>224</v>
      </c>
      <c r="Z23" s="36">
        <v>40</v>
      </c>
      <c r="AA23" s="305">
        <v>180</v>
      </c>
      <c r="AC23" s="75">
        <v>27</v>
      </c>
      <c r="AD23" s="304">
        <v>121</v>
      </c>
    </row>
    <row r="24" spans="2:30">
      <c r="E24" s="35">
        <v>46</v>
      </c>
      <c r="F24" s="293">
        <v>212.38229999999999</v>
      </c>
      <c r="H24" s="35">
        <v>43</v>
      </c>
      <c r="I24" s="293">
        <v>187.91319999999999</v>
      </c>
      <c r="K24" s="51">
        <v>46</v>
      </c>
      <c r="L24" s="293">
        <v>186.12219999999999</v>
      </c>
      <c r="N24" s="35">
        <v>30</v>
      </c>
      <c r="O24" s="293">
        <v>152.57550000000001</v>
      </c>
      <c r="Q24" s="35">
        <v>28</v>
      </c>
      <c r="R24" s="293">
        <v>248.35820000000001</v>
      </c>
      <c r="T24" s="35">
        <v>32</v>
      </c>
      <c r="U24" s="293">
        <v>196.20079999999999</v>
      </c>
      <c r="W24" s="35">
        <v>45</v>
      </c>
      <c r="X24" s="304">
        <v>239</v>
      </c>
      <c r="AC24" s="75">
        <v>28</v>
      </c>
      <c r="AD24" s="304">
        <v>128</v>
      </c>
    </row>
    <row r="25" spans="2:30">
      <c r="E25" s="35">
        <v>47</v>
      </c>
      <c r="F25" s="293">
        <v>225.0761</v>
      </c>
      <c r="H25" s="35">
        <v>44</v>
      </c>
      <c r="I25" s="293">
        <v>198.84030000000001</v>
      </c>
      <c r="K25" s="35">
        <v>47</v>
      </c>
      <c r="L25" s="293">
        <v>196.55199999999999</v>
      </c>
      <c r="N25" s="35">
        <v>31</v>
      </c>
      <c r="O25" s="293">
        <v>160.87100000000001</v>
      </c>
      <c r="Q25" s="35">
        <v>29</v>
      </c>
      <c r="R25" s="293">
        <v>262.82249999999999</v>
      </c>
      <c r="T25" s="35">
        <v>33</v>
      </c>
      <c r="U25" s="293">
        <v>206.1636</v>
      </c>
      <c r="W25" s="35">
        <v>46</v>
      </c>
      <c r="X25" s="304">
        <v>254</v>
      </c>
      <c r="AC25" s="75">
        <v>29</v>
      </c>
      <c r="AD25" s="304">
        <v>136</v>
      </c>
    </row>
    <row r="26" spans="2:30">
      <c r="E26" s="35">
        <v>48</v>
      </c>
      <c r="F26" s="293">
        <v>238.05459999999999</v>
      </c>
      <c r="H26" s="35">
        <v>45</v>
      </c>
      <c r="I26" s="293">
        <v>210.00569999999999</v>
      </c>
      <c r="K26" s="51">
        <v>48</v>
      </c>
      <c r="L26" s="293">
        <v>207.2124</v>
      </c>
      <c r="N26" s="35">
        <v>32</v>
      </c>
      <c r="O26" s="293">
        <v>169.33670000000001</v>
      </c>
      <c r="Q26" s="35">
        <v>30</v>
      </c>
      <c r="R26" s="293">
        <v>277.60559999999998</v>
      </c>
      <c r="T26" s="35">
        <v>34</v>
      </c>
      <c r="U26" s="293">
        <v>216.31700000000001</v>
      </c>
      <c r="W26" s="35">
        <v>47</v>
      </c>
      <c r="X26" s="304">
        <v>269</v>
      </c>
      <c r="AC26" s="75">
        <v>30</v>
      </c>
      <c r="AD26" s="304">
        <v>143</v>
      </c>
    </row>
    <row r="27" spans="2:30">
      <c r="E27" s="35">
        <v>49</v>
      </c>
      <c r="F27" s="293">
        <v>251.31270000000001</v>
      </c>
      <c r="H27" s="35">
        <v>46</v>
      </c>
      <c r="I27" s="293">
        <v>221.4067</v>
      </c>
      <c r="K27" s="35">
        <v>49</v>
      </c>
      <c r="L27" s="293">
        <v>218.1163</v>
      </c>
      <c r="N27" s="35">
        <v>33</v>
      </c>
      <c r="O27" s="293">
        <v>177.97069999999999</v>
      </c>
      <c r="Q27" s="35">
        <v>31</v>
      </c>
      <c r="R27" s="293">
        <v>292.70429999999999</v>
      </c>
      <c r="T27" s="35">
        <v>35</v>
      </c>
      <c r="U27" s="293">
        <v>226.6591</v>
      </c>
      <c r="W27" s="35">
        <v>48</v>
      </c>
      <c r="X27" s="304">
        <v>284</v>
      </c>
      <c r="AC27" s="75">
        <v>31</v>
      </c>
      <c r="AD27" s="304">
        <v>151</v>
      </c>
    </row>
    <row r="28" spans="2:30">
      <c r="E28" s="35">
        <v>50</v>
      </c>
      <c r="F28" s="293">
        <v>264.85059999999999</v>
      </c>
      <c r="H28" s="35">
        <v>47</v>
      </c>
      <c r="I28" s="293">
        <v>233.04050000000001</v>
      </c>
      <c r="K28" s="51">
        <v>50</v>
      </c>
      <c r="L28" s="293">
        <v>229.23990000000001</v>
      </c>
      <c r="N28" s="35">
        <v>34</v>
      </c>
      <c r="O28" s="293">
        <v>186.77109999999999</v>
      </c>
      <c r="Q28" s="35">
        <v>32</v>
      </c>
      <c r="R28" s="293">
        <v>308.11399999999998</v>
      </c>
      <c r="T28" s="35">
        <v>36</v>
      </c>
      <c r="U28" s="293">
        <v>237.18799999999999</v>
      </c>
      <c r="W28" s="35">
        <v>49</v>
      </c>
      <c r="X28" s="304">
        <v>300</v>
      </c>
      <c r="AC28" s="75">
        <v>32</v>
      </c>
      <c r="AD28" s="304">
        <v>159</v>
      </c>
    </row>
    <row r="29" spans="2:30">
      <c r="E29" s="35">
        <v>51</v>
      </c>
      <c r="F29" s="293">
        <v>278.66390000000001</v>
      </c>
      <c r="H29" s="35">
        <v>48</v>
      </c>
      <c r="I29" s="293">
        <v>244.90299999999999</v>
      </c>
      <c r="K29" s="35">
        <v>51</v>
      </c>
      <c r="L29" s="293">
        <v>240.57130000000001</v>
      </c>
      <c r="N29" s="35">
        <v>35</v>
      </c>
      <c r="O29" s="293">
        <v>195.73609999999999</v>
      </c>
      <c r="Q29" s="35">
        <v>33</v>
      </c>
      <c r="R29" s="293">
        <v>323.83179999999999</v>
      </c>
      <c r="T29" s="35">
        <v>37</v>
      </c>
      <c r="U29" s="293">
        <v>247.90190000000001</v>
      </c>
      <c r="W29" s="35">
        <v>50</v>
      </c>
      <c r="X29" s="304">
        <v>317</v>
      </c>
      <c r="AC29" s="75">
        <v>33</v>
      </c>
      <c r="AD29" s="304">
        <v>167</v>
      </c>
    </row>
    <row r="30" spans="2:30">
      <c r="E30" s="35">
        <v>52</v>
      </c>
      <c r="F30" s="293">
        <v>292.74959999999999</v>
      </c>
      <c r="H30" s="35">
        <v>49</v>
      </c>
      <c r="I30" s="293">
        <v>257.04160000000002</v>
      </c>
      <c r="K30" s="51">
        <v>52</v>
      </c>
      <c r="L30" s="293">
        <v>252.12100000000001</v>
      </c>
      <c r="N30" s="35">
        <v>36</v>
      </c>
      <c r="O30" s="293">
        <v>204.8571</v>
      </c>
      <c r="Q30" s="35">
        <v>34</v>
      </c>
      <c r="R30" s="293">
        <v>339.85419999999999</v>
      </c>
      <c r="T30" s="35">
        <v>38</v>
      </c>
      <c r="U30" s="293">
        <v>258.79919999999998</v>
      </c>
      <c r="W30" s="35">
        <v>51</v>
      </c>
      <c r="X30" s="304">
        <v>333</v>
      </c>
      <c r="AC30" s="75">
        <v>34</v>
      </c>
      <c r="AD30" s="304">
        <v>175</v>
      </c>
    </row>
    <row r="31" spans="2:30" ht="13.5" thickBot="1">
      <c r="E31" s="36">
        <v>53</v>
      </c>
      <c r="F31" s="294">
        <v>307.10500000000002</v>
      </c>
      <c r="H31" s="36">
        <v>50</v>
      </c>
      <c r="I31" s="294">
        <v>269.41120000000001</v>
      </c>
      <c r="K31" s="36">
        <v>53</v>
      </c>
      <c r="L31" s="294">
        <v>263.88159999999999</v>
      </c>
      <c r="N31" s="35">
        <v>37</v>
      </c>
      <c r="O31" s="293">
        <v>214.14609999999999</v>
      </c>
      <c r="Q31" s="35">
        <v>35</v>
      </c>
      <c r="R31" s="293">
        <v>356.178</v>
      </c>
      <c r="T31" s="35">
        <v>39</v>
      </c>
      <c r="U31" s="293">
        <v>269.87779999999998</v>
      </c>
      <c r="W31" s="36">
        <v>52</v>
      </c>
      <c r="X31" s="305">
        <v>350</v>
      </c>
      <c r="AC31" s="332">
        <v>35</v>
      </c>
      <c r="AD31" s="305">
        <v>183</v>
      </c>
    </row>
    <row r="32" spans="2:30">
      <c r="L32" s="4"/>
      <c r="N32" s="35">
        <v>38</v>
      </c>
      <c r="O32" s="293">
        <v>223.59469999999999</v>
      </c>
      <c r="Q32" s="35">
        <v>36</v>
      </c>
      <c r="R32" s="293">
        <v>372.80029999999999</v>
      </c>
      <c r="T32" s="35">
        <v>40</v>
      </c>
      <c r="U32" s="293">
        <v>281.13639999999998</v>
      </c>
    </row>
    <row r="33" spans="12:21" ht="13.5" thickBot="1">
      <c r="L33" s="4"/>
      <c r="N33" s="35">
        <v>39</v>
      </c>
      <c r="O33" s="293">
        <v>233.20140000000001</v>
      </c>
      <c r="Q33" s="36">
        <v>37</v>
      </c>
      <c r="R33" s="294">
        <v>389.71800000000002</v>
      </c>
      <c r="T33" s="35">
        <v>41</v>
      </c>
      <c r="U33" s="293">
        <v>292.57639999999998</v>
      </c>
    </row>
    <row r="34" spans="12:21">
      <c r="L34" s="4"/>
      <c r="N34" s="35">
        <v>40</v>
      </c>
      <c r="O34" s="293">
        <v>242.97030000000001</v>
      </c>
      <c r="T34" s="35">
        <v>42</v>
      </c>
      <c r="U34" s="293">
        <v>304.18950000000001</v>
      </c>
    </row>
    <row r="35" spans="12:21">
      <c r="L35" s="4"/>
      <c r="N35" s="35">
        <v>41</v>
      </c>
      <c r="O35" s="293">
        <v>252.88659999999999</v>
      </c>
      <c r="T35" s="35">
        <v>43</v>
      </c>
      <c r="U35" s="293">
        <v>315.9778</v>
      </c>
    </row>
    <row r="36" spans="12:21">
      <c r="L36" s="4"/>
      <c r="N36" s="35">
        <v>42</v>
      </c>
      <c r="O36" s="293">
        <v>262.95920000000001</v>
      </c>
      <c r="T36" s="35">
        <v>44</v>
      </c>
      <c r="U36" s="293">
        <v>327.93979999999999</v>
      </c>
    </row>
    <row r="37" spans="12:21">
      <c r="L37" s="4"/>
      <c r="N37" s="35">
        <v>43</v>
      </c>
      <c r="O37" s="293">
        <v>273.18389999999999</v>
      </c>
      <c r="T37" s="35">
        <v>45</v>
      </c>
      <c r="U37" s="293">
        <v>340.07409999999999</v>
      </c>
    </row>
    <row r="38" spans="12:21" ht="13.5" thickBot="1">
      <c r="L38" s="4"/>
      <c r="N38" s="36">
        <v>44</v>
      </c>
      <c r="O38" s="294">
        <v>283.55939999999998</v>
      </c>
      <c r="T38" s="35">
        <v>46</v>
      </c>
      <c r="U38" s="293">
        <v>352.3793</v>
      </c>
    </row>
    <row r="39" spans="12:21">
      <c r="L39" s="4"/>
      <c r="T39" s="35">
        <v>47</v>
      </c>
      <c r="U39" s="293">
        <v>364.85390000000001</v>
      </c>
    </row>
    <row r="40" spans="12:21">
      <c r="L40" s="4"/>
      <c r="T40" s="35">
        <v>48</v>
      </c>
      <c r="U40" s="293">
        <v>377.4966</v>
      </c>
    </row>
    <row r="41" spans="12:21">
      <c r="L41" s="4"/>
      <c r="T41" s="35">
        <v>49</v>
      </c>
      <c r="U41" s="293">
        <v>390.29160000000002</v>
      </c>
    </row>
    <row r="42" spans="12:21" ht="13.5" thickBot="1">
      <c r="L42" s="4"/>
      <c r="T42" s="36">
        <v>50</v>
      </c>
      <c r="U42" s="294">
        <v>403.26659999999998</v>
      </c>
    </row>
    <row r="43" spans="12:21">
      <c r="L43" s="4"/>
    </row>
    <row r="44" spans="12:21">
      <c r="L44" s="4"/>
    </row>
    <row r="45" spans="12:21">
      <c r="L45" s="4"/>
    </row>
  </sheetData>
  <mergeCells count="10">
    <mergeCell ref="B2:C2"/>
    <mergeCell ref="E2:F2"/>
    <mergeCell ref="H2:I2"/>
    <mergeCell ref="K2:L2"/>
    <mergeCell ref="AC2:AD2"/>
    <mergeCell ref="W2:X2"/>
    <mergeCell ref="Z2:AA2"/>
    <mergeCell ref="N2:O2"/>
    <mergeCell ref="Q2:R2"/>
    <mergeCell ref="T2:U2"/>
  </mergeCells>
  <phoneticPr fontId="0" type="noConversion"/>
  <pageMargins left="0.75" right="0.75" top="1" bottom="1" header="0" footer="0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5"/>
  <dimension ref="B1:K44"/>
  <sheetViews>
    <sheetView zoomScale="75" workbookViewId="0" xr3:uid="{958C4451-9541-5A59-BF78-D2F731DF1C81}">
      <selection activeCell="P25" sqref="P25"/>
    </sheetView>
  </sheetViews>
  <sheetFormatPr defaultColWidth="11.42578125" defaultRowHeight="12.75"/>
  <cols>
    <col min="1" max="1" width="5.5703125" customWidth="1"/>
    <col min="2" max="2" width="22.5703125" bestFit="1" customWidth="1"/>
    <col min="3" max="3" width="11" bestFit="1" customWidth="1"/>
    <col min="4" max="4" width="9" bestFit="1" customWidth="1"/>
    <col min="5" max="5" width="6" bestFit="1" customWidth="1"/>
    <col min="6" max="6" width="11" customWidth="1"/>
    <col min="7" max="7" width="11" bestFit="1" customWidth="1"/>
    <col min="8" max="8" width="10" bestFit="1" customWidth="1"/>
    <col min="9" max="9" width="12.140625" customWidth="1"/>
    <col min="10" max="10" width="11.28515625" bestFit="1" customWidth="1"/>
    <col min="11" max="11" width="15.85546875" customWidth="1"/>
  </cols>
  <sheetData>
    <row r="1" spans="2:11" ht="13.5" thickBot="1"/>
    <row r="2" spans="2:11" ht="13.5" thickBot="1">
      <c r="B2" s="650" t="s">
        <v>12</v>
      </c>
      <c r="C2" s="651"/>
      <c r="D2" s="651"/>
      <c r="E2" s="651"/>
      <c r="F2" s="651"/>
      <c r="G2" s="651"/>
      <c r="H2" s="651"/>
      <c r="I2" s="651"/>
      <c r="J2" s="652"/>
      <c r="K2" s="653"/>
    </row>
    <row r="3" spans="2:11" ht="26.25" thickBot="1">
      <c r="B3" s="264" t="s">
        <v>13</v>
      </c>
      <c r="C3" s="265" t="s">
        <v>14</v>
      </c>
      <c r="D3" s="265" t="s">
        <v>15</v>
      </c>
      <c r="E3" s="265" t="s">
        <v>16</v>
      </c>
      <c r="F3" s="266" t="s">
        <v>17</v>
      </c>
      <c r="G3" s="266" t="s">
        <v>18</v>
      </c>
      <c r="H3" s="267" t="s">
        <v>19</v>
      </c>
      <c r="I3" s="277" t="s">
        <v>20</v>
      </c>
      <c r="J3" s="266" t="s">
        <v>21</v>
      </c>
      <c r="K3" s="268" t="s">
        <v>22</v>
      </c>
    </row>
    <row r="4" spans="2:11" ht="13.5" thickTop="1">
      <c r="B4" s="563" t="s">
        <v>23</v>
      </c>
      <c r="C4" s="150">
        <v>1620</v>
      </c>
      <c r="D4" s="150">
        <v>2.8119999999999998E-3</v>
      </c>
      <c r="E4" s="150">
        <v>1.605</v>
      </c>
      <c r="F4" s="52"/>
      <c r="G4" s="150">
        <v>28.67</v>
      </c>
      <c r="H4" s="232">
        <f>(J4/C4)^(1/E4)-D4</f>
        <v>0.1057141429316759</v>
      </c>
      <c r="I4" s="150"/>
      <c r="J4" s="326">
        <f t="shared" ref="J4:J12" si="0">+G4*$C$31</f>
        <v>45.872000000000007</v>
      </c>
      <c r="K4" s="292"/>
    </row>
    <row r="5" spans="2:11">
      <c r="B5" s="564" t="s">
        <v>24</v>
      </c>
      <c r="C5" s="6">
        <v>1.447E-2</v>
      </c>
      <c r="D5" s="6">
        <v>5.6660000000000004</v>
      </c>
      <c r="E5" s="6">
        <v>1.641</v>
      </c>
      <c r="F5" s="5"/>
      <c r="G5" s="6"/>
      <c r="H5" s="232">
        <f t="shared" ref="H5:H12" si="1">(J5/C5)^(1/E5)-D5</f>
        <v>-5.6660000000000004</v>
      </c>
      <c r="I5" s="6"/>
      <c r="J5" s="326">
        <f t="shared" si="0"/>
        <v>0</v>
      </c>
      <c r="K5" s="293"/>
    </row>
    <row r="6" spans="2:11">
      <c r="B6" s="564" t="s">
        <v>25</v>
      </c>
      <c r="C6" s="6">
        <v>272.39999999999998</v>
      </c>
      <c r="D6" s="6">
        <v>0</v>
      </c>
      <c r="E6" s="6">
        <v>1.528</v>
      </c>
      <c r="F6" s="5"/>
      <c r="G6" s="6">
        <v>120</v>
      </c>
      <c r="H6" s="232">
        <f t="shared" si="1"/>
        <v>0.79539921977913608</v>
      </c>
      <c r="I6" s="269"/>
      <c r="J6" s="326">
        <f t="shared" si="0"/>
        <v>192</v>
      </c>
      <c r="K6" s="327"/>
    </row>
    <row r="7" spans="2:11">
      <c r="B7" s="564" t="s">
        <v>26</v>
      </c>
      <c r="C7" s="6">
        <v>0.19650000000000001</v>
      </c>
      <c r="D7" s="6">
        <v>0</v>
      </c>
      <c r="E7" s="6">
        <v>1.518</v>
      </c>
      <c r="F7" s="5"/>
      <c r="G7" s="6">
        <v>80</v>
      </c>
      <c r="H7" s="232">
        <f t="shared" si="1"/>
        <v>71.39280137681726</v>
      </c>
      <c r="I7" s="269"/>
      <c r="J7" s="326">
        <f t="shared" si="0"/>
        <v>128</v>
      </c>
      <c r="K7" s="327"/>
    </row>
    <row r="8" spans="2:11">
      <c r="B8" s="565" t="s">
        <v>27</v>
      </c>
      <c r="C8" s="210">
        <v>0.27400000000000002</v>
      </c>
      <c r="D8" s="210">
        <v>0</v>
      </c>
      <c r="E8" s="210">
        <v>1.528</v>
      </c>
      <c r="F8" s="5"/>
      <c r="G8" s="6">
        <v>160</v>
      </c>
      <c r="H8" s="232">
        <f t="shared" si="1"/>
        <v>87.909855678756571</v>
      </c>
      <c r="I8" s="269"/>
      <c r="J8" s="326">
        <f t="shared" si="0"/>
        <v>256</v>
      </c>
      <c r="K8" s="327"/>
    </row>
    <row r="9" spans="2:11">
      <c r="B9" s="566" t="s">
        <v>28</v>
      </c>
      <c r="C9" s="567">
        <v>902.1</v>
      </c>
      <c r="D9" s="567">
        <v>0</v>
      </c>
      <c r="E9" s="567">
        <v>1.5580000000000001</v>
      </c>
      <c r="F9" s="271"/>
      <c r="G9" s="6"/>
      <c r="H9" s="232">
        <f t="shared" si="1"/>
        <v>0</v>
      </c>
      <c r="I9" s="6"/>
      <c r="J9" s="326">
        <f t="shared" si="0"/>
        <v>0</v>
      </c>
      <c r="K9" s="293"/>
    </row>
    <row r="10" spans="2:11">
      <c r="B10" s="566" t="s">
        <v>29</v>
      </c>
      <c r="C10" s="567">
        <v>1378</v>
      </c>
      <c r="D10" s="567">
        <v>5.3629999999999997E-3</v>
      </c>
      <c r="E10" s="567">
        <v>1.641</v>
      </c>
      <c r="F10" s="271">
        <f>+'1_1'!$H$22</f>
        <v>1.5085999999999999</v>
      </c>
      <c r="G10" s="271">
        <f>+'1_1'!$H$22</f>
        <v>1.5085999999999999</v>
      </c>
      <c r="H10" s="232">
        <f>((J10/C10)^(1/E10)-D10)*100</f>
        <v>1.5539487375978625</v>
      </c>
      <c r="I10" s="6">
        <v>17</v>
      </c>
      <c r="J10" s="326">
        <f>+G10*$C$31</f>
        <v>2.4137599999999999</v>
      </c>
      <c r="K10" s="293"/>
    </row>
    <row r="11" spans="2:11">
      <c r="B11" s="566" t="s">
        <v>30</v>
      </c>
      <c r="C11" s="567"/>
      <c r="D11" s="567"/>
      <c r="E11" s="567"/>
      <c r="F11" s="271"/>
      <c r="G11" s="6"/>
      <c r="H11" s="232" t="e">
        <f t="shared" si="1"/>
        <v>#DIV/0!</v>
      </c>
      <c r="I11" s="6"/>
      <c r="J11" s="326">
        <f t="shared" si="0"/>
        <v>0</v>
      </c>
      <c r="K11" s="293"/>
    </row>
    <row r="12" spans="2:11" ht="13.5" thickBot="1">
      <c r="B12" s="568" t="s">
        <v>31</v>
      </c>
      <c r="C12" s="569">
        <v>1476</v>
      </c>
      <c r="D12" s="569">
        <v>4.5620000000000001E-3</v>
      </c>
      <c r="E12" s="569">
        <v>1.6419999999999999</v>
      </c>
      <c r="F12" s="272"/>
      <c r="G12" s="33"/>
      <c r="H12" s="329">
        <f t="shared" si="1"/>
        <v>-4.5620000000000001E-3</v>
      </c>
      <c r="I12" s="33"/>
      <c r="J12" s="328">
        <f t="shared" si="0"/>
        <v>0</v>
      </c>
      <c r="K12" s="294"/>
    </row>
    <row r="13" spans="2:11" ht="13.5" thickBot="1">
      <c r="B13" s="654" t="s">
        <v>32</v>
      </c>
      <c r="C13" s="655"/>
      <c r="D13" s="655"/>
      <c r="E13" s="655"/>
      <c r="F13" s="655"/>
      <c r="G13" s="655"/>
      <c r="H13" s="655"/>
      <c r="I13" s="655"/>
      <c r="J13" s="655"/>
      <c r="K13" s="655"/>
    </row>
    <row r="14" spans="2:11" ht="26.25" thickBot="1">
      <c r="B14" s="264" t="s">
        <v>13</v>
      </c>
      <c r="C14" s="265" t="s">
        <v>14</v>
      </c>
      <c r="D14" s="265" t="s">
        <v>15</v>
      </c>
      <c r="E14" s="265" t="s">
        <v>16</v>
      </c>
      <c r="F14" s="266" t="s">
        <v>17</v>
      </c>
      <c r="G14" s="266" t="s">
        <v>18</v>
      </c>
      <c r="H14" s="267" t="s">
        <v>19</v>
      </c>
      <c r="I14" s="277" t="s">
        <v>20</v>
      </c>
      <c r="J14" s="266" t="s">
        <v>21</v>
      </c>
      <c r="K14" s="268" t="s">
        <v>22</v>
      </c>
    </row>
    <row r="15" spans="2:11" ht="16.5" thickTop="1">
      <c r="B15" s="308" t="s">
        <v>33</v>
      </c>
      <c r="C15" s="330">
        <v>980.1</v>
      </c>
      <c r="D15" s="330">
        <v>3.656E-3</v>
      </c>
      <c r="E15" s="330">
        <v>1.611</v>
      </c>
      <c r="F15" s="287">
        <f>+'2_1'!F36</f>
        <v>0</v>
      </c>
      <c r="G15" s="287">
        <f>+'4_1'!H23+'4_1'!L23</f>
        <v>45.010600000000004</v>
      </c>
      <c r="H15" s="289">
        <f>+'4_1'!H23</f>
        <v>15.626800000000001</v>
      </c>
      <c r="I15" s="307">
        <v>0</v>
      </c>
      <c r="J15" s="302">
        <f t="shared" ref="J15:J23" si="2">+G15*$C$31</f>
        <v>72.016960000000012</v>
      </c>
      <c r="K15" s="303">
        <f t="shared" ref="K15:K23" si="3">+H15+I15</f>
        <v>15.626800000000001</v>
      </c>
    </row>
    <row r="16" spans="2:11" ht="15.75">
      <c r="B16" s="301" t="s">
        <v>34</v>
      </c>
      <c r="C16" s="311">
        <v>1953</v>
      </c>
      <c r="D16" s="311">
        <v>4.5979999999999997E-3</v>
      </c>
      <c r="E16" s="291">
        <v>1.641</v>
      </c>
      <c r="F16" s="287">
        <v>176.74199999999999</v>
      </c>
      <c r="G16" s="288">
        <f>+'3_1'!H9</f>
        <v>149.9759</v>
      </c>
      <c r="H16" s="289">
        <f>((J16/C16)^(1/E16)-D16)*100</f>
        <v>27.409005355473788</v>
      </c>
      <c r="I16" s="307">
        <v>0</v>
      </c>
      <c r="J16" s="302">
        <f t="shared" si="2"/>
        <v>239.96144000000001</v>
      </c>
      <c r="K16" s="303">
        <f t="shared" si="3"/>
        <v>27.409005355473788</v>
      </c>
    </row>
    <row r="17" spans="2:11" ht="15.75">
      <c r="B17" s="308" t="s">
        <v>35</v>
      </c>
      <c r="C17" s="291">
        <v>1069</v>
      </c>
      <c r="D17" s="291">
        <v>4.0289999999999996E-3</v>
      </c>
      <c r="E17" s="291">
        <v>1.635</v>
      </c>
      <c r="F17" s="287">
        <f>+'3_1'!H9</f>
        <v>149.9759</v>
      </c>
      <c r="G17" s="287">
        <f>+'4_1'!I23+'4_1'!L23</f>
        <v>51.717799999999997</v>
      </c>
      <c r="H17" s="289">
        <f>((J17/C17)^(1/E17)-D17)*100</f>
        <v>20.507202364594189</v>
      </c>
      <c r="I17" s="307">
        <v>0</v>
      </c>
      <c r="J17" s="302">
        <f t="shared" si="2"/>
        <v>82.748480000000001</v>
      </c>
      <c r="K17" s="303">
        <f t="shared" si="3"/>
        <v>20.507202364594189</v>
      </c>
    </row>
    <row r="18" spans="2:11" ht="15.75">
      <c r="B18" s="286" t="s">
        <v>36</v>
      </c>
      <c r="C18" s="291">
        <v>1231</v>
      </c>
      <c r="D18" s="291">
        <v>5.2700000000000004E-3</v>
      </c>
      <c r="E18" s="291">
        <v>1.635</v>
      </c>
      <c r="F18" s="287">
        <v>84.469099999999997</v>
      </c>
      <c r="G18" s="287">
        <f>+'5_1'!H9</f>
        <v>72.928200000000004</v>
      </c>
      <c r="H18" s="289">
        <f>((J18/C18)^(1/E18)-D18)*100</f>
        <v>23.141109083972978</v>
      </c>
      <c r="I18" s="307">
        <v>0</v>
      </c>
      <c r="J18" s="302">
        <f t="shared" si="2"/>
        <v>116.68512000000001</v>
      </c>
      <c r="K18" s="303">
        <f t="shared" si="3"/>
        <v>23.141109083972978</v>
      </c>
    </row>
    <row r="19" spans="2:11" ht="15.75">
      <c r="B19" s="301" t="s">
        <v>37</v>
      </c>
      <c r="C19" s="291">
        <v>0.54820000000000002</v>
      </c>
      <c r="D19" s="291">
        <v>0</v>
      </c>
      <c r="E19" s="291">
        <v>1.5249999999999999</v>
      </c>
      <c r="F19" s="287">
        <v>107.57830000000001</v>
      </c>
      <c r="G19" s="287">
        <f>+'4_1'!K23+'4_1'!I23+'4_1'!H23</f>
        <v>96.728400000000008</v>
      </c>
      <c r="H19" s="289">
        <f>(J19/C19)^(1/E19)-D19</f>
        <v>40.461251815336247</v>
      </c>
      <c r="I19" s="307">
        <v>0</v>
      </c>
      <c r="J19" s="302">
        <f t="shared" si="2"/>
        <v>154.76544000000001</v>
      </c>
      <c r="K19" s="303">
        <f t="shared" si="3"/>
        <v>40.461251815336247</v>
      </c>
    </row>
    <row r="20" spans="2:11" ht="15.75">
      <c r="B20" s="301" t="s">
        <v>38</v>
      </c>
      <c r="C20" s="291">
        <v>2075</v>
      </c>
      <c r="D20" s="291">
        <v>3.8400000000000001E-3</v>
      </c>
      <c r="E20" s="291">
        <v>1.621</v>
      </c>
      <c r="F20" s="287">
        <f>+'9_1'!F38</f>
        <v>0</v>
      </c>
      <c r="G20" s="288">
        <f>+'9_1'!H9</f>
        <v>146.7885</v>
      </c>
      <c r="H20" s="289">
        <f>((J20/C20)^(1/E20)-D20)*100</f>
        <v>25.694492850152713</v>
      </c>
      <c r="I20" s="307">
        <v>19</v>
      </c>
      <c r="J20" s="302">
        <f t="shared" si="2"/>
        <v>234.86160000000001</v>
      </c>
      <c r="K20" s="303">
        <f t="shared" si="3"/>
        <v>44.694492850152713</v>
      </c>
    </row>
    <row r="21" spans="2:11" ht="15.75">
      <c r="B21" s="301" t="s">
        <v>39</v>
      </c>
      <c r="C21" s="291">
        <v>1684</v>
      </c>
      <c r="D21" s="291">
        <v>3.8249999999999998E-3</v>
      </c>
      <c r="E21" s="291">
        <v>1.63</v>
      </c>
      <c r="F21" s="287">
        <f>+'10_1'!E22</f>
        <v>46.515300000000003</v>
      </c>
      <c r="G21" s="287">
        <f>+'10_1'!H22</f>
        <v>45.232900000000001</v>
      </c>
      <c r="H21" s="289">
        <f>((J21/C21)^(1/E21)-D21)*100</f>
        <v>14.121648102145109</v>
      </c>
      <c r="I21" s="307">
        <v>15</v>
      </c>
      <c r="J21" s="302">
        <f t="shared" si="2"/>
        <v>72.372640000000004</v>
      </c>
      <c r="K21" s="303">
        <f t="shared" si="3"/>
        <v>29.121648102145109</v>
      </c>
    </row>
    <row r="22" spans="2:11" ht="15.75">
      <c r="B22" s="286" t="s">
        <v>40</v>
      </c>
      <c r="C22" s="291">
        <v>1425</v>
      </c>
      <c r="D22" s="291">
        <v>2.9550000000000002E-3</v>
      </c>
      <c r="E22" s="291">
        <v>1.603</v>
      </c>
      <c r="F22" s="287">
        <f>+'12_1'!E23</f>
        <v>84.363900000000001</v>
      </c>
      <c r="G22" s="287">
        <f>+'12_1'!H23</f>
        <v>68.96802000000001</v>
      </c>
      <c r="H22" s="289">
        <f>((J22/C22)^(1/E22)-D22)*100</f>
        <v>19.976431001744448</v>
      </c>
      <c r="I22" s="307">
        <v>21</v>
      </c>
      <c r="J22" s="302">
        <f t="shared" si="2"/>
        <v>110.34883200000002</v>
      </c>
      <c r="K22" s="299">
        <f t="shared" si="3"/>
        <v>40.976431001744444</v>
      </c>
    </row>
    <row r="23" spans="2:11" ht="15.75">
      <c r="B23" s="286" t="s">
        <v>41</v>
      </c>
      <c r="C23" s="291">
        <v>1703</v>
      </c>
      <c r="D23" s="291">
        <v>2.3600000000000001E-3</v>
      </c>
      <c r="E23" s="291">
        <v>1.6020000000000001</v>
      </c>
      <c r="F23" s="287">
        <v>78.634599999999978</v>
      </c>
      <c r="G23" s="287">
        <f>+'13_1'!H34</f>
        <v>75.830600000000004</v>
      </c>
      <c r="H23" s="289">
        <f>((J23/C23)^(1/E23)-D23)*100</f>
        <v>18.988887722436139</v>
      </c>
      <c r="I23" s="307">
        <v>18</v>
      </c>
      <c r="J23" s="302">
        <f t="shared" si="2"/>
        <v>121.32896000000001</v>
      </c>
      <c r="K23" s="299">
        <f t="shared" si="3"/>
        <v>36.988887722436139</v>
      </c>
    </row>
    <row r="28" spans="2:11" ht="16.5" thickBot="1">
      <c r="C28" s="270"/>
      <c r="G28" s="279"/>
    </row>
    <row r="29" spans="2:11">
      <c r="B29" s="24" t="s">
        <v>42</v>
      </c>
      <c r="C29" s="322">
        <f>+G28</f>
        <v>0</v>
      </c>
    </row>
    <row r="30" spans="2:11">
      <c r="B30" s="26" t="s">
        <v>43</v>
      </c>
      <c r="C30" s="28">
        <v>2500</v>
      </c>
    </row>
    <row r="31" spans="2:11" ht="13.5" thickBot="1">
      <c r="B31" s="132" t="s">
        <v>44</v>
      </c>
      <c r="C31" s="570">
        <v>1.6</v>
      </c>
    </row>
    <row r="32" spans="2:11" ht="16.5" thickBot="1">
      <c r="C32" s="270"/>
    </row>
    <row r="33" spans="2:11" ht="15.75">
      <c r="B33" s="571" t="s">
        <v>12</v>
      </c>
      <c r="C33" s="32">
        <v>1</v>
      </c>
      <c r="D33" s="32">
        <v>1</v>
      </c>
      <c r="E33" s="32">
        <v>1</v>
      </c>
      <c r="F33" s="365">
        <v>69.968299999999999</v>
      </c>
      <c r="G33" s="365">
        <v>68.075599999999994</v>
      </c>
      <c r="H33" s="366">
        <f>(J33/C33)^(1/E33)-D33</f>
        <v>107.92095999999999</v>
      </c>
      <c r="I33" s="367">
        <v>0</v>
      </c>
      <c r="J33" s="368">
        <f>+G33*$C$31</f>
        <v>108.92095999999999</v>
      </c>
      <c r="K33" s="369">
        <f>+H33+I33</f>
        <v>107.92095999999999</v>
      </c>
    </row>
    <row r="34" spans="2:11" ht="15.75">
      <c r="B34" s="285" t="s">
        <v>45</v>
      </c>
      <c r="C34" s="283">
        <v>1.1439999999999999</v>
      </c>
      <c r="D34" s="283">
        <v>0</v>
      </c>
      <c r="E34" s="283">
        <v>1.5569999999999999</v>
      </c>
      <c r="F34" s="281">
        <v>530.51369999999997</v>
      </c>
      <c r="G34" s="284">
        <f>+'7_1'!H39</f>
        <v>233.0018</v>
      </c>
      <c r="H34" s="282">
        <f>((J34/C34)^(1/E34)-D34)*100</f>
        <v>4111.8330673338205</v>
      </c>
      <c r="I34" s="282">
        <v>17</v>
      </c>
      <c r="J34" s="364">
        <f t="shared" ref="J34:J40" si="4">+G34*$C$31</f>
        <v>372.80288000000002</v>
      </c>
      <c r="K34" s="300">
        <f t="shared" ref="K34:K40" si="5">+H34+I34</f>
        <v>4128.8330673338205</v>
      </c>
    </row>
    <row r="35" spans="2:11" ht="15.75">
      <c r="B35" s="572" t="s">
        <v>46</v>
      </c>
      <c r="C35" s="6">
        <v>1</v>
      </c>
      <c r="D35" s="6">
        <v>1</v>
      </c>
      <c r="E35" s="6">
        <v>1</v>
      </c>
      <c r="F35" s="273">
        <v>26.537100000000002</v>
      </c>
      <c r="G35" s="274">
        <f>+'8_1'!H16</f>
        <v>11.157999999999999</v>
      </c>
      <c r="H35" s="269">
        <f>(J35/C35)^(1/E35)-D35</f>
        <v>16.852799999999998</v>
      </c>
      <c r="I35" s="362">
        <v>0</v>
      </c>
      <c r="J35" s="363">
        <f t="shared" si="4"/>
        <v>17.852799999999998</v>
      </c>
      <c r="K35" s="297">
        <f t="shared" si="5"/>
        <v>16.852799999999998</v>
      </c>
    </row>
    <row r="36" spans="2:11" ht="15.75">
      <c r="B36" s="573" t="s">
        <v>47</v>
      </c>
      <c r="C36" s="6">
        <v>1</v>
      </c>
      <c r="D36" s="6">
        <v>1</v>
      </c>
      <c r="E36" s="6">
        <v>1</v>
      </c>
      <c r="F36" s="273">
        <v>23.4102</v>
      </c>
      <c r="G36" s="273">
        <f>+'11_1'!I18</f>
        <v>14.763500000000001</v>
      </c>
      <c r="H36" s="290">
        <f>((J36/C36)^(1/E36)-D36)*100</f>
        <v>2262.16</v>
      </c>
      <c r="I36" s="362">
        <v>0</v>
      </c>
      <c r="J36" s="363">
        <f t="shared" si="4"/>
        <v>23.621600000000001</v>
      </c>
      <c r="K36" s="297">
        <f t="shared" si="5"/>
        <v>2262.16</v>
      </c>
    </row>
    <row r="37" spans="2:11" ht="15.75">
      <c r="B37" s="573" t="s">
        <v>48</v>
      </c>
      <c r="C37" s="6">
        <v>1336</v>
      </c>
      <c r="D37" s="6">
        <v>4.8820000000000001E-3</v>
      </c>
      <c r="E37" s="6">
        <v>1.64</v>
      </c>
      <c r="F37" s="273">
        <v>111.22059999999999</v>
      </c>
      <c r="G37" s="273">
        <f>+'16_1'!H23</f>
        <v>88.696500000000015</v>
      </c>
      <c r="H37" s="269">
        <f>(J37/C37)^(1/E37)-D37</f>
        <v>0.24993694407464367</v>
      </c>
      <c r="I37" s="362">
        <v>0</v>
      </c>
      <c r="J37" s="363">
        <f t="shared" si="4"/>
        <v>141.91440000000003</v>
      </c>
      <c r="K37" s="297">
        <f t="shared" si="5"/>
        <v>0.24993694407464367</v>
      </c>
    </row>
    <row r="38" spans="2:11" ht="15.75">
      <c r="B38" s="573" t="s">
        <v>49</v>
      </c>
      <c r="C38" s="6">
        <v>1336</v>
      </c>
      <c r="D38" s="6">
        <v>4.8820000000000001E-3</v>
      </c>
      <c r="E38" s="6">
        <v>1.64</v>
      </c>
      <c r="F38" s="273">
        <v>94.426500000000019</v>
      </c>
      <c r="G38" s="273" t="e">
        <f>+Hijuelas!#REF!</f>
        <v>#REF!</v>
      </c>
      <c r="H38" s="269" t="e">
        <f>(J38/C38)^(1/E38)-D38</f>
        <v>#REF!</v>
      </c>
      <c r="I38" s="362">
        <v>0</v>
      </c>
      <c r="J38" s="363" t="e">
        <f t="shared" si="4"/>
        <v>#REF!</v>
      </c>
      <c r="K38" s="297" t="e">
        <f t="shared" si="5"/>
        <v>#REF!</v>
      </c>
    </row>
    <row r="39" spans="2:11" ht="15.75">
      <c r="B39" s="573" t="s">
        <v>50</v>
      </c>
      <c r="C39" s="6">
        <v>1336</v>
      </c>
      <c r="D39" s="6">
        <v>4.8820000000000001E-3</v>
      </c>
      <c r="E39" s="6">
        <v>1.64</v>
      </c>
      <c r="F39" s="273">
        <v>473.12740000000014</v>
      </c>
      <c r="G39" s="273">
        <v>362.48690000000011</v>
      </c>
      <c r="H39" s="269">
        <f>(J39/C39)^(1/E39)-D39</f>
        <v>0.59633043084371828</v>
      </c>
      <c r="I39" s="362">
        <v>0</v>
      </c>
      <c r="J39" s="363">
        <f t="shared" si="4"/>
        <v>579.97904000000017</v>
      </c>
      <c r="K39" s="297">
        <f t="shared" si="5"/>
        <v>0.59633043084371828</v>
      </c>
    </row>
    <row r="40" spans="2:11" ht="16.5" thickBot="1">
      <c r="B40" s="574" t="s">
        <v>51</v>
      </c>
      <c r="C40" s="33">
        <v>1336</v>
      </c>
      <c r="D40" s="33">
        <v>4.8820000000000001E-3</v>
      </c>
      <c r="E40" s="33">
        <v>1.64</v>
      </c>
      <c r="F40" s="275">
        <v>700.2571200000001</v>
      </c>
      <c r="G40" s="275">
        <v>555.87221999999997</v>
      </c>
      <c r="H40" s="276">
        <f>(J40/C40)^(1/E40)-D40</f>
        <v>0.77539549729683555</v>
      </c>
      <c r="I40" s="370">
        <v>0</v>
      </c>
      <c r="J40" s="371">
        <f t="shared" si="4"/>
        <v>889.39555199999995</v>
      </c>
      <c r="K40" s="298">
        <f t="shared" si="5"/>
        <v>0.77539549729683555</v>
      </c>
    </row>
    <row r="41" spans="2:11" ht="15.75">
      <c r="B41" s="342"/>
      <c r="C41" s="338"/>
      <c r="D41" s="338"/>
      <c r="E41" s="338"/>
      <c r="F41" s="339"/>
      <c r="G41" s="339"/>
      <c r="H41" s="340"/>
      <c r="I41" s="340"/>
      <c r="J41" s="343"/>
      <c r="K41" s="343"/>
    </row>
    <row r="42" spans="2:11" ht="15.75">
      <c r="B42" s="342"/>
      <c r="C42" s="338"/>
      <c r="D42" s="338"/>
      <c r="E42" s="338"/>
      <c r="F42" s="339"/>
      <c r="G42" s="339"/>
      <c r="H42" s="340"/>
      <c r="I42" s="340"/>
      <c r="J42" s="343"/>
      <c r="K42" s="343"/>
    </row>
    <row r="43" spans="2:11" ht="15.75">
      <c r="B43" s="338" t="s">
        <v>52</v>
      </c>
      <c r="C43" s="338">
        <f>+'1_1'!H28+'2_1'!H36+'3_1'!H22+'4_1'!H20+'5_1'!H22+'6_1'!H30+'7_1'!H39+'8_1'!H16+'9_1'!H38+'10_1'!H22+'11_1'!H18+'12_1'!H23+'13_1'!H18+'14_1'!H43+'15_1'!H33+'16_1'!H23</f>
        <v>1155.2355600000001</v>
      </c>
      <c r="D43" s="338"/>
      <c r="E43" s="338"/>
      <c r="F43" s="339"/>
      <c r="G43" s="339"/>
      <c r="H43" s="340"/>
      <c r="I43" s="340"/>
      <c r="J43" s="341"/>
      <c r="K43" s="341"/>
    </row>
    <row r="44" spans="2:11">
      <c r="B44" s="10"/>
      <c r="C44" s="10"/>
      <c r="D44" s="10"/>
      <c r="E44" s="10"/>
      <c r="F44" s="10"/>
      <c r="G44" s="10"/>
      <c r="H44" s="10"/>
      <c r="I44" s="10"/>
      <c r="J44" s="10"/>
      <c r="K44" s="10"/>
    </row>
  </sheetData>
  <mergeCells count="2">
    <mergeCell ref="B2:K2"/>
    <mergeCell ref="B13:K13"/>
  </mergeCells>
  <phoneticPr fontId="0" type="noConversion"/>
  <pageMargins left="0.82677165354330717" right="0.74803149606299213" top="0.94488188976377963" bottom="0.98425196850393704" header="0" footer="0"/>
  <pageSetup paperSize="281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X1221"/>
  <sheetViews>
    <sheetView topLeftCell="A46" workbookViewId="0" xr3:uid="{842E5F09-E766-5B8D-85AF-A39847EA96FD}">
      <selection activeCell="D37" sqref="D37"/>
    </sheetView>
  </sheetViews>
  <sheetFormatPr defaultColWidth="11.42578125" defaultRowHeight="12.75"/>
  <cols>
    <col min="6" max="6" width="11.7109375" bestFit="1" customWidth="1"/>
    <col min="24" max="24" width="11.7109375" bestFit="1" customWidth="1"/>
  </cols>
  <sheetData>
    <row r="1" spans="1:24">
      <c r="A1" t="s">
        <v>53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X1" t="s">
        <v>61</v>
      </c>
    </row>
    <row r="2" spans="1:24">
      <c r="A2" t="str">
        <f t="shared" ref="A2:A65" si="0">+CONCATENATE(B2,C2)</f>
        <v>12007</v>
      </c>
      <c r="B2" s="545">
        <v>1200</v>
      </c>
      <c r="C2" s="546">
        <v>7</v>
      </c>
      <c r="D2" s="546">
        <v>1</v>
      </c>
      <c r="E2" s="546">
        <v>0</v>
      </c>
      <c r="F2" s="546">
        <v>0</v>
      </c>
      <c r="G2" s="549"/>
      <c r="H2" s="549"/>
      <c r="X2" s="128">
        <f>SUM(F2:F1000)</f>
        <v>23210108.84</v>
      </c>
    </row>
    <row r="3" spans="1:24">
      <c r="A3" t="str">
        <f t="shared" si="0"/>
        <v>120012</v>
      </c>
      <c r="B3" s="545">
        <v>1200</v>
      </c>
      <c r="C3" s="546">
        <v>12</v>
      </c>
      <c r="D3" s="546">
        <v>0</v>
      </c>
      <c r="E3" s="546">
        <v>207</v>
      </c>
      <c r="F3" s="552">
        <v>8914546.3100000005</v>
      </c>
      <c r="G3" s="549"/>
      <c r="H3" s="549"/>
    </row>
    <row r="4" spans="1:24">
      <c r="A4" t="str">
        <f t="shared" si="0"/>
        <v>120016</v>
      </c>
      <c r="B4" s="545">
        <v>1200</v>
      </c>
      <c r="C4" s="546">
        <v>16</v>
      </c>
      <c r="D4" s="546">
        <v>0</v>
      </c>
      <c r="E4" s="546">
        <v>207</v>
      </c>
      <c r="F4" s="552">
        <v>3078970.8</v>
      </c>
      <c r="G4" s="549"/>
      <c r="H4" s="549"/>
    </row>
    <row r="5" spans="1:24">
      <c r="A5" t="str">
        <f t="shared" si="0"/>
        <v>120023</v>
      </c>
      <c r="B5" s="545">
        <v>1200</v>
      </c>
      <c r="C5" s="546">
        <v>23</v>
      </c>
      <c r="D5" s="546">
        <v>0</v>
      </c>
      <c r="E5" s="546">
        <v>204</v>
      </c>
      <c r="F5" s="552">
        <v>4067565.72</v>
      </c>
      <c r="G5" s="549"/>
      <c r="H5" s="549"/>
    </row>
    <row r="6" spans="1:24">
      <c r="A6" t="str">
        <f t="shared" si="0"/>
        <v>120028</v>
      </c>
      <c r="B6" s="545">
        <v>1200</v>
      </c>
      <c r="C6" s="546">
        <v>28</v>
      </c>
      <c r="D6" s="546">
        <v>1</v>
      </c>
      <c r="E6" s="546">
        <v>0</v>
      </c>
      <c r="F6" s="552">
        <v>1195.8699999999999</v>
      </c>
      <c r="G6" s="549"/>
      <c r="H6" s="549"/>
    </row>
    <row r="7" spans="1:24">
      <c r="A7" t="str">
        <f t="shared" si="0"/>
        <v>120029</v>
      </c>
      <c r="B7" s="545">
        <v>1200</v>
      </c>
      <c r="C7" s="546">
        <v>29</v>
      </c>
      <c r="D7" s="546">
        <v>1</v>
      </c>
      <c r="E7" s="546">
        <v>0</v>
      </c>
      <c r="F7" s="546">
        <v>0</v>
      </c>
      <c r="G7" s="549"/>
      <c r="H7" s="549"/>
    </row>
    <row r="8" spans="1:24">
      <c r="A8" t="str">
        <f t="shared" si="0"/>
        <v>120030</v>
      </c>
      <c r="B8" s="545">
        <v>1200</v>
      </c>
      <c r="C8" s="546">
        <v>30</v>
      </c>
      <c r="D8" s="546">
        <v>1</v>
      </c>
      <c r="E8" s="546">
        <v>1</v>
      </c>
      <c r="F8" s="546">
        <v>882.65</v>
      </c>
      <c r="G8" s="549"/>
      <c r="H8" s="549"/>
    </row>
    <row r="9" spans="1:24">
      <c r="A9" t="str">
        <f t="shared" si="0"/>
        <v>120031</v>
      </c>
      <c r="B9" s="545">
        <v>1200</v>
      </c>
      <c r="C9" s="546">
        <v>31</v>
      </c>
      <c r="D9" s="546">
        <v>1</v>
      </c>
      <c r="E9" s="546">
        <v>1</v>
      </c>
      <c r="F9" s="552">
        <v>1432.62</v>
      </c>
      <c r="G9" s="549"/>
      <c r="H9" s="549"/>
    </row>
    <row r="10" spans="1:24">
      <c r="A10" t="str">
        <f t="shared" si="0"/>
        <v>120034</v>
      </c>
      <c r="B10" s="545">
        <v>1200</v>
      </c>
      <c r="C10" s="546">
        <v>34</v>
      </c>
      <c r="D10" s="546">
        <v>1</v>
      </c>
      <c r="E10" s="546">
        <v>0</v>
      </c>
      <c r="F10" s="546">
        <v>0</v>
      </c>
      <c r="G10" s="549"/>
      <c r="H10" s="549"/>
    </row>
    <row r="11" spans="1:24">
      <c r="A11" t="str">
        <f t="shared" si="0"/>
        <v>120035</v>
      </c>
      <c r="B11" s="545">
        <v>1200</v>
      </c>
      <c r="C11" s="546">
        <v>35</v>
      </c>
      <c r="D11" s="546">
        <v>1</v>
      </c>
      <c r="E11" s="546">
        <v>0</v>
      </c>
      <c r="F11" s="546">
        <v>8.68</v>
      </c>
      <c r="G11" s="549"/>
      <c r="H11" s="549"/>
    </row>
    <row r="12" spans="1:24">
      <c r="A12" t="str">
        <f t="shared" si="0"/>
        <v>120036</v>
      </c>
      <c r="B12" s="545">
        <v>1200</v>
      </c>
      <c r="C12" s="546">
        <v>36</v>
      </c>
      <c r="D12" s="546">
        <v>1</v>
      </c>
      <c r="E12" s="546">
        <v>1</v>
      </c>
      <c r="F12" s="552">
        <v>1527.2</v>
      </c>
      <c r="G12" s="549"/>
      <c r="H12" s="549"/>
    </row>
    <row r="13" spans="1:24">
      <c r="A13" t="str">
        <f t="shared" si="0"/>
        <v>120037</v>
      </c>
      <c r="B13" s="545">
        <v>1200</v>
      </c>
      <c r="C13" s="546">
        <v>37</v>
      </c>
      <c r="D13" s="546">
        <v>1</v>
      </c>
      <c r="E13" s="546">
        <v>0</v>
      </c>
      <c r="F13" s="546">
        <v>0</v>
      </c>
      <c r="G13" s="549"/>
      <c r="H13" s="549"/>
    </row>
    <row r="14" spans="1:24">
      <c r="A14" t="str">
        <f t="shared" si="0"/>
        <v>120040</v>
      </c>
      <c r="B14" s="545">
        <v>1200</v>
      </c>
      <c r="C14" s="546">
        <v>40</v>
      </c>
      <c r="D14" s="546">
        <v>1</v>
      </c>
      <c r="E14" s="546">
        <v>1</v>
      </c>
      <c r="F14" s="546">
        <v>238.07</v>
      </c>
      <c r="G14" s="549"/>
      <c r="H14" s="549"/>
    </row>
    <row r="15" spans="1:24">
      <c r="A15" t="str">
        <f t="shared" si="0"/>
        <v>120041</v>
      </c>
      <c r="B15" s="545">
        <v>1200</v>
      </c>
      <c r="C15" s="546">
        <v>41</v>
      </c>
      <c r="D15" s="546">
        <v>1</v>
      </c>
      <c r="E15" s="546">
        <v>2</v>
      </c>
      <c r="F15" s="552">
        <v>73213.47</v>
      </c>
      <c r="G15" s="549"/>
      <c r="H15" s="549"/>
    </row>
    <row r="16" spans="1:24">
      <c r="A16" t="str">
        <f t="shared" si="0"/>
        <v>120042</v>
      </c>
      <c r="B16" s="545">
        <v>1200</v>
      </c>
      <c r="C16" s="546">
        <v>42</v>
      </c>
      <c r="D16" s="546">
        <v>1</v>
      </c>
      <c r="E16" s="546">
        <v>1</v>
      </c>
      <c r="F16" s="546">
        <v>474.06</v>
      </c>
      <c r="G16" s="549"/>
      <c r="H16" s="549"/>
    </row>
    <row r="17" spans="1:8">
      <c r="A17" t="str">
        <f t="shared" si="0"/>
        <v>120043</v>
      </c>
      <c r="B17" s="545">
        <v>1200</v>
      </c>
      <c r="C17" s="546">
        <v>43</v>
      </c>
      <c r="D17" s="546">
        <v>1</v>
      </c>
      <c r="E17" s="546">
        <v>0</v>
      </c>
      <c r="F17" s="546">
        <v>0</v>
      </c>
      <c r="G17" s="549"/>
      <c r="H17" s="549"/>
    </row>
    <row r="18" spans="1:8">
      <c r="A18" t="str">
        <f t="shared" si="0"/>
        <v>120044</v>
      </c>
      <c r="B18" s="545">
        <v>1200</v>
      </c>
      <c r="C18" s="546">
        <v>44</v>
      </c>
      <c r="D18" s="546">
        <v>1</v>
      </c>
      <c r="E18" s="546">
        <v>2</v>
      </c>
      <c r="F18" s="546">
        <v>907.84</v>
      </c>
      <c r="G18" s="549"/>
      <c r="H18" s="549"/>
    </row>
    <row r="19" spans="1:8">
      <c r="A19" t="str">
        <f t="shared" si="0"/>
        <v>120045</v>
      </c>
      <c r="B19" s="545">
        <v>1200</v>
      </c>
      <c r="C19" s="546">
        <v>45</v>
      </c>
      <c r="D19" s="546">
        <v>1</v>
      </c>
      <c r="E19" s="546">
        <v>2</v>
      </c>
      <c r="F19" s="546">
        <v>477.6</v>
      </c>
      <c r="G19" s="549"/>
      <c r="H19" s="549"/>
    </row>
    <row r="20" spans="1:8">
      <c r="A20" t="str">
        <f t="shared" si="0"/>
        <v>120046</v>
      </c>
      <c r="B20" s="545">
        <v>1200</v>
      </c>
      <c r="C20" s="546">
        <v>46</v>
      </c>
      <c r="D20" s="546">
        <v>1</v>
      </c>
      <c r="E20" s="546">
        <v>1</v>
      </c>
      <c r="F20" s="546">
        <v>452.93</v>
      </c>
      <c r="G20" s="549"/>
      <c r="H20" s="549"/>
    </row>
    <row r="21" spans="1:8">
      <c r="A21" t="str">
        <f t="shared" si="0"/>
        <v>120047</v>
      </c>
      <c r="B21" s="545">
        <v>1200</v>
      </c>
      <c r="C21" s="546">
        <v>47</v>
      </c>
      <c r="D21" s="546">
        <v>1</v>
      </c>
      <c r="E21" s="546">
        <v>2</v>
      </c>
      <c r="F21" s="552">
        <v>1338.11</v>
      </c>
      <c r="G21" s="549"/>
      <c r="H21" s="549"/>
    </row>
    <row r="22" spans="1:8">
      <c r="A22" t="str">
        <f t="shared" si="0"/>
        <v>120048</v>
      </c>
      <c r="B22" s="545">
        <v>1200</v>
      </c>
      <c r="C22" s="546">
        <v>48</v>
      </c>
      <c r="D22" s="546">
        <v>1</v>
      </c>
      <c r="E22" s="546">
        <v>1</v>
      </c>
      <c r="F22" s="552">
        <v>1097.52</v>
      </c>
      <c r="G22" s="549"/>
      <c r="H22" s="549"/>
    </row>
    <row r="23" spans="1:8">
      <c r="A23" t="str">
        <f t="shared" si="0"/>
        <v>120050</v>
      </c>
      <c r="B23" s="545">
        <v>1200</v>
      </c>
      <c r="C23" s="546">
        <v>50</v>
      </c>
      <c r="D23" s="546">
        <v>1</v>
      </c>
      <c r="E23" s="546">
        <v>0</v>
      </c>
      <c r="F23" s="546">
        <v>0</v>
      </c>
      <c r="G23" s="549"/>
      <c r="H23" s="549"/>
    </row>
    <row r="24" spans="1:8">
      <c r="A24" t="str">
        <f t="shared" si="0"/>
        <v>120051</v>
      </c>
      <c r="B24" s="545">
        <v>1200</v>
      </c>
      <c r="C24" s="546">
        <v>51</v>
      </c>
      <c r="D24" s="546">
        <v>1</v>
      </c>
      <c r="E24" s="546">
        <v>2</v>
      </c>
      <c r="F24" s="546">
        <v>477.6</v>
      </c>
      <c r="G24" s="549"/>
      <c r="H24" s="549"/>
    </row>
    <row r="25" spans="1:8">
      <c r="A25" t="str">
        <f t="shared" si="0"/>
        <v>120052</v>
      </c>
      <c r="B25" s="545">
        <v>1200</v>
      </c>
      <c r="C25" s="546">
        <v>52</v>
      </c>
      <c r="D25" s="546">
        <v>1</v>
      </c>
      <c r="E25" s="546">
        <v>0</v>
      </c>
      <c r="F25" s="546">
        <v>0</v>
      </c>
      <c r="G25" s="549"/>
      <c r="H25" s="549"/>
    </row>
    <row r="26" spans="1:8">
      <c r="A26" t="str">
        <f t="shared" si="0"/>
        <v>120053</v>
      </c>
      <c r="B26" s="545">
        <v>1200</v>
      </c>
      <c r="C26" s="546">
        <v>53</v>
      </c>
      <c r="D26" s="546">
        <v>1</v>
      </c>
      <c r="E26" s="546">
        <v>1</v>
      </c>
      <c r="F26" s="546">
        <v>242.56</v>
      </c>
      <c r="G26" s="549"/>
      <c r="H26" s="549"/>
    </row>
    <row r="27" spans="1:8">
      <c r="A27" t="str">
        <f t="shared" si="0"/>
        <v>120054</v>
      </c>
      <c r="B27" s="545">
        <v>1200</v>
      </c>
      <c r="C27" s="546">
        <v>54</v>
      </c>
      <c r="D27" s="546">
        <v>1</v>
      </c>
      <c r="E27" s="546">
        <v>1</v>
      </c>
      <c r="F27" s="546">
        <v>240.72</v>
      </c>
      <c r="G27" s="549"/>
      <c r="H27" s="549"/>
    </row>
    <row r="28" spans="1:8">
      <c r="A28" t="str">
        <f t="shared" si="0"/>
        <v>120055</v>
      </c>
      <c r="B28" s="545">
        <v>1200</v>
      </c>
      <c r="C28" s="546">
        <v>55</v>
      </c>
      <c r="D28" s="546">
        <v>1</v>
      </c>
      <c r="E28" s="546">
        <v>0</v>
      </c>
      <c r="F28" s="546">
        <v>0</v>
      </c>
      <c r="G28" s="549"/>
      <c r="H28" s="549"/>
    </row>
    <row r="29" spans="1:8">
      <c r="A29" t="str">
        <f t="shared" si="0"/>
        <v>120056</v>
      </c>
      <c r="B29" s="545">
        <v>1200</v>
      </c>
      <c r="C29" s="546">
        <v>56</v>
      </c>
      <c r="D29" s="546">
        <v>0</v>
      </c>
      <c r="E29" s="546">
        <v>13</v>
      </c>
      <c r="F29" s="552">
        <v>4797.4399999999996</v>
      </c>
      <c r="G29" s="549"/>
      <c r="H29" s="549"/>
    </row>
    <row r="30" spans="1:8">
      <c r="A30" t="str">
        <f t="shared" si="0"/>
        <v>120057</v>
      </c>
      <c r="B30" s="545">
        <v>1200</v>
      </c>
      <c r="C30" s="546">
        <v>57</v>
      </c>
      <c r="D30" s="546">
        <v>0</v>
      </c>
      <c r="E30" s="546">
        <v>14</v>
      </c>
      <c r="F30" s="552">
        <v>3573.88</v>
      </c>
      <c r="G30" s="549"/>
      <c r="H30" s="549"/>
    </row>
    <row r="31" spans="1:8">
      <c r="A31" t="str">
        <f t="shared" si="0"/>
        <v>120058</v>
      </c>
      <c r="B31" s="545">
        <v>1200</v>
      </c>
      <c r="C31" s="546">
        <v>58</v>
      </c>
      <c r="D31" s="546">
        <v>1</v>
      </c>
      <c r="E31" s="546">
        <v>2</v>
      </c>
      <c r="F31" s="546">
        <v>489.19</v>
      </c>
      <c r="G31" s="549"/>
      <c r="H31" s="549"/>
    </row>
    <row r="32" spans="1:8">
      <c r="A32" t="str">
        <f t="shared" si="0"/>
        <v>120059</v>
      </c>
      <c r="B32" s="545">
        <v>1200</v>
      </c>
      <c r="C32" s="546">
        <v>59</v>
      </c>
      <c r="D32" s="546">
        <v>1</v>
      </c>
      <c r="E32" s="546">
        <v>0</v>
      </c>
      <c r="F32" s="546">
        <v>0</v>
      </c>
      <c r="G32" s="549"/>
      <c r="H32" s="549"/>
    </row>
    <row r="33" spans="1:8">
      <c r="A33" t="str">
        <f t="shared" si="0"/>
        <v>120060</v>
      </c>
      <c r="B33" s="545">
        <v>1200</v>
      </c>
      <c r="C33" s="546">
        <v>60</v>
      </c>
      <c r="D33" s="546">
        <v>1</v>
      </c>
      <c r="E33" s="546">
        <v>0</v>
      </c>
      <c r="F33" s="546">
        <v>2.21</v>
      </c>
      <c r="G33" s="549"/>
      <c r="H33" s="549"/>
    </row>
    <row r="34" spans="1:8">
      <c r="A34" t="str">
        <f t="shared" si="0"/>
        <v>120063</v>
      </c>
      <c r="B34" s="545">
        <v>1200</v>
      </c>
      <c r="C34" s="546">
        <v>63</v>
      </c>
      <c r="D34" s="546">
        <v>1</v>
      </c>
      <c r="E34" s="546">
        <v>0</v>
      </c>
      <c r="F34" s="546">
        <v>0</v>
      </c>
      <c r="G34" s="549"/>
      <c r="H34" s="549"/>
    </row>
    <row r="35" spans="1:8">
      <c r="A35" t="str">
        <f t="shared" si="0"/>
        <v>120064</v>
      </c>
      <c r="B35" s="545">
        <v>1200</v>
      </c>
      <c r="C35" s="546">
        <v>64</v>
      </c>
      <c r="D35" s="546">
        <v>1</v>
      </c>
      <c r="E35" s="546">
        <v>0</v>
      </c>
      <c r="F35" s="546">
        <v>4.2</v>
      </c>
      <c r="G35" s="549"/>
      <c r="H35" s="549"/>
    </row>
    <row r="36" spans="1:8">
      <c r="A36" t="str">
        <f t="shared" si="0"/>
        <v>120065</v>
      </c>
      <c r="B36" s="545">
        <v>1200</v>
      </c>
      <c r="C36" s="546">
        <v>65</v>
      </c>
      <c r="D36" s="546">
        <v>1</v>
      </c>
      <c r="E36" s="546">
        <v>0</v>
      </c>
      <c r="F36" s="546">
        <v>0</v>
      </c>
      <c r="G36" s="549"/>
      <c r="H36" s="549"/>
    </row>
    <row r="37" spans="1:8">
      <c r="A37" t="str">
        <f t="shared" si="0"/>
        <v>120068</v>
      </c>
      <c r="B37" s="545">
        <v>1200</v>
      </c>
      <c r="C37" s="546">
        <v>68</v>
      </c>
      <c r="D37" s="546">
        <v>0</v>
      </c>
      <c r="E37" s="546">
        <v>4</v>
      </c>
      <c r="F37" s="552">
        <v>16429.349999999999</v>
      </c>
      <c r="G37" s="549"/>
      <c r="H37" s="549"/>
    </row>
    <row r="38" spans="1:8">
      <c r="A38" t="str">
        <f t="shared" si="0"/>
        <v>120070</v>
      </c>
      <c r="B38" s="545">
        <v>1200</v>
      </c>
      <c r="C38" s="546">
        <v>70</v>
      </c>
      <c r="D38" s="546">
        <v>1</v>
      </c>
      <c r="E38" s="546">
        <v>0</v>
      </c>
      <c r="F38" s="546">
        <v>9.7100000000000009</v>
      </c>
      <c r="G38" s="549"/>
      <c r="H38" s="549"/>
    </row>
    <row r="39" spans="1:8">
      <c r="A39" t="str">
        <f t="shared" si="0"/>
        <v>120071</v>
      </c>
      <c r="B39" s="545">
        <v>1200</v>
      </c>
      <c r="C39" s="546">
        <v>71</v>
      </c>
      <c r="D39" s="546">
        <v>1</v>
      </c>
      <c r="E39" s="546">
        <v>0</v>
      </c>
      <c r="F39" s="546">
        <v>0</v>
      </c>
      <c r="G39" s="549"/>
      <c r="H39" s="549"/>
    </row>
    <row r="40" spans="1:8">
      <c r="A40" t="str">
        <f t="shared" si="0"/>
        <v>120072</v>
      </c>
      <c r="B40" s="545">
        <v>1200</v>
      </c>
      <c r="C40" s="546">
        <v>72</v>
      </c>
      <c r="D40" s="546">
        <v>0</v>
      </c>
      <c r="E40" s="546">
        <v>4</v>
      </c>
      <c r="F40" s="552">
        <v>2538.06</v>
      </c>
      <c r="G40" s="549"/>
      <c r="H40" s="549"/>
    </row>
    <row r="41" spans="1:8">
      <c r="A41" t="str">
        <f t="shared" si="0"/>
        <v>120074</v>
      </c>
      <c r="B41" s="545">
        <v>1200</v>
      </c>
      <c r="C41" s="546">
        <v>74</v>
      </c>
      <c r="D41" s="546">
        <v>1</v>
      </c>
      <c r="E41" s="546">
        <v>2</v>
      </c>
      <c r="F41" s="552">
        <v>4349.8</v>
      </c>
      <c r="G41" s="549"/>
      <c r="H41" s="549"/>
    </row>
    <row r="42" spans="1:8">
      <c r="A42" t="str">
        <f t="shared" si="0"/>
        <v>120075</v>
      </c>
      <c r="B42" s="545">
        <v>1200</v>
      </c>
      <c r="C42" s="546">
        <v>75</v>
      </c>
      <c r="D42" s="546">
        <v>1</v>
      </c>
      <c r="E42" s="546">
        <v>2</v>
      </c>
      <c r="F42" s="552">
        <v>2198.59</v>
      </c>
      <c r="G42" s="549"/>
      <c r="H42" s="549"/>
    </row>
    <row r="43" spans="1:8">
      <c r="A43" t="str">
        <f t="shared" si="0"/>
        <v>120076</v>
      </c>
      <c r="B43" s="545">
        <v>1200</v>
      </c>
      <c r="C43" s="546">
        <v>76</v>
      </c>
      <c r="D43" s="546">
        <v>1</v>
      </c>
      <c r="E43" s="546">
        <v>2</v>
      </c>
      <c r="F43" s="552">
        <v>1301.77</v>
      </c>
      <c r="G43" s="549"/>
      <c r="H43" s="549"/>
    </row>
    <row r="44" spans="1:8">
      <c r="A44" t="str">
        <f t="shared" si="0"/>
        <v>120077</v>
      </c>
      <c r="B44" s="545">
        <v>1200</v>
      </c>
      <c r="C44" s="546">
        <v>77</v>
      </c>
      <c r="D44" s="546">
        <v>1</v>
      </c>
      <c r="E44" s="546">
        <v>0</v>
      </c>
      <c r="F44" s="546">
        <v>0</v>
      </c>
      <c r="G44" s="549"/>
      <c r="H44" s="549"/>
    </row>
    <row r="45" spans="1:8">
      <c r="A45" t="str">
        <f t="shared" si="0"/>
        <v>120078</v>
      </c>
      <c r="B45" s="545">
        <v>1200</v>
      </c>
      <c r="C45" s="546">
        <v>78</v>
      </c>
      <c r="D45" s="546">
        <v>1</v>
      </c>
      <c r="E45" s="546">
        <v>1</v>
      </c>
      <c r="F45" s="546">
        <v>230.88</v>
      </c>
      <c r="G45" s="549"/>
      <c r="H45" s="549"/>
    </row>
    <row r="46" spans="1:8">
      <c r="A46" t="str">
        <f t="shared" si="0"/>
        <v>120079</v>
      </c>
      <c r="B46" s="545">
        <v>1200</v>
      </c>
      <c r="C46" s="546">
        <v>79</v>
      </c>
      <c r="D46" s="546">
        <v>1</v>
      </c>
      <c r="E46" s="546">
        <v>0</v>
      </c>
      <c r="F46" s="546">
        <v>0</v>
      </c>
      <c r="G46" s="549"/>
      <c r="H46" s="549"/>
    </row>
    <row r="47" spans="1:8">
      <c r="A47" t="str">
        <f t="shared" si="0"/>
        <v>12011</v>
      </c>
      <c r="B47" s="545">
        <v>1201</v>
      </c>
      <c r="C47" s="546">
        <v>1</v>
      </c>
      <c r="D47" s="546">
        <v>1</v>
      </c>
      <c r="E47" s="546">
        <v>0</v>
      </c>
      <c r="F47" s="546">
        <v>0</v>
      </c>
      <c r="G47" s="549"/>
      <c r="H47" s="549"/>
    </row>
    <row r="48" spans="1:8">
      <c r="A48" t="str">
        <f t="shared" si="0"/>
        <v>12015</v>
      </c>
      <c r="B48" s="545">
        <v>1201</v>
      </c>
      <c r="C48" s="546">
        <v>5</v>
      </c>
      <c r="D48" s="546">
        <v>1</v>
      </c>
      <c r="E48" s="546">
        <v>0</v>
      </c>
      <c r="F48" s="546">
        <v>55.53</v>
      </c>
      <c r="G48" s="549"/>
      <c r="H48" s="549"/>
    </row>
    <row r="49" spans="1:8">
      <c r="A49" t="str">
        <f t="shared" si="0"/>
        <v>12016</v>
      </c>
      <c r="B49" s="545">
        <v>1201</v>
      </c>
      <c r="C49" s="546">
        <v>6</v>
      </c>
      <c r="D49" s="546">
        <v>1</v>
      </c>
      <c r="E49" s="546">
        <v>0</v>
      </c>
      <c r="F49" s="546">
        <v>-15.67</v>
      </c>
      <c r="G49" s="549"/>
      <c r="H49" s="549"/>
    </row>
    <row r="50" spans="1:8">
      <c r="A50" t="str">
        <f t="shared" si="0"/>
        <v>12017</v>
      </c>
      <c r="B50" s="545">
        <v>1201</v>
      </c>
      <c r="C50" s="546">
        <v>7</v>
      </c>
      <c r="D50" s="546">
        <v>0</v>
      </c>
      <c r="E50" s="546">
        <v>167</v>
      </c>
      <c r="F50" s="552">
        <v>52108.52</v>
      </c>
      <c r="G50" s="549"/>
      <c r="H50" s="549"/>
    </row>
    <row r="51" spans="1:8">
      <c r="A51" t="str">
        <f t="shared" si="0"/>
        <v>12018</v>
      </c>
      <c r="B51" s="545">
        <v>1201</v>
      </c>
      <c r="C51" s="546">
        <v>8</v>
      </c>
      <c r="D51" s="546">
        <v>1</v>
      </c>
      <c r="E51" s="546">
        <v>0</v>
      </c>
      <c r="F51" s="546">
        <v>11.39</v>
      </c>
      <c r="G51" s="549"/>
      <c r="H51" s="549"/>
    </row>
    <row r="52" spans="1:8">
      <c r="A52" t="str">
        <f t="shared" si="0"/>
        <v>120110</v>
      </c>
      <c r="B52" s="545">
        <v>1201</v>
      </c>
      <c r="C52" s="546">
        <v>10</v>
      </c>
      <c r="D52" s="546">
        <v>1</v>
      </c>
      <c r="E52" s="546">
        <v>2</v>
      </c>
      <c r="F52" s="552">
        <v>1768.36</v>
      </c>
      <c r="G52" s="549"/>
      <c r="H52" s="549"/>
    </row>
    <row r="53" spans="1:8">
      <c r="A53" t="str">
        <f t="shared" si="0"/>
        <v>120113</v>
      </c>
      <c r="B53" s="545">
        <v>1201</v>
      </c>
      <c r="C53" s="546">
        <v>13</v>
      </c>
      <c r="D53" s="546">
        <v>1</v>
      </c>
      <c r="E53" s="546">
        <v>0</v>
      </c>
      <c r="F53" s="552">
        <v>1306.6400000000001</v>
      </c>
      <c r="G53" s="549"/>
      <c r="H53" s="549"/>
    </row>
    <row r="54" spans="1:8">
      <c r="A54" t="str">
        <f t="shared" si="0"/>
        <v>120116</v>
      </c>
      <c r="B54" s="545">
        <v>1201</v>
      </c>
      <c r="C54" s="546">
        <v>16</v>
      </c>
      <c r="D54" s="546">
        <v>1</v>
      </c>
      <c r="E54" s="546">
        <v>0</v>
      </c>
      <c r="F54" s="546">
        <v>0</v>
      </c>
      <c r="G54" s="549"/>
      <c r="H54" s="549"/>
    </row>
    <row r="55" spans="1:8">
      <c r="A55" t="str">
        <f t="shared" si="0"/>
        <v>120120</v>
      </c>
      <c r="B55" s="545">
        <v>1201</v>
      </c>
      <c r="C55" s="546">
        <v>20</v>
      </c>
      <c r="D55" s="546">
        <v>1</v>
      </c>
      <c r="E55" s="546">
        <v>1</v>
      </c>
      <c r="F55" s="546">
        <v>871.21</v>
      </c>
      <c r="G55" s="549"/>
      <c r="H55" s="549"/>
    </row>
    <row r="56" spans="1:8">
      <c r="A56" t="str">
        <f t="shared" si="0"/>
        <v>120124</v>
      </c>
      <c r="B56" s="545">
        <v>1201</v>
      </c>
      <c r="C56" s="546">
        <v>24</v>
      </c>
      <c r="D56" s="546">
        <v>1</v>
      </c>
      <c r="E56" s="546">
        <v>0</v>
      </c>
      <c r="F56" s="546">
        <v>0</v>
      </c>
      <c r="G56" s="549"/>
      <c r="H56" s="549"/>
    </row>
    <row r="57" spans="1:8">
      <c r="A57" t="str">
        <f t="shared" si="0"/>
        <v>120126</v>
      </c>
      <c r="B57" s="545">
        <v>1201</v>
      </c>
      <c r="C57" s="546">
        <v>26</v>
      </c>
      <c r="D57" s="546">
        <v>1</v>
      </c>
      <c r="E57" s="546">
        <v>1</v>
      </c>
      <c r="F57" s="546">
        <v>674.25</v>
      </c>
      <c r="G57" s="549"/>
      <c r="H57" s="549"/>
    </row>
    <row r="58" spans="1:8">
      <c r="A58" t="str">
        <f t="shared" si="0"/>
        <v>120130</v>
      </c>
      <c r="B58" s="545">
        <v>1201</v>
      </c>
      <c r="C58" s="546">
        <v>30</v>
      </c>
      <c r="D58" s="546">
        <v>1</v>
      </c>
      <c r="E58" s="546">
        <v>0</v>
      </c>
      <c r="F58" s="546">
        <v>991.25</v>
      </c>
      <c r="G58" s="549"/>
      <c r="H58" s="549"/>
    </row>
    <row r="59" spans="1:8">
      <c r="A59" t="str">
        <f t="shared" si="0"/>
        <v>120134</v>
      </c>
      <c r="B59" s="545">
        <v>1201</v>
      </c>
      <c r="C59" s="546">
        <v>34</v>
      </c>
      <c r="D59" s="546">
        <v>0</v>
      </c>
      <c r="E59" s="546">
        <v>143</v>
      </c>
      <c r="F59" s="552">
        <v>35561.919999999998</v>
      </c>
      <c r="G59" s="549"/>
      <c r="H59" s="549"/>
    </row>
    <row r="60" spans="1:8">
      <c r="A60" t="str">
        <f t="shared" si="0"/>
        <v>120137</v>
      </c>
      <c r="B60" s="545">
        <v>1201</v>
      </c>
      <c r="C60" s="546">
        <v>37</v>
      </c>
      <c r="D60" s="546">
        <v>1</v>
      </c>
      <c r="E60" s="546">
        <v>0</v>
      </c>
      <c r="F60" s="546">
        <v>0</v>
      </c>
      <c r="G60" s="549"/>
      <c r="H60" s="549"/>
    </row>
    <row r="61" spans="1:8">
      <c r="A61" t="str">
        <f t="shared" si="0"/>
        <v>120138</v>
      </c>
      <c r="B61" s="545">
        <v>1201</v>
      </c>
      <c r="C61" s="546">
        <v>38</v>
      </c>
      <c r="D61" s="546">
        <v>0</v>
      </c>
      <c r="E61" s="546">
        <v>17</v>
      </c>
      <c r="F61" s="552">
        <v>4312.28</v>
      </c>
      <c r="G61" s="549"/>
      <c r="H61" s="549"/>
    </row>
    <row r="62" spans="1:8">
      <c r="A62" t="str">
        <f t="shared" si="0"/>
        <v>120139</v>
      </c>
      <c r="B62" s="545">
        <v>1201</v>
      </c>
      <c r="C62" s="546">
        <v>39</v>
      </c>
      <c r="D62" s="546">
        <v>1</v>
      </c>
      <c r="E62" s="546">
        <v>1</v>
      </c>
      <c r="F62" s="546">
        <v>882.65</v>
      </c>
      <c r="G62" s="549"/>
      <c r="H62" s="549"/>
    </row>
    <row r="63" spans="1:8">
      <c r="A63" t="str">
        <f t="shared" si="0"/>
        <v>120140</v>
      </c>
      <c r="B63" s="545">
        <v>1201</v>
      </c>
      <c r="C63" s="546">
        <v>40</v>
      </c>
      <c r="D63" s="546">
        <v>1</v>
      </c>
      <c r="E63" s="546">
        <v>0</v>
      </c>
      <c r="F63" s="546">
        <v>0</v>
      </c>
      <c r="G63" s="549"/>
      <c r="H63" s="549"/>
    </row>
    <row r="64" spans="1:8">
      <c r="A64" t="str">
        <f t="shared" si="0"/>
        <v>120142</v>
      </c>
      <c r="B64" s="545">
        <v>1201</v>
      </c>
      <c r="C64" s="546">
        <v>42</v>
      </c>
      <c r="D64" s="546">
        <v>0</v>
      </c>
      <c r="E64" s="546">
        <v>9</v>
      </c>
      <c r="F64" s="552">
        <v>3317.24</v>
      </c>
      <c r="G64" s="549"/>
      <c r="H64" s="549"/>
    </row>
    <row r="65" spans="1:8">
      <c r="A65" t="str">
        <f t="shared" si="0"/>
        <v>120156</v>
      </c>
      <c r="B65" s="545">
        <v>1201</v>
      </c>
      <c r="C65" s="546">
        <v>56</v>
      </c>
      <c r="D65" s="546">
        <v>1</v>
      </c>
      <c r="E65" s="546">
        <v>1</v>
      </c>
      <c r="F65" s="552">
        <v>3541.73</v>
      </c>
      <c r="G65" s="549"/>
      <c r="H65" s="549"/>
    </row>
    <row r="66" spans="1:8">
      <c r="A66" t="str">
        <f t="shared" ref="A66:A129" si="1">+CONCATENATE(B66,C66)</f>
        <v>120157</v>
      </c>
      <c r="B66" s="545">
        <v>1201</v>
      </c>
      <c r="C66" s="546">
        <v>57</v>
      </c>
      <c r="D66" s="546">
        <v>0</v>
      </c>
      <c r="E66" s="546">
        <v>9</v>
      </c>
      <c r="F66" s="552">
        <v>1747.6</v>
      </c>
      <c r="G66" s="549"/>
      <c r="H66" s="549"/>
    </row>
    <row r="67" spans="1:8">
      <c r="A67" t="str">
        <f t="shared" si="1"/>
        <v>120158</v>
      </c>
      <c r="B67" s="545">
        <v>1201</v>
      </c>
      <c r="C67" s="546">
        <v>58</v>
      </c>
      <c r="D67" s="546">
        <v>0</v>
      </c>
      <c r="E67" s="546">
        <v>9</v>
      </c>
      <c r="F67" s="552">
        <v>1521.8</v>
      </c>
      <c r="G67" s="549"/>
      <c r="H67" s="549"/>
    </row>
    <row r="68" spans="1:8">
      <c r="A68" t="str">
        <f t="shared" si="1"/>
        <v>12021</v>
      </c>
      <c r="B68" s="545">
        <v>1202</v>
      </c>
      <c r="C68" s="546">
        <v>1</v>
      </c>
      <c r="D68" s="546">
        <v>0</v>
      </c>
      <c r="E68" s="546">
        <v>3</v>
      </c>
      <c r="F68" s="552">
        <v>9903.69</v>
      </c>
      <c r="G68" s="549"/>
      <c r="H68" s="549"/>
    </row>
    <row r="69" spans="1:8">
      <c r="A69" t="str">
        <f t="shared" si="1"/>
        <v>12023</v>
      </c>
      <c r="B69" s="545">
        <v>1202</v>
      </c>
      <c r="C69" s="546">
        <v>3</v>
      </c>
      <c r="D69" s="546">
        <v>0</v>
      </c>
      <c r="E69" s="546">
        <v>3</v>
      </c>
      <c r="F69" s="552">
        <v>2039.65</v>
      </c>
      <c r="G69" s="549"/>
      <c r="H69" s="549"/>
    </row>
    <row r="70" spans="1:8">
      <c r="A70" t="str">
        <f t="shared" si="1"/>
        <v>12024</v>
      </c>
      <c r="B70" s="545">
        <v>1202</v>
      </c>
      <c r="C70" s="546">
        <v>4</v>
      </c>
      <c r="D70" s="546">
        <v>1</v>
      </c>
      <c r="E70" s="546">
        <v>0</v>
      </c>
      <c r="F70" s="546">
        <v>20.68</v>
      </c>
      <c r="G70" s="549"/>
      <c r="H70" s="549"/>
    </row>
    <row r="71" spans="1:8">
      <c r="A71" t="str">
        <f t="shared" si="1"/>
        <v>12025</v>
      </c>
      <c r="B71" s="545">
        <v>1202</v>
      </c>
      <c r="C71" s="546">
        <v>5</v>
      </c>
      <c r="D71" s="546">
        <v>0</v>
      </c>
      <c r="E71" s="546">
        <v>206</v>
      </c>
      <c r="F71" s="552">
        <v>45645.51</v>
      </c>
      <c r="G71" s="549"/>
      <c r="H71" s="549"/>
    </row>
    <row r="72" spans="1:8">
      <c r="A72" t="str">
        <f t="shared" si="1"/>
        <v>12026</v>
      </c>
      <c r="B72" s="545">
        <v>1202</v>
      </c>
      <c r="C72" s="546">
        <v>6</v>
      </c>
      <c r="D72" s="546">
        <v>1</v>
      </c>
      <c r="E72" s="546">
        <v>0</v>
      </c>
      <c r="F72" s="546">
        <v>0</v>
      </c>
      <c r="G72" s="549"/>
      <c r="H72" s="549"/>
    </row>
    <row r="73" spans="1:8">
      <c r="A73" t="str">
        <f t="shared" si="1"/>
        <v>120211</v>
      </c>
      <c r="B73" s="545">
        <v>1202</v>
      </c>
      <c r="C73" s="546">
        <v>11</v>
      </c>
      <c r="D73" s="546">
        <v>1</v>
      </c>
      <c r="E73" s="546">
        <v>0</v>
      </c>
      <c r="F73" s="546">
        <v>0</v>
      </c>
      <c r="G73" s="549"/>
      <c r="H73" s="549"/>
    </row>
    <row r="74" spans="1:8">
      <c r="A74" t="str">
        <f t="shared" si="1"/>
        <v>120214</v>
      </c>
      <c r="B74" s="545">
        <v>1202</v>
      </c>
      <c r="C74" s="546">
        <v>14</v>
      </c>
      <c r="D74" s="546">
        <v>1</v>
      </c>
      <c r="E74" s="546">
        <v>1</v>
      </c>
      <c r="F74" s="552">
        <v>7093.5</v>
      </c>
      <c r="G74" s="549"/>
      <c r="H74" s="549"/>
    </row>
    <row r="75" spans="1:8">
      <c r="A75" t="str">
        <f t="shared" si="1"/>
        <v>120219</v>
      </c>
      <c r="B75" s="545">
        <v>1202</v>
      </c>
      <c r="C75" s="546">
        <v>19</v>
      </c>
      <c r="D75" s="546">
        <v>1</v>
      </c>
      <c r="E75" s="546">
        <v>1</v>
      </c>
      <c r="F75" s="546">
        <v>428.44</v>
      </c>
      <c r="G75" s="549"/>
      <c r="H75" s="549"/>
    </row>
    <row r="76" spans="1:8">
      <c r="A76" t="str">
        <f t="shared" si="1"/>
        <v>120222</v>
      </c>
      <c r="B76" s="545">
        <v>1202</v>
      </c>
      <c r="C76" s="546">
        <v>22</v>
      </c>
      <c r="D76" s="546">
        <v>1</v>
      </c>
      <c r="E76" s="546">
        <v>0</v>
      </c>
      <c r="F76" s="552">
        <v>1213.2</v>
      </c>
      <c r="G76" s="549"/>
      <c r="H76" s="549"/>
    </row>
    <row r="77" spans="1:8">
      <c r="A77" t="str">
        <f t="shared" si="1"/>
        <v>120224</v>
      </c>
      <c r="B77" s="545">
        <v>1202</v>
      </c>
      <c r="C77" s="546">
        <v>24</v>
      </c>
      <c r="D77" s="546">
        <v>1</v>
      </c>
      <c r="E77" s="546">
        <v>0</v>
      </c>
      <c r="F77" s="546">
        <v>0</v>
      </c>
      <c r="G77" s="549"/>
      <c r="H77" s="549"/>
    </row>
    <row r="78" spans="1:8">
      <c r="A78" t="str">
        <f t="shared" si="1"/>
        <v>120227</v>
      </c>
      <c r="B78" s="545">
        <v>1202</v>
      </c>
      <c r="C78" s="546">
        <v>27</v>
      </c>
      <c r="D78" s="546">
        <v>0</v>
      </c>
      <c r="E78" s="546">
        <v>4</v>
      </c>
      <c r="F78" s="552">
        <v>7839.96</v>
      </c>
      <c r="G78" s="549"/>
      <c r="H78" s="549"/>
    </row>
    <row r="79" spans="1:8">
      <c r="A79" t="str">
        <f t="shared" si="1"/>
        <v>120228</v>
      </c>
      <c r="B79" s="545">
        <v>1202</v>
      </c>
      <c r="C79" s="546">
        <v>28</v>
      </c>
      <c r="D79" s="546">
        <v>0</v>
      </c>
      <c r="E79" s="546">
        <v>147</v>
      </c>
      <c r="F79" s="552">
        <v>46745.14</v>
      </c>
      <c r="G79" s="549"/>
      <c r="H79" s="549"/>
    </row>
    <row r="80" spans="1:8">
      <c r="A80" t="str">
        <f t="shared" si="1"/>
        <v>120230</v>
      </c>
      <c r="B80" s="545">
        <v>1202</v>
      </c>
      <c r="C80" s="546">
        <v>30</v>
      </c>
      <c r="D80" s="546">
        <v>1</v>
      </c>
      <c r="E80" s="546">
        <v>0</v>
      </c>
      <c r="F80" s="546">
        <v>0</v>
      </c>
      <c r="G80" s="549"/>
      <c r="H80" s="549"/>
    </row>
    <row r="81" spans="1:8">
      <c r="A81" t="str">
        <f t="shared" si="1"/>
        <v>120231</v>
      </c>
      <c r="B81" s="545">
        <v>1202</v>
      </c>
      <c r="C81" s="546">
        <v>31</v>
      </c>
      <c r="D81" s="546">
        <v>0</v>
      </c>
      <c r="E81" s="546">
        <v>53</v>
      </c>
      <c r="F81" s="552">
        <v>24465.06</v>
      </c>
      <c r="G81" s="549"/>
      <c r="H81" s="549"/>
    </row>
    <row r="82" spans="1:8">
      <c r="A82" t="str">
        <f t="shared" si="1"/>
        <v>120232</v>
      </c>
      <c r="B82" s="545">
        <v>1202</v>
      </c>
      <c r="C82" s="546">
        <v>32</v>
      </c>
      <c r="D82" s="546">
        <v>1</v>
      </c>
      <c r="E82" s="546">
        <v>1</v>
      </c>
      <c r="F82" s="552">
        <v>2310.0300000000002</v>
      </c>
      <c r="G82" s="549"/>
      <c r="H82" s="549"/>
    </row>
    <row r="83" spans="1:8">
      <c r="A83" t="str">
        <f t="shared" si="1"/>
        <v>120233</v>
      </c>
      <c r="B83" s="545">
        <v>1202</v>
      </c>
      <c r="C83" s="546">
        <v>33</v>
      </c>
      <c r="D83" s="546">
        <v>1</v>
      </c>
      <c r="E83" s="546">
        <v>0</v>
      </c>
      <c r="F83" s="546">
        <v>0</v>
      </c>
      <c r="G83" s="549"/>
      <c r="H83" s="549"/>
    </row>
    <row r="84" spans="1:8">
      <c r="A84" t="str">
        <f t="shared" si="1"/>
        <v>120234</v>
      </c>
      <c r="B84" s="545">
        <v>1202</v>
      </c>
      <c r="C84" s="546">
        <v>34</v>
      </c>
      <c r="D84" s="546">
        <v>1</v>
      </c>
      <c r="E84" s="546">
        <v>0</v>
      </c>
      <c r="F84" s="546">
        <v>0</v>
      </c>
      <c r="G84" s="549"/>
      <c r="H84" s="549"/>
    </row>
    <row r="85" spans="1:8">
      <c r="A85" t="str">
        <f t="shared" si="1"/>
        <v>120237</v>
      </c>
      <c r="B85" s="545">
        <v>1202</v>
      </c>
      <c r="C85" s="546">
        <v>37</v>
      </c>
      <c r="D85" s="546">
        <v>1</v>
      </c>
      <c r="E85" s="546">
        <v>0</v>
      </c>
      <c r="F85" s="546">
        <v>0</v>
      </c>
      <c r="G85" s="549"/>
      <c r="H85" s="549"/>
    </row>
    <row r="86" spans="1:8">
      <c r="A86" t="str">
        <f t="shared" si="1"/>
        <v>120238</v>
      </c>
      <c r="B86" s="545">
        <v>1202</v>
      </c>
      <c r="C86" s="546">
        <v>38</v>
      </c>
      <c r="D86" s="546">
        <v>1</v>
      </c>
      <c r="E86" s="546">
        <v>0</v>
      </c>
      <c r="F86" s="546">
        <v>0</v>
      </c>
      <c r="G86" s="549"/>
      <c r="H86" s="549"/>
    </row>
    <row r="87" spans="1:8">
      <c r="A87" t="str">
        <f t="shared" si="1"/>
        <v>120239</v>
      </c>
      <c r="B87" s="545">
        <v>1202</v>
      </c>
      <c r="C87" s="546">
        <v>39</v>
      </c>
      <c r="D87" s="546">
        <v>0</v>
      </c>
      <c r="E87" s="546">
        <v>70</v>
      </c>
      <c r="F87" s="552">
        <v>17694.189999999999</v>
      </c>
      <c r="G87" s="549"/>
      <c r="H87" s="549"/>
    </row>
    <row r="88" spans="1:8">
      <c r="A88" t="str">
        <f t="shared" si="1"/>
        <v>120240</v>
      </c>
      <c r="B88" s="545">
        <v>1202</v>
      </c>
      <c r="C88" s="546">
        <v>40</v>
      </c>
      <c r="D88" s="546">
        <v>0</v>
      </c>
      <c r="E88" s="546">
        <v>27</v>
      </c>
      <c r="F88" s="552">
        <v>13413.35</v>
      </c>
      <c r="G88" s="549"/>
      <c r="H88" s="549"/>
    </row>
    <row r="89" spans="1:8">
      <c r="A89" t="str">
        <f t="shared" si="1"/>
        <v>120241</v>
      </c>
      <c r="B89" s="545">
        <v>1202</v>
      </c>
      <c r="C89" s="546">
        <v>41</v>
      </c>
      <c r="D89" s="546">
        <v>0</v>
      </c>
      <c r="E89" s="546">
        <v>15</v>
      </c>
      <c r="F89" s="552">
        <v>6939.48</v>
      </c>
      <c r="G89" s="549"/>
      <c r="H89" s="549"/>
    </row>
    <row r="90" spans="1:8">
      <c r="A90" t="str">
        <f t="shared" si="1"/>
        <v>120242</v>
      </c>
      <c r="B90" s="545">
        <v>1202</v>
      </c>
      <c r="C90" s="546">
        <v>42</v>
      </c>
      <c r="D90" s="546">
        <v>0</v>
      </c>
      <c r="E90" s="546">
        <v>27</v>
      </c>
      <c r="F90" s="552">
        <v>13421.01</v>
      </c>
      <c r="G90" s="549"/>
      <c r="H90" s="549"/>
    </row>
    <row r="91" spans="1:8">
      <c r="A91" t="str">
        <f t="shared" si="1"/>
        <v>120243</v>
      </c>
      <c r="B91" s="545">
        <v>1202</v>
      </c>
      <c r="C91" s="546">
        <v>43</v>
      </c>
      <c r="D91" s="546">
        <v>0</v>
      </c>
      <c r="E91" s="546">
        <v>15</v>
      </c>
      <c r="F91" s="552">
        <v>6939.48</v>
      </c>
      <c r="G91" s="549"/>
      <c r="H91" s="549"/>
    </row>
    <row r="92" spans="1:8">
      <c r="A92" t="str">
        <f t="shared" si="1"/>
        <v>120244</v>
      </c>
      <c r="B92" s="545">
        <v>1202</v>
      </c>
      <c r="C92" s="546">
        <v>44</v>
      </c>
      <c r="D92" s="546">
        <v>0</v>
      </c>
      <c r="E92" s="546">
        <v>27</v>
      </c>
      <c r="F92" s="552">
        <v>13421.01</v>
      </c>
      <c r="G92" s="549"/>
      <c r="H92" s="549"/>
    </row>
    <row r="93" spans="1:8">
      <c r="A93" t="str">
        <f t="shared" si="1"/>
        <v>120245</v>
      </c>
      <c r="B93" s="545">
        <v>1202</v>
      </c>
      <c r="C93" s="546">
        <v>45</v>
      </c>
      <c r="D93" s="546">
        <v>0</v>
      </c>
      <c r="E93" s="546">
        <v>15</v>
      </c>
      <c r="F93" s="552">
        <v>6939.48</v>
      </c>
      <c r="G93" s="549"/>
      <c r="H93" s="549"/>
    </row>
    <row r="94" spans="1:8">
      <c r="A94" t="str">
        <f t="shared" si="1"/>
        <v>120246</v>
      </c>
      <c r="B94" s="545">
        <v>1202</v>
      </c>
      <c r="C94" s="546">
        <v>46</v>
      </c>
      <c r="D94" s="546">
        <v>0</v>
      </c>
      <c r="E94" s="546">
        <v>27</v>
      </c>
      <c r="F94" s="552">
        <v>13421.01</v>
      </c>
      <c r="G94" s="549"/>
      <c r="H94" s="549"/>
    </row>
    <row r="95" spans="1:8">
      <c r="A95" t="str">
        <f t="shared" si="1"/>
        <v>120247</v>
      </c>
      <c r="B95" s="545">
        <v>1202</v>
      </c>
      <c r="C95" s="546">
        <v>47</v>
      </c>
      <c r="D95" s="546">
        <v>1</v>
      </c>
      <c r="E95" s="546">
        <v>0</v>
      </c>
      <c r="F95" s="552">
        <v>2000.69</v>
      </c>
      <c r="G95" s="549"/>
      <c r="H95" s="549"/>
    </row>
    <row r="96" spans="1:8">
      <c r="A96" t="str">
        <f t="shared" si="1"/>
        <v>120248</v>
      </c>
      <c r="B96" s="545">
        <v>1202</v>
      </c>
      <c r="C96" s="546">
        <v>48</v>
      </c>
      <c r="D96" s="546">
        <v>1</v>
      </c>
      <c r="E96" s="546">
        <v>0</v>
      </c>
      <c r="F96" s="552">
        <v>3916.09</v>
      </c>
      <c r="G96" s="549"/>
      <c r="H96" s="549"/>
    </row>
    <row r="97" spans="1:8">
      <c r="A97" t="str">
        <f t="shared" si="1"/>
        <v>120249</v>
      </c>
      <c r="B97" s="545">
        <v>1202</v>
      </c>
      <c r="C97" s="546">
        <v>49</v>
      </c>
      <c r="D97" s="546">
        <v>1</v>
      </c>
      <c r="E97" s="546">
        <v>1</v>
      </c>
      <c r="F97" s="546">
        <v>717.81</v>
      </c>
      <c r="G97" s="549"/>
      <c r="H97" s="549"/>
    </row>
    <row r="98" spans="1:8">
      <c r="A98" t="str">
        <f t="shared" si="1"/>
        <v>120250</v>
      </c>
      <c r="B98" s="545">
        <v>1202</v>
      </c>
      <c r="C98" s="546">
        <v>50</v>
      </c>
      <c r="D98" s="546">
        <v>1</v>
      </c>
      <c r="E98" s="546">
        <v>2</v>
      </c>
      <c r="F98" s="552">
        <v>1338.11</v>
      </c>
      <c r="G98" s="549"/>
      <c r="H98" s="549"/>
    </row>
    <row r="99" spans="1:8">
      <c r="A99" t="str">
        <f t="shared" si="1"/>
        <v>120251</v>
      </c>
      <c r="B99" s="545">
        <v>1202</v>
      </c>
      <c r="C99" s="546">
        <v>51</v>
      </c>
      <c r="D99" s="546">
        <v>1</v>
      </c>
      <c r="E99" s="546">
        <v>0</v>
      </c>
      <c r="F99" s="546">
        <v>530.59</v>
      </c>
      <c r="G99" s="549"/>
      <c r="H99" s="549"/>
    </row>
    <row r="100" spans="1:8">
      <c r="A100" t="str">
        <f t="shared" si="1"/>
        <v>120252</v>
      </c>
      <c r="B100" s="545">
        <v>1202</v>
      </c>
      <c r="C100" s="546">
        <v>52</v>
      </c>
      <c r="D100" s="546">
        <v>1</v>
      </c>
      <c r="E100" s="546">
        <v>0</v>
      </c>
      <c r="F100" s="546">
        <v>530.59</v>
      </c>
      <c r="G100" s="549"/>
      <c r="H100" s="549"/>
    </row>
    <row r="101" spans="1:8">
      <c r="A101" t="str">
        <f t="shared" si="1"/>
        <v>120253</v>
      </c>
      <c r="B101" s="545">
        <v>1202</v>
      </c>
      <c r="C101" s="546">
        <v>53</v>
      </c>
      <c r="D101" s="546">
        <v>1</v>
      </c>
      <c r="E101" s="546">
        <v>0</v>
      </c>
      <c r="F101" s="546">
        <v>530.59</v>
      </c>
      <c r="G101" s="549"/>
      <c r="H101" s="549"/>
    </row>
    <row r="102" spans="1:8">
      <c r="A102" t="str">
        <f t="shared" si="1"/>
        <v>120254</v>
      </c>
      <c r="B102" s="545">
        <v>1202</v>
      </c>
      <c r="C102" s="546">
        <v>54</v>
      </c>
      <c r="D102" s="546">
        <v>1</v>
      </c>
      <c r="E102" s="546">
        <v>0</v>
      </c>
      <c r="F102" s="546">
        <v>530.59</v>
      </c>
      <c r="G102" s="549"/>
      <c r="H102" s="549"/>
    </row>
    <row r="103" spans="1:8">
      <c r="A103" t="str">
        <f t="shared" si="1"/>
        <v>120255</v>
      </c>
      <c r="B103" s="545">
        <v>1202</v>
      </c>
      <c r="C103" s="546">
        <v>55</v>
      </c>
      <c r="D103" s="546">
        <v>1</v>
      </c>
      <c r="E103" s="546">
        <v>0</v>
      </c>
      <c r="F103" s="546">
        <v>530.59</v>
      </c>
      <c r="G103" s="549"/>
      <c r="H103" s="549"/>
    </row>
    <row r="104" spans="1:8">
      <c r="A104" t="str">
        <f t="shared" si="1"/>
        <v>120256</v>
      </c>
      <c r="B104" s="545">
        <v>1202</v>
      </c>
      <c r="C104" s="546">
        <v>56</v>
      </c>
      <c r="D104" s="546">
        <v>1</v>
      </c>
      <c r="E104" s="546">
        <v>0</v>
      </c>
      <c r="F104" s="546">
        <v>530.59</v>
      </c>
      <c r="G104" s="549"/>
      <c r="H104" s="549"/>
    </row>
    <row r="105" spans="1:8">
      <c r="A105" t="str">
        <f t="shared" si="1"/>
        <v>120257</v>
      </c>
      <c r="B105" s="545">
        <v>1202</v>
      </c>
      <c r="C105" s="546">
        <v>57</v>
      </c>
      <c r="D105" s="546">
        <v>1</v>
      </c>
      <c r="E105" s="546">
        <v>0</v>
      </c>
      <c r="F105" s="546">
        <v>0</v>
      </c>
      <c r="G105" s="549"/>
      <c r="H105" s="549"/>
    </row>
    <row r="106" spans="1:8">
      <c r="A106" t="str">
        <f t="shared" si="1"/>
        <v>120258</v>
      </c>
      <c r="B106" s="545">
        <v>1202</v>
      </c>
      <c r="C106" s="546">
        <v>58</v>
      </c>
      <c r="D106" s="546">
        <v>1</v>
      </c>
      <c r="E106" s="546">
        <v>0</v>
      </c>
      <c r="F106" s="546">
        <v>0</v>
      </c>
      <c r="G106" s="549"/>
      <c r="H106" s="549"/>
    </row>
    <row r="107" spans="1:8">
      <c r="A107" t="str">
        <f t="shared" si="1"/>
        <v>120259</v>
      </c>
      <c r="B107" s="545">
        <v>1202</v>
      </c>
      <c r="C107" s="546">
        <v>59</v>
      </c>
      <c r="D107" s="546">
        <v>1</v>
      </c>
      <c r="E107" s="546">
        <v>0</v>
      </c>
      <c r="F107" s="546">
        <v>530.59</v>
      </c>
      <c r="G107" s="549"/>
      <c r="H107" s="549"/>
    </row>
    <row r="108" spans="1:8">
      <c r="A108" t="str">
        <f t="shared" si="1"/>
        <v>120260</v>
      </c>
      <c r="B108" s="545">
        <v>1202</v>
      </c>
      <c r="C108" s="546">
        <v>60</v>
      </c>
      <c r="D108" s="546">
        <v>1</v>
      </c>
      <c r="E108" s="546">
        <v>0</v>
      </c>
      <c r="F108" s="546">
        <v>554.33000000000004</v>
      </c>
      <c r="G108" s="549"/>
      <c r="H108" s="549"/>
    </row>
    <row r="109" spans="1:8">
      <c r="A109" t="str">
        <f t="shared" si="1"/>
        <v>120261</v>
      </c>
      <c r="B109" s="545">
        <v>1202</v>
      </c>
      <c r="C109" s="546">
        <v>61</v>
      </c>
      <c r="D109" s="546">
        <v>1</v>
      </c>
      <c r="E109" s="546">
        <v>1</v>
      </c>
      <c r="F109" s="546">
        <v>742.55</v>
      </c>
      <c r="G109" s="549"/>
      <c r="H109" s="549"/>
    </row>
    <row r="110" spans="1:8">
      <c r="A110" t="str">
        <f t="shared" si="1"/>
        <v>120262</v>
      </c>
      <c r="B110" s="545">
        <v>1202</v>
      </c>
      <c r="C110" s="546">
        <v>62</v>
      </c>
      <c r="D110" s="546">
        <v>1</v>
      </c>
      <c r="E110" s="546">
        <v>0</v>
      </c>
      <c r="F110" s="546">
        <v>0</v>
      </c>
      <c r="G110" s="549"/>
      <c r="H110" s="549"/>
    </row>
    <row r="111" spans="1:8">
      <c r="A111" t="str">
        <f t="shared" si="1"/>
        <v>120263</v>
      </c>
      <c r="B111" s="545">
        <v>1202</v>
      </c>
      <c r="C111" s="546">
        <v>63</v>
      </c>
      <c r="D111" s="546">
        <v>1</v>
      </c>
      <c r="E111" s="546">
        <v>0</v>
      </c>
      <c r="F111" s="546">
        <v>0</v>
      </c>
      <c r="G111" s="549"/>
      <c r="H111" s="549"/>
    </row>
    <row r="112" spans="1:8">
      <c r="A112" t="str">
        <f t="shared" si="1"/>
        <v>120264</v>
      </c>
      <c r="B112" s="545">
        <v>1202</v>
      </c>
      <c r="C112" s="546">
        <v>64</v>
      </c>
      <c r="D112" s="546">
        <v>1</v>
      </c>
      <c r="E112" s="546">
        <v>0</v>
      </c>
      <c r="F112" s="546">
        <v>530.59</v>
      </c>
      <c r="G112" s="549"/>
      <c r="H112" s="549"/>
    </row>
    <row r="113" spans="1:8">
      <c r="A113" t="str">
        <f t="shared" si="1"/>
        <v>120265</v>
      </c>
      <c r="B113" s="545">
        <v>1202</v>
      </c>
      <c r="C113" s="546">
        <v>65</v>
      </c>
      <c r="D113" s="546">
        <v>1</v>
      </c>
      <c r="E113" s="546">
        <v>0</v>
      </c>
      <c r="F113" s="546">
        <v>530.59</v>
      </c>
      <c r="G113" s="549"/>
      <c r="H113" s="549"/>
    </row>
    <row r="114" spans="1:8">
      <c r="A114" t="str">
        <f t="shared" si="1"/>
        <v>120266</v>
      </c>
      <c r="B114" s="545">
        <v>1202</v>
      </c>
      <c r="C114" s="546">
        <v>66</v>
      </c>
      <c r="D114" s="546">
        <v>1</v>
      </c>
      <c r="E114" s="546">
        <v>0</v>
      </c>
      <c r="F114" s="546">
        <v>530.59</v>
      </c>
      <c r="G114" s="549"/>
      <c r="H114" s="549"/>
    </row>
    <row r="115" spans="1:8">
      <c r="A115" t="str">
        <f t="shared" si="1"/>
        <v>120267</v>
      </c>
      <c r="B115" s="545">
        <v>1202</v>
      </c>
      <c r="C115" s="546">
        <v>67</v>
      </c>
      <c r="D115" s="546">
        <v>0</v>
      </c>
      <c r="E115" s="546">
        <v>147</v>
      </c>
      <c r="F115" s="552">
        <v>15139.27</v>
      </c>
      <c r="G115" s="549"/>
      <c r="H115" s="549"/>
    </row>
    <row r="116" spans="1:8">
      <c r="A116" t="str">
        <f t="shared" si="1"/>
        <v>12032</v>
      </c>
      <c r="B116" s="545">
        <v>1203</v>
      </c>
      <c r="C116" s="546">
        <v>2</v>
      </c>
      <c r="D116" s="546">
        <v>0</v>
      </c>
      <c r="E116" s="546">
        <v>3</v>
      </c>
      <c r="F116" s="552">
        <v>1363.55</v>
      </c>
      <c r="G116" s="549"/>
      <c r="H116" s="549"/>
    </row>
    <row r="117" spans="1:8">
      <c r="A117" t="str">
        <f t="shared" si="1"/>
        <v>12033</v>
      </c>
      <c r="B117" s="545">
        <v>1203</v>
      </c>
      <c r="C117" s="546">
        <v>3</v>
      </c>
      <c r="D117" s="546">
        <v>1</v>
      </c>
      <c r="E117" s="546">
        <v>0</v>
      </c>
      <c r="F117" s="552">
        <v>1924.67</v>
      </c>
      <c r="G117" s="549"/>
      <c r="H117" s="549"/>
    </row>
    <row r="118" spans="1:8">
      <c r="A118" t="str">
        <f t="shared" si="1"/>
        <v>12038</v>
      </c>
      <c r="B118" s="545">
        <v>1203</v>
      </c>
      <c r="C118" s="546">
        <v>8</v>
      </c>
      <c r="D118" s="546">
        <v>1</v>
      </c>
      <c r="E118" s="546">
        <v>2</v>
      </c>
      <c r="F118" s="552">
        <v>8026.37</v>
      </c>
      <c r="G118" s="549"/>
      <c r="H118" s="549"/>
    </row>
    <row r="119" spans="1:8">
      <c r="A119" t="str">
        <f t="shared" si="1"/>
        <v>120313</v>
      </c>
      <c r="B119" s="545">
        <v>1203</v>
      </c>
      <c r="C119" s="546">
        <v>13</v>
      </c>
      <c r="D119" s="546">
        <v>1</v>
      </c>
      <c r="E119" s="546">
        <v>0</v>
      </c>
      <c r="F119" s="552">
        <v>1257.81</v>
      </c>
      <c r="G119" s="549"/>
      <c r="H119" s="549"/>
    </row>
    <row r="120" spans="1:8">
      <c r="A120" t="str">
        <f t="shared" si="1"/>
        <v>120314</v>
      </c>
      <c r="B120" s="545">
        <v>1203</v>
      </c>
      <c r="C120" s="546">
        <v>14</v>
      </c>
      <c r="D120" s="546">
        <v>1</v>
      </c>
      <c r="E120" s="546">
        <v>0</v>
      </c>
      <c r="F120" s="546">
        <v>507.09</v>
      </c>
      <c r="G120" s="549"/>
      <c r="H120" s="549"/>
    </row>
    <row r="121" spans="1:8">
      <c r="A121" t="str">
        <f t="shared" si="1"/>
        <v>120317</v>
      </c>
      <c r="B121" s="545">
        <v>1203</v>
      </c>
      <c r="C121" s="546">
        <v>17</v>
      </c>
      <c r="D121" s="546">
        <v>1</v>
      </c>
      <c r="E121" s="546">
        <v>0</v>
      </c>
      <c r="F121" s="546">
        <v>0</v>
      </c>
      <c r="G121" s="549"/>
      <c r="H121" s="549"/>
    </row>
    <row r="122" spans="1:8">
      <c r="A122" t="str">
        <f t="shared" si="1"/>
        <v>120319</v>
      </c>
      <c r="B122" s="545">
        <v>1203</v>
      </c>
      <c r="C122" s="546">
        <v>19</v>
      </c>
      <c r="D122" s="546">
        <v>1</v>
      </c>
      <c r="E122" s="546">
        <v>0</v>
      </c>
      <c r="F122" s="552">
        <v>1009.41</v>
      </c>
      <c r="G122" s="549"/>
      <c r="H122" s="549"/>
    </row>
    <row r="123" spans="1:8">
      <c r="A123" t="str">
        <f t="shared" si="1"/>
        <v>120321</v>
      </c>
      <c r="B123" s="545">
        <v>1203</v>
      </c>
      <c r="C123" s="546">
        <v>21</v>
      </c>
      <c r="D123" s="546">
        <v>1</v>
      </c>
      <c r="E123" s="546">
        <v>0</v>
      </c>
      <c r="F123" s="546">
        <v>0</v>
      </c>
      <c r="G123" s="549"/>
      <c r="H123" s="549"/>
    </row>
    <row r="124" spans="1:8">
      <c r="A124" t="str">
        <f t="shared" si="1"/>
        <v>120324</v>
      </c>
      <c r="B124" s="545">
        <v>1203</v>
      </c>
      <c r="C124" s="546">
        <v>24</v>
      </c>
      <c r="D124" s="546">
        <v>1</v>
      </c>
      <c r="E124" s="546">
        <v>0</v>
      </c>
      <c r="F124" s="546">
        <v>-210.93</v>
      </c>
      <c r="G124" s="549"/>
      <c r="H124" s="549"/>
    </row>
    <row r="125" spans="1:8">
      <c r="A125" t="str">
        <f t="shared" si="1"/>
        <v>120330</v>
      </c>
      <c r="B125" s="545">
        <v>1203</v>
      </c>
      <c r="C125" s="546">
        <v>30</v>
      </c>
      <c r="D125" s="546">
        <v>1</v>
      </c>
      <c r="E125" s="546">
        <v>0</v>
      </c>
      <c r="F125" s="546">
        <v>0</v>
      </c>
      <c r="G125" s="549"/>
      <c r="H125" s="549"/>
    </row>
    <row r="126" spans="1:8">
      <c r="A126" t="str">
        <f t="shared" si="1"/>
        <v>120334</v>
      </c>
      <c r="B126" s="545">
        <v>1203</v>
      </c>
      <c r="C126" s="546">
        <v>34</v>
      </c>
      <c r="D126" s="546">
        <v>1</v>
      </c>
      <c r="E126" s="546">
        <v>1</v>
      </c>
      <c r="F126" s="546">
        <v>248.68</v>
      </c>
      <c r="G126" s="549"/>
      <c r="H126" s="549"/>
    </row>
    <row r="127" spans="1:8">
      <c r="A127" t="str">
        <f t="shared" si="1"/>
        <v>120337</v>
      </c>
      <c r="B127" s="545">
        <v>1203</v>
      </c>
      <c r="C127" s="546">
        <v>37</v>
      </c>
      <c r="D127" s="546">
        <v>1</v>
      </c>
      <c r="E127" s="546">
        <v>0</v>
      </c>
      <c r="F127" s="546">
        <v>0</v>
      </c>
      <c r="G127" s="549"/>
      <c r="H127" s="549"/>
    </row>
    <row r="128" spans="1:8">
      <c r="A128" t="str">
        <f t="shared" si="1"/>
        <v>120338</v>
      </c>
      <c r="B128" s="545">
        <v>1203</v>
      </c>
      <c r="C128" s="546">
        <v>38</v>
      </c>
      <c r="D128" s="546">
        <v>1</v>
      </c>
      <c r="E128" s="546">
        <v>0</v>
      </c>
      <c r="F128" s="546">
        <v>0</v>
      </c>
      <c r="G128" s="549"/>
      <c r="H128" s="549"/>
    </row>
    <row r="129" spans="1:8">
      <c r="A129" t="str">
        <f t="shared" si="1"/>
        <v>120339</v>
      </c>
      <c r="B129" s="545">
        <v>1203</v>
      </c>
      <c r="C129" s="546">
        <v>39</v>
      </c>
      <c r="D129" s="546">
        <v>0</v>
      </c>
      <c r="E129" s="546">
        <v>3</v>
      </c>
      <c r="F129" s="552">
        <v>1363.55</v>
      </c>
      <c r="G129" s="549"/>
      <c r="H129" s="549"/>
    </row>
    <row r="130" spans="1:8">
      <c r="A130" t="str">
        <f t="shared" ref="A130:A193" si="2">+CONCATENATE(B130,C130)</f>
        <v>120340</v>
      </c>
      <c r="B130" s="545">
        <v>1203</v>
      </c>
      <c r="C130" s="546">
        <v>40</v>
      </c>
      <c r="D130" s="546">
        <v>0</v>
      </c>
      <c r="E130" s="546">
        <v>65</v>
      </c>
      <c r="F130" s="552">
        <v>29137.13</v>
      </c>
      <c r="G130" s="549"/>
      <c r="H130" s="549"/>
    </row>
    <row r="131" spans="1:8">
      <c r="A131" t="str">
        <f t="shared" si="2"/>
        <v>120341</v>
      </c>
      <c r="B131" s="545">
        <v>1203</v>
      </c>
      <c r="C131" s="546">
        <v>41</v>
      </c>
      <c r="D131" s="546">
        <v>1</v>
      </c>
      <c r="E131" s="546">
        <v>0</v>
      </c>
      <c r="F131" s="546">
        <v>0</v>
      </c>
      <c r="G131" s="549"/>
      <c r="H131" s="549"/>
    </row>
    <row r="132" spans="1:8">
      <c r="A132" t="str">
        <f t="shared" si="2"/>
        <v>120342</v>
      </c>
      <c r="B132" s="545">
        <v>1203</v>
      </c>
      <c r="C132" s="546">
        <v>42</v>
      </c>
      <c r="D132" s="546">
        <v>1</v>
      </c>
      <c r="E132" s="546">
        <v>1</v>
      </c>
      <c r="F132" s="546">
        <v>452.93</v>
      </c>
      <c r="G132" s="549"/>
      <c r="H132" s="549"/>
    </row>
    <row r="133" spans="1:8">
      <c r="A133" t="str">
        <f t="shared" si="2"/>
        <v>120343</v>
      </c>
      <c r="B133" s="545">
        <v>1203</v>
      </c>
      <c r="C133" s="546">
        <v>43</v>
      </c>
      <c r="D133" s="546">
        <v>1</v>
      </c>
      <c r="E133" s="546">
        <v>2</v>
      </c>
      <c r="F133" s="546">
        <v>907.84</v>
      </c>
      <c r="G133" s="549"/>
      <c r="H133" s="549"/>
    </row>
    <row r="134" spans="1:8">
      <c r="A134" t="str">
        <f t="shared" si="2"/>
        <v>120344</v>
      </c>
      <c r="B134" s="545">
        <v>1203</v>
      </c>
      <c r="C134" s="546">
        <v>44</v>
      </c>
      <c r="D134" s="546">
        <v>1</v>
      </c>
      <c r="E134" s="546">
        <v>1</v>
      </c>
      <c r="F134" s="552">
        <v>1758.11</v>
      </c>
      <c r="G134" s="549"/>
      <c r="H134" s="549"/>
    </row>
    <row r="135" spans="1:8">
      <c r="A135" t="str">
        <f t="shared" si="2"/>
        <v>120345</v>
      </c>
      <c r="B135" s="545">
        <v>1203</v>
      </c>
      <c r="C135" s="546">
        <v>45</v>
      </c>
      <c r="D135" s="546">
        <v>1</v>
      </c>
      <c r="E135" s="546">
        <v>1</v>
      </c>
      <c r="F135" s="552">
        <v>1312.35</v>
      </c>
      <c r="G135" s="549"/>
      <c r="H135" s="549"/>
    </row>
    <row r="136" spans="1:8">
      <c r="A136" t="str">
        <f t="shared" si="2"/>
        <v>120346</v>
      </c>
      <c r="B136" s="545">
        <v>1203</v>
      </c>
      <c r="C136" s="546">
        <v>46</v>
      </c>
      <c r="D136" s="546">
        <v>0</v>
      </c>
      <c r="E136" s="546">
        <v>4</v>
      </c>
      <c r="F136" s="552">
        <v>3472.78</v>
      </c>
      <c r="G136" s="549"/>
      <c r="H136" s="549"/>
    </row>
    <row r="137" spans="1:8">
      <c r="A137" t="str">
        <f t="shared" si="2"/>
        <v>120347</v>
      </c>
      <c r="B137" s="545">
        <v>1203</v>
      </c>
      <c r="C137" s="546">
        <v>47</v>
      </c>
      <c r="D137" s="546">
        <v>1</v>
      </c>
      <c r="E137" s="546">
        <v>0</v>
      </c>
      <c r="F137" s="546">
        <v>0</v>
      </c>
      <c r="G137" s="549"/>
      <c r="H137" s="549"/>
    </row>
    <row r="138" spans="1:8">
      <c r="A138" t="str">
        <f t="shared" si="2"/>
        <v>120348</v>
      </c>
      <c r="B138" s="545">
        <v>1203</v>
      </c>
      <c r="C138" s="546">
        <v>48</v>
      </c>
      <c r="D138" s="546">
        <v>1</v>
      </c>
      <c r="E138" s="546">
        <v>1</v>
      </c>
      <c r="F138" s="552">
        <v>3181.08</v>
      </c>
      <c r="G138" s="549"/>
      <c r="H138" s="549"/>
    </row>
    <row r="139" spans="1:8">
      <c r="A139" t="str">
        <f t="shared" si="2"/>
        <v>120349</v>
      </c>
      <c r="B139" s="545">
        <v>1203</v>
      </c>
      <c r="C139" s="546">
        <v>49</v>
      </c>
      <c r="D139" s="546">
        <v>1</v>
      </c>
      <c r="E139" s="546">
        <v>0</v>
      </c>
      <c r="F139" s="546">
        <v>0</v>
      </c>
      <c r="G139" s="549"/>
      <c r="H139" s="549"/>
    </row>
    <row r="140" spans="1:8">
      <c r="A140" t="str">
        <f t="shared" si="2"/>
        <v>120350</v>
      </c>
      <c r="B140" s="545">
        <v>1203</v>
      </c>
      <c r="C140" s="546">
        <v>50</v>
      </c>
      <c r="D140" s="546">
        <v>1</v>
      </c>
      <c r="E140" s="546">
        <v>0</v>
      </c>
      <c r="F140" s="546">
        <v>0</v>
      </c>
      <c r="G140" s="549"/>
      <c r="H140" s="549"/>
    </row>
    <row r="141" spans="1:8">
      <c r="A141" t="str">
        <f t="shared" si="2"/>
        <v>120357</v>
      </c>
      <c r="B141" s="545">
        <v>1203</v>
      </c>
      <c r="C141" s="546">
        <v>57</v>
      </c>
      <c r="D141" s="546">
        <v>1</v>
      </c>
      <c r="E141" s="546">
        <v>0</v>
      </c>
      <c r="F141" s="546">
        <v>0</v>
      </c>
      <c r="G141" s="549"/>
      <c r="H141" s="549"/>
    </row>
    <row r="142" spans="1:8">
      <c r="A142" t="str">
        <f t="shared" si="2"/>
        <v>120358</v>
      </c>
      <c r="B142" s="545">
        <v>1203</v>
      </c>
      <c r="C142" s="546">
        <v>58</v>
      </c>
      <c r="D142" s="546">
        <v>0</v>
      </c>
      <c r="E142" s="546">
        <v>5</v>
      </c>
      <c r="F142" s="552">
        <v>3713</v>
      </c>
      <c r="G142" s="549"/>
      <c r="H142" s="549"/>
    </row>
    <row r="143" spans="1:8">
      <c r="A143" t="str">
        <f t="shared" si="2"/>
        <v>120523</v>
      </c>
      <c r="B143" s="545">
        <v>1205</v>
      </c>
      <c r="C143" s="546">
        <v>23</v>
      </c>
      <c r="D143" s="546">
        <v>0</v>
      </c>
      <c r="E143" s="546">
        <v>203</v>
      </c>
      <c r="F143" s="552">
        <v>50426.8</v>
      </c>
      <c r="G143" s="549"/>
      <c r="H143" s="549"/>
    </row>
    <row r="144" spans="1:8">
      <c r="A144" t="str">
        <f t="shared" si="2"/>
        <v>12061</v>
      </c>
      <c r="B144" s="545">
        <v>1206</v>
      </c>
      <c r="C144" s="546">
        <v>1</v>
      </c>
      <c r="D144" s="546">
        <v>1</v>
      </c>
      <c r="E144" s="546">
        <v>0</v>
      </c>
      <c r="F144" s="546">
        <v>0</v>
      </c>
      <c r="G144" s="549"/>
      <c r="H144" s="549"/>
    </row>
    <row r="145" spans="1:8">
      <c r="A145" t="str">
        <f t="shared" si="2"/>
        <v>12062</v>
      </c>
      <c r="B145" s="545">
        <v>1206</v>
      </c>
      <c r="C145" s="546">
        <v>2</v>
      </c>
      <c r="D145" s="546">
        <v>1</v>
      </c>
      <c r="E145" s="546">
        <v>2</v>
      </c>
      <c r="F145" s="546">
        <v>907.84</v>
      </c>
      <c r="G145" s="549"/>
      <c r="H145" s="549"/>
    </row>
    <row r="146" spans="1:8">
      <c r="A146" t="str">
        <f t="shared" si="2"/>
        <v>12063</v>
      </c>
      <c r="B146" s="545">
        <v>1206</v>
      </c>
      <c r="C146" s="546">
        <v>3</v>
      </c>
      <c r="D146" s="546">
        <v>0</v>
      </c>
      <c r="E146" s="546">
        <v>53</v>
      </c>
      <c r="F146" s="552">
        <v>23516</v>
      </c>
      <c r="G146" s="549"/>
      <c r="H146" s="549"/>
    </row>
    <row r="147" spans="1:8">
      <c r="A147" t="str">
        <f t="shared" si="2"/>
        <v>12064</v>
      </c>
      <c r="B147" s="545">
        <v>1206</v>
      </c>
      <c r="C147" s="546">
        <v>4</v>
      </c>
      <c r="D147" s="546">
        <v>1</v>
      </c>
      <c r="E147" s="546">
        <v>2</v>
      </c>
      <c r="F147" s="552">
        <v>1747.49</v>
      </c>
      <c r="G147" s="549"/>
      <c r="H147" s="549"/>
    </row>
    <row r="148" spans="1:8">
      <c r="A148" t="str">
        <f t="shared" si="2"/>
        <v>12065</v>
      </c>
      <c r="B148" s="545">
        <v>1206</v>
      </c>
      <c r="C148" s="546">
        <v>5</v>
      </c>
      <c r="D148" s="546">
        <v>1</v>
      </c>
      <c r="E148" s="546">
        <v>0</v>
      </c>
      <c r="F148" s="546">
        <v>0</v>
      </c>
      <c r="G148" s="549"/>
      <c r="H148" s="549"/>
    </row>
    <row r="149" spans="1:8">
      <c r="A149" t="str">
        <f t="shared" si="2"/>
        <v>12067</v>
      </c>
      <c r="B149" s="545">
        <v>1206</v>
      </c>
      <c r="C149" s="546">
        <v>7</v>
      </c>
      <c r="D149" s="546">
        <v>1</v>
      </c>
      <c r="E149" s="546">
        <v>0</v>
      </c>
      <c r="F149" s="546">
        <v>0</v>
      </c>
      <c r="G149" s="549"/>
      <c r="H149" s="549"/>
    </row>
    <row r="150" spans="1:8">
      <c r="A150" t="str">
        <f t="shared" si="2"/>
        <v>120612</v>
      </c>
      <c r="B150" s="545">
        <v>1206</v>
      </c>
      <c r="C150" s="546">
        <v>12</v>
      </c>
      <c r="D150" s="546">
        <v>1</v>
      </c>
      <c r="E150" s="546">
        <v>1</v>
      </c>
      <c r="F150" s="552">
        <v>10460.11</v>
      </c>
      <c r="G150" s="549"/>
      <c r="H150" s="549"/>
    </row>
    <row r="151" spans="1:8">
      <c r="A151" t="str">
        <f t="shared" si="2"/>
        <v>120613</v>
      </c>
      <c r="B151" s="545">
        <v>1206</v>
      </c>
      <c r="C151" s="546">
        <v>13</v>
      </c>
      <c r="D151" s="546">
        <v>0</v>
      </c>
      <c r="E151" s="546">
        <v>3</v>
      </c>
      <c r="F151" s="552">
        <v>5882.35</v>
      </c>
      <c r="G151" s="549"/>
      <c r="H151" s="549"/>
    </row>
    <row r="152" spans="1:8">
      <c r="A152" t="str">
        <f t="shared" si="2"/>
        <v>120614</v>
      </c>
      <c r="B152" s="545">
        <v>1206</v>
      </c>
      <c r="C152" s="546">
        <v>14</v>
      </c>
      <c r="D152" s="546">
        <v>1</v>
      </c>
      <c r="E152" s="546">
        <v>0</v>
      </c>
      <c r="F152" s="546">
        <v>0</v>
      </c>
      <c r="G152" s="549"/>
      <c r="H152" s="549"/>
    </row>
    <row r="153" spans="1:8">
      <c r="A153" t="str">
        <f t="shared" si="2"/>
        <v>120615</v>
      </c>
      <c r="B153" s="545">
        <v>1206</v>
      </c>
      <c r="C153" s="546">
        <v>15</v>
      </c>
      <c r="D153" s="546">
        <v>0</v>
      </c>
      <c r="E153" s="546">
        <v>13</v>
      </c>
      <c r="F153" s="552">
        <v>3675.6</v>
      </c>
      <c r="G153" s="549"/>
      <c r="H153" s="549"/>
    </row>
    <row r="154" spans="1:8">
      <c r="A154" t="str">
        <f t="shared" si="2"/>
        <v>12081</v>
      </c>
      <c r="B154" s="545">
        <v>1208</v>
      </c>
      <c r="C154" s="546">
        <v>1</v>
      </c>
      <c r="D154" s="546">
        <v>1</v>
      </c>
      <c r="E154" s="546">
        <v>1</v>
      </c>
      <c r="F154" s="552">
        <v>1758.88</v>
      </c>
      <c r="G154" s="549"/>
      <c r="H154" s="549"/>
    </row>
    <row r="155" spans="1:8">
      <c r="A155" t="str">
        <f t="shared" si="2"/>
        <v>12084</v>
      </c>
      <c r="B155" s="545">
        <v>1208</v>
      </c>
      <c r="C155" s="546">
        <v>4</v>
      </c>
      <c r="D155" s="546">
        <v>1</v>
      </c>
      <c r="E155" s="546">
        <v>2</v>
      </c>
      <c r="F155" s="552">
        <v>5236.3599999999997</v>
      </c>
      <c r="G155" s="549"/>
      <c r="H155" s="549"/>
    </row>
    <row r="156" spans="1:8">
      <c r="A156" t="str">
        <f t="shared" si="2"/>
        <v>12085</v>
      </c>
      <c r="B156" s="545">
        <v>1208</v>
      </c>
      <c r="C156" s="546">
        <v>5</v>
      </c>
      <c r="D156" s="546">
        <v>0</v>
      </c>
      <c r="E156" s="546">
        <v>151</v>
      </c>
      <c r="F156" s="552">
        <v>33417.54</v>
      </c>
      <c r="G156" s="549"/>
      <c r="H156" s="549"/>
    </row>
    <row r="157" spans="1:8">
      <c r="A157" t="str">
        <f t="shared" si="2"/>
        <v>12086</v>
      </c>
      <c r="B157" s="545">
        <v>1208</v>
      </c>
      <c r="C157" s="546">
        <v>6</v>
      </c>
      <c r="D157" s="546">
        <v>1</v>
      </c>
      <c r="E157" s="546">
        <v>0</v>
      </c>
      <c r="F157" s="546">
        <v>0</v>
      </c>
      <c r="G157" s="549"/>
      <c r="H157" s="549"/>
    </row>
    <row r="158" spans="1:8">
      <c r="A158" t="str">
        <f t="shared" si="2"/>
        <v>12087</v>
      </c>
      <c r="B158" s="545">
        <v>1208</v>
      </c>
      <c r="C158" s="546">
        <v>7</v>
      </c>
      <c r="D158" s="546">
        <v>1</v>
      </c>
      <c r="E158" s="546">
        <v>1</v>
      </c>
      <c r="F158" s="552">
        <v>2626.56</v>
      </c>
      <c r="G158" s="549"/>
      <c r="H158" s="549"/>
    </row>
    <row r="159" spans="1:8">
      <c r="A159" t="str">
        <f t="shared" si="2"/>
        <v>120813</v>
      </c>
      <c r="B159" s="545">
        <v>1208</v>
      </c>
      <c r="C159" s="546">
        <v>13</v>
      </c>
      <c r="D159" s="546">
        <v>1</v>
      </c>
      <c r="E159" s="546">
        <v>1</v>
      </c>
      <c r="F159" s="552">
        <v>1747.24</v>
      </c>
      <c r="G159" s="549"/>
      <c r="H159" s="549"/>
    </row>
    <row r="160" spans="1:8">
      <c r="A160" t="str">
        <f t="shared" si="2"/>
        <v>120814</v>
      </c>
      <c r="B160" s="545">
        <v>1208</v>
      </c>
      <c r="C160" s="546">
        <v>14</v>
      </c>
      <c r="D160" s="546">
        <v>0</v>
      </c>
      <c r="E160" s="546">
        <v>113</v>
      </c>
      <c r="F160" s="552">
        <v>31471.86</v>
      </c>
      <c r="G160" s="549"/>
      <c r="H160" s="549"/>
    </row>
    <row r="161" spans="1:8">
      <c r="A161" t="str">
        <f t="shared" si="2"/>
        <v>120815</v>
      </c>
      <c r="B161" s="545">
        <v>1208</v>
      </c>
      <c r="C161" s="546">
        <v>15</v>
      </c>
      <c r="D161" s="546">
        <v>1</v>
      </c>
      <c r="E161" s="546">
        <v>0</v>
      </c>
      <c r="F161" s="546">
        <v>0</v>
      </c>
      <c r="G161" s="549"/>
      <c r="H161" s="549"/>
    </row>
    <row r="162" spans="1:8">
      <c r="A162" t="str">
        <f t="shared" si="2"/>
        <v>120816</v>
      </c>
      <c r="B162" s="545">
        <v>1208</v>
      </c>
      <c r="C162" s="546">
        <v>16</v>
      </c>
      <c r="D162" s="546">
        <v>1</v>
      </c>
      <c r="E162" s="546">
        <v>0</v>
      </c>
      <c r="F162" s="546">
        <v>0</v>
      </c>
      <c r="G162" s="549"/>
      <c r="H162" s="549"/>
    </row>
    <row r="163" spans="1:8">
      <c r="A163" t="str">
        <f t="shared" si="2"/>
        <v>120817</v>
      </c>
      <c r="B163" s="545">
        <v>1208</v>
      </c>
      <c r="C163" s="546">
        <v>17</v>
      </c>
      <c r="D163" s="546">
        <v>1</v>
      </c>
      <c r="E163" s="546">
        <v>0</v>
      </c>
      <c r="F163" s="546">
        <v>4.0599999999999996</v>
      </c>
      <c r="G163" s="549"/>
      <c r="H163" s="549"/>
    </row>
    <row r="164" spans="1:8">
      <c r="A164" t="str">
        <f t="shared" si="2"/>
        <v>120818</v>
      </c>
      <c r="B164" s="545">
        <v>1208</v>
      </c>
      <c r="C164" s="546">
        <v>18</v>
      </c>
      <c r="D164" s="546">
        <v>0</v>
      </c>
      <c r="E164" s="546">
        <v>3</v>
      </c>
      <c r="F164" s="552">
        <v>6527.95</v>
      </c>
      <c r="G164" s="549"/>
      <c r="H164" s="549"/>
    </row>
    <row r="165" spans="1:8">
      <c r="A165" t="str">
        <f t="shared" si="2"/>
        <v>120821</v>
      </c>
      <c r="B165" s="545">
        <v>1208</v>
      </c>
      <c r="C165" s="546">
        <v>21</v>
      </c>
      <c r="D165" s="546">
        <v>1</v>
      </c>
      <c r="E165" s="546">
        <v>1</v>
      </c>
      <c r="F165" s="552">
        <v>10373.16</v>
      </c>
      <c r="G165" s="549"/>
      <c r="H165" s="549"/>
    </row>
    <row r="166" spans="1:8">
      <c r="A166" t="str">
        <f t="shared" si="2"/>
        <v>120822</v>
      </c>
      <c r="B166" s="545">
        <v>1208</v>
      </c>
      <c r="C166" s="546">
        <v>22</v>
      </c>
      <c r="D166" s="546">
        <v>1</v>
      </c>
      <c r="E166" s="546">
        <v>2</v>
      </c>
      <c r="F166" s="552">
        <v>1768.36</v>
      </c>
      <c r="G166" s="549"/>
      <c r="H166" s="549"/>
    </row>
    <row r="167" spans="1:8">
      <c r="A167" t="str">
        <f t="shared" si="2"/>
        <v>120827</v>
      </c>
      <c r="B167" s="545">
        <v>1208</v>
      </c>
      <c r="C167" s="546">
        <v>27</v>
      </c>
      <c r="D167" s="546">
        <v>1</v>
      </c>
      <c r="E167" s="546">
        <v>0</v>
      </c>
      <c r="F167" s="546">
        <v>0</v>
      </c>
      <c r="G167" s="549"/>
      <c r="H167" s="549"/>
    </row>
    <row r="168" spans="1:8">
      <c r="A168" t="str">
        <f t="shared" si="2"/>
        <v>120828</v>
      </c>
      <c r="B168" s="545">
        <v>1208</v>
      </c>
      <c r="C168" s="546">
        <v>28</v>
      </c>
      <c r="D168" s="546">
        <v>1</v>
      </c>
      <c r="E168" s="546">
        <v>1</v>
      </c>
      <c r="F168" s="552">
        <v>1975.77</v>
      </c>
      <c r="G168" s="549"/>
      <c r="H168" s="549"/>
    </row>
    <row r="169" spans="1:8">
      <c r="A169" t="str">
        <f t="shared" si="2"/>
        <v>120829</v>
      </c>
      <c r="B169" s="545">
        <v>1208</v>
      </c>
      <c r="C169" s="546">
        <v>29</v>
      </c>
      <c r="D169" s="546">
        <v>1</v>
      </c>
      <c r="E169" s="546">
        <v>1</v>
      </c>
      <c r="F169" s="552">
        <v>1637</v>
      </c>
      <c r="G169" s="549"/>
      <c r="H169" s="549"/>
    </row>
    <row r="170" spans="1:8">
      <c r="A170" t="str">
        <f t="shared" si="2"/>
        <v>120830</v>
      </c>
      <c r="B170" s="545">
        <v>1208</v>
      </c>
      <c r="C170" s="546">
        <v>30</v>
      </c>
      <c r="D170" s="546">
        <v>1</v>
      </c>
      <c r="E170" s="546">
        <v>0</v>
      </c>
      <c r="F170" s="552">
        <v>1174.51</v>
      </c>
      <c r="G170" s="549"/>
      <c r="H170" s="549"/>
    </row>
    <row r="171" spans="1:8">
      <c r="A171" t="str">
        <f t="shared" si="2"/>
        <v>120834</v>
      </c>
      <c r="B171" s="545">
        <v>1208</v>
      </c>
      <c r="C171" s="546">
        <v>34</v>
      </c>
      <c r="D171" s="546">
        <v>1</v>
      </c>
      <c r="E171" s="546">
        <v>0</v>
      </c>
      <c r="F171" s="546">
        <v>0</v>
      </c>
      <c r="G171" s="549"/>
      <c r="H171" s="549"/>
    </row>
    <row r="172" spans="1:8">
      <c r="A172" t="str">
        <f t="shared" si="2"/>
        <v>120836</v>
      </c>
      <c r="B172" s="545">
        <v>1208</v>
      </c>
      <c r="C172" s="546">
        <v>36</v>
      </c>
      <c r="D172" s="546">
        <v>0</v>
      </c>
      <c r="E172" s="546">
        <v>4</v>
      </c>
      <c r="F172" s="552">
        <v>8700.19</v>
      </c>
      <c r="G172" s="549"/>
      <c r="H172" s="549"/>
    </row>
    <row r="173" spans="1:8">
      <c r="A173" t="str">
        <f t="shared" si="2"/>
        <v>120838</v>
      </c>
      <c r="B173" s="545">
        <v>1208</v>
      </c>
      <c r="C173" s="546">
        <v>38</v>
      </c>
      <c r="D173" s="546">
        <v>1</v>
      </c>
      <c r="E173" s="546">
        <v>1</v>
      </c>
      <c r="F173" s="546">
        <v>452.93</v>
      </c>
      <c r="G173" s="549"/>
      <c r="H173" s="549"/>
    </row>
    <row r="174" spans="1:8">
      <c r="A174" t="str">
        <f t="shared" si="2"/>
        <v>120841</v>
      </c>
      <c r="B174" s="545">
        <v>1208</v>
      </c>
      <c r="C174" s="546">
        <v>41</v>
      </c>
      <c r="D174" s="546">
        <v>0</v>
      </c>
      <c r="E174" s="546">
        <v>7</v>
      </c>
      <c r="F174" s="552">
        <v>5119.34</v>
      </c>
      <c r="G174" s="549"/>
      <c r="H174" s="549"/>
    </row>
    <row r="175" spans="1:8">
      <c r="A175" t="str">
        <f t="shared" si="2"/>
        <v>120842</v>
      </c>
      <c r="B175" s="545">
        <v>1208</v>
      </c>
      <c r="C175" s="546">
        <v>42</v>
      </c>
      <c r="D175" s="546">
        <v>0</v>
      </c>
      <c r="E175" s="546">
        <v>93</v>
      </c>
      <c r="F175" s="552">
        <v>29814.33</v>
      </c>
      <c r="G175" s="549"/>
      <c r="H175" s="549"/>
    </row>
    <row r="176" spans="1:8">
      <c r="A176" t="str">
        <f t="shared" si="2"/>
        <v>120844</v>
      </c>
      <c r="B176" s="545">
        <v>1208</v>
      </c>
      <c r="C176" s="546">
        <v>44</v>
      </c>
      <c r="D176" s="546">
        <v>1</v>
      </c>
      <c r="E176" s="546">
        <v>0</v>
      </c>
      <c r="F176" s="546">
        <v>0</v>
      </c>
      <c r="G176" s="549"/>
      <c r="H176" s="549"/>
    </row>
    <row r="177" spans="1:8">
      <c r="A177" t="str">
        <f t="shared" si="2"/>
        <v>120845</v>
      </c>
      <c r="B177" s="545">
        <v>1208</v>
      </c>
      <c r="C177" s="546">
        <v>45</v>
      </c>
      <c r="D177" s="546">
        <v>1</v>
      </c>
      <c r="E177" s="546">
        <v>0</v>
      </c>
      <c r="F177" s="546">
        <v>0</v>
      </c>
      <c r="G177" s="549"/>
      <c r="H177" s="549"/>
    </row>
    <row r="178" spans="1:8">
      <c r="A178" t="str">
        <f t="shared" si="2"/>
        <v>120846</v>
      </c>
      <c r="B178" s="545">
        <v>1208</v>
      </c>
      <c r="C178" s="546">
        <v>46</v>
      </c>
      <c r="D178" s="546">
        <v>1</v>
      </c>
      <c r="E178" s="546">
        <v>0</v>
      </c>
      <c r="F178" s="546">
        <v>0</v>
      </c>
      <c r="G178" s="549"/>
      <c r="H178" s="549"/>
    </row>
    <row r="179" spans="1:8">
      <c r="A179" t="str">
        <f t="shared" si="2"/>
        <v>120847</v>
      </c>
      <c r="B179" s="545">
        <v>1208</v>
      </c>
      <c r="C179" s="546">
        <v>47</v>
      </c>
      <c r="D179" s="546">
        <v>1</v>
      </c>
      <c r="E179" s="546">
        <v>1</v>
      </c>
      <c r="F179" s="552">
        <v>1159.3</v>
      </c>
      <c r="G179" s="549"/>
      <c r="H179" s="549"/>
    </row>
    <row r="180" spans="1:8">
      <c r="A180" t="str">
        <f t="shared" si="2"/>
        <v>120848</v>
      </c>
      <c r="B180" s="545">
        <v>1208</v>
      </c>
      <c r="C180" s="546">
        <v>48</v>
      </c>
      <c r="D180" s="546">
        <v>1</v>
      </c>
      <c r="E180" s="546">
        <v>2</v>
      </c>
      <c r="F180" s="552">
        <v>4972.18</v>
      </c>
      <c r="G180" s="549"/>
      <c r="H180" s="549"/>
    </row>
    <row r="181" spans="1:8">
      <c r="A181" t="str">
        <f t="shared" si="2"/>
        <v>120849</v>
      </c>
      <c r="B181" s="545">
        <v>1208</v>
      </c>
      <c r="C181" s="546">
        <v>49</v>
      </c>
      <c r="D181" s="546">
        <v>1</v>
      </c>
      <c r="E181" s="546">
        <v>1</v>
      </c>
      <c r="F181" s="552">
        <v>1637</v>
      </c>
      <c r="G181" s="549"/>
      <c r="H181" s="549"/>
    </row>
    <row r="182" spans="1:8">
      <c r="A182" t="str">
        <f t="shared" si="2"/>
        <v>120850</v>
      </c>
      <c r="B182" s="545">
        <v>1208</v>
      </c>
      <c r="C182" s="546">
        <v>50</v>
      </c>
      <c r="D182" s="546">
        <v>1</v>
      </c>
      <c r="E182" s="546">
        <v>1</v>
      </c>
      <c r="F182" s="552">
        <v>1637</v>
      </c>
      <c r="G182" s="549"/>
      <c r="H182" s="549"/>
    </row>
    <row r="183" spans="1:8">
      <c r="A183" t="str">
        <f t="shared" si="2"/>
        <v>12092</v>
      </c>
      <c r="B183" s="545">
        <v>1209</v>
      </c>
      <c r="C183" s="546">
        <v>2</v>
      </c>
      <c r="D183" s="546">
        <v>1</v>
      </c>
      <c r="E183" s="546">
        <v>1</v>
      </c>
      <c r="F183" s="546">
        <v>615.22</v>
      </c>
      <c r="G183" s="549"/>
      <c r="H183" s="549"/>
    </row>
    <row r="184" spans="1:8">
      <c r="A184" t="str">
        <f t="shared" si="2"/>
        <v>12093</v>
      </c>
      <c r="B184" s="545">
        <v>1209</v>
      </c>
      <c r="C184" s="546">
        <v>3</v>
      </c>
      <c r="D184" s="546">
        <v>1</v>
      </c>
      <c r="E184" s="546">
        <v>1</v>
      </c>
      <c r="F184" s="552">
        <v>1325.04</v>
      </c>
      <c r="G184" s="549"/>
      <c r="H184" s="549"/>
    </row>
    <row r="185" spans="1:8">
      <c r="A185" t="str">
        <f t="shared" si="2"/>
        <v>12094</v>
      </c>
      <c r="B185" s="545">
        <v>1209</v>
      </c>
      <c r="C185" s="546">
        <v>4</v>
      </c>
      <c r="D185" s="546">
        <v>0</v>
      </c>
      <c r="E185" s="546">
        <v>27</v>
      </c>
      <c r="F185" s="552">
        <v>14509.53</v>
      </c>
      <c r="G185" s="549"/>
      <c r="H185" s="549"/>
    </row>
    <row r="186" spans="1:8">
      <c r="A186" t="str">
        <f t="shared" si="2"/>
        <v>120913</v>
      </c>
      <c r="B186" s="545">
        <v>1209</v>
      </c>
      <c r="C186" s="546">
        <v>13</v>
      </c>
      <c r="D186" s="546">
        <v>1</v>
      </c>
      <c r="E186" s="546">
        <v>0</v>
      </c>
      <c r="F186" s="546">
        <v>0</v>
      </c>
      <c r="G186" s="549"/>
      <c r="H186" s="549"/>
    </row>
    <row r="187" spans="1:8">
      <c r="A187" t="str">
        <f t="shared" si="2"/>
        <v>120914</v>
      </c>
      <c r="B187" s="545">
        <v>1209</v>
      </c>
      <c r="C187" s="546">
        <v>14</v>
      </c>
      <c r="D187" s="546">
        <v>1</v>
      </c>
      <c r="E187" s="546">
        <v>0</v>
      </c>
      <c r="F187" s="546">
        <v>0</v>
      </c>
      <c r="G187" s="549"/>
      <c r="H187" s="549"/>
    </row>
    <row r="188" spans="1:8">
      <c r="A188" t="str">
        <f t="shared" si="2"/>
        <v>120915</v>
      </c>
      <c r="B188" s="545">
        <v>1209</v>
      </c>
      <c r="C188" s="546">
        <v>15</v>
      </c>
      <c r="D188" s="546">
        <v>1</v>
      </c>
      <c r="E188" s="546">
        <v>0</v>
      </c>
      <c r="F188" s="546">
        <v>0</v>
      </c>
      <c r="G188" s="549"/>
      <c r="H188" s="549"/>
    </row>
    <row r="189" spans="1:8">
      <c r="A189" t="str">
        <f t="shared" si="2"/>
        <v>120916</v>
      </c>
      <c r="B189" s="545">
        <v>1209</v>
      </c>
      <c r="C189" s="546">
        <v>16</v>
      </c>
      <c r="D189" s="546">
        <v>1</v>
      </c>
      <c r="E189" s="546">
        <v>0</v>
      </c>
      <c r="F189" s="546">
        <v>14.89</v>
      </c>
      <c r="G189" s="549"/>
      <c r="H189" s="549"/>
    </row>
    <row r="190" spans="1:8">
      <c r="A190" t="str">
        <f t="shared" si="2"/>
        <v>120917</v>
      </c>
      <c r="B190" s="545">
        <v>1209</v>
      </c>
      <c r="C190" s="546">
        <v>17</v>
      </c>
      <c r="D190" s="546">
        <v>1</v>
      </c>
      <c r="E190" s="546">
        <v>1</v>
      </c>
      <c r="F190" s="546">
        <v>630.62</v>
      </c>
      <c r="G190" s="549"/>
      <c r="H190" s="549"/>
    </row>
    <row r="191" spans="1:8">
      <c r="A191" t="str">
        <f t="shared" si="2"/>
        <v>120919</v>
      </c>
      <c r="B191" s="545">
        <v>1209</v>
      </c>
      <c r="C191" s="546">
        <v>19</v>
      </c>
      <c r="D191" s="546">
        <v>1</v>
      </c>
      <c r="E191" s="546">
        <v>0</v>
      </c>
      <c r="F191" s="546">
        <v>0</v>
      </c>
      <c r="G191" s="549"/>
      <c r="H191" s="549"/>
    </row>
    <row r="192" spans="1:8">
      <c r="A192" t="str">
        <f t="shared" si="2"/>
        <v>120921</v>
      </c>
      <c r="B192" s="545">
        <v>1209</v>
      </c>
      <c r="C192" s="546">
        <v>21</v>
      </c>
      <c r="D192" s="546">
        <v>1</v>
      </c>
      <c r="E192" s="546">
        <v>0</v>
      </c>
      <c r="F192" s="546">
        <v>4.0199999999999996</v>
      </c>
      <c r="G192" s="549"/>
      <c r="H192" s="549"/>
    </row>
    <row r="193" spans="1:8">
      <c r="A193" t="str">
        <f t="shared" si="2"/>
        <v>120922</v>
      </c>
      <c r="B193" s="545">
        <v>1209</v>
      </c>
      <c r="C193" s="546">
        <v>22</v>
      </c>
      <c r="D193" s="546">
        <v>1</v>
      </c>
      <c r="E193" s="546">
        <v>1</v>
      </c>
      <c r="F193" s="552">
        <v>2171.7600000000002</v>
      </c>
      <c r="G193" s="549"/>
      <c r="H193" s="549"/>
    </row>
    <row r="194" spans="1:8">
      <c r="A194" t="str">
        <f t="shared" ref="A194:A257" si="3">+CONCATENATE(B194,C194)</f>
        <v>120923</v>
      </c>
      <c r="B194" s="545">
        <v>1209</v>
      </c>
      <c r="C194" s="546">
        <v>23</v>
      </c>
      <c r="D194" s="546">
        <v>1</v>
      </c>
      <c r="E194" s="546">
        <v>2</v>
      </c>
      <c r="F194" s="552">
        <v>5286.27</v>
      </c>
      <c r="G194" s="549"/>
      <c r="H194" s="549"/>
    </row>
    <row r="195" spans="1:8">
      <c r="A195" t="str">
        <f t="shared" si="3"/>
        <v>120924</v>
      </c>
      <c r="B195" s="545">
        <v>1209</v>
      </c>
      <c r="C195" s="546">
        <v>24</v>
      </c>
      <c r="D195" s="546">
        <v>1</v>
      </c>
      <c r="E195" s="546">
        <v>1</v>
      </c>
      <c r="F195" s="546">
        <v>641.52</v>
      </c>
      <c r="G195" s="549"/>
      <c r="H195" s="549"/>
    </row>
    <row r="196" spans="1:8">
      <c r="A196" t="str">
        <f t="shared" si="3"/>
        <v>120925</v>
      </c>
      <c r="B196" s="545">
        <v>1209</v>
      </c>
      <c r="C196" s="546">
        <v>25</v>
      </c>
      <c r="D196" s="546">
        <v>1</v>
      </c>
      <c r="E196" s="546">
        <v>1</v>
      </c>
      <c r="F196" s="546">
        <v>641.52</v>
      </c>
      <c r="G196" s="549"/>
      <c r="H196" s="549"/>
    </row>
    <row r="197" spans="1:8">
      <c r="A197" t="str">
        <f t="shared" si="3"/>
        <v>120926</v>
      </c>
      <c r="B197" s="545">
        <v>1209</v>
      </c>
      <c r="C197" s="546">
        <v>26</v>
      </c>
      <c r="D197" s="546">
        <v>1</v>
      </c>
      <c r="E197" s="546">
        <v>1</v>
      </c>
      <c r="F197" s="546">
        <v>641.52</v>
      </c>
      <c r="G197" s="549"/>
      <c r="H197" s="549"/>
    </row>
    <row r="198" spans="1:8">
      <c r="A198" t="str">
        <f t="shared" si="3"/>
        <v>120927</v>
      </c>
      <c r="B198" s="545">
        <v>1209</v>
      </c>
      <c r="C198" s="546">
        <v>27</v>
      </c>
      <c r="D198" s="546">
        <v>1</v>
      </c>
      <c r="E198" s="546">
        <v>1</v>
      </c>
      <c r="F198" s="546">
        <v>715.1</v>
      </c>
      <c r="G198" s="549"/>
      <c r="H198" s="549"/>
    </row>
    <row r="199" spans="1:8">
      <c r="A199" t="str">
        <f t="shared" si="3"/>
        <v>120928</v>
      </c>
      <c r="B199" s="545">
        <v>1209</v>
      </c>
      <c r="C199" s="546">
        <v>28</v>
      </c>
      <c r="D199" s="546">
        <v>1</v>
      </c>
      <c r="E199" s="546">
        <v>1</v>
      </c>
      <c r="F199" s="546">
        <v>715.1</v>
      </c>
      <c r="G199" s="549"/>
      <c r="H199" s="549"/>
    </row>
    <row r="200" spans="1:8">
      <c r="A200" t="str">
        <f t="shared" si="3"/>
        <v>120929</v>
      </c>
      <c r="B200" s="545">
        <v>1209</v>
      </c>
      <c r="C200" s="546">
        <v>29</v>
      </c>
      <c r="D200" s="546">
        <v>1</v>
      </c>
      <c r="E200" s="546">
        <v>1</v>
      </c>
      <c r="F200" s="546">
        <v>715.1</v>
      </c>
      <c r="G200" s="549"/>
      <c r="H200" s="549"/>
    </row>
    <row r="201" spans="1:8">
      <c r="A201" t="str">
        <f t="shared" si="3"/>
        <v>12101</v>
      </c>
      <c r="B201" s="545">
        <v>1210</v>
      </c>
      <c r="C201" s="546">
        <v>1</v>
      </c>
      <c r="D201" s="546">
        <v>1</v>
      </c>
      <c r="E201" s="546">
        <v>0</v>
      </c>
      <c r="F201" s="546">
        <v>0</v>
      </c>
      <c r="G201" s="549"/>
      <c r="H201" s="549"/>
    </row>
    <row r="202" spans="1:8">
      <c r="A202" t="str">
        <f t="shared" si="3"/>
        <v>12102</v>
      </c>
      <c r="B202" s="545">
        <v>1210</v>
      </c>
      <c r="C202" s="546">
        <v>2</v>
      </c>
      <c r="D202" s="546">
        <v>1</v>
      </c>
      <c r="E202" s="546">
        <v>1</v>
      </c>
      <c r="F202" s="546">
        <v>958.72</v>
      </c>
      <c r="G202" s="549"/>
      <c r="H202" s="549"/>
    </row>
    <row r="203" spans="1:8">
      <c r="A203" t="str">
        <f t="shared" si="3"/>
        <v>12103</v>
      </c>
      <c r="B203" s="545">
        <v>1210</v>
      </c>
      <c r="C203" s="546">
        <v>3</v>
      </c>
      <c r="D203" s="546">
        <v>1</v>
      </c>
      <c r="E203" s="546">
        <v>0</v>
      </c>
      <c r="F203" s="546">
        <v>6.68</v>
      </c>
      <c r="G203" s="549"/>
      <c r="H203" s="549"/>
    </row>
    <row r="204" spans="1:8">
      <c r="A204" t="str">
        <f t="shared" si="3"/>
        <v>12104</v>
      </c>
      <c r="B204" s="545">
        <v>1210</v>
      </c>
      <c r="C204" s="546">
        <v>4</v>
      </c>
      <c r="D204" s="546">
        <v>0</v>
      </c>
      <c r="E204" s="546">
        <v>4</v>
      </c>
      <c r="F204" s="552">
        <v>2587.39</v>
      </c>
      <c r="G204" s="549"/>
      <c r="H204" s="549"/>
    </row>
    <row r="205" spans="1:8">
      <c r="A205" t="str">
        <f t="shared" si="3"/>
        <v>12105</v>
      </c>
      <c r="B205" s="545">
        <v>1210</v>
      </c>
      <c r="C205" s="546">
        <v>5</v>
      </c>
      <c r="D205" s="546">
        <v>1</v>
      </c>
      <c r="E205" s="546">
        <v>0</v>
      </c>
      <c r="F205" s="546">
        <v>0</v>
      </c>
      <c r="G205" s="549"/>
      <c r="H205" s="549"/>
    </row>
    <row r="206" spans="1:8">
      <c r="A206" t="str">
        <f t="shared" si="3"/>
        <v>12106</v>
      </c>
      <c r="B206" s="545">
        <v>1210</v>
      </c>
      <c r="C206" s="546">
        <v>6</v>
      </c>
      <c r="D206" s="546">
        <v>1</v>
      </c>
      <c r="E206" s="546">
        <v>0</v>
      </c>
      <c r="F206" s="546">
        <v>-300.57</v>
      </c>
      <c r="G206" s="549"/>
      <c r="H206" s="549"/>
    </row>
    <row r="207" spans="1:8">
      <c r="A207" t="str">
        <f t="shared" si="3"/>
        <v>12107</v>
      </c>
      <c r="B207" s="545">
        <v>1210</v>
      </c>
      <c r="C207" s="546">
        <v>7</v>
      </c>
      <c r="D207" s="546">
        <v>0</v>
      </c>
      <c r="E207" s="546">
        <v>28</v>
      </c>
      <c r="F207" s="552">
        <v>10359.23</v>
      </c>
      <c r="G207" s="549"/>
      <c r="H207" s="549"/>
    </row>
    <row r="208" spans="1:8">
      <c r="A208" t="str">
        <f t="shared" si="3"/>
        <v>12108</v>
      </c>
      <c r="B208" s="545">
        <v>1210</v>
      </c>
      <c r="C208" s="546">
        <v>8</v>
      </c>
      <c r="D208" s="546">
        <v>1</v>
      </c>
      <c r="E208" s="546">
        <v>0</v>
      </c>
      <c r="F208" s="546">
        <v>0</v>
      </c>
      <c r="G208" s="549"/>
      <c r="H208" s="549"/>
    </row>
    <row r="209" spans="1:8">
      <c r="A209" t="str">
        <f t="shared" si="3"/>
        <v>12109</v>
      </c>
      <c r="B209" s="545">
        <v>1210</v>
      </c>
      <c r="C209" s="546">
        <v>9</v>
      </c>
      <c r="D209" s="546">
        <v>1</v>
      </c>
      <c r="E209" s="546">
        <v>0</v>
      </c>
      <c r="F209" s="546">
        <v>0</v>
      </c>
      <c r="G209" s="549"/>
      <c r="H209" s="549"/>
    </row>
    <row r="210" spans="1:8">
      <c r="A210" t="str">
        <f t="shared" si="3"/>
        <v>121010</v>
      </c>
      <c r="B210" s="545">
        <v>1210</v>
      </c>
      <c r="C210" s="546">
        <v>10</v>
      </c>
      <c r="D210" s="546">
        <v>1</v>
      </c>
      <c r="E210" s="546">
        <v>1</v>
      </c>
      <c r="F210" s="552">
        <v>3265.98</v>
      </c>
      <c r="G210" s="549"/>
      <c r="H210" s="549"/>
    </row>
    <row r="211" spans="1:8">
      <c r="A211" t="str">
        <f t="shared" si="3"/>
        <v>121011</v>
      </c>
      <c r="B211" s="545">
        <v>1210</v>
      </c>
      <c r="C211" s="546">
        <v>11</v>
      </c>
      <c r="D211" s="546">
        <v>1</v>
      </c>
      <c r="E211" s="546">
        <v>0</v>
      </c>
      <c r="F211" s="546">
        <v>0</v>
      </c>
      <c r="G211" s="549"/>
      <c r="H211" s="549"/>
    </row>
    <row r="212" spans="1:8">
      <c r="A212" t="str">
        <f t="shared" si="3"/>
        <v>121012</v>
      </c>
      <c r="B212" s="545">
        <v>1210</v>
      </c>
      <c r="C212" s="546">
        <v>12</v>
      </c>
      <c r="D212" s="546">
        <v>1</v>
      </c>
      <c r="E212" s="546">
        <v>0</v>
      </c>
      <c r="F212" s="546">
        <v>0</v>
      </c>
      <c r="G212" s="549"/>
      <c r="H212" s="549"/>
    </row>
    <row r="213" spans="1:8">
      <c r="A213" t="str">
        <f t="shared" si="3"/>
        <v>121013</v>
      </c>
      <c r="B213" s="545">
        <v>1210</v>
      </c>
      <c r="C213" s="546">
        <v>13</v>
      </c>
      <c r="D213" s="546">
        <v>1</v>
      </c>
      <c r="E213" s="546">
        <v>0</v>
      </c>
      <c r="F213" s="546">
        <v>0</v>
      </c>
      <c r="G213" s="549"/>
      <c r="H213" s="549"/>
    </row>
    <row r="214" spans="1:8">
      <c r="A214" t="str">
        <f t="shared" si="3"/>
        <v>121014</v>
      </c>
      <c r="B214" s="545">
        <v>1210</v>
      </c>
      <c r="C214" s="546">
        <v>14</v>
      </c>
      <c r="D214" s="546">
        <v>1</v>
      </c>
      <c r="E214" s="546">
        <v>0</v>
      </c>
      <c r="F214" s="546">
        <v>0</v>
      </c>
      <c r="G214" s="549"/>
      <c r="H214" s="549"/>
    </row>
    <row r="215" spans="1:8">
      <c r="A215" t="str">
        <f t="shared" si="3"/>
        <v>121015</v>
      </c>
      <c r="B215" s="545">
        <v>1210</v>
      </c>
      <c r="C215" s="546">
        <v>15</v>
      </c>
      <c r="D215" s="546">
        <v>1</v>
      </c>
      <c r="E215" s="546">
        <v>0</v>
      </c>
      <c r="F215" s="546">
        <v>0</v>
      </c>
      <c r="G215" s="549"/>
      <c r="H215" s="549"/>
    </row>
    <row r="216" spans="1:8">
      <c r="A216" t="str">
        <f t="shared" si="3"/>
        <v>121016</v>
      </c>
      <c r="B216" s="545">
        <v>1210</v>
      </c>
      <c r="C216" s="546">
        <v>16</v>
      </c>
      <c r="D216" s="546">
        <v>1</v>
      </c>
      <c r="E216" s="546">
        <v>1</v>
      </c>
      <c r="F216" s="546">
        <v>882.65</v>
      </c>
      <c r="G216" s="549"/>
      <c r="H216" s="549"/>
    </row>
    <row r="217" spans="1:8">
      <c r="A217" t="str">
        <f t="shared" si="3"/>
        <v>121017</v>
      </c>
      <c r="B217" s="545">
        <v>1210</v>
      </c>
      <c r="C217" s="546">
        <v>17</v>
      </c>
      <c r="D217" s="546">
        <v>1</v>
      </c>
      <c r="E217" s="546">
        <v>0</v>
      </c>
      <c r="F217" s="546">
        <v>0</v>
      </c>
      <c r="G217" s="549"/>
      <c r="H217" s="549"/>
    </row>
    <row r="218" spans="1:8">
      <c r="A218" t="str">
        <f t="shared" si="3"/>
        <v>121018</v>
      </c>
      <c r="B218" s="545">
        <v>1210</v>
      </c>
      <c r="C218" s="546">
        <v>18</v>
      </c>
      <c r="D218" s="546">
        <v>1</v>
      </c>
      <c r="E218" s="546">
        <v>0</v>
      </c>
      <c r="F218" s="546">
        <v>0</v>
      </c>
      <c r="G218" s="549"/>
      <c r="H218" s="549"/>
    </row>
    <row r="219" spans="1:8">
      <c r="A219" t="str">
        <f t="shared" si="3"/>
        <v>121019</v>
      </c>
      <c r="B219" s="545">
        <v>1210</v>
      </c>
      <c r="C219" s="546">
        <v>19</v>
      </c>
      <c r="D219" s="546">
        <v>1</v>
      </c>
      <c r="E219" s="546">
        <v>0</v>
      </c>
      <c r="F219" s="546">
        <v>0</v>
      </c>
      <c r="G219" s="549"/>
      <c r="H219" s="549"/>
    </row>
    <row r="220" spans="1:8">
      <c r="A220" t="str">
        <f t="shared" si="3"/>
        <v>121020</v>
      </c>
      <c r="B220" s="545">
        <v>1210</v>
      </c>
      <c r="C220" s="546">
        <v>20</v>
      </c>
      <c r="D220" s="546">
        <v>1</v>
      </c>
      <c r="E220" s="546">
        <v>0</v>
      </c>
      <c r="F220" s="546">
        <v>0</v>
      </c>
      <c r="G220" s="549"/>
      <c r="H220" s="549"/>
    </row>
    <row r="221" spans="1:8">
      <c r="A221" t="str">
        <f t="shared" si="3"/>
        <v>121021</v>
      </c>
      <c r="B221" s="545">
        <v>1210</v>
      </c>
      <c r="C221" s="546">
        <v>21</v>
      </c>
      <c r="D221" s="546">
        <v>1</v>
      </c>
      <c r="E221" s="546">
        <v>0</v>
      </c>
      <c r="F221" s="546">
        <v>0</v>
      </c>
      <c r="G221" s="549"/>
      <c r="H221" s="549"/>
    </row>
    <row r="222" spans="1:8">
      <c r="A222" t="str">
        <f t="shared" si="3"/>
        <v>121022</v>
      </c>
      <c r="B222" s="545">
        <v>1210</v>
      </c>
      <c r="C222" s="546">
        <v>22</v>
      </c>
      <c r="D222" s="546">
        <v>1</v>
      </c>
      <c r="E222" s="546">
        <v>0</v>
      </c>
      <c r="F222" s="546">
        <v>0</v>
      </c>
      <c r="G222" s="549"/>
      <c r="H222" s="549"/>
    </row>
    <row r="223" spans="1:8">
      <c r="A223" t="str">
        <f t="shared" si="3"/>
        <v>121023</v>
      </c>
      <c r="B223" s="545">
        <v>1210</v>
      </c>
      <c r="C223" s="546">
        <v>23</v>
      </c>
      <c r="D223" s="546">
        <v>1</v>
      </c>
      <c r="E223" s="546">
        <v>0</v>
      </c>
      <c r="F223" s="546">
        <v>0</v>
      </c>
      <c r="G223" s="549"/>
      <c r="H223" s="549"/>
    </row>
    <row r="224" spans="1:8">
      <c r="A224" t="str">
        <f t="shared" si="3"/>
        <v>121024</v>
      </c>
      <c r="B224" s="545">
        <v>1210</v>
      </c>
      <c r="C224" s="546">
        <v>24</v>
      </c>
      <c r="D224" s="546">
        <v>1</v>
      </c>
      <c r="E224" s="546">
        <v>0</v>
      </c>
      <c r="F224" s="546">
        <v>0</v>
      </c>
      <c r="G224" s="549"/>
      <c r="H224" s="549"/>
    </row>
    <row r="225" spans="1:8">
      <c r="A225" t="str">
        <f t="shared" si="3"/>
        <v>12114</v>
      </c>
      <c r="B225" s="545">
        <v>1211</v>
      </c>
      <c r="C225" s="546">
        <v>4</v>
      </c>
      <c r="D225" s="546">
        <v>0</v>
      </c>
      <c r="E225" s="546">
        <v>202</v>
      </c>
      <c r="F225" s="552">
        <v>43120.83</v>
      </c>
      <c r="G225" s="549"/>
      <c r="H225" s="549"/>
    </row>
    <row r="226" spans="1:8">
      <c r="A226" t="str">
        <f t="shared" si="3"/>
        <v>12118</v>
      </c>
      <c r="B226" s="545">
        <v>1211</v>
      </c>
      <c r="C226" s="546">
        <v>8</v>
      </c>
      <c r="D226" s="546">
        <v>1</v>
      </c>
      <c r="E226" s="546">
        <v>0</v>
      </c>
      <c r="F226" s="546">
        <v>0</v>
      </c>
      <c r="G226" s="549"/>
      <c r="H226" s="549"/>
    </row>
    <row r="227" spans="1:8">
      <c r="A227" t="str">
        <f t="shared" si="3"/>
        <v>121111</v>
      </c>
      <c r="B227" s="545">
        <v>1211</v>
      </c>
      <c r="C227" s="546">
        <v>11</v>
      </c>
      <c r="D227" s="546">
        <v>1</v>
      </c>
      <c r="E227" s="546">
        <v>2</v>
      </c>
      <c r="F227" s="552">
        <v>2612.44</v>
      </c>
      <c r="G227" s="549"/>
      <c r="H227" s="549"/>
    </row>
    <row r="228" spans="1:8">
      <c r="A228" t="str">
        <f t="shared" si="3"/>
        <v>121113</v>
      </c>
      <c r="B228" s="545">
        <v>1211</v>
      </c>
      <c r="C228" s="546">
        <v>13</v>
      </c>
      <c r="D228" s="546">
        <v>1</v>
      </c>
      <c r="E228" s="546">
        <v>2</v>
      </c>
      <c r="F228" s="552">
        <v>2235.88</v>
      </c>
      <c r="G228" s="549"/>
      <c r="H228" s="549"/>
    </row>
    <row r="229" spans="1:8">
      <c r="A229" t="str">
        <f t="shared" si="3"/>
        <v>121114</v>
      </c>
      <c r="B229" s="545">
        <v>1211</v>
      </c>
      <c r="C229" s="546">
        <v>14</v>
      </c>
      <c r="D229" s="546">
        <v>1</v>
      </c>
      <c r="E229" s="546">
        <v>0</v>
      </c>
      <c r="F229" s="546">
        <v>0</v>
      </c>
      <c r="G229" s="549"/>
      <c r="H229" s="549"/>
    </row>
    <row r="230" spans="1:8">
      <c r="A230" t="str">
        <f t="shared" si="3"/>
        <v>121115</v>
      </c>
      <c r="B230" s="545">
        <v>1211</v>
      </c>
      <c r="C230" s="546">
        <v>15</v>
      </c>
      <c r="D230" s="546">
        <v>1</v>
      </c>
      <c r="E230" s="546">
        <v>0</v>
      </c>
      <c r="F230" s="546">
        <v>0</v>
      </c>
      <c r="G230" s="549"/>
      <c r="H230" s="549"/>
    </row>
    <row r="231" spans="1:8">
      <c r="A231" t="str">
        <f t="shared" si="3"/>
        <v>121116</v>
      </c>
      <c r="B231" s="545">
        <v>1211</v>
      </c>
      <c r="C231" s="546">
        <v>16</v>
      </c>
      <c r="D231" s="546">
        <v>1</v>
      </c>
      <c r="E231" s="546">
        <v>0</v>
      </c>
      <c r="F231" s="546">
        <v>0</v>
      </c>
      <c r="G231" s="549"/>
      <c r="H231" s="549"/>
    </row>
    <row r="232" spans="1:8">
      <c r="A232" t="str">
        <f t="shared" si="3"/>
        <v>121117</v>
      </c>
      <c r="B232" s="545">
        <v>1211</v>
      </c>
      <c r="C232" s="546">
        <v>17</v>
      </c>
      <c r="D232" s="546">
        <v>1</v>
      </c>
      <c r="E232" s="546">
        <v>0</v>
      </c>
      <c r="F232" s="546">
        <v>0</v>
      </c>
      <c r="G232" s="549"/>
      <c r="H232" s="549"/>
    </row>
    <row r="233" spans="1:8">
      <c r="A233" t="str">
        <f t="shared" si="3"/>
        <v>12121</v>
      </c>
      <c r="B233" s="545">
        <v>1212</v>
      </c>
      <c r="C233" s="546">
        <v>1</v>
      </c>
      <c r="D233" s="546">
        <v>1</v>
      </c>
      <c r="E233" s="546">
        <v>1</v>
      </c>
      <c r="F233" s="552">
        <v>6683.72</v>
      </c>
      <c r="G233" s="549"/>
      <c r="H233" s="549"/>
    </row>
    <row r="234" spans="1:8">
      <c r="A234" t="str">
        <f t="shared" si="3"/>
        <v>12124</v>
      </c>
      <c r="B234" s="545">
        <v>1212</v>
      </c>
      <c r="C234" s="546">
        <v>4</v>
      </c>
      <c r="D234" s="546">
        <v>0</v>
      </c>
      <c r="E234" s="546">
        <v>153</v>
      </c>
      <c r="F234" s="552">
        <v>102337</v>
      </c>
      <c r="G234" s="549"/>
      <c r="H234" s="549"/>
    </row>
    <row r="235" spans="1:8">
      <c r="A235" t="str">
        <f t="shared" si="3"/>
        <v>12125</v>
      </c>
      <c r="B235" s="545">
        <v>1212</v>
      </c>
      <c r="C235" s="546">
        <v>5</v>
      </c>
      <c r="D235" s="546">
        <v>1</v>
      </c>
      <c r="E235" s="546">
        <v>1</v>
      </c>
      <c r="F235" s="546">
        <v>624.64</v>
      </c>
      <c r="G235" s="549"/>
      <c r="H235" s="549"/>
    </row>
    <row r="236" spans="1:8">
      <c r="A236" t="str">
        <f t="shared" si="3"/>
        <v>12128</v>
      </c>
      <c r="B236" s="545">
        <v>1212</v>
      </c>
      <c r="C236" s="546">
        <v>8</v>
      </c>
      <c r="D236" s="546">
        <v>1</v>
      </c>
      <c r="E236" s="546">
        <v>0</v>
      </c>
      <c r="F236" s="546">
        <v>0</v>
      </c>
      <c r="G236" s="549"/>
      <c r="H236" s="549"/>
    </row>
    <row r="237" spans="1:8">
      <c r="A237" t="str">
        <f t="shared" si="3"/>
        <v>12129</v>
      </c>
      <c r="B237" s="545">
        <v>1212</v>
      </c>
      <c r="C237" s="546">
        <v>9</v>
      </c>
      <c r="D237" s="546">
        <v>1</v>
      </c>
      <c r="E237" s="546">
        <v>0</v>
      </c>
      <c r="F237" s="546">
        <v>0</v>
      </c>
      <c r="G237" s="549"/>
      <c r="H237" s="549"/>
    </row>
    <row r="238" spans="1:8">
      <c r="A238" t="str">
        <f t="shared" si="3"/>
        <v>121213</v>
      </c>
      <c r="B238" s="545">
        <v>1212</v>
      </c>
      <c r="C238" s="546">
        <v>13</v>
      </c>
      <c r="D238" s="546">
        <v>0</v>
      </c>
      <c r="E238" s="546">
        <v>176</v>
      </c>
      <c r="F238" s="552">
        <v>32667.69</v>
      </c>
      <c r="G238" s="549"/>
      <c r="H238" s="549"/>
    </row>
    <row r="239" spans="1:8">
      <c r="A239" t="str">
        <f t="shared" si="3"/>
        <v>121214</v>
      </c>
      <c r="B239" s="545">
        <v>1212</v>
      </c>
      <c r="C239" s="546">
        <v>14</v>
      </c>
      <c r="D239" s="546">
        <v>1</v>
      </c>
      <c r="E239" s="546">
        <v>1</v>
      </c>
      <c r="F239" s="552">
        <v>2601.48</v>
      </c>
      <c r="G239" s="549"/>
      <c r="H239" s="549"/>
    </row>
    <row r="240" spans="1:8">
      <c r="A240" t="str">
        <f t="shared" si="3"/>
        <v>121218</v>
      </c>
      <c r="B240" s="545">
        <v>1212</v>
      </c>
      <c r="C240" s="546">
        <v>18</v>
      </c>
      <c r="D240" s="546">
        <v>1</v>
      </c>
      <c r="E240" s="546">
        <v>1</v>
      </c>
      <c r="F240" s="546">
        <v>882.65</v>
      </c>
      <c r="G240" s="549"/>
      <c r="H240" s="549"/>
    </row>
    <row r="241" spans="1:8">
      <c r="A241" t="str">
        <f t="shared" si="3"/>
        <v>121219</v>
      </c>
      <c r="B241" s="545">
        <v>1212</v>
      </c>
      <c r="C241" s="546">
        <v>19</v>
      </c>
      <c r="D241" s="546">
        <v>1</v>
      </c>
      <c r="E241" s="546">
        <v>1</v>
      </c>
      <c r="F241" s="552">
        <v>7972.83</v>
      </c>
      <c r="G241" s="549"/>
      <c r="H241" s="549"/>
    </row>
    <row r="242" spans="1:8">
      <c r="A242" t="str">
        <f t="shared" si="3"/>
        <v>121220</v>
      </c>
      <c r="B242" s="545">
        <v>1212</v>
      </c>
      <c r="C242" s="546">
        <v>20</v>
      </c>
      <c r="D242" s="546">
        <v>1</v>
      </c>
      <c r="E242" s="546">
        <v>1</v>
      </c>
      <c r="F242" s="546">
        <v>882.65</v>
      </c>
      <c r="G242" s="549"/>
      <c r="H242" s="549"/>
    </row>
    <row r="243" spans="1:8">
      <c r="A243" t="str">
        <f t="shared" si="3"/>
        <v>121221</v>
      </c>
      <c r="B243" s="545">
        <v>1212</v>
      </c>
      <c r="C243" s="546">
        <v>21</v>
      </c>
      <c r="D243" s="546">
        <v>0</v>
      </c>
      <c r="E243" s="546">
        <v>61</v>
      </c>
      <c r="F243" s="552">
        <v>13191.71</v>
      </c>
      <c r="G243" s="549"/>
      <c r="H243" s="549"/>
    </row>
    <row r="244" spans="1:8">
      <c r="A244" t="str">
        <f t="shared" si="3"/>
        <v>12131</v>
      </c>
      <c r="B244" s="545">
        <v>1213</v>
      </c>
      <c r="C244" s="546">
        <v>1</v>
      </c>
      <c r="D244" s="546">
        <v>1</v>
      </c>
      <c r="E244" s="546">
        <v>0</v>
      </c>
      <c r="F244" s="546">
        <v>0</v>
      </c>
      <c r="G244" s="549"/>
      <c r="H244" s="549"/>
    </row>
    <row r="245" spans="1:8">
      <c r="A245" t="str">
        <f t="shared" si="3"/>
        <v>12132</v>
      </c>
      <c r="B245" s="545">
        <v>1213</v>
      </c>
      <c r="C245" s="546">
        <v>2</v>
      </c>
      <c r="D245" s="546">
        <v>1</v>
      </c>
      <c r="E245" s="546">
        <v>0</v>
      </c>
      <c r="F245" s="546">
        <v>0</v>
      </c>
      <c r="G245" s="549"/>
      <c r="H245" s="549"/>
    </row>
    <row r="246" spans="1:8">
      <c r="A246" t="str">
        <f t="shared" si="3"/>
        <v>12133</v>
      </c>
      <c r="B246" s="545">
        <v>1213</v>
      </c>
      <c r="C246" s="546">
        <v>3</v>
      </c>
      <c r="D246" s="546">
        <v>1</v>
      </c>
      <c r="E246" s="546">
        <v>0</v>
      </c>
      <c r="F246" s="546">
        <v>0</v>
      </c>
      <c r="G246" s="549"/>
      <c r="H246" s="549"/>
    </row>
    <row r="247" spans="1:8">
      <c r="A247" t="str">
        <f t="shared" si="3"/>
        <v>12137</v>
      </c>
      <c r="B247" s="545">
        <v>1213</v>
      </c>
      <c r="C247" s="546">
        <v>7</v>
      </c>
      <c r="D247" s="546">
        <v>0</v>
      </c>
      <c r="E247" s="546">
        <v>146</v>
      </c>
      <c r="F247" s="552">
        <v>40687.65</v>
      </c>
      <c r="G247" s="549"/>
      <c r="H247" s="549"/>
    </row>
    <row r="248" spans="1:8">
      <c r="A248" t="str">
        <f t="shared" si="3"/>
        <v>121313</v>
      </c>
      <c r="B248" s="545">
        <v>1213</v>
      </c>
      <c r="C248" s="546">
        <v>13</v>
      </c>
      <c r="D248" s="546">
        <v>0</v>
      </c>
      <c r="E248" s="546">
        <v>145</v>
      </c>
      <c r="F248" s="552">
        <v>71341.820000000007</v>
      </c>
      <c r="G248" s="549"/>
      <c r="H248" s="549"/>
    </row>
    <row r="249" spans="1:8">
      <c r="A249" t="str">
        <f t="shared" si="3"/>
        <v>121317</v>
      </c>
      <c r="B249" s="545">
        <v>1213</v>
      </c>
      <c r="C249" s="546">
        <v>17</v>
      </c>
      <c r="D249" s="546">
        <v>0</v>
      </c>
      <c r="E249" s="546">
        <v>6</v>
      </c>
      <c r="F249" s="552">
        <v>1475.46</v>
      </c>
      <c r="G249" s="549"/>
      <c r="H249" s="549"/>
    </row>
    <row r="250" spans="1:8">
      <c r="A250" t="str">
        <f t="shared" si="3"/>
        <v>121319</v>
      </c>
      <c r="B250" s="545">
        <v>1213</v>
      </c>
      <c r="C250" s="546">
        <v>19</v>
      </c>
      <c r="D250" s="546">
        <v>1</v>
      </c>
      <c r="E250" s="546">
        <v>1</v>
      </c>
      <c r="F250" s="546">
        <v>515.04999999999995</v>
      </c>
      <c r="G250" s="549"/>
      <c r="H250" s="549"/>
    </row>
    <row r="251" spans="1:8">
      <c r="A251" t="str">
        <f t="shared" si="3"/>
        <v>121328</v>
      </c>
      <c r="B251" s="545">
        <v>1213</v>
      </c>
      <c r="C251" s="546">
        <v>28</v>
      </c>
      <c r="D251" s="546">
        <v>1</v>
      </c>
      <c r="E251" s="546">
        <v>2</v>
      </c>
      <c r="F251" s="552">
        <v>1777.22</v>
      </c>
      <c r="G251" s="549"/>
      <c r="H251" s="549"/>
    </row>
    <row r="252" spans="1:8">
      <c r="A252" t="str">
        <f t="shared" si="3"/>
        <v>121329</v>
      </c>
      <c r="B252" s="545">
        <v>1213</v>
      </c>
      <c r="C252" s="546">
        <v>29</v>
      </c>
      <c r="D252" s="546">
        <v>1</v>
      </c>
      <c r="E252" s="546">
        <v>0</v>
      </c>
      <c r="F252" s="546">
        <v>0</v>
      </c>
      <c r="G252" s="549"/>
      <c r="H252" s="549"/>
    </row>
    <row r="253" spans="1:8">
      <c r="A253" t="str">
        <f t="shared" si="3"/>
        <v>121331</v>
      </c>
      <c r="B253" s="545">
        <v>1213</v>
      </c>
      <c r="C253" s="546">
        <v>31</v>
      </c>
      <c r="D253" s="546">
        <v>1</v>
      </c>
      <c r="E253" s="546">
        <v>0</v>
      </c>
      <c r="F253" s="546">
        <v>88.6</v>
      </c>
      <c r="G253" s="549"/>
      <c r="H253" s="549"/>
    </row>
    <row r="254" spans="1:8">
      <c r="A254" t="str">
        <f t="shared" si="3"/>
        <v>121334</v>
      </c>
      <c r="B254" s="545">
        <v>1213</v>
      </c>
      <c r="C254" s="546">
        <v>34</v>
      </c>
      <c r="D254" s="546">
        <v>0</v>
      </c>
      <c r="E254" s="546">
        <v>205</v>
      </c>
      <c r="F254" s="552">
        <v>46834.86</v>
      </c>
      <c r="G254" s="549"/>
      <c r="H254" s="549"/>
    </row>
    <row r="255" spans="1:8">
      <c r="A255" t="str">
        <f t="shared" si="3"/>
        <v>121335</v>
      </c>
      <c r="B255" s="545">
        <v>1213</v>
      </c>
      <c r="C255" s="546">
        <v>35</v>
      </c>
      <c r="D255" s="546">
        <v>1</v>
      </c>
      <c r="E255" s="546">
        <v>0</v>
      </c>
      <c r="F255" s="546">
        <v>0</v>
      </c>
      <c r="G255" s="549"/>
      <c r="H255" s="549"/>
    </row>
    <row r="256" spans="1:8">
      <c r="A256" t="str">
        <f t="shared" si="3"/>
        <v>121337</v>
      </c>
      <c r="B256" s="545">
        <v>1213</v>
      </c>
      <c r="C256" s="546">
        <v>37</v>
      </c>
      <c r="D256" s="546">
        <v>1</v>
      </c>
      <c r="E256" s="546">
        <v>2</v>
      </c>
      <c r="F256" s="552">
        <v>6501.03</v>
      </c>
      <c r="G256" s="549"/>
      <c r="H256" s="549"/>
    </row>
    <row r="257" spans="1:8">
      <c r="A257" t="str">
        <f t="shared" si="3"/>
        <v>121340</v>
      </c>
      <c r="B257" s="545">
        <v>1213</v>
      </c>
      <c r="C257" s="546">
        <v>40</v>
      </c>
      <c r="D257" s="546">
        <v>1</v>
      </c>
      <c r="E257" s="546">
        <v>0</v>
      </c>
      <c r="F257" s="546">
        <v>0</v>
      </c>
      <c r="G257" s="549"/>
      <c r="H257" s="549"/>
    </row>
    <row r="258" spans="1:8">
      <c r="A258" t="str">
        <f t="shared" ref="A258:A321" si="4">+CONCATENATE(B258,C258)</f>
        <v>121349</v>
      </c>
      <c r="B258" s="545">
        <v>1213</v>
      </c>
      <c r="C258" s="546">
        <v>49</v>
      </c>
      <c r="D258" s="546">
        <v>1</v>
      </c>
      <c r="E258" s="546">
        <v>0</v>
      </c>
      <c r="F258" s="546">
        <v>0</v>
      </c>
      <c r="G258" s="549"/>
      <c r="H258" s="549"/>
    </row>
    <row r="259" spans="1:8">
      <c r="A259" t="str">
        <f t="shared" si="4"/>
        <v>121352</v>
      </c>
      <c r="B259" s="545">
        <v>1213</v>
      </c>
      <c r="C259" s="546">
        <v>52</v>
      </c>
      <c r="D259" s="546">
        <v>1</v>
      </c>
      <c r="E259" s="546">
        <v>2</v>
      </c>
      <c r="F259" s="546">
        <v>509.14</v>
      </c>
      <c r="G259" s="549"/>
      <c r="H259" s="549"/>
    </row>
    <row r="260" spans="1:8">
      <c r="A260" t="str">
        <f t="shared" si="4"/>
        <v>121353</v>
      </c>
      <c r="B260" s="545">
        <v>1213</v>
      </c>
      <c r="C260" s="546">
        <v>53</v>
      </c>
      <c r="D260" s="546">
        <v>1</v>
      </c>
      <c r="E260" s="546">
        <v>1</v>
      </c>
      <c r="F260" s="552">
        <v>1128.92</v>
      </c>
      <c r="G260" s="549"/>
      <c r="H260" s="549"/>
    </row>
    <row r="261" spans="1:8">
      <c r="A261" t="str">
        <f t="shared" si="4"/>
        <v>121354</v>
      </c>
      <c r="B261" s="545">
        <v>1213</v>
      </c>
      <c r="C261" s="546">
        <v>54</v>
      </c>
      <c r="D261" s="546">
        <v>0</v>
      </c>
      <c r="E261" s="546">
        <v>48</v>
      </c>
      <c r="F261" s="552">
        <v>22249.24</v>
      </c>
      <c r="G261" s="549"/>
      <c r="H261" s="549"/>
    </row>
    <row r="262" spans="1:8">
      <c r="A262" t="str">
        <f t="shared" si="4"/>
        <v>121361</v>
      </c>
      <c r="B262" s="545">
        <v>1213</v>
      </c>
      <c r="C262" s="546">
        <v>61</v>
      </c>
      <c r="D262" s="546">
        <v>0</v>
      </c>
      <c r="E262" s="546">
        <v>28</v>
      </c>
      <c r="F262" s="552">
        <v>7792.83</v>
      </c>
      <c r="G262" s="549"/>
      <c r="H262" s="549"/>
    </row>
    <row r="263" spans="1:8">
      <c r="A263" t="str">
        <f t="shared" si="4"/>
        <v>121362</v>
      </c>
      <c r="B263" s="545">
        <v>1213</v>
      </c>
      <c r="C263" s="546">
        <v>62</v>
      </c>
      <c r="D263" s="546">
        <v>1</v>
      </c>
      <c r="E263" s="546">
        <v>0</v>
      </c>
      <c r="F263" s="546">
        <v>0</v>
      </c>
      <c r="G263" s="549"/>
      <c r="H263" s="549"/>
    </row>
    <row r="264" spans="1:8">
      <c r="A264" t="str">
        <f t="shared" si="4"/>
        <v>121364</v>
      </c>
      <c r="B264" s="545">
        <v>1213</v>
      </c>
      <c r="C264" s="546">
        <v>64</v>
      </c>
      <c r="D264" s="546">
        <v>0</v>
      </c>
      <c r="E264" s="546">
        <v>186</v>
      </c>
      <c r="F264" s="552">
        <v>180984.72</v>
      </c>
      <c r="G264" s="549"/>
      <c r="H264" s="549"/>
    </row>
    <row r="265" spans="1:8">
      <c r="A265" t="str">
        <f t="shared" si="4"/>
        <v>121371</v>
      </c>
      <c r="B265" s="545">
        <v>1213</v>
      </c>
      <c r="C265" s="546">
        <v>71</v>
      </c>
      <c r="D265" s="546">
        <v>0</v>
      </c>
      <c r="E265" s="546">
        <v>36</v>
      </c>
      <c r="F265" s="552">
        <v>75289.649999999994</v>
      </c>
      <c r="G265" s="549"/>
      <c r="H265" s="549"/>
    </row>
    <row r="266" spans="1:8">
      <c r="A266" t="str">
        <f t="shared" si="4"/>
        <v>121376</v>
      </c>
      <c r="B266" s="545">
        <v>1213</v>
      </c>
      <c r="C266" s="546">
        <v>76</v>
      </c>
      <c r="D266" s="546">
        <v>0</v>
      </c>
      <c r="E266" s="546">
        <v>20</v>
      </c>
      <c r="F266" s="552">
        <v>6151.14</v>
      </c>
      <c r="G266" s="549"/>
      <c r="H266" s="549"/>
    </row>
    <row r="267" spans="1:8">
      <c r="A267" t="str">
        <f t="shared" si="4"/>
        <v>121380</v>
      </c>
      <c r="B267" s="545">
        <v>1213</v>
      </c>
      <c r="C267" s="546">
        <v>80</v>
      </c>
      <c r="D267" s="546">
        <v>1</v>
      </c>
      <c r="E267" s="546">
        <v>2</v>
      </c>
      <c r="F267" s="552">
        <v>4551.6400000000003</v>
      </c>
      <c r="G267" s="549"/>
      <c r="H267" s="549"/>
    </row>
    <row r="268" spans="1:8">
      <c r="A268" t="str">
        <f t="shared" si="4"/>
        <v>121381</v>
      </c>
      <c r="B268" s="545">
        <v>1213</v>
      </c>
      <c r="C268" s="546">
        <v>81</v>
      </c>
      <c r="D268" s="546">
        <v>0</v>
      </c>
      <c r="E268" s="546">
        <v>132</v>
      </c>
      <c r="F268" s="552">
        <v>28751.48</v>
      </c>
      <c r="G268" s="549"/>
      <c r="H268" s="549"/>
    </row>
    <row r="269" spans="1:8">
      <c r="A269" t="str">
        <f t="shared" si="4"/>
        <v>121382</v>
      </c>
      <c r="B269" s="545">
        <v>1213</v>
      </c>
      <c r="C269" s="546">
        <v>82</v>
      </c>
      <c r="D269" s="546">
        <v>0</v>
      </c>
      <c r="E269" s="546">
        <v>162</v>
      </c>
      <c r="F269" s="552">
        <v>36734.769999999997</v>
      </c>
      <c r="G269" s="549"/>
      <c r="H269" s="549"/>
    </row>
    <row r="270" spans="1:8">
      <c r="A270" t="str">
        <f t="shared" si="4"/>
        <v>121384</v>
      </c>
      <c r="B270" s="545">
        <v>1213</v>
      </c>
      <c r="C270" s="546">
        <v>84</v>
      </c>
      <c r="D270" s="546">
        <v>1</v>
      </c>
      <c r="E270" s="546">
        <v>0</v>
      </c>
      <c r="F270" s="546">
        <v>0</v>
      </c>
      <c r="G270" s="549"/>
      <c r="H270" s="549"/>
    </row>
    <row r="271" spans="1:8">
      <c r="A271" t="str">
        <f t="shared" si="4"/>
        <v>121388</v>
      </c>
      <c r="B271" s="545">
        <v>1213</v>
      </c>
      <c r="C271" s="546">
        <v>88</v>
      </c>
      <c r="D271" s="546">
        <v>1</v>
      </c>
      <c r="E271" s="546">
        <v>0</v>
      </c>
      <c r="F271" s="546">
        <v>0</v>
      </c>
      <c r="G271" s="549"/>
      <c r="H271" s="549"/>
    </row>
    <row r="272" spans="1:8">
      <c r="A272" t="str">
        <f t="shared" si="4"/>
        <v>121389</v>
      </c>
      <c r="B272" s="545">
        <v>1213</v>
      </c>
      <c r="C272" s="546">
        <v>89</v>
      </c>
      <c r="D272" s="546">
        <v>1</v>
      </c>
      <c r="E272" s="546">
        <v>1</v>
      </c>
      <c r="F272" s="552">
        <v>8494.8799999999992</v>
      </c>
      <c r="G272" s="549"/>
      <c r="H272" s="549"/>
    </row>
    <row r="273" spans="1:8">
      <c r="A273" t="str">
        <f t="shared" si="4"/>
        <v>121390</v>
      </c>
      <c r="B273" s="545">
        <v>1213</v>
      </c>
      <c r="C273" s="546">
        <v>90</v>
      </c>
      <c r="D273" s="546">
        <v>0</v>
      </c>
      <c r="E273" s="546">
        <v>207</v>
      </c>
      <c r="F273" s="552">
        <v>48443.19</v>
      </c>
      <c r="G273" s="549"/>
      <c r="H273" s="549"/>
    </row>
    <row r="274" spans="1:8">
      <c r="A274" t="str">
        <f t="shared" si="4"/>
        <v>121391</v>
      </c>
      <c r="B274" s="545">
        <v>1213</v>
      </c>
      <c r="C274" s="546">
        <v>91</v>
      </c>
      <c r="D274" s="546">
        <v>1</v>
      </c>
      <c r="E274" s="546">
        <v>0</v>
      </c>
      <c r="F274" s="546">
        <v>0</v>
      </c>
      <c r="G274" s="549"/>
      <c r="H274" s="549"/>
    </row>
    <row r="275" spans="1:8">
      <c r="A275" t="str">
        <f t="shared" si="4"/>
        <v>121392</v>
      </c>
      <c r="B275" s="545">
        <v>1213</v>
      </c>
      <c r="C275" s="546">
        <v>92</v>
      </c>
      <c r="D275" s="546">
        <v>1</v>
      </c>
      <c r="E275" s="546">
        <v>0</v>
      </c>
      <c r="F275" s="546">
        <v>0</v>
      </c>
      <c r="G275" s="549"/>
      <c r="H275" s="549"/>
    </row>
    <row r="276" spans="1:8">
      <c r="A276" t="str">
        <f t="shared" si="4"/>
        <v>121393</v>
      </c>
      <c r="B276" s="545">
        <v>1213</v>
      </c>
      <c r="C276" s="546">
        <v>93</v>
      </c>
      <c r="D276" s="546">
        <v>1</v>
      </c>
      <c r="E276" s="546">
        <v>0</v>
      </c>
      <c r="F276" s="546">
        <v>0</v>
      </c>
      <c r="G276" s="549"/>
      <c r="H276" s="549"/>
    </row>
    <row r="277" spans="1:8">
      <c r="A277" t="str">
        <f t="shared" si="4"/>
        <v>121394</v>
      </c>
      <c r="B277" s="545">
        <v>1213</v>
      </c>
      <c r="C277" s="546">
        <v>94</v>
      </c>
      <c r="D277" s="546">
        <v>1</v>
      </c>
      <c r="E277" s="546">
        <v>0</v>
      </c>
      <c r="F277" s="546">
        <v>0</v>
      </c>
      <c r="G277" s="549"/>
      <c r="H277" s="549"/>
    </row>
    <row r="278" spans="1:8">
      <c r="A278" t="str">
        <f t="shared" si="4"/>
        <v>121395</v>
      </c>
      <c r="B278" s="545">
        <v>1213</v>
      </c>
      <c r="C278" s="546">
        <v>95</v>
      </c>
      <c r="D278" s="546">
        <v>1</v>
      </c>
      <c r="E278" s="546">
        <v>2</v>
      </c>
      <c r="F278" s="546">
        <v>492.15</v>
      </c>
      <c r="G278" s="549"/>
      <c r="H278" s="549"/>
    </row>
    <row r="279" spans="1:8">
      <c r="A279" t="str">
        <f t="shared" si="4"/>
        <v>1213101</v>
      </c>
      <c r="B279" s="545">
        <v>1213</v>
      </c>
      <c r="C279" s="546">
        <v>101</v>
      </c>
      <c r="D279" s="546">
        <v>0</v>
      </c>
      <c r="E279" s="546">
        <v>207</v>
      </c>
      <c r="F279" s="552">
        <v>59205.78</v>
      </c>
      <c r="G279" s="549"/>
      <c r="H279" s="549"/>
    </row>
    <row r="280" spans="1:8">
      <c r="A280" t="str">
        <f t="shared" si="4"/>
        <v>1213102</v>
      </c>
      <c r="B280" s="545">
        <v>1213</v>
      </c>
      <c r="C280" s="546">
        <v>102</v>
      </c>
      <c r="D280" s="546">
        <v>1</v>
      </c>
      <c r="E280" s="546">
        <v>0</v>
      </c>
      <c r="F280" s="546">
        <v>0</v>
      </c>
      <c r="G280" s="549"/>
      <c r="H280" s="549"/>
    </row>
    <row r="281" spans="1:8">
      <c r="A281" t="str">
        <f t="shared" si="4"/>
        <v>1213103</v>
      </c>
      <c r="B281" s="545">
        <v>1213</v>
      </c>
      <c r="C281" s="546">
        <v>103</v>
      </c>
      <c r="D281" s="546">
        <v>1</v>
      </c>
      <c r="E281" s="546">
        <v>2</v>
      </c>
      <c r="F281" s="546">
        <v>510.61</v>
      </c>
      <c r="G281" s="549"/>
      <c r="H281" s="549"/>
    </row>
    <row r="282" spans="1:8">
      <c r="A282" t="str">
        <f t="shared" si="4"/>
        <v>1213104</v>
      </c>
      <c r="B282" s="545">
        <v>1213</v>
      </c>
      <c r="C282" s="546">
        <v>104</v>
      </c>
      <c r="D282" s="546">
        <v>1</v>
      </c>
      <c r="E282" s="546">
        <v>2</v>
      </c>
      <c r="F282" s="552">
        <v>4911.3999999999996</v>
      </c>
      <c r="G282" s="549"/>
      <c r="H282" s="549"/>
    </row>
    <row r="283" spans="1:8">
      <c r="A283" t="str">
        <f t="shared" si="4"/>
        <v>1213105</v>
      </c>
      <c r="B283" s="545">
        <v>1213</v>
      </c>
      <c r="C283" s="546">
        <v>105</v>
      </c>
      <c r="D283" s="546">
        <v>0</v>
      </c>
      <c r="E283" s="546">
        <v>206</v>
      </c>
      <c r="F283" s="552">
        <v>49918.32</v>
      </c>
      <c r="G283" s="549"/>
      <c r="H283" s="549"/>
    </row>
    <row r="284" spans="1:8">
      <c r="A284" t="str">
        <f t="shared" si="4"/>
        <v>1213106</v>
      </c>
      <c r="B284" s="545">
        <v>1213</v>
      </c>
      <c r="C284" s="546">
        <v>106</v>
      </c>
      <c r="D284" s="546">
        <v>1</v>
      </c>
      <c r="E284" s="546">
        <v>1</v>
      </c>
      <c r="F284" s="546">
        <v>-812.68</v>
      </c>
      <c r="G284" s="549"/>
      <c r="H284" s="549"/>
    </row>
    <row r="285" spans="1:8">
      <c r="A285" t="str">
        <f t="shared" si="4"/>
        <v>1213108</v>
      </c>
      <c r="B285" s="545">
        <v>1213</v>
      </c>
      <c r="C285" s="546">
        <v>108</v>
      </c>
      <c r="D285" s="546">
        <v>1</v>
      </c>
      <c r="E285" s="546">
        <v>2</v>
      </c>
      <c r="F285" s="552">
        <v>2374.87</v>
      </c>
      <c r="G285" s="549"/>
      <c r="H285" s="549"/>
    </row>
    <row r="286" spans="1:8">
      <c r="A286" t="str">
        <f t="shared" si="4"/>
        <v>1213113</v>
      </c>
      <c r="B286" s="545">
        <v>1213</v>
      </c>
      <c r="C286" s="546">
        <v>113</v>
      </c>
      <c r="D286" s="546">
        <v>1</v>
      </c>
      <c r="E286" s="546">
        <v>2</v>
      </c>
      <c r="F286" s="552">
        <v>2383.1</v>
      </c>
      <c r="G286" s="549"/>
      <c r="H286" s="549"/>
    </row>
    <row r="287" spans="1:8">
      <c r="A287" t="str">
        <f t="shared" si="4"/>
        <v>1213116</v>
      </c>
      <c r="B287" s="545">
        <v>1213</v>
      </c>
      <c r="C287" s="546">
        <v>116</v>
      </c>
      <c r="D287" s="546">
        <v>1</v>
      </c>
      <c r="E287" s="546">
        <v>1</v>
      </c>
      <c r="F287" s="546">
        <v>882.65</v>
      </c>
      <c r="G287" s="549"/>
      <c r="H287" s="549"/>
    </row>
    <row r="288" spans="1:8">
      <c r="A288" t="str">
        <f t="shared" si="4"/>
        <v>1213117</v>
      </c>
      <c r="B288" s="545">
        <v>1213</v>
      </c>
      <c r="C288" s="546">
        <v>117</v>
      </c>
      <c r="D288" s="546">
        <v>1</v>
      </c>
      <c r="E288" s="546">
        <v>1</v>
      </c>
      <c r="F288" s="552">
        <v>1527.2</v>
      </c>
      <c r="G288" s="549"/>
      <c r="H288" s="549"/>
    </row>
    <row r="289" spans="1:8">
      <c r="A289" t="str">
        <f t="shared" si="4"/>
        <v>1213118</v>
      </c>
      <c r="B289" s="545">
        <v>1213</v>
      </c>
      <c r="C289" s="546">
        <v>118</v>
      </c>
      <c r="D289" s="546">
        <v>0</v>
      </c>
      <c r="E289" s="546">
        <v>164</v>
      </c>
      <c r="F289" s="552">
        <v>33177.17</v>
      </c>
      <c r="G289" s="549"/>
      <c r="H289" s="549"/>
    </row>
    <row r="290" spans="1:8">
      <c r="A290" t="str">
        <f t="shared" si="4"/>
        <v>1213121</v>
      </c>
      <c r="B290" s="545">
        <v>1213</v>
      </c>
      <c r="C290" s="546">
        <v>121</v>
      </c>
      <c r="D290" s="546">
        <v>0</v>
      </c>
      <c r="E290" s="546">
        <v>40</v>
      </c>
      <c r="F290" s="552">
        <v>51851.98</v>
      </c>
      <c r="G290" s="549"/>
      <c r="H290" s="549"/>
    </row>
    <row r="291" spans="1:8">
      <c r="A291" t="str">
        <f t="shared" si="4"/>
        <v>1213122</v>
      </c>
      <c r="B291" s="545">
        <v>1213</v>
      </c>
      <c r="C291" s="546">
        <v>122</v>
      </c>
      <c r="D291" s="546">
        <v>1</v>
      </c>
      <c r="E291" s="546">
        <v>2</v>
      </c>
      <c r="F291" s="552">
        <v>3489.32</v>
      </c>
      <c r="G291" s="549"/>
      <c r="H291" s="549"/>
    </row>
    <row r="292" spans="1:8">
      <c r="A292" t="str">
        <f t="shared" si="4"/>
        <v>1213123</v>
      </c>
      <c r="B292" s="545">
        <v>1213</v>
      </c>
      <c r="C292" s="546">
        <v>123</v>
      </c>
      <c r="D292" s="546">
        <v>1</v>
      </c>
      <c r="E292" s="546">
        <v>0</v>
      </c>
      <c r="F292" s="546">
        <v>0</v>
      </c>
      <c r="G292" s="549"/>
      <c r="H292" s="549"/>
    </row>
    <row r="293" spans="1:8">
      <c r="A293" t="str">
        <f t="shared" si="4"/>
        <v>1213124</v>
      </c>
      <c r="B293" s="545">
        <v>1213</v>
      </c>
      <c r="C293" s="546">
        <v>124</v>
      </c>
      <c r="D293" s="546">
        <v>1</v>
      </c>
      <c r="E293" s="546">
        <v>1</v>
      </c>
      <c r="F293" s="546">
        <v>244.98</v>
      </c>
      <c r="G293" s="549"/>
      <c r="H293" s="549"/>
    </row>
    <row r="294" spans="1:8">
      <c r="A294" t="str">
        <f t="shared" si="4"/>
        <v>1213125</v>
      </c>
      <c r="B294" s="545">
        <v>1213</v>
      </c>
      <c r="C294" s="546">
        <v>125</v>
      </c>
      <c r="D294" s="546">
        <v>1</v>
      </c>
      <c r="E294" s="546">
        <v>1</v>
      </c>
      <c r="F294" s="546">
        <v>452.93</v>
      </c>
      <c r="G294" s="549"/>
      <c r="H294" s="549"/>
    </row>
    <row r="295" spans="1:8">
      <c r="A295" t="str">
        <f t="shared" si="4"/>
        <v>1213126</v>
      </c>
      <c r="B295" s="545">
        <v>1213</v>
      </c>
      <c r="C295" s="546">
        <v>126</v>
      </c>
      <c r="D295" s="546">
        <v>1</v>
      </c>
      <c r="E295" s="546">
        <v>0</v>
      </c>
      <c r="F295" s="546">
        <v>0</v>
      </c>
      <c r="G295" s="549"/>
      <c r="H295" s="549"/>
    </row>
    <row r="296" spans="1:8">
      <c r="A296" t="str">
        <f t="shared" si="4"/>
        <v>1213127</v>
      </c>
      <c r="B296" s="545">
        <v>1213</v>
      </c>
      <c r="C296" s="546">
        <v>127</v>
      </c>
      <c r="D296" s="546">
        <v>1</v>
      </c>
      <c r="E296" s="546">
        <v>0</v>
      </c>
      <c r="F296" s="546">
        <v>0</v>
      </c>
      <c r="G296" s="549"/>
      <c r="H296" s="549"/>
    </row>
    <row r="297" spans="1:8">
      <c r="A297" t="str">
        <f t="shared" si="4"/>
        <v>1213129</v>
      </c>
      <c r="B297" s="545">
        <v>1213</v>
      </c>
      <c r="C297" s="546">
        <v>129</v>
      </c>
      <c r="D297" s="546">
        <v>1</v>
      </c>
      <c r="E297" s="546">
        <v>1</v>
      </c>
      <c r="F297" s="546">
        <v>238.07</v>
      </c>
      <c r="G297" s="549"/>
      <c r="H297" s="549"/>
    </row>
    <row r="298" spans="1:8">
      <c r="A298" t="str">
        <f t="shared" si="4"/>
        <v>1213130</v>
      </c>
      <c r="B298" s="545">
        <v>1213</v>
      </c>
      <c r="C298" s="546">
        <v>130</v>
      </c>
      <c r="D298" s="546">
        <v>0</v>
      </c>
      <c r="E298" s="546">
        <v>207</v>
      </c>
      <c r="F298" s="552">
        <v>115640.46</v>
      </c>
      <c r="G298" s="549"/>
      <c r="H298" s="549"/>
    </row>
    <row r="299" spans="1:8">
      <c r="A299" t="str">
        <f t="shared" si="4"/>
        <v>1213131</v>
      </c>
      <c r="B299" s="545">
        <v>1213</v>
      </c>
      <c r="C299" s="546">
        <v>131</v>
      </c>
      <c r="D299" s="546">
        <v>1</v>
      </c>
      <c r="E299" s="546">
        <v>0</v>
      </c>
      <c r="F299" s="546">
        <v>0</v>
      </c>
      <c r="G299" s="549"/>
      <c r="H299" s="549"/>
    </row>
    <row r="300" spans="1:8">
      <c r="A300" t="str">
        <f t="shared" si="4"/>
        <v>1213134</v>
      </c>
      <c r="B300" s="545">
        <v>1213</v>
      </c>
      <c r="C300" s="546">
        <v>134</v>
      </c>
      <c r="D300" s="546">
        <v>1</v>
      </c>
      <c r="E300" s="546">
        <v>0</v>
      </c>
      <c r="F300" s="546">
        <v>-195.32</v>
      </c>
      <c r="G300" s="549"/>
      <c r="H300" s="549"/>
    </row>
    <row r="301" spans="1:8">
      <c r="A301" t="str">
        <f t="shared" si="4"/>
        <v>1213135</v>
      </c>
      <c r="B301" s="545">
        <v>1213</v>
      </c>
      <c r="C301" s="546">
        <v>135</v>
      </c>
      <c r="D301" s="546">
        <v>1</v>
      </c>
      <c r="E301" s="546">
        <v>0</v>
      </c>
      <c r="F301" s="546">
        <v>0</v>
      </c>
      <c r="G301" s="549"/>
      <c r="H301" s="549"/>
    </row>
    <row r="302" spans="1:8">
      <c r="A302" t="str">
        <f t="shared" si="4"/>
        <v>1213137</v>
      </c>
      <c r="B302" s="545">
        <v>1213</v>
      </c>
      <c r="C302" s="546">
        <v>137</v>
      </c>
      <c r="D302" s="546">
        <v>0</v>
      </c>
      <c r="E302" s="546">
        <v>36</v>
      </c>
      <c r="F302" s="552">
        <v>17569.509999999998</v>
      </c>
      <c r="G302" s="549"/>
      <c r="H302" s="549"/>
    </row>
    <row r="303" spans="1:8">
      <c r="A303" t="str">
        <f t="shared" si="4"/>
        <v>1213138</v>
      </c>
      <c r="B303" s="545">
        <v>1213</v>
      </c>
      <c r="C303" s="546">
        <v>138</v>
      </c>
      <c r="D303" s="546">
        <v>1</v>
      </c>
      <c r="E303" s="546">
        <v>0</v>
      </c>
      <c r="F303" s="546">
        <v>0</v>
      </c>
      <c r="G303" s="549"/>
      <c r="H303" s="549"/>
    </row>
    <row r="304" spans="1:8">
      <c r="A304" t="str">
        <f t="shared" si="4"/>
        <v>1213141</v>
      </c>
      <c r="B304" s="545">
        <v>1213</v>
      </c>
      <c r="C304" s="546">
        <v>141</v>
      </c>
      <c r="D304" s="546">
        <v>0</v>
      </c>
      <c r="E304" s="546">
        <v>38</v>
      </c>
      <c r="F304" s="552">
        <v>16903.689999999999</v>
      </c>
      <c r="G304" s="549"/>
      <c r="H304" s="549"/>
    </row>
    <row r="305" spans="1:8">
      <c r="A305" t="str">
        <f t="shared" si="4"/>
        <v>1213143</v>
      </c>
      <c r="B305" s="545">
        <v>1213</v>
      </c>
      <c r="C305" s="546">
        <v>143</v>
      </c>
      <c r="D305" s="546">
        <v>0</v>
      </c>
      <c r="E305" s="546">
        <v>28</v>
      </c>
      <c r="F305" s="552">
        <v>16469.91</v>
      </c>
      <c r="G305" s="549"/>
      <c r="H305" s="549"/>
    </row>
    <row r="306" spans="1:8">
      <c r="A306" t="str">
        <f t="shared" si="4"/>
        <v>1213144</v>
      </c>
      <c r="B306" s="545">
        <v>1213</v>
      </c>
      <c r="C306" s="546">
        <v>144</v>
      </c>
      <c r="D306" s="546">
        <v>1</v>
      </c>
      <c r="E306" s="546">
        <v>0</v>
      </c>
      <c r="F306" s="552">
        <v>234839.3</v>
      </c>
      <c r="G306" s="549"/>
      <c r="H306" s="549"/>
    </row>
    <row r="307" spans="1:8">
      <c r="A307" t="str">
        <f t="shared" si="4"/>
        <v>1213151</v>
      </c>
      <c r="B307" s="545">
        <v>1213</v>
      </c>
      <c r="C307" s="546">
        <v>151</v>
      </c>
      <c r="D307" s="546">
        <v>0</v>
      </c>
      <c r="E307" s="546">
        <v>12</v>
      </c>
      <c r="F307" s="552">
        <v>3006.01</v>
      </c>
      <c r="G307" s="549"/>
      <c r="H307" s="549"/>
    </row>
    <row r="308" spans="1:8">
      <c r="A308" t="str">
        <f t="shared" si="4"/>
        <v>1213152</v>
      </c>
      <c r="B308" s="545">
        <v>1213</v>
      </c>
      <c r="C308" s="546">
        <v>152</v>
      </c>
      <c r="D308" s="546">
        <v>0</v>
      </c>
      <c r="E308" s="546">
        <v>21</v>
      </c>
      <c r="F308" s="552">
        <v>9687.5</v>
      </c>
      <c r="G308" s="549"/>
      <c r="H308" s="549"/>
    </row>
    <row r="309" spans="1:8">
      <c r="A309" t="str">
        <f t="shared" si="4"/>
        <v>1213153</v>
      </c>
      <c r="B309" s="545">
        <v>1213</v>
      </c>
      <c r="C309" s="546">
        <v>153</v>
      </c>
      <c r="D309" s="546">
        <v>0</v>
      </c>
      <c r="E309" s="546">
        <v>186</v>
      </c>
      <c r="F309" s="552">
        <v>43443.58</v>
      </c>
      <c r="G309" s="549"/>
      <c r="H309" s="549"/>
    </row>
    <row r="310" spans="1:8">
      <c r="A310" t="str">
        <f t="shared" si="4"/>
        <v>1213159</v>
      </c>
      <c r="B310" s="545">
        <v>1213</v>
      </c>
      <c r="C310" s="546">
        <v>159</v>
      </c>
      <c r="D310" s="546">
        <v>1</v>
      </c>
      <c r="E310" s="546">
        <v>0</v>
      </c>
      <c r="F310" s="546">
        <v>0</v>
      </c>
      <c r="G310" s="549"/>
      <c r="H310" s="549"/>
    </row>
    <row r="311" spans="1:8">
      <c r="A311" t="str">
        <f t="shared" si="4"/>
        <v>1213161</v>
      </c>
      <c r="B311" s="545">
        <v>1213</v>
      </c>
      <c r="C311" s="546">
        <v>161</v>
      </c>
      <c r="D311" s="546">
        <v>1</v>
      </c>
      <c r="E311" s="546">
        <v>0</v>
      </c>
      <c r="F311" s="546">
        <v>0</v>
      </c>
      <c r="G311" s="549"/>
      <c r="H311" s="549"/>
    </row>
    <row r="312" spans="1:8">
      <c r="A312" t="str">
        <f t="shared" si="4"/>
        <v>1213162</v>
      </c>
      <c r="B312" s="545">
        <v>1213</v>
      </c>
      <c r="C312" s="546">
        <v>162</v>
      </c>
      <c r="D312" s="546">
        <v>1</v>
      </c>
      <c r="E312" s="546">
        <v>1</v>
      </c>
      <c r="F312" s="546">
        <v>244.87</v>
      </c>
      <c r="G312" s="549"/>
      <c r="H312" s="549"/>
    </row>
    <row r="313" spans="1:8">
      <c r="A313" t="str">
        <f t="shared" si="4"/>
        <v>1213164</v>
      </c>
      <c r="B313" s="545">
        <v>1213</v>
      </c>
      <c r="C313" s="546">
        <v>164</v>
      </c>
      <c r="D313" s="546">
        <v>0</v>
      </c>
      <c r="E313" s="546">
        <v>196</v>
      </c>
      <c r="F313" s="552">
        <v>46639.91</v>
      </c>
      <c r="G313" s="549"/>
      <c r="H313" s="549"/>
    </row>
    <row r="314" spans="1:8">
      <c r="A314" t="str">
        <f t="shared" si="4"/>
        <v>1213170</v>
      </c>
      <c r="B314" s="545">
        <v>1213</v>
      </c>
      <c r="C314" s="546">
        <v>170</v>
      </c>
      <c r="D314" s="546">
        <v>1</v>
      </c>
      <c r="E314" s="546">
        <v>0</v>
      </c>
      <c r="F314" s="546">
        <v>0</v>
      </c>
      <c r="G314" s="549"/>
      <c r="H314" s="549"/>
    </row>
    <row r="315" spans="1:8">
      <c r="A315" t="str">
        <f t="shared" si="4"/>
        <v>1213176</v>
      </c>
      <c r="B315" s="545">
        <v>1213</v>
      </c>
      <c r="C315" s="546">
        <v>176</v>
      </c>
      <c r="D315" s="546">
        <v>1</v>
      </c>
      <c r="E315" s="546">
        <v>2</v>
      </c>
      <c r="F315" s="546">
        <v>487.38</v>
      </c>
      <c r="G315" s="549"/>
      <c r="H315" s="549"/>
    </row>
    <row r="316" spans="1:8">
      <c r="A316" t="str">
        <f t="shared" si="4"/>
        <v>1213184</v>
      </c>
      <c r="B316" s="545">
        <v>1213</v>
      </c>
      <c r="C316" s="546">
        <v>184</v>
      </c>
      <c r="D316" s="546">
        <v>1</v>
      </c>
      <c r="E316" s="546">
        <v>0</v>
      </c>
      <c r="F316" s="546">
        <v>0</v>
      </c>
      <c r="G316" s="549"/>
      <c r="H316" s="549"/>
    </row>
    <row r="317" spans="1:8">
      <c r="A317" t="str">
        <f t="shared" si="4"/>
        <v>1213190</v>
      </c>
      <c r="B317" s="545">
        <v>1213</v>
      </c>
      <c r="C317" s="546">
        <v>190</v>
      </c>
      <c r="D317" s="546">
        <v>0</v>
      </c>
      <c r="E317" s="546">
        <v>27</v>
      </c>
      <c r="F317" s="552">
        <v>7607.14</v>
      </c>
      <c r="G317" s="549"/>
      <c r="H317" s="549"/>
    </row>
    <row r="318" spans="1:8">
      <c r="A318" t="str">
        <f t="shared" si="4"/>
        <v>1213194</v>
      </c>
      <c r="B318" s="545">
        <v>1213</v>
      </c>
      <c r="C318" s="546">
        <v>194</v>
      </c>
      <c r="D318" s="546">
        <v>1</v>
      </c>
      <c r="E318" s="546">
        <v>1</v>
      </c>
      <c r="F318" s="552">
        <v>1468.75</v>
      </c>
      <c r="G318" s="549"/>
      <c r="H318" s="549"/>
    </row>
    <row r="319" spans="1:8">
      <c r="A319" t="str">
        <f t="shared" si="4"/>
        <v>1213198</v>
      </c>
      <c r="B319" s="545">
        <v>1213</v>
      </c>
      <c r="C319" s="546">
        <v>198</v>
      </c>
      <c r="D319" s="546">
        <v>1</v>
      </c>
      <c r="E319" s="546">
        <v>2</v>
      </c>
      <c r="F319" s="552">
        <v>4349.8</v>
      </c>
      <c r="G319" s="549"/>
      <c r="H319" s="549"/>
    </row>
    <row r="320" spans="1:8">
      <c r="A320" t="str">
        <f t="shared" si="4"/>
        <v>1213200</v>
      </c>
      <c r="B320" s="545">
        <v>1213</v>
      </c>
      <c r="C320" s="546">
        <v>200</v>
      </c>
      <c r="D320" s="546">
        <v>0</v>
      </c>
      <c r="E320" s="546">
        <v>15</v>
      </c>
      <c r="F320" s="552">
        <v>6264.31</v>
      </c>
      <c r="G320" s="549"/>
      <c r="H320" s="549"/>
    </row>
    <row r="321" spans="1:8">
      <c r="A321" t="str">
        <f t="shared" si="4"/>
        <v>1213206</v>
      </c>
      <c r="B321" s="545">
        <v>1213</v>
      </c>
      <c r="C321" s="546">
        <v>206</v>
      </c>
      <c r="D321" s="546">
        <v>0</v>
      </c>
      <c r="E321" s="546">
        <v>17</v>
      </c>
      <c r="F321" s="552">
        <v>11579.83</v>
      </c>
      <c r="G321" s="549"/>
      <c r="H321" s="549"/>
    </row>
    <row r="322" spans="1:8">
      <c r="A322" t="str">
        <f t="shared" ref="A322:A385" si="5">+CONCATENATE(B322,C322)</f>
        <v>1213209</v>
      </c>
      <c r="B322" s="545">
        <v>1213</v>
      </c>
      <c r="C322" s="546">
        <v>209</v>
      </c>
      <c r="D322" s="546">
        <v>0</v>
      </c>
      <c r="E322" s="546">
        <v>203</v>
      </c>
      <c r="F322" s="552">
        <v>55035.38</v>
      </c>
      <c r="G322" s="549"/>
      <c r="H322" s="549"/>
    </row>
    <row r="323" spans="1:8">
      <c r="A323" t="str">
        <f t="shared" si="5"/>
        <v>1213211</v>
      </c>
      <c r="B323" s="545">
        <v>1213</v>
      </c>
      <c r="C323" s="546">
        <v>211</v>
      </c>
      <c r="D323" s="546">
        <v>1</v>
      </c>
      <c r="E323" s="546">
        <v>0</v>
      </c>
      <c r="F323" s="546">
        <v>0</v>
      </c>
      <c r="G323" s="549"/>
      <c r="H323" s="549"/>
    </row>
    <row r="324" spans="1:8">
      <c r="A324" t="str">
        <f t="shared" si="5"/>
        <v>1213212</v>
      </c>
      <c r="B324" s="545">
        <v>1213</v>
      </c>
      <c r="C324" s="546">
        <v>212</v>
      </c>
      <c r="D324" s="546">
        <v>1</v>
      </c>
      <c r="E324" s="546">
        <v>0</v>
      </c>
      <c r="F324" s="546">
        <v>0</v>
      </c>
      <c r="G324" s="549"/>
      <c r="H324" s="549"/>
    </row>
    <row r="325" spans="1:8">
      <c r="A325" t="str">
        <f t="shared" si="5"/>
        <v>1213216</v>
      </c>
      <c r="B325" s="545">
        <v>1213</v>
      </c>
      <c r="C325" s="546">
        <v>216</v>
      </c>
      <c r="D325" s="546">
        <v>1</v>
      </c>
      <c r="E325" s="546">
        <v>0</v>
      </c>
      <c r="F325" s="546">
        <v>0</v>
      </c>
      <c r="G325" s="549"/>
      <c r="H325" s="549"/>
    </row>
    <row r="326" spans="1:8">
      <c r="A326" t="str">
        <f t="shared" si="5"/>
        <v>1213233</v>
      </c>
      <c r="B326" s="545">
        <v>1213</v>
      </c>
      <c r="C326" s="546">
        <v>233</v>
      </c>
      <c r="D326" s="546">
        <v>0</v>
      </c>
      <c r="E326" s="546">
        <v>50</v>
      </c>
      <c r="F326" s="552">
        <v>20701.63</v>
      </c>
      <c r="G326" s="549"/>
      <c r="H326" s="549"/>
    </row>
    <row r="327" spans="1:8">
      <c r="A327" t="str">
        <f t="shared" si="5"/>
        <v>1213239</v>
      </c>
      <c r="B327" s="545">
        <v>1213</v>
      </c>
      <c r="C327" s="546">
        <v>239</v>
      </c>
      <c r="D327" s="546">
        <v>1</v>
      </c>
      <c r="E327" s="546">
        <v>1</v>
      </c>
      <c r="F327" s="546">
        <v>742.55</v>
      </c>
      <c r="G327" s="549"/>
      <c r="H327" s="549"/>
    </row>
    <row r="328" spans="1:8">
      <c r="A328" t="str">
        <f t="shared" si="5"/>
        <v>1213241</v>
      </c>
      <c r="B328" s="545">
        <v>1213</v>
      </c>
      <c r="C328" s="546">
        <v>241</v>
      </c>
      <c r="D328" s="546">
        <v>0</v>
      </c>
      <c r="E328" s="546">
        <v>6</v>
      </c>
      <c r="F328" s="552">
        <v>10873.33</v>
      </c>
      <c r="G328" s="549"/>
      <c r="H328" s="549"/>
    </row>
    <row r="329" spans="1:8">
      <c r="A329" t="str">
        <f t="shared" si="5"/>
        <v>1213242</v>
      </c>
      <c r="B329" s="545">
        <v>1213</v>
      </c>
      <c r="C329" s="546">
        <v>242</v>
      </c>
      <c r="D329" s="546">
        <v>0</v>
      </c>
      <c r="E329" s="546">
        <v>21</v>
      </c>
      <c r="F329" s="552">
        <v>5112.66</v>
      </c>
      <c r="G329" s="549"/>
      <c r="H329" s="549"/>
    </row>
    <row r="330" spans="1:8">
      <c r="A330" t="str">
        <f t="shared" si="5"/>
        <v>1213243</v>
      </c>
      <c r="B330" s="545">
        <v>1213</v>
      </c>
      <c r="C330" s="546">
        <v>243</v>
      </c>
      <c r="D330" s="546">
        <v>0</v>
      </c>
      <c r="E330" s="546">
        <v>4</v>
      </c>
      <c r="F330" s="546">
        <v>981.72</v>
      </c>
      <c r="G330" s="549"/>
      <c r="H330" s="549"/>
    </row>
    <row r="331" spans="1:8">
      <c r="A331" t="str">
        <f t="shared" si="5"/>
        <v>1213245</v>
      </c>
      <c r="B331" s="545">
        <v>1213</v>
      </c>
      <c r="C331" s="546">
        <v>245</v>
      </c>
      <c r="D331" s="546">
        <v>0</v>
      </c>
      <c r="E331" s="546">
        <v>21</v>
      </c>
      <c r="F331" s="552">
        <v>5444.6</v>
      </c>
      <c r="G331" s="549"/>
      <c r="H331" s="549"/>
    </row>
    <row r="332" spans="1:8">
      <c r="A332" t="str">
        <f t="shared" si="5"/>
        <v>1213246</v>
      </c>
      <c r="B332" s="545">
        <v>1213</v>
      </c>
      <c r="C332" s="546">
        <v>246</v>
      </c>
      <c r="D332" s="546">
        <v>1</v>
      </c>
      <c r="E332" s="546">
        <v>0</v>
      </c>
      <c r="F332" s="546">
        <v>0</v>
      </c>
      <c r="G332" s="549"/>
      <c r="H332" s="549"/>
    </row>
    <row r="333" spans="1:8">
      <c r="A333" t="str">
        <f t="shared" si="5"/>
        <v>1213247</v>
      </c>
      <c r="B333" s="545">
        <v>1213</v>
      </c>
      <c r="C333" s="546">
        <v>247</v>
      </c>
      <c r="D333" s="546">
        <v>0</v>
      </c>
      <c r="E333" s="546">
        <v>4</v>
      </c>
      <c r="F333" s="552">
        <v>13992.72</v>
      </c>
      <c r="G333" s="549"/>
      <c r="H333" s="549"/>
    </row>
    <row r="334" spans="1:8">
      <c r="A334" t="str">
        <f t="shared" si="5"/>
        <v>1213248</v>
      </c>
      <c r="B334" s="545">
        <v>1213</v>
      </c>
      <c r="C334" s="546">
        <v>248</v>
      </c>
      <c r="D334" s="546">
        <v>0</v>
      </c>
      <c r="E334" s="546">
        <v>4</v>
      </c>
      <c r="F334" s="552">
        <v>1307.81</v>
      </c>
      <c r="G334" s="549"/>
      <c r="H334" s="549"/>
    </row>
    <row r="335" spans="1:8">
      <c r="A335" t="str">
        <f t="shared" si="5"/>
        <v>1213252</v>
      </c>
      <c r="B335" s="545">
        <v>1213</v>
      </c>
      <c r="C335" s="546">
        <v>252</v>
      </c>
      <c r="D335" s="546">
        <v>0</v>
      </c>
      <c r="E335" s="546">
        <v>148</v>
      </c>
      <c r="F335" s="552">
        <v>49120.37</v>
      </c>
      <c r="G335" s="549"/>
      <c r="H335" s="549"/>
    </row>
    <row r="336" spans="1:8">
      <c r="A336" t="str">
        <f t="shared" si="5"/>
        <v>1213256</v>
      </c>
      <c r="B336" s="545">
        <v>1213</v>
      </c>
      <c r="C336" s="546">
        <v>256</v>
      </c>
      <c r="D336" s="546">
        <v>1</v>
      </c>
      <c r="E336" s="546">
        <v>2</v>
      </c>
      <c r="F336" s="546">
        <v>864.45</v>
      </c>
      <c r="G336" s="549"/>
      <c r="H336" s="549"/>
    </row>
    <row r="337" spans="1:8">
      <c r="A337" t="str">
        <f t="shared" si="5"/>
        <v>1213260</v>
      </c>
      <c r="B337" s="545">
        <v>1213</v>
      </c>
      <c r="C337" s="546">
        <v>260</v>
      </c>
      <c r="D337" s="546">
        <v>1</v>
      </c>
      <c r="E337" s="546">
        <v>1</v>
      </c>
      <c r="F337" s="546">
        <v>182.19</v>
      </c>
      <c r="G337" s="549"/>
      <c r="H337" s="549"/>
    </row>
    <row r="338" spans="1:8">
      <c r="A338" t="str">
        <f t="shared" si="5"/>
        <v>1213261</v>
      </c>
      <c r="B338" s="545">
        <v>1213</v>
      </c>
      <c r="C338" s="546">
        <v>261</v>
      </c>
      <c r="D338" s="546">
        <v>1</v>
      </c>
      <c r="E338" s="546">
        <v>0</v>
      </c>
      <c r="F338" s="546">
        <v>0</v>
      </c>
      <c r="G338" s="549"/>
      <c r="H338" s="549"/>
    </row>
    <row r="339" spans="1:8">
      <c r="A339" t="str">
        <f t="shared" si="5"/>
        <v>1213262</v>
      </c>
      <c r="B339" s="545">
        <v>1213</v>
      </c>
      <c r="C339" s="546">
        <v>262</v>
      </c>
      <c r="D339" s="546">
        <v>0</v>
      </c>
      <c r="E339" s="546">
        <v>13</v>
      </c>
      <c r="F339" s="552">
        <v>4809.5200000000004</v>
      </c>
      <c r="G339" s="549"/>
      <c r="H339" s="549"/>
    </row>
    <row r="340" spans="1:8">
      <c r="A340" t="str">
        <f t="shared" si="5"/>
        <v>1213269</v>
      </c>
      <c r="B340" s="545">
        <v>1213</v>
      </c>
      <c r="C340" s="546">
        <v>269</v>
      </c>
      <c r="D340" s="546">
        <v>1</v>
      </c>
      <c r="E340" s="546">
        <v>0</v>
      </c>
      <c r="F340" s="546">
        <v>0</v>
      </c>
      <c r="G340" s="549"/>
      <c r="H340" s="549"/>
    </row>
    <row r="341" spans="1:8">
      <c r="A341" t="str">
        <f t="shared" si="5"/>
        <v>1213270</v>
      </c>
      <c r="B341" s="545">
        <v>1213</v>
      </c>
      <c r="C341" s="546">
        <v>270</v>
      </c>
      <c r="D341" s="546">
        <v>1</v>
      </c>
      <c r="E341" s="546">
        <v>0</v>
      </c>
      <c r="F341" s="546">
        <v>0</v>
      </c>
      <c r="G341" s="549"/>
      <c r="H341" s="549"/>
    </row>
    <row r="342" spans="1:8">
      <c r="A342" t="str">
        <f t="shared" si="5"/>
        <v>1213271</v>
      </c>
      <c r="B342" s="545">
        <v>1213</v>
      </c>
      <c r="C342" s="546">
        <v>271</v>
      </c>
      <c r="D342" s="546">
        <v>1</v>
      </c>
      <c r="E342" s="546">
        <v>2</v>
      </c>
      <c r="F342" s="552">
        <v>1703.42</v>
      </c>
      <c r="G342" s="549"/>
      <c r="H342" s="549"/>
    </row>
    <row r="343" spans="1:8">
      <c r="A343" t="str">
        <f t="shared" si="5"/>
        <v>1213272</v>
      </c>
      <c r="B343" s="545">
        <v>1213</v>
      </c>
      <c r="C343" s="546">
        <v>272</v>
      </c>
      <c r="D343" s="546">
        <v>1</v>
      </c>
      <c r="E343" s="546">
        <v>1</v>
      </c>
      <c r="F343" s="546">
        <v>445.75</v>
      </c>
      <c r="G343" s="549"/>
      <c r="H343" s="549"/>
    </row>
    <row r="344" spans="1:8">
      <c r="A344" t="str">
        <f t="shared" si="5"/>
        <v>1213283</v>
      </c>
      <c r="B344" s="545">
        <v>1213</v>
      </c>
      <c r="C344" s="546">
        <v>283</v>
      </c>
      <c r="D344" s="546">
        <v>0</v>
      </c>
      <c r="E344" s="546">
        <v>4</v>
      </c>
      <c r="F344" s="552">
        <v>1307.81</v>
      </c>
      <c r="G344" s="549"/>
      <c r="H344" s="549"/>
    </row>
    <row r="345" spans="1:8">
      <c r="A345" t="str">
        <f t="shared" si="5"/>
        <v>1213284</v>
      </c>
      <c r="B345" s="545">
        <v>1213</v>
      </c>
      <c r="C345" s="546">
        <v>284</v>
      </c>
      <c r="D345" s="546">
        <v>1</v>
      </c>
      <c r="E345" s="546">
        <v>1</v>
      </c>
      <c r="F345" s="546">
        <v>238.07</v>
      </c>
      <c r="G345" s="549"/>
      <c r="H345" s="549"/>
    </row>
    <row r="346" spans="1:8">
      <c r="A346" t="str">
        <f t="shared" si="5"/>
        <v>1213289</v>
      </c>
      <c r="B346" s="545">
        <v>1213</v>
      </c>
      <c r="C346" s="546">
        <v>289</v>
      </c>
      <c r="D346" s="546">
        <v>1</v>
      </c>
      <c r="E346" s="546">
        <v>2</v>
      </c>
      <c r="F346" s="546">
        <v>487.38</v>
      </c>
      <c r="G346" s="549"/>
      <c r="H346" s="549"/>
    </row>
    <row r="347" spans="1:8">
      <c r="A347" t="str">
        <f t="shared" si="5"/>
        <v>1213290</v>
      </c>
      <c r="B347" s="545">
        <v>1213</v>
      </c>
      <c r="C347" s="546">
        <v>290</v>
      </c>
      <c r="D347" s="546">
        <v>0</v>
      </c>
      <c r="E347" s="546">
        <v>99</v>
      </c>
      <c r="F347" s="552">
        <v>17794.87</v>
      </c>
      <c r="G347" s="549"/>
      <c r="H347" s="549"/>
    </row>
    <row r="348" spans="1:8">
      <c r="A348" t="str">
        <f t="shared" si="5"/>
        <v>1213291</v>
      </c>
      <c r="B348" s="545">
        <v>1213</v>
      </c>
      <c r="C348" s="546">
        <v>291</v>
      </c>
      <c r="D348" s="546">
        <v>1</v>
      </c>
      <c r="E348" s="546">
        <v>0</v>
      </c>
      <c r="F348" s="552">
        <v>2889.83</v>
      </c>
      <c r="G348" s="549"/>
      <c r="H348" s="549"/>
    </row>
    <row r="349" spans="1:8">
      <c r="A349" t="str">
        <f t="shared" si="5"/>
        <v>1213292</v>
      </c>
      <c r="B349" s="545">
        <v>1213</v>
      </c>
      <c r="C349" s="546">
        <v>292</v>
      </c>
      <c r="D349" s="546">
        <v>0</v>
      </c>
      <c r="E349" s="546">
        <v>140</v>
      </c>
      <c r="F349" s="552">
        <v>28223.91</v>
      </c>
      <c r="G349" s="549"/>
      <c r="H349" s="549"/>
    </row>
    <row r="350" spans="1:8">
      <c r="A350" t="str">
        <f t="shared" si="5"/>
        <v>1213293</v>
      </c>
      <c r="B350" s="545">
        <v>1213</v>
      </c>
      <c r="C350" s="546">
        <v>293</v>
      </c>
      <c r="D350" s="546">
        <v>0</v>
      </c>
      <c r="E350" s="546">
        <v>45</v>
      </c>
      <c r="F350" s="552">
        <v>20013.43</v>
      </c>
      <c r="G350" s="549"/>
      <c r="H350" s="549"/>
    </row>
    <row r="351" spans="1:8">
      <c r="A351" t="str">
        <f t="shared" si="5"/>
        <v>1213297</v>
      </c>
      <c r="B351" s="545">
        <v>1213</v>
      </c>
      <c r="C351" s="546">
        <v>297</v>
      </c>
      <c r="D351" s="546">
        <v>1</v>
      </c>
      <c r="E351" s="546">
        <v>1</v>
      </c>
      <c r="F351" s="546">
        <v>882.65</v>
      </c>
      <c r="G351" s="549"/>
      <c r="H351" s="549"/>
    </row>
    <row r="352" spans="1:8">
      <c r="A352" t="str">
        <f t="shared" si="5"/>
        <v>1213298</v>
      </c>
      <c r="B352" s="545">
        <v>1213</v>
      </c>
      <c r="C352" s="546">
        <v>298</v>
      </c>
      <c r="D352" s="546">
        <v>1</v>
      </c>
      <c r="E352" s="546">
        <v>1</v>
      </c>
      <c r="F352" s="546">
        <v>667.8</v>
      </c>
      <c r="G352" s="549"/>
      <c r="H352" s="549"/>
    </row>
    <row r="353" spans="1:8">
      <c r="A353" t="str">
        <f t="shared" si="5"/>
        <v>1213299</v>
      </c>
      <c r="B353" s="545">
        <v>1213</v>
      </c>
      <c r="C353" s="546">
        <v>299</v>
      </c>
      <c r="D353" s="546">
        <v>1</v>
      </c>
      <c r="E353" s="546">
        <v>0</v>
      </c>
      <c r="F353" s="546">
        <v>0</v>
      </c>
      <c r="G353" s="549"/>
      <c r="H353" s="549"/>
    </row>
    <row r="354" spans="1:8">
      <c r="A354" t="str">
        <f t="shared" si="5"/>
        <v>1213300</v>
      </c>
      <c r="B354" s="545">
        <v>1213</v>
      </c>
      <c r="C354" s="546">
        <v>300</v>
      </c>
      <c r="D354" s="546">
        <v>0</v>
      </c>
      <c r="E354" s="546">
        <v>66</v>
      </c>
      <c r="F354" s="552">
        <v>25610.14</v>
      </c>
      <c r="G354" s="549"/>
      <c r="H354" s="549"/>
    </row>
    <row r="355" spans="1:8">
      <c r="A355" t="str">
        <f t="shared" si="5"/>
        <v>1213303</v>
      </c>
      <c r="B355" s="545">
        <v>1213</v>
      </c>
      <c r="C355" s="546">
        <v>303</v>
      </c>
      <c r="D355" s="546">
        <v>1</v>
      </c>
      <c r="E355" s="546">
        <v>0</v>
      </c>
      <c r="F355" s="546">
        <v>0</v>
      </c>
      <c r="G355" s="549"/>
      <c r="H355" s="549"/>
    </row>
    <row r="356" spans="1:8">
      <c r="A356" t="str">
        <f t="shared" si="5"/>
        <v>1213304</v>
      </c>
      <c r="B356" s="545">
        <v>1213</v>
      </c>
      <c r="C356" s="546">
        <v>304</v>
      </c>
      <c r="D356" s="546">
        <v>1</v>
      </c>
      <c r="E356" s="546">
        <v>2</v>
      </c>
      <c r="F356" s="552">
        <v>7566.1</v>
      </c>
      <c r="G356" s="549"/>
      <c r="H356" s="549"/>
    </row>
    <row r="357" spans="1:8">
      <c r="A357" t="str">
        <f t="shared" si="5"/>
        <v>1213305</v>
      </c>
      <c r="B357" s="545">
        <v>1213</v>
      </c>
      <c r="C357" s="546">
        <v>305</v>
      </c>
      <c r="D357" s="546">
        <v>1</v>
      </c>
      <c r="E357" s="546">
        <v>1</v>
      </c>
      <c r="F357" s="552">
        <v>7113.41</v>
      </c>
      <c r="G357" s="549"/>
      <c r="H357" s="549"/>
    </row>
    <row r="358" spans="1:8">
      <c r="A358" t="str">
        <f t="shared" si="5"/>
        <v>1213306</v>
      </c>
      <c r="B358" s="545">
        <v>1213</v>
      </c>
      <c r="C358" s="546">
        <v>306</v>
      </c>
      <c r="D358" s="546">
        <v>1</v>
      </c>
      <c r="E358" s="546">
        <v>0</v>
      </c>
      <c r="F358" s="546">
        <v>0</v>
      </c>
      <c r="G358" s="549"/>
      <c r="H358" s="549"/>
    </row>
    <row r="359" spans="1:8">
      <c r="A359" t="str">
        <f t="shared" si="5"/>
        <v>1213307</v>
      </c>
      <c r="B359" s="545">
        <v>1213</v>
      </c>
      <c r="C359" s="546">
        <v>307</v>
      </c>
      <c r="D359" s="546">
        <v>1</v>
      </c>
      <c r="E359" s="546">
        <v>0</v>
      </c>
      <c r="F359" s="546">
        <v>0</v>
      </c>
      <c r="G359" s="549"/>
      <c r="H359" s="549"/>
    </row>
    <row r="360" spans="1:8">
      <c r="A360" t="str">
        <f t="shared" si="5"/>
        <v>1213308</v>
      </c>
      <c r="B360" s="545">
        <v>1213</v>
      </c>
      <c r="C360" s="546">
        <v>308</v>
      </c>
      <c r="D360" s="546">
        <v>1</v>
      </c>
      <c r="E360" s="546">
        <v>0</v>
      </c>
      <c r="F360" s="546">
        <v>0</v>
      </c>
      <c r="G360" s="549"/>
      <c r="H360" s="549"/>
    </row>
    <row r="361" spans="1:8">
      <c r="A361" t="str">
        <f t="shared" si="5"/>
        <v>1213309</v>
      </c>
      <c r="B361" s="545">
        <v>1213</v>
      </c>
      <c r="C361" s="546">
        <v>309</v>
      </c>
      <c r="D361" s="546">
        <v>1</v>
      </c>
      <c r="E361" s="546">
        <v>1</v>
      </c>
      <c r="F361" s="546">
        <v>769.84</v>
      </c>
      <c r="G361" s="549"/>
      <c r="H361" s="549"/>
    </row>
    <row r="362" spans="1:8">
      <c r="A362" t="str">
        <f t="shared" si="5"/>
        <v>1213312</v>
      </c>
      <c r="B362" s="545">
        <v>1213</v>
      </c>
      <c r="C362" s="546">
        <v>312</v>
      </c>
      <c r="D362" s="546">
        <v>1</v>
      </c>
      <c r="E362" s="546">
        <v>2</v>
      </c>
      <c r="F362" s="552">
        <v>5262.37</v>
      </c>
      <c r="G362" s="549"/>
      <c r="H362" s="549"/>
    </row>
    <row r="363" spans="1:8">
      <c r="A363" t="str">
        <f t="shared" si="5"/>
        <v>1213314</v>
      </c>
      <c r="B363" s="545">
        <v>1213</v>
      </c>
      <c r="C363" s="546">
        <v>314</v>
      </c>
      <c r="D363" s="546">
        <v>0</v>
      </c>
      <c r="E363" s="546">
        <v>6</v>
      </c>
      <c r="F363" s="552">
        <v>1475.46</v>
      </c>
      <c r="G363" s="549"/>
      <c r="H363" s="549"/>
    </row>
    <row r="364" spans="1:8">
      <c r="A364" t="str">
        <f t="shared" si="5"/>
        <v>1213315</v>
      </c>
      <c r="B364" s="545">
        <v>1213</v>
      </c>
      <c r="C364" s="546">
        <v>315</v>
      </c>
      <c r="D364" s="546">
        <v>0</v>
      </c>
      <c r="E364" s="546">
        <v>187</v>
      </c>
      <c r="F364" s="552">
        <v>31068.09</v>
      </c>
      <c r="G364" s="549"/>
      <c r="H364" s="549"/>
    </row>
    <row r="365" spans="1:8">
      <c r="A365" t="str">
        <f t="shared" si="5"/>
        <v>1213316</v>
      </c>
      <c r="B365" s="545">
        <v>1213</v>
      </c>
      <c r="C365" s="546">
        <v>316</v>
      </c>
      <c r="D365" s="546">
        <v>1</v>
      </c>
      <c r="E365" s="546">
        <v>2</v>
      </c>
      <c r="F365" s="546">
        <v>477.6</v>
      </c>
      <c r="G365" s="549"/>
      <c r="H365" s="549"/>
    </row>
    <row r="366" spans="1:8">
      <c r="A366" t="str">
        <f t="shared" si="5"/>
        <v>1213319</v>
      </c>
      <c r="B366" s="545">
        <v>1213</v>
      </c>
      <c r="C366" s="546">
        <v>319</v>
      </c>
      <c r="D366" s="546">
        <v>1</v>
      </c>
      <c r="E366" s="546">
        <v>1</v>
      </c>
      <c r="F366" s="546">
        <v>238.07</v>
      </c>
      <c r="G366" s="549"/>
      <c r="H366" s="549"/>
    </row>
    <row r="367" spans="1:8">
      <c r="A367" t="str">
        <f t="shared" si="5"/>
        <v>1213320</v>
      </c>
      <c r="B367" s="545">
        <v>1213</v>
      </c>
      <c r="C367" s="546">
        <v>320</v>
      </c>
      <c r="D367" s="546">
        <v>0</v>
      </c>
      <c r="E367" s="546">
        <v>18</v>
      </c>
      <c r="F367" s="552">
        <v>8266.91</v>
      </c>
      <c r="G367" s="549"/>
      <c r="H367" s="549"/>
    </row>
    <row r="368" spans="1:8">
      <c r="A368" t="str">
        <f t="shared" si="5"/>
        <v>1213321</v>
      </c>
      <c r="B368" s="545">
        <v>1213</v>
      </c>
      <c r="C368" s="546">
        <v>321</v>
      </c>
      <c r="D368" s="546">
        <v>1</v>
      </c>
      <c r="E368" s="546">
        <v>1</v>
      </c>
      <c r="F368" s="546">
        <v>452.93</v>
      </c>
      <c r="G368" s="549"/>
      <c r="H368" s="549"/>
    </row>
    <row r="369" spans="1:8">
      <c r="A369" t="str">
        <f t="shared" si="5"/>
        <v>1213322</v>
      </c>
      <c r="B369" s="545">
        <v>1213</v>
      </c>
      <c r="C369" s="546">
        <v>322</v>
      </c>
      <c r="D369" s="546">
        <v>0</v>
      </c>
      <c r="E369" s="546">
        <v>7</v>
      </c>
      <c r="F369" s="552">
        <v>5188.82</v>
      </c>
      <c r="G369" s="549"/>
      <c r="H369" s="549"/>
    </row>
    <row r="370" spans="1:8">
      <c r="A370" t="str">
        <f t="shared" si="5"/>
        <v>1213323</v>
      </c>
      <c r="B370" s="545">
        <v>1213</v>
      </c>
      <c r="C370" s="546">
        <v>323</v>
      </c>
      <c r="D370" s="546">
        <v>0</v>
      </c>
      <c r="E370" s="546">
        <v>17</v>
      </c>
      <c r="F370" s="552">
        <v>4978.1400000000003</v>
      </c>
      <c r="G370" s="549"/>
      <c r="H370" s="549"/>
    </row>
    <row r="371" spans="1:8">
      <c r="A371" t="str">
        <f t="shared" si="5"/>
        <v>1213324</v>
      </c>
      <c r="B371" s="545">
        <v>1213</v>
      </c>
      <c r="C371" s="546">
        <v>324</v>
      </c>
      <c r="D371" s="546">
        <v>1</v>
      </c>
      <c r="E371" s="546">
        <v>1</v>
      </c>
      <c r="F371" s="546">
        <v>622.9</v>
      </c>
      <c r="G371" s="549"/>
      <c r="H371" s="549"/>
    </row>
    <row r="372" spans="1:8">
      <c r="A372" t="str">
        <f t="shared" si="5"/>
        <v>1213325</v>
      </c>
      <c r="B372" s="545">
        <v>1213</v>
      </c>
      <c r="C372" s="546">
        <v>325</v>
      </c>
      <c r="D372" s="546">
        <v>1</v>
      </c>
      <c r="E372" s="546">
        <v>1</v>
      </c>
      <c r="F372" s="546">
        <v>846.66</v>
      </c>
      <c r="G372" s="549"/>
      <c r="H372" s="549"/>
    </row>
    <row r="373" spans="1:8">
      <c r="A373" t="str">
        <f t="shared" si="5"/>
        <v>1213331</v>
      </c>
      <c r="B373" s="545">
        <v>1213</v>
      </c>
      <c r="C373" s="546">
        <v>331</v>
      </c>
      <c r="D373" s="546">
        <v>1</v>
      </c>
      <c r="E373" s="546">
        <v>0</v>
      </c>
      <c r="F373" s="546">
        <v>0</v>
      </c>
      <c r="G373" s="549"/>
      <c r="H373" s="549"/>
    </row>
    <row r="374" spans="1:8">
      <c r="A374" t="str">
        <f t="shared" si="5"/>
        <v>1213332</v>
      </c>
      <c r="B374" s="545">
        <v>1213</v>
      </c>
      <c r="C374" s="546">
        <v>332</v>
      </c>
      <c r="D374" s="546">
        <v>1</v>
      </c>
      <c r="E374" s="546">
        <v>0</v>
      </c>
      <c r="F374" s="546">
        <v>0</v>
      </c>
      <c r="G374" s="549"/>
      <c r="H374" s="549"/>
    </row>
    <row r="375" spans="1:8">
      <c r="A375" t="str">
        <f t="shared" si="5"/>
        <v>1213335</v>
      </c>
      <c r="B375" s="545">
        <v>1213</v>
      </c>
      <c r="C375" s="546">
        <v>335</v>
      </c>
      <c r="D375" s="546">
        <v>1</v>
      </c>
      <c r="E375" s="546">
        <v>0</v>
      </c>
      <c r="F375" s="546">
        <v>0</v>
      </c>
      <c r="G375" s="549"/>
      <c r="H375" s="549"/>
    </row>
    <row r="376" spans="1:8">
      <c r="A376" t="str">
        <f t="shared" si="5"/>
        <v>1213336</v>
      </c>
      <c r="B376" s="545">
        <v>1213</v>
      </c>
      <c r="C376" s="546">
        <v>336</v>
      </c>
      <c r="D376" s="546">
        <v>1</v>
      </c>
      <c r="E376" s="546">
        <v>0</v>
      </c>
      <c r="F376" s="546">
        <v>0</v>
      </c>
      <c r="G376" s="549"/>
      <c r="H376" s="549"/>
    </row>
    <row r="377" spans="1:8">
      <c r="A377" t="str">
        <f t="shared" si="5"/>
        <v>1213338</v>
      </c>
      <c r="B377" s="545">
        <v>1213</v>
      </c>
      <c r="C377" s="546">
        <v>338</v>
      </c>
      <c r="D377" s="546">
        <v>0</v>
      </c>
      <c r="E377" s="546">
        <v>162</v>
      </c>
      <c r="F377" s="552">
        <v>33266.82</v>
      </c>
      <c r="G377" s="549"/>
      <c r="H377" s="549"/>
    </row>
    <row r="378" spans="1:8">
      <c r="A378" t="str">
        <f t="shared" si="5"/>
        <v>1213344</v>
      </c>
      <c r="B378" s="545">
        <v>1213</v>
      </c>
      <c r="C378" s="546">
        <v>344</v>
      </c>
      <c r="D378" s="546">
        <v>1</v>
      </c>
      <c r="E378" s="546">
        <v>0</v>
      </c>
      <c r="F378" s="546">
        <v>0</v>
      </c>
      <c r="G378" s="549"/>
      <c r="H378" s="549"/>
    </row>
    <row r="379" spans="1:8">
      <c r="A379" t="str">
        <f t="shared" si="5"/>
        <v>1213345</v>
      </c>
      <c r="B379" s="545">
        <v>1213</v>
      </c>
      <c r="C379" s="546">
        <v>345</v>
      </c>
      <c r="D379" s="546">
        <v>0</v>
      </c>
      <c r="E379" s="546">
        <v>50</v>
      </c>
      <c r="F379" s="552">
        <v>19351.41</v>
      </c>
      <c r="G379" s="549"/>
      <c r="H379" s="549"/>
    </row>
    <row r="380" spans="1:8">
      <c r="A380" t="str">
        <f t="shared" si="5"/>
        <v>1213346</v>
      </c>
      <c r="B380" s="545">
        <v>1213</v>
      </c>
      <c r="C380" s="546">
        <v>346</v>
      </c>
      <c r="D380" s="546">
        <v>0</v>
      </c>
      <c r="E380" s="546">
        <v>21</v>
      </c>
      <c r="F380" s="552">
        <v>13977.9</v>
      </c>
      <c r="G380" s="549"/>
      <c r="H380" s="549"/>
    </row>
    <row r="381" spans="1:8">
      <c r="A381" t="str">
        <f t="shared" si="5"/>
        <v>1213347</v>
      </c>
      <c r="B381" s="545">
        <v>1213</v>
      </c>
      <c r="C381" s="546">
        <v>347</v>
      </c>
      <c r="D381" s="546">
        <v>0</v>
      </c>
      <c r="E381" s="546">
        <v>21</v>
      </c>
      <c r="F381" s="552">
        <v>13977.9</v>
      </c>
      <c r="G381" s="549"/>
      <c r="H381" s="549"/>
    </row>
    <row r="382" spans="1:8">
      <c r="A382" t="str">
        <f t="shared" si="5"/>
        <v>1213348</v>
      </c>
      <c r="B382" s="545">
        <v>1213</v>
      </c>
      <c r="C382" s="546">
        <v>348</v>
      </c>
      <c r="D382" s="546">
        <v>0</v>
      </c>
      <c r="E382" s="546">
        <v>63</v>
      </c>
      <c r="F382" s="552">
        <v>18204.189999999999</v>
      </c>
      <c r="G382" s="549"/>
      <c r="H382" s="549"/>
    </row>
    <row r="383" spans="1:8">
      <c r="A383" t="str">
        <f t="shared" si="5"/>
        <v>1213352</v>
      </c>
      <c r="B383" s="545">
        <v>1213</v>
      </c>
      <c r="C383" s="546">
        <v>352</v>
      </c>
      <c r="D383" s="546">
        <v>1</v>
      </c>
      <c r="E383" s="546">
        <v>2</v>
      </c>
      <c r="F383" s="552">
        <v>1777.22</v>
      </c>
      <c r="G383" s="549"/>
      <c r="H383" s="549"/>
    </row>
    <row r="384" spans="1:8">
      <c r="A384" t="str">
        <f t="shared" si="5"/>
        <v>1213353</v>
      </c>
      <c r="B384" s="545">
        <v>1213</v>
      </c>
      <c r="C384" s="546">
        <v>353</v>
      </c>
      <c r="D384" s="546">
        <v>1</v>
      </c>
      <c r="E384" s="546">
        <v>2</v>
      </c>
      <c r="F384" s="552">
        <v>1796.19</v>
      </c>
      <c r="G384" s="549"/>
      <c r="H384" s="549"/>
    </row>
    <row r="385" spans="1:8">
      <c r="A385" t="str">
        <f t="shared" si="5"/>
        <v>1213355</v>
      </c>
      <c r="B385" s="545">
        <v>1213</v>
      </c>
      <c r="C385" s="546">
        <v>355</v>
      </c>
      <c r="D385" s="546">
        <v>0</v>
      </c>
      <c r="E385" s="546">
        <v>11</v>
      </c>
      <c r="F385" s="552">
        <v>7952.94</v>
      </c>
      <c r="G385" s="549"/>
      <c r="H385" s="549"/>
    </row>
    <row r="386" spans="1:8">
      <c r="A386" t="str">
        <f t="shared" ref="A386:A449" si="6">+CONCATENATE(B386,C386)</f>
        <v>1213356</v>
      </c>
      <c r="B386" s="545">
        <v>1213</v>
      </c>
      <c r="C386" s="546">
        <v>356</v>
      </c>
      <c r="D386" s="546">
        <v>0</v>
      </c>
      <c r="E386" s="546">
        <v>55</v>
      </c>
      <c r="F386" s="552">
        <v>15531.73</v>
      </c>
      <c r="G386" s="549"/>
      <c r="H386" s="549"/>
    </row>
    <row r="387" spans="1:8">
      <c r="A387" t="str">
        <f t="shared" si="6"/>
        <v>1213357</v>
      </c>
      <c r="B387" s="545">
        <v>1213</v>
      </c>
      <c r="C387" s="546">
        <v>357</v>
      </c>
      <c r="D387" s="546">
        <v>0</v>
      </c>
      <c r="E387" s="546">
        <v>204</v>
      </c>
      <c r="F387" s="552">
        <v>55219.64</v>
      </c>
      <c r="G387" s="549"/>
      <c r="H387" s="549"/>
    </row>
    <row r="388" spans="1:8">
      <c r="A388" t="str">
        <f t="shared" si="6"/>
        <v>1213358</v>
      </c>
      <c r="B388" s="545">
        <v>1213</v>
      </c>
      <c r="C388" s="546">
        <v>358</v>
      </c>
      <c r="D388" s="546">
        <v>0</v>
      </c>
      <c r="E388" s="546">
        <v>204</v>
      </c>
      <c r="F388" s="552">
        <v>116637.05</v>
      </c>
      <c r="G388" s="549"/>
      <c r="H388" s="549"/>
    </row>
    <row r="389" spans="1:8">
      <c r="A389" t="str">
        <f t="shared" si="6"/>
        <v>1213359</v>
      </c>
      <c r="B389" s="545">
        <v>1213</v>
      </c>
      <c r="C389" s="546">
        <v>359</v>
      </c>
      <c r="D389" s="546">
        <v>0</v>
      </c>
      <c r="E389" s="546">
        <v>204</v>
      </c>
      <c r="F389" s="552">
        <v>61986.84</v>
      </c>
      <c r="G389" s="549"/>
      <c r="H389" s="549"/>
    </row>
    <row r="390" spans="1:8">
      <c r="A390" t="str">
        <f t="shared" si="6"/>
        <v>1213360</v>
      </c>
      <c r="B390" s="545">
        <v>1213</v>
      </c>
      <c r="C390" s="546">
        <v>360</v>
      </c>
      <c r="D390" s="546">
        <v>0</v>
      </c>
      <c r="E390" s="546">
        <v>204</v>
      </c>
      <c r="F390" s="552">
        <v>61986.84</v>
      </c>
      <c r="G390" s="549"/>
      <c r="H390" s="549"/>
    </row>
    <row r="391" spans="1:8">
      <c r="A391" t="str">
        <f t="shared" si="6"/>
        <v>1213361</v>
      </c>
      <c r="B391" s="545">
        <v>1213</v>
      </c>
      <c r="C391" s="546">
        <v>361</v>
      </c>
      <c r="D391" s="546">
        <v>0</v>
      </c>
      <c r="E391" s="546">
        <v>187</v>
      </c>
      <c r="F391" s="552">
        <v>57081.91</v>
      </c>
      <c r="G391" s="549"/>
      <c r="H391" s="549"/>
    </row>
    <row r="392" spans="1:8">
      <c r="A392" t="str">
        <f t="shared" si="6"/>
        <v>1213362</v>
      </c>
      <c r="B392" s="545">
        <v>1213</v>
      </c>
      <c r="C392" s="546">
        <v>362</v>
      </c>
      <c r="D392" s="546">
        <v>0</v>
      </c>
      <c r="E392" s="546">
        <v>186</v>
      </c>
      <c r="F392" s="552">
        <v>16940.990000000002</v>
      </c>
      <c r="G392" s="549"/>
      <c r="H392" s="549"/>
    </row>
    <row r="393" spans="1:8">
      <c r="A393" t="str">
        <f t="shared" si="6"/>
        <v>1213363</v>
      </c>
      <c r="B393" s="545">
        <v>1213</v>
      </c>
      <c r="C393" s="546">
        <v>363</v>
      </c>
      <c r="D393" s="546">
        <v>1</v>
      </c>
      <c r="E393" s="546">
        <v>0</v>
      </c>
      <c r="F393" s="546">
        <v>0</v>
      </c>
      <c r="G393" s="549"/>
      <c r="H393" s="549"/>
    </row>
    <row r="394" spans="1:8">
      <c r="A394" t="str">
        <f t="shared" si="6"/>
        <v>1213364</v>
      </c>
      <c r="B394" s="545">
        <v>1213</v>
      </c>
      <c r="C394" s="546">
        <v>364</v>
      </c>
      <c r="D394" s="546">
        <v>1</v>
      </c>
      <c r="E394" s="546">
        <v>0</v>
      </c>
      <c r="F394" s="546">
        <v>0</v>
      </c>
      <c r="G394" s="549"/>
      <c r="H394" s="549"/>
    </row>
    <row r="395" spans="1:8">
      <c r="A395" t="str">
        <f t="shared" si="6"/>
        <v>1213365</v>
      </c>
      <c r="B395" s="545">
        <v>1213</v>
      </c>
      <c r="C395" s="546">
        <v>365</v>
      </c>
      <c r="D395" s="546">
        <v>1</v>
      </c>
      <c r="E395" s="546">
        <v>0</v>
      </c>
      <c r="F395" s="546">
        <v>0</v>
      </c>
      <c r="G395" s="549"/>
      <c r="H395" s="549"/>
    </row>
    <row r="396" spans="1:8">
      <c r="A396" t="str">
        <f t="shared" si="6"/>
        <v>1213366</v>
      </c>
      <c r="B396" s="545">
        <v>1213</v>
      </c>
      <c r="C396" s="546">
        <v>366</v>
      </c>
      <c r="D396" s="546">
        <v>0</v>
      </c>
      <c r="E396" s="546">
        <v>6</v>
      </c>
      <c r="F396" s="552">
        <v>2752.53</v>
      </c>
      <c r="G396" s="549"/>
      <c r="H396" s="549"/>
    </row>
    <row r="397" spans="1:8">
      <c r="A397" t="str">
        <f t="shared" si="6"/>
        <v>1213367</v>
      </c>
      <c r="B397" s="545">
        <v>1213</v>
      </c>
      <c r="C397" s="546">
        <v>367</v>
      </c>
      <c r="D397" s="546">
        <v>0</v>
      </c>
      <c r="E397" s="546">
        <v>42</v>
      </c>
      <c r="F397" s="552">
        <v>21291.119999999999</v>
      </c>
      <c r="G397" s="549"/>
      <c r="H397" s="549"/>
    </row>
    <row r="398" spans="1:8">
      <c r="A398" t="str">
        <f t="shared" si="6"/>
        <v>1213370</v>
      </c>
      <c r="B398" s="545">
        <v>1213</v>
      </c>
      <c r="C398" s="546">
        <v>370</v>
      </c>
      <c r="D398" s="546">
        <v>0</v>
      </c>
      <c r="E398" s="546">
        <v>36</v>
      </c>
      <c r="F398" s="552">
        <v>19630.09</v>
      </c>
      <c r="G398" s="549"/>
      <c r="H398" s="549"/>
    </row>
    <row r="399" spans="1:8">
      <c r="A399" t="str">
        <f t="shared" si="6"/>
        <v>1213371</v>
      </c>
      <c r="B399" s="545">
        <v>1213</v>
      </c>
      <c r="C399" s="546">
        <v>371</v>
      </c>
      <c r="D399" s="546">
        <v>0</v>
      </c>
      <c r="E399" s="546">
        <v>22</v>
      </c>
      <c r="F399" s="552">
        <v>15491.77</v>
      </c>
      <c r="G399" s="549"/>
      <c r="H399" s="549"/>
    </row>
    <row r="400" spans="1:8">
      <c r="A400" t="str">
        <f t="shared" si="6"/>
        <v>1213372</v>
      </c>
      <c r="B400" s="545">
        <v>1213</v>
      </c>
      <c r="C400" s="546">
        <v>372</v>
      </c>
      <c r="D400" s="546">
        <v>1</v>
      </c>
      <c r="E400" s="546">
        <v>0</v>
      </c>
      <c r="F400" s="546">
        <v>0</v>
      </c>
      <c r="G400" s="549"/>
      <c r="H400" s="549"/>
    </row>
    <row r="401" spans="1:8">
      <c r="A401" t="str">
        <f t="shared" si="6"/>
        <v>1213373</v>
      </c>
      <c r="B401" s="545">
        <v>1213</v>
      </c>
      <c r="C401" s="546">
        <v>373</v>
      </c>
      <c r="D401" s="546">
        <v>1</v>
      </c>
      <c r="E401" s="546">
        <v>1</v>
      </c>
      <c r="F401" s="546">
        <v>170.22</v>
      </c>
      <c r="G401" s="549"/>
      <c r="H401" s="549"/>
    </row>
    <row r="402" spans="1:8">
      <c r="A402" t="str">
        <f t="shared" si="6"/>
        <v>1213374</v>
      </c>
      <c r="B402" s="545">
        <v>1213</v>
      </c>
      <c r="C402" s="546">
        <v>374</v>
      </c>
      <c r="D402" s="546">
        <v>1</v>
      </c>
      <c r="E402" s="546">
        <v>0</v>
      </c>
      <c r="F402" s="546">
        <v>0</v>
      </c>
      <c r="G402" s="549"/>
      <c r="H402" s="549"/>
    </row>
    <row r="403" spans="1:8">
      <c r="A403" t="str">
        <f t="shared" si="6"/>
        <v>1213375</v>
      </c>
      <c r="B403" s="545">
        <v>1213</v>
      </c>
      <c r="C403" s="546">
        <v>375</v>
      </c>
      <c r="D403" s="546">
        <v>0</v>
      </c>
      <c r="E403" s="546">
        <v>16</v>
      </c>
      <c r="F403" s="552">
        <v>11026.29</v>
      </c>
      <c r="G403" s="549"/>
      <c r="H403" s="549"/>
    </row>
    <row r="404" spans="1:8">
      <c r="A404" t="str">
        <f t="shared" si="6"/>
        <v>1213376</v>
      </c>
      <c r="B404" s="545">
        <v>1213</v>
      </c>
      <c r="C404" s="546">
        <v>376</v>
      </c>
      <c r="D404" s="546">
        <v>0</v>
      </c>
      <c r="E404" s="546">
        <v>25</v>
      </c>
      <c r="F404" s="552">
        <v>16153.72</v>
      </c>
      <c r="G404" s="549"/>
      <c r="H404" s="549"/>
    </row>
    <row r="405" spans="1:8">
      <c r="A405" t="str">
        <f t="shared" si="6"/>
        <v>1213377</v>
      </c>
      <c r="B405" s="545">
        <v>1213</v>
      </c>
      <c r="C405" s="546">
        <v>377</v>
      </c>
      <c r="D405" s="546">
        <v>0</v>
      </c>
      <c r="E405" s="546">
        <v>7</v>
      </c>
      <c r="F405" s="552">
        <v>5175.8999999999996</v>
      </c>
      <c r="G405" s="549"/>
      <c r="H405" s="549"/>
    </row>
    <row r="406" spans="1:8">
      <c r="A406" t="str">
        <f t="shared" si="6"/>
        <v>1213378</v>
      </c>
      <c r="B406" s="545">
        <v>1213</v>
      </c>
      <c r="C406" s="546">
        <v>378</v>
      </c>
      <c r="D406" s="546">
        <v>0</v>
      </c>
      <c r="E406" s="546">
        <v>7</v>
      </c>
      <c r="F406" s="552">
        <v>5182.7</v>
      </c>
      <c r="G406" s="549"/>
      <c r="H406" s="549"/>
    </row>
    <row r="407" spans="1:8">
      <c r="A407" t="str">
        <f t="shared" si="6"/>
        <v>1213379</v>
      </c>
      <c r="B407" s="545">
        <v>1213</v>
      </c>
      <c r="C407" s="546">
        <v>379</v>
      </c>
      <c r="D407" s="546">
        <v>0</v>
      </c>
      <c r="E407" s="546">
        <v>11</v>
      </c>
      <c r="F407" s="552">
        <v>7949.15</v>
      </c>
      <c r="G407" s="549"/>
      <c r="H407" s="549"/>
    </row>
    <row r="408" spans="1:8">
      <c r="A408" t="str">
        <f t="shared" si="6"/>
        <v>1213382</v>
      </c>
      <c r="B408" s="545">
        <v>1213</v>
      </c>
      <c r="C408" s="546">
        <v>382</v>
      </c>
      <c r="D408" s="546">
        <v>0</v>
      </c>
      <c r="E408" s="546">
        <v>14</v>
      </c>
      <c r="F408" s="552">
        <v>9811.77</v>
      </c>
      <c r="G408" s="549"/>
      <c r="H408" s="549"/>
    </row>
    <row r="409" spans="1:8">
      <c r="A409" t="str">
        <f t="shared" si="6"/>
        <v>1213383</v>
      </c>
      <c r="B409" s="545">
        <v>1213</v>
      </c>
      <c r="C409" s="546">
        <v>383</v>
      </c>
      <c r="D409" s="546">
        <v>0</v>
      </c>
      <c r="E409" s="546">
        <v>149</v>
      </c>
      <c r="F409" s="552">
        <v>24611.200000000001</v>
      </c>
      <c r="G409" s="549"/>
      <c r="H409" s="549"/>
    </row>
    <row r="410" spans="1:8">
      <c r="A410" t="str">
        <f t="shared" si="6"/>
        <v>1213386</v>
      </c>
      <c r="B410" s="545">
        <v>1213</v>
      </c>
      <c r="C410" s="546">
        <v>386</v>
      </c>
      <c r="D410" s="546">
        <v>0</v>
      </c>
      <c r="E410" s="546">
        <v>21</v>
      </c>
      <c r="F410" s="552">
        <v>13973.71</v>
      </c>
      <c r="G410" s="549"/>
      <c r="H410" s="549"/>
    </row>
    <row r="411" spans="1:8">
      <c r="A411" t="str">
        <f t="shared" si="6"/>
        <v>1213387</v>
      </c>
      <c r="B411" s="545">
        <v>1213</v>
      </c>
      <c r="C411" s="546">
        <v>387</v>
      </c>
      <c r="D411" s="546">
        <v>0</v>
      </c>
      <c r="E411" s="546">
        <v>21</v>
      </c>
      <c r="F411" s="552">
        <v>13973.71</v>
      </c>
      <c r="G411" s="549"/>
      <c r="H411" s="549"/>
    </row>
    <row r="412" spans="1:8">
      <c r="A412" t="str">
        <f t="shared" si="6"/>
        <v>1213388</v>
      </c>
      <c r="B412" s="545">
        <v>1213</v>
      </c>
      <c r="C412" s="546">
        <v>388</v>
      </c>
      <c r="D412" s="546">
        <v>0</v>
      </c>
      <c r="E412" s="546">
        <v>22</v>
      </c>
      <c r="F412" s="552">
        <v>5527.42</v>
      </c>
      <c r="G412" s="549"/>
      <c r="H412" s="549"/>
    </row>
    <row r="413" spans="1:8">
      <c r="A413" t="str">
        <f t="shared" si="6"/>
        <v>1213389</v>
      </c>
      <c r="B413" s="545">
        <v>1213</v>
      </c>
      <c r="C413" s="546">
        <v>389</v>
      </c>
      <c r="D413" s="546">
        <v>0</v>
      </c>
      <c r="E413" s="546">
        <v>21</v>
      </c>
      <c r="F413" s="552">
        <v>13973.71</v>
      </c>
      <c r="G413" s="549"/>
      <c r="H413" s="549"/>
    </row>
    <row r="414" spans="1:8">
      <c r="A414" t="str">
        <f t="shared" si="6"/>
        <v>1213390</v>
      </c>
      <c r="B414" s="545">
        <v>1213</v>
      </c>
      <c r="C414" s="546">
        <v>390</v>
      </c>
      <c r="D414" s="546">
        <v>0</v>
      </c>
      <c r="E414" s="546">
        <v>22</v>
      </c>
      <c r="F414" s="552">
        <v>5527.42</v>
      </c>
      <c r="G414" s="549"/>
      <c r="H414" s="549"/>
    </row>
    <row r="415" spans="1:8">
      <c r="A415" t="str">
        <f t="shared" si="6"/>
        <v>1213391</v>
      </c>
      <c r="B415" s="545">
        <v>1213</v>
      </c>
      <c r="C415" s="546">
        <v>391</v>
      </c>
      <c r="D415" s="546">
        <v>0</v>
      </c>
      <c r="E415" s="546">
        <v>130</v>
      </c>
      <c r="F415" s="552">
        <v>86718.69</v>
      </c>
      <c r="G415" s="549"/>
      <c r="H415" s="549"/>
    </row>
    <row r="416" spans="1:8">
      <c r="A416" t="str">
        <f t="shared" si="6"/>
        <v>1213392</v>
      </c>
      <c r="B416" s="545">
        <v>1213</v>
      </c>
      <c r="C416" s="546">
        <v>392</v>
      </c>
      <c r="D416" s="546">
        <v>0</v>
      </c>
      <c r="E416" s="546">
        <v>147</v>
      </c>
      <c r="F416" s="552">
        <v>77257.3</v>
      </c>
      <c r="G416" s="549"/>
      <c r="H416" s="549"/>
    </row>
    <row r="417" spans="1:8">
      <c r="A417" t="str">
        <f t="shared" si="6"/>
        <v>1213393</v>
      </c>
      <c r="B417" s="545">
        <v>1213</v>
      </c>
      <c r="C417" s="546">
        <v>393</v>
      </c>
      <c r="D417" s="546">
        <v>0</v>
      </c>
      <c r="E417" s="546">
        <v>4</v>
      </c>
      <c r="F417" s="546">
        <v>976.34</v>
      </c>
      <c r="G417" s="549"/>
      <c r="H417" s="549"/>
    </row>
    <row r="418" spans="1:8">
      <c r="A418" t="str">
        <f t="shared" si="6"/>
        <v>1213394</v>
      </c>
      <c r="B418" s="545">
        <v>1213</v>
      </c>
      <c r="C418" s="546">
        <v>394</v>
      </c>
      <c r="D418" s="546">
        <v>0</v>
      </c>
      <c r="E418" s="546">
        <v>20</v>
      </c>
      <c r="F418" s="552">
        <v>5182.67</v>
      </c>
      <c r="G418" s="549"/>
      <c r="H418" s="549"/>
    </row>
    <row r="419" spans="1:8">
      <c r="A419" t="str">
        <f t="shared" si="6"/>
        <v>1213396</v>
      </c>
      <c r="B419" s="545">
        <v>1213</v>
      </c>
      <c r="C419" s="546">
        <v>396</v>
      </c>
      <c r="D419" s="546">
        <v>0</v>
      </c>
      <c r="E419" s="546">
        <v>21</v>
      </c>
      <c r="F419" s="552">
        <v>14907.72</v>
      </c>
      <c r="G419" s="549"/>
      <c r="H419" s="549"/>
    </row>
    <row r="420" spans="1:8">
      <c r="A420" t="str">
        <f t="shared" si="6"/>
        <v>1213397</v>
      </c>
      <c r="B420" s="545">
        <v>1213</v>
      </c>
      <c r="C420" s="546">
        <v>397</v>
      </c>
      <c r="D420" s="546">
        <v>1</v>
      </c>
      <c r="E420" s="546">
        <v>0</v>
      </c>
      <c r="F420" s="546">
        <v>0</v>
      </c>
      <c r="G420" s="549"/>
      <c r="H420" s="549"/>
    </row>
    <row r="421" spans="1:8">
      <c r="A421" t="str">
        <f t="shared" si="6"/>
        <v>1213398</v>
      </c>
      <c r="B421" s="545">
        <v>1213</v>
      </c>
      <c r="C421" s="546">
        <v>398</v>
      </c>
      <c r="D421" s="546">
        <v>1</v>
      </c>
      <c r="E421" s="546">
        <v>0</v>
      </c>
      <c r="F421" s="546">
        <v>0</v>
      </c>
      <c r="G421" s="549"/>
      <c r="H421" s="549"/>
    </row>
    <row r="422" spans="1:8">
      <c r="A422" t="str">
        <f t="shared" si="6"/>
        <v>1213399</v>
      </c>
      <c r="B422" s="545">
        <v>1213</v>
      </c>
      <c r="C422" s="546">
        <v>399</v>
      </c>
      <c r="D422" s="546">
        <v>0</v>
      </c>
      <c r="E422" s="546">
        <v>62</v>
      </c>
      <c r="F422" s="552">
        <v>15975.12</v>
      </c>
      <c r="G422" s="549"/>
      <c r="H422" s="549"/>
    </row>
    <row r="423" spans="1:8">
      <c r="A423" t="str">
        <f t="shared" si="6"/>
        <v>1213400</v>
      </c>
      <c r="B423" s="545">
        <v>1213</v>
      </c>
      <c r="C423" s="546">
        <v>400</v>
      </c>
      <c r="D423" s="546">
        <v>0</v>
      </c>
      <c r="E423" s="546">
        <v>62</v>
      </c>
      <c r="F423" s="552">
        <v>15835.39</v>
      </c>
      <c r="G423" s="549"/>
      <c r="H423" s="549"/>
    </row>
    <row r="424" spans="1:8">
      <c r="A424" t="str">
        <f t="shared" si="6"/>
        <v>1213401</v>
      </c>
      <c r="B424" s="545">
        <v>1213</v>
      </c>
      <c r="C424" s="546">
        <v>401</v>
      </c>
      <c r="D424" s="546">
        <v>0</v>
      </c>
      <c r="E424" s="546">
        <v>62</v>
      </c>
      <c r="F424" s="552">
        <v>15414</v>
      </c>
      <c r="G424" s="549"/>
      <c r="H424" s="549"/>
    </row>
    <row r="425" spans="1:8">
      <c r="A425" t="str">
        <f t="shared" si="6"/>
        <v>1213402</v>
      </c>
      <c r="B425" s="545">
        <v>1213</v>
      </c>
      <c r="C425" s="546">
        <v>402</v>
      </c>
      <c r="D425" s="546">
        <v>0</v>
      </c>
      <c r="E425" s="546">
        <v>62</v>
      </c>
      <c r="F425" s="552">
        <v>15185.37</v>
      </c>
      <c r="G425" s="549"/>
      <c r="H425" s="549"/>
    </row>
    <row r="426" spans="1:8">
      <c r="A426" t="str">
        <f t="shared" si="6"/>
        <v>1213403</v>
      </c>
      <c r="B426" s="545">
        <v>1213</v>
      </c>
      <c r="C426" s="546">
        <v>403</v>
      </c>
      <c r="D426" s="546">
        <v>0</v>
      </c>
      <c r="E426" s="546">
        <v>3</v>
      </c>
      <c r="F426" s="552">
        <v>2262.23</v>
      </c>
      <c r="G426" s="549"/>
      <c r="H426" s="549"/>
    </row>
    <row r="427" spans="1:8">
      <c r="A427" t="str">
        <f t="shared" si="6"/>
        <v>1213404</v>
      </c>
      <c r="B427" s="545">
        <v>1213</v>
      </c>
      <c r="C427" s="546">
        <v>404</v>
      </c>
      <c r="D427" s="546">
        <v>0</v>
      </c>
      <c r="E427" s="546">
        <v>3</v>
      </c>
      <c r="F427" s="552">
        <v>2262.23</v>
      </c>
      <c r="G427" s="549"/>
      <c r="H427" s="549"/>
    </row>
    <row r="428" spans="1:8">
      <c r="A428" t="str">
        <f t="shared" si="6"/>
        <v>1213405</v>
      </c>
      <c r="B428" s="545">
        <v>1213</v>
      </c>
      <c r="C428" s="546">
        <v>405</v>
      </c>
      <c r="D428" s="546">
        <v>1</v>
      </c>
      <c r="E428" s="546">
        <v>2</v>
      </c>
      <c r="F428" s="552">
        <v>1798.81</v>
      </c>
      <c r="G428" s="549"/>
      <c r="H428" s="549"/>
    </row>
    <row r="429" spans="1:8">
      <c r="A429" t="str">
        <f t="shared" si="6"/>
        <v>1213407</v>
      </c>
      <c r="B429" s="545">
        <v>1213</v>
      </c>
      <c r="C429" s="546">
        <v>407</v>
      </c>
      <c r="D429" s="546">
        <v>1</v>
      </c>
      <c r="E429" s="546">
        <v>1</v>
      </c>
      <c r="F429" s="546">
        <v>742.55</v>
      </c>
      <c r="G429" s="549"/>
      <c r="H429" s="549"/>
    </row>
    <row r="430" spans="1:8">
      <c r="A430" t="str">
        <f t="shared" si="6"/>
        <v>1213408</v>
      </c>
      <c r="B430" s="545">
        <v>1213</v>
      </c>
      <c r="C430" s="546">
        <v>408</v>
      </c>
      <c r="D430" s="546">
        <v>1</v>
      </c>
      <c r="E430" s="546">
        <v>1</v>
      </c>
      <c r="F430" s="546">
        <v>742.55</v>
      </c>
      <c r="G430" s="549"/>
      <c r="H430" s="549"/>
    </row>
    <row r="431" spans="1:8">
      <c r="A431" t="str">
        <f t="shared" si="6"/>
        <v>1213409</v>
      </c>
      <c r="B431" s="545">
        <v>1213</v>
      </c>
      <c r="C431" s="546">
        <v>409</v>
      </c>
      <c r="D431" s="546">
        <v>1</v>
      </c>
      <c r="E431" s="546">
        <v>1</v>
      </c>
      <c r="F431" s="546">
        <v>742.55</v>
      </c>
      <c r="G431" s="549"/>
      <c r="H431" s="549"/>
    </row>
    <row r="432" spans="1:8">
      <c r="A432" t="str">
        <f t="shared" si="6"/>
        <v>1213410</v>
      </c>
      <c r="B432" s="545">
        <v>1213</v>
      </c>
      <c r="C432" s="546">
        <v>410</v>
      </c>
      <c r="D432" s="546">
        <v>1</v>
      </c>
      <c r="E432" s="546">
        <v>1</v>
      </c>
      <c r="F432" s="546">
        <v>742.55</v>
      </c>
      <c r="G432" s="549"/>
      <c r="H432" s="549"/>
    </row>
    <row r="433" spans="1:8">
      <c r="A433" t="str">
        <f t="shared" si="6"/>
        <v>1213411</v>
      </c>
      <c r="B433" s="545">
        <v>1213</v>
      </c>
      <c r="C433" s="546">
        <v>411</v>
      </c>
      <c r="D433" s="546">
        <v>0</v>
      </c>
      <c r="E433" s="546">
        <v>8</v>
      </c>
      <c r="F433" s="552">
        <v>6275.05</v>
      </c>
      <c r="G433" s="549"/>
      <c r="H433" s="549"/>
    </row>
    <row r="434" spans="1:8">
      <c r="A434" t="str">
        <f t="shared" si="6"/>
        <v>1213440</v>
      </c>
      <c r="B434" s="545">
        <v>1213</v>
      </c>
      <c r="C434" s="546">
        <v>440</v>
      </c>
      <c r="D434" s="546">
        <v>0</v>
      </c>
      <c r="E434" s="546">
        <v>6</v>
      </c>
      <c r="F434" s="552">
        <v>6037.47</v>
      </c>
      <c r="G434" s="549"/>
      <c r="H434" s="549"/>
    </row>
    <row r="435" spans="1:8">
      <c r="A435" t="str">
        <f t="shared" si="6"/>
        <v>1213442</v>
      </c>
      <c r="B435" s="545">
        <v>1213</v>
      </c>
      <c r="C435" s="546">
        <v>442</v>
      </c>
      <c r="D435" s="546">
        <v>0</v>
      </c>
      <c r="E435" s="546">
        <v>12</v>
      </c>
      <c r="F435" s="552">
        <v>9063.66</v>
      </c>
      <c r="G435" s="549"/>
      <c r="H435" s="549"/>
    </row>
    <row r="436" spans="1:8">
      <c r="A436" t="str">
        <f t="shared" si="6"/>
        <v>1213456</v>
      </c>
      <c r="B436" s="545">
        <v>1213</v>
      </c>
      <c r="C436" s="546">
        <v>456</v>
      </c>
      <c r="D436" s="546">
        <v>0</v>
      </c>
      <c r="E436" s="546">
        <v>10</v>
      </c>
      <c r="F436" s="552">
        <v>7363.56</v>
      </c>
      <c r="G436" s="549"/>
      <c r="H436" s="549"/>
    </row>
    <row r="437" spans="1:8">
      <c r="A437" t="str">
        <f t="shared" si="6"/>
        <v>1213457</v>
      </c>
      <c r="B437" s="545">
        <v>1213</v>
      </c>
      <c r="C437" s="546">
        <v>457</v>
      </c>
      <c r="D437" s="546">
        <v>1</v>
      </c>
      <c r="E437" s="546">
        <v>1</v>
      </c>
      <c r="F437" s="546">
        <v>455.25</v>
      </c>
      <c r="G437" s="549"/>
      <c r="H437" s="549"/>
    </row>
    <row r="438" spans="1:8">
      <c r="A438" t="str">
        <f t="shared" si="6"/>
        <v>1213458</v>
      </c>
      <c r="B438" s="545">
        <v>1213</v>
      </c>
      <c r="C438" s="546">
        <v>458</v>
      </c>
      <c r="D438" s="546">
        <v>0</v>
      </c>
      <c r="E438" s="546">
        <v>4</v>
      </c>
      <c r="F438" s="552">
        <v>2978.27</v>
      </c>
      <c r="G438" s="549"/>
      <c r="H438" s="549"/>
    </row>
    <row r="439" spans="1:8">
      <c r="A439" t="str">
        <f t="shared" si="6"/>
        <v>1213459</v>
      </c>
      <c r="B439" s="545">
        <v>1213</v>
      </c>
      <c r="C439" s="546">
        <v>459</v>
      </c>
      <c r="D439" s="546">
        <v>0</v>
      </c>
      <c r="E439" s="546">
        <v>4</v>
      </c>
      <c r="F439" s="552">
        <v>2978.27</v>
      </c>
      <c r="G439" s="549"/>
      <c r="H439" s="549"/>
    </row>
    <row r="440" spans="1:8">
      <c r="A440" t="str">
        <f t="shared" si="6"/>
        <v>1213460</v>
      </c>
      <c r="B440" s="545">
        <v>1213</v>
      </c>
      <c r="C440" s="546">
        <v>460</v>
      </c>
      <c r="D440" s="546">
        <v>1</v>
      </c>
      <c r="E440" s="546">
        <v>0</v>
      </c>
      <c r="F440" s="546">
        <v>0</v>
      </c>
      <c r="G440" s="549"/>
      <c r="H440" s="549"/>
    </row>
    <row r="441" spans="1:8">
      <c r="A441" t="str">
        <f t="shared" si="6"/>
        <v>1213461</v>
      </c>
      <c r="B441" s="545">
        <v>1213</v>
      </c>
      <c r="C441" s="546">
        <v>461</v>
      </c>
      <c r="D441" s="546">
        <v>1</v>
      </c>
      <c r="E441" s="546">
        <v>0</v>
      </c>
      <c r="F441" s="546">
        <v>0</v>
      </c>
      <c r="G441" s="549"/>
      <c r="H441" s="549"/>
    </row>
    <row r="442" spans="1:8">
      <c r="A442" t="str">
        <f t="shared" si="6"/>
        <v>1213462</v>
      </c>
      <c r="B442" s="545">
        <v>1213</v>
      </c>
      <c r="C442" s="546">
        <v>462</v>
      </c>
      <c r="D442" s="546">
        <v>1</v>
      </c>
      <c r="E442" s="546">
        <v>0</v>
      </c>
      <c r="F442" s="546">
        <v>0</v>
      </c>
      <c r="G442" s="549"/>
      <c r="H442" s="549"/>
    </row>
    <row r="443" spans="1:8">
      <c r="A443" t="str">
        <f t="shared" si="6"/>
        <v>1213463</v>
      </c>
      <c r="B443" s="545">
        <v>1213</v>
      </c>
      <c r="C443" s="546">
        <v>463</v>
      </c>
      <c r="D443" s="546">
        <v>0</v>
      </c>
      <c r="E443" s="546">
        <v>148</v>
      </c>
      <c r="F443" s="552">
        <v>17388.7</v>
      </c>
      <c r="G443" s="549"/>
      <c r="H443" s="549"/>
    </row>
    <row r="444" spans="1:8">
      <c r="A444" t="str">
        <f t="shared" si="6"/>
        <v>1213464</v>
      </c>
      <c r="B444" s="545">
        <v>1213</v>
      </c>
      <c r="C444" s="546">
        <v>464</v>
      </c>
      <c r="D444" s="546">
        <v>1</v>
      </c>
      <c r="E444" s="546">
        <v>0</v>
      </c>
      <c r="F444" s="546">
        <v>491.65</v>
      </c>
      <c r="G444" s="549"/>
      <c r="H444" s="549"/>
    </row>
    <row r="445" spans="1:8">
      <c r="A445" t="str">
        <f t="shared" si="6"/>
        <v>12142</v>
      </c>
      <c r="B445" s="545">
        <v>1214</v>
      </c>
      <c r="C445" s="546">
        <v>2</v>
      </c>
      <c r="D445" s="546">
        <v>1</v>
      </c>
      <c r="E445" s="546">
        <v>0</v>
      </c>
      <c r="F445" s="546">
        <v>0</v>
      </c>
      <c r="G445" s="549"/>
      <c r="H445" s="549"/>
    </row>
    <row r="446" spans="1:8">
      <c r="A446" t="str">
        <f t="shared" si="6"/>
        <v>12144</v>
      </c>
      <c r="B446" s="545">
        <v>1214</v>
      </c>
      <c r="C446" s="546">
        <v>4</v>
      </c>
      <c r="D446" s="546">
        <v>0</v>
      </c>
      <c r="E446" s="546">
        <v>183</v>
      </c>
      <c r="F446" s="552">
        <v>50490.81</v>
      </c>
      <c r="G446" s="549"/>
      <c r="H446" s="549"/>
    </row>
    <row r="447" spans="1:8">
      <c r="A447" t="str">
        <f t="shared" si="6"/>
        <v>12148</v>
      </c>
      <c r="B447" s="545">
        <v>1214</v>
      </c>
      <c r="C447" s="546">
        <v>8</v>
      </c>
      <c r="D447" s="546">
        <v>1</v>
      </c>
      <c r="E447" s="546">
        <v>2</v>
      </c>
      <c r="F447" s="552">
        <v>1319.55</v>
      </c>
      <c r="G447" s="549"/>
      <c r="H447" s="549"/>
    </row>
    <row r="448" spans="1:8">
      <c r="A448" t="str">
        <f t="shared" si="6"/>
        <v>12149</v>
      </c>
      <c r="B448" s="545">
        <v>1214</v>
      </c>
      <c r="C448" s="546">
        <v>9</v>
      </c>
      <c r="D448" s="546">
        <v>1</v>
      </c>
      <c r="E448" s="546">
        <v>1</v>
      </c>
      <c r="F448" s="546">
        <v>900.91</v>
      </c>
      <c r="G448" s="549"/>
      <c r="H448" s="549"/>
    </row>
    <row r="449" spans="1:8">
      <c r="A449" t="str">
        <f t="shared" si="6"/>
        <v>121410</v>
      </c>
      <c r="B449" s="545">
        <v>1214</v>
      </c>
      <c r="C449" s="546">
        <v>10</v>
      </c>
      <c r="D449" s="546">
        <v>1</v>
      </c>
      <c r="E449" s="546">
        <v>0</v>
      </c>
      <c r="F449" s="546">
        <v>0</v>
      </c>
      <c r="G449" s="549"/>
      <c r="H449" s="549"/>
    </row>
    <row r="450" spans="1:8">
      <c r="A450" t="str">
        <f t="shared" ref="A450:A513" si="7">+CONCATENATE(B450,C450)</f>
        <v>121411</v>
      </c>
      <c r="B450" s="545">
        <v>1214</v>
      </c>
      <c r="C450" s="546">
        <v>11</v>
      </c>
      <c r="D450" s="546">
        <v>1</v>
      </c>
      <c r="E450" s="546">
        <v>0</v>
      </c>
      <c r="F450" s="546">
        <v>0</v>
      </c>
      <c r="G450" s="549"/>
      <c r="H450" s="549"/>
    </row>
    <row r="451" spans="1:8">
      <c r="A451" t="str">
        <f t="shared" si="7"/>
        <v>121412</v>
      </c>
      <c r="B451" s="545">
        <v>1214</v>
      </c>
      <c r="C451" s="546">
        <v>12</v>
      </c>
      <c r="D451" s="546">
        <v>1</v>
      </c>
      <c r="E451" s="546">
        <v>0</v>
      </c>
      <c r="F451" s="546">
        <v>0</v>
      </c>
      <c r="G451" s="549"/>
      <c r="H451" s="549"/>
    </row>
    <row r="452" spans="1:8">
      <c r="A452" t="str">
        <f t="shared" si="7"/>
        <v>121413</v>
      </c>
      <c r="B452" s="545">
        <v>1214</v>
      </c>
      <c r="C452" s="546">
        <v>13</v>
      </c>
      <c r="D452" s="546">
        <v>1</v>
      </c>
      <c r="E452" s="546">
        <v>0</v>
      </c>
      <c r="F452" s="546">
        <v>0</v>
      </c>
      <c r="G452" s="549"/>
      <c r="H452" s="549"/>
    </row>
    <row r="453" spans="1:8">
      <c r="A453" t="str">
        <f t="shared" si="7"/>
        <v>121414</v>
      </c>
      <c r="B453" s="545">
        <v>1214</v>
      </c>
      <c r="C453" s="546">
        <v>14</v>
      </c>
      <c r="D453" s="546">
        <v>1</v>
      </c>
      <c r="E453" s="546">
        <v>0</v>
      </c>
      <c r="F453" s="546">
        <v>0</v>
      </c>
      <c r="G453" s="549"/>
      <c r="H453" s="549"/>
    </row>
    <row r="454" spans="1:8">
      <c r="A454" t="str">
        <f t="shared" si="7"/>
        <v>121415</v>
      </c>
      <c r="B454" s="545">
        <v>1214</v>
      </c>
      <c r="C454" s="546">
        <v>15</v>
      </c>
      <c r="D454" s="546">
        <v>1</v>
      </c>
      <c r="E454" s="546">
        <v>0</v>
      </c>
      <c r="F454" s="546">
        <v>0</v>
      </c>
      <c r="G454" s="549"/>
      <c r="H454" s="549"/>
    </row>
    <row r="455" spans="1:8">
      <c r="A455" t="str">
        <f t="shared" si="7"/>
        <v>121416</v>
      </c>
      <c r="B455" s="545">
        <v>1214</v>
      </c>
      <c r="C455" s="546">
        <v>16</v>
      </c>
      <c r="D455" s="546">
        <v>0</v>
      </c>
      <c r="E455" s="546">
        <v>207</v>
      </c>
      <c r="F455" s="552">
        <v>71194.55</v>
      </c>
      <c r="G455" s="549"/>
      <c r="H455" s="549"/>
    </row>
    <row r="456" spans="1:8">
      <c r="A456" t="str">
        <f t="shared" si="7"/>
        <v>121419</v>
      </c>
      <c r="B456" s="545">
        <v>1214</v>
      </c>
      <c r="C456" s="546">
        <v>19</v>
      </c>
      <c r="D456" s="546">
        <v>1</v>
      </c>
      <c r="E456" s="546">
        <v>1</v>
      </c>
      <c r="F456" s="546">
        <v>813.9</v>
      </c>
      <c r="G456" s="549"/>
      <c r="H456" s="549"/>
    </row>
    <row r="457" spans="1:8">
      <c r="A457" t="str">
        <f t="shared" si="7"/>
        <v>121420</v>
      </c>
      <c r="B457" s="545">
        <v>1214</v>
      </c>
      <c r="C457" s="546">
        <v>20</v>
      </c>
      <c r="D457" s="546">
        <v>1</v>
      </c>
      <c r="E457" s="546">
        <v>0</v>
      </c>
      <c r="F457" s="546">
        <v>8.74</v>
      </c>
      <c r="G457" s="549"/>
      <c r="H457" s="549"/>
    </row>
    <row r="458" spans="1:8">
      <c r="A458" t="str">
        <f t="shared" si="7"/>
        <v>121421</v>
      </c>
      <c r="B458" s="545">
        <v>1214</v>
      </c>
      <c r="C458" s="546">
        <v>21</v>
      </c>
      <c r="D458" s="546">
        <v>0</v>
      </c>
      <c r="E458" s="546">
        <v>4</v>
      </c>
      <c r="F458" s="552">
        <v>11890.71</v>
      </c>
      <c r="G458" s="549"/>
      <c r="H458" s="549"/>
    </row>
    <row r="459" spans="1:8">
      <c r="A459" t="str">
        <f t="shared" si="7"/>
        <v>121424</v>
      </c>
      <c r="B459" s="545">
        <v>1214</v>
      </c>
      <c r="C459" s="546">
        <v>24</v>
      </c>
      <c r="D459" s="546">
        <v>1</v>
      </c>
      <c r="E459" s="546">
        <v>0</v>
      </c>
      <c r="F459" s="546">
        <v>0</v>
      </c>
      <c r="G459" s="549"/>
      <c r="H459" s="549"/>
    </row>
    <row r="460" spans="1:8">
      <c r="A460" t="str">
        <f t="shared" si="7"/>
        <v>121425</v>
      </c>
      <c r="B460" s="545">
        <v>1214</v>
      </c>
      <c r="C460" s="546">
        <v>25</v>
      </c>
      <c r="D460" s="546">
        <v>0</v>
      </c>
      <c r="E460" s="546">
        <v>4</v>
      </c>
      <c r="F460" s="552">
        <v>3496.02</v>
      </c>
      <c r="G460" s="549"/>
      <c r="H460" s="549"/>
    </row>
    <row r="461" spans="1:8">
      <c r="A461" t="str">
        <f t="shared" si="7"/>
        <v>121426</v>
      </c>
      <c r="B461" s="545">
        <v>1214</v>
      </c>
      <c r="C461" s="546">
        <v>26</v>
      </c>
      <c r="D461" s="546">
        <v>0</v>
      </c>
      <c r="E461" s="546">
        <v>119</v>
      </c>
      <c r="F461" s="552">
        <v>32964.449999999997</v>
      </c>
      <c r="G461" s="549"/>
      <c r="H461" s="549"/>
    </row>
    <row r="462" spans="1:8">
      <c r="A462" t="str">
        <f t="shared" si="7"/>
        <v>121427</v>
      </c>
      <c r="B462" s="545">
        <v>1214</v>
      </c>
      <c r="C462" s="546">
        <v>27</v>
      </c>
      <c r="D462" s="546">
        <v>1</v>
      </c>
      <c r="E462" s="546">
        <v>1</v>
      </c>
      <c r="F462" s="552">
        <v>1269.19</v>
      </c>
      <c r="G462" s="549"/>
      <c r="H462" s="549"/>
    </row>
    <row r="463" spans="1:8">
      <c r="A463" t="str">
        <f t="shared" si="7"/>
        <v>121431</v>
      </c>
      <c r="B463" s="545">
        <v>1214</v>
      </c>
      <c r="C463" s="546">
        <v>31</v>
      </c>
      <c r="D463" s="546">
        <v>0</v>
      </c>
      <c r="E463" s="546">
        <v>166</v>
      </c>
      <c r="F463" s="552">
        <v>45446.48</v>
      </c>
      <c r="G463" s="549"/>
      <c r="H463" s="549"/>
    </row>
    <row r="464" spans="1:8">
      <c r="A464" t="str">
        <f t="shared" si="7"/>
        <v>121432</v>
      </c>
      <c r="B464" s="545">
        <v>1214</v>
      </c>
      <c r="C464" s="546">
        <v>32</v>
      </c>
      <c r="D464" s="546">
        <v>0</v>
      </c>
      <c r="E464" s="546">
        <v>3</v>
      </c>
      <c r="F464" s="546">
        <v>728.7</v>
      </c>
      <c r="G464" s="549"/>
      <c r="H464" s="549"/>
    </row>
    <row r="465" spans="1:8">
      <c r="A465" t="str">
        <f t="shared" si="7"/>
        <v>121438</v>
      </c>
      <c r="B465" s="545">
        <v>1214</v>
      </c>
      <c r="C465" s="546">
        <v>38</v>
      </c>
      <c r="D465" s="546">
        <v>1</v>
      </c>
      <c r="E465" s="546">
        <v>0</v>
      </c>
      <c r="F465" s="546">
        <v>0</v>
      </c>
      <c r="G465" s="549"/>
      <c r="H465" s="549"/>
    </row>
    <row r="466" spans="1:8">
      <c r="A466" t="str">
        <f t="shared" si="7"/>
        <v>121440</v>
      </c>
      <c r="B466" s="545">
        <v>1214</v>
      </c>
      <c r="C466" s="546">
        <v>40</v>
      </c>
      <c r="D466" s="546">
        <v>1</v>
      </c>
      <c r="E466" s="546">
        <v>0</v>
      </c>
      <c r="F466" s="546">
        <v>0</v>
      </c>
      <c r="G466" s="549"/>
      <c r="H466" s="549"/>
    </row>
    <row r="467" spans="1:8">
      <c r="A467" t="str">
        <f t="shared" si="7"/>
        <v>121441</v>
      </c>
      <c r="B467" s="545">
        <v>1214</v>
      </c>
      <c r="C467" s="546">
        <v>41</v>
      </c>
      <c r="D467" s="546">
        <v>0</v>
      </c>
      <c r="E467" s="546">
        <v>206</v>
      </c>
      <c r="F467" s="552">
        <v>55942.12</v>
      </c>
      <c r="G467" s="549"/>
      <c r="H467" s="549"/>
    </row>
    <row r="468" spans="1:8">
      <c r="A468" t="str">
        <f t="shared" si="7"/>
        <v>121442</v>
      </c>
      <c r="B468" s="545">
        <v>1214</v>
      </c>
      <c r="C468" s="546">
        <v>42</v>
      </c>
      <c r="D468" s="546">
        <v>0</v>
      </c>
      <c r="E468" s="546">
        <v>56</v>
      </c>
      <c r="F468" s="552">
        <v>24189.19</v>
      </c>
      <c r="G468" s="549"/>
      <c r="H468" s="549"/>
    </row>
    <row r="469" spans="1:8">
      <c r="A469" t="str">
        <f t="shared" si="7"/>
        <v>121443</v>
      </c>
      <c r="B469" s="545">
        <v>1214</v>
      </c>
      <c r="C469" s="546">
        <v>43</v>
      </c>
      <c r="D469" s="546">
        <v>0</v>
      </c>
      <c r="E469" s="546">
        <v>166</v>
      </c>
      <c r="F469" s="552">
        <v>848297.86</v>
      </c>
      <c r="G469" s="549"/>
      <c r="H469" s="549"/>
    </row>
    <row r="470" spans="1:8">
      <c r="A470" t="str">
        <f t="shared" si="7"/>
        <v>121444</v>
      </c>
      <c r="B470" s="545">
        <v>1214</v>
      </c>
      <c r="C470" s="546">
        <v>44</v>
      </c>
      <c r="D470" s="546">
        <v>1</v>
      </c>
      <c r="E470" s="546">
        <v>0</v>
      </c>
      <c r="F470" s="546">
        <v>0</v>
      </c>
      <c r="G470" s="549"/>
      <c r="H470" s="549"/>
    </row>
    <row r="471" spans="1:8">
      <c r="A471" t="str">
        <f t="shared" si="7"/>
        <v>121452</v>
      </c>
      <c r="B471" s="545">
        <v>1214</v>
      </c>
      <c r="C471" s="546">
        <v>52</v>
      </c>
      <c r="D471" s="546">
        <v>1</v>
      </c>
      <c r="E471" s="546">
        <v>0</v>
      </c>
      <c r="F471" s="546">
        <v>0</v>
      </c>
      <c r="G471" s="549"/>
      <c r="H471" s="549"/>
    </row>
    <row r="472" spans="1:8">
      <c r="A472" t="str">
        <f t="shared" si="7"/>
        <v>121455</v>
      </c>
      <c r="B472" s="545">
        <v>1214</v>
      </c>
      <c r="C472" s="546">
        <v>55</v>
      </c>
      <c r="D472" s="546">
        <v>1</v>
      </c>
      <c r="E472" s="546">
        <v>0</v>
      </c>
      <c r="F472" s="552">
        <v>-1474.85</v>
      </c>
      <c r="G472" s="549"/>
      <c r="H472" s="549"/>
    </row>
    <row r="473" spans="1:8">
      <c r="A473" t="str">
        <f t="shared" si="7"/>
        <v>121459</v>
      </c>
      <c r="B473" s="545">
        <v>1214</v>
      </c>
      <c r="C473" s="546">
        <v>59</v>
      </c>
      <c r="D473" s="546">
        <v>1</v>
      </c>
      <c r="E473" s="546">
        <v>0</v>
      </c>
      <c r="F473" s="546">
        <v>0</v>
      </c>
      <c r="G473" s="549"/>
      <c r="H473" s="549"/>
    </row>
    <row r="474" spans="1:8">
      <c r="A474" t="str">
        <f t="shared" si="7"/>
        <v>121460</v>
      </c>
      <c r="B474" s="545">
        <v>1214</v>
      </c>
      <c r="C474" s="546">
        <v>60</v>
      </c>
      <c r="D474" s="546">
        <v>1</v>
      </c>
      <c r="E474" s="546">
        <v>2</v>
      </c>
      <c r="F474" s="552">
        <v>8652.2000000000007</v>
      </c>
      <c r="G474" s="549"/>
      <c r="H474" s="549"/>
    </row>
    <row r="475" spans="1:8">
      <c r="A475" t="str">
        <f t="shared" si="7"/>
        <v>121464</v>
      </c>
      <c r="B475" s="545">
        <v>1214</v>
      </c>
      <c r="C475" s="546">
        <v>64</v>
      </c>
      <c r="D475" s="546">
        <v>1</v>
      </c>
      <c r="E475" s="546">
        <v>1</v>
      </c>
      <c r="F475" s="552">
        <v>1181.99</v>
      </c>
      <c r="G475" s="549"/>
      <c r="H475" s="549"/>
    </row>
    <row r="476" spans="1:8">
      <c r="A476" t="str">
        <f t="shared" si="7"/>
        <v>121469</v>
      </c>
      <c r="B476" s="545">
        <v>1214</v>
      </c>
      <c r="C476" s="546">
        <v>69</v>
      </c>
      <c r="D476" s="546">
        <v>1</v>
      </c>
      <c r="E476" s="546">
        <v>2</v>
      </c>
      <c r="F476" s="552">
        <v>11731.39</v>
      </c>
      <c r="G476" s="549"/>
      <c r="H476" s="549"/>
    </row>
    <row r="477" spans="1:8">
      <c r="A477" t="str">
        <f t="shared" si="7"/>
        <v>121471</v>
      </c>
      <c r="B477" s="545">
        <v>1214</v>
      </c>
      <c r="C477" s="546">
        <v>71</v>
      </c>
      <c r="D477" s="546">
        <v>0</v>
      </c>
      <c r="E477" s="546">
        <v>166</v>
      </c>
      <c r="F477" s="552">
        <v>288995.34000000003</v>
      </c>
      <c r="G477" s="549"/>
      <c r="H477" s="549"/>
    </row>
    <row r="478" spans="1:8">
      <c r="A478" t="str">
        <f t="shared" si="7"/>
        <v>121472</v>
      </c>
      <c r="B478" s="545">
        <v>1214</v>
      </c>
      <c r="C478" s="546">
        <v>72</v>
      </c>
      <c r="D478" s="546">
        <v>0</v>
      </c>
      <c r="E478" s="546">
        <v>186</v>
      </c>
      <c r="F478" s="552">
        <v>197740.38</v>
      </c>
      <c r="G478" s="549"/>
      <c r="H478" s="549"/>
    </row>
    <row r="479" spans="1:8">
      <c r="A479" t="str">
        <f t="shared" si="7"/>
        <v>121474</v>
      </c>
      <c r="B479" s="545">
        <v>1214</v>
      </c>
      <c r="C479" s="546">
        <v>74</v>
      </c>
      <c r="D479" s="546">
        <v>0</v>
      </c>
      <c r="E479" s="546">
        <v>206</v>
      </c>
      <c r="F479" s="552">
        <v>54029.84</v>
      </c>
      <c r="G479" s="549"/>
      <c r="H479" s="549"/>
    </row>
    <row r="480" spans="1:8">
      <c r="A480" t="str">
        <f t="shared" si="7"/>
        <v>121475</v>
      </c>
      <c r="B480" s="545">
        <v>1214</v>
      </c>
      <c r="C480" s="546">
        <v>75</v>
      </c>
      <c r="D480" s="546">
        <v>1</v>
      </c>
      <c r="E480" s="546">
        <v>0</v>
      </c>
      <c r="F480" s="546">
        <v>0</v>
      </c>
      <c r="G480" s="549"/>
      <c r="H480" s="549"/>
    </row>
    <row r="481" spans="1:8">
      <c r="A481" t="str">
        <f t="shared" si="7"/>
        <v>121476</v>
      </c>
      <c r="B481" s="545">
        <v>1214</v>
      </c>
      <c r="C481" s="546">
        <v>76</v>
      </c>
      <c r="D481" s="546">
        <v>1</v>
      </c>
      <c r="E481" s="546">
        <v>0</v>
      </c>
      <c r="F481" s="546">
        <v>0</v>
      </c>
      <c r="G481" s="549"/>
      <c r="H481" s="549"/>
    </row>
    <row r="482" spans="1:8">
      <c r="A482" t="str">
        <f t="shared" si="7"/>
        <v>121482</v>
      </c>
      <c r="B482" s="545">
        <v>1214</v>
      </c>
      <c r="C482" s="546">
        <v>82</v>
      </c>
      <c r="D482" s="546">
        <v>0</v>
      </c>
      <c r="E482" s="546">
        <v>130</v>
      </c>
      <c r="F482" s="552">
        <v>873641.44</v>
      </c>
      <c r="G482" s="549"/>
      <c r="H482" s="549"/>
    </row>
    <row r="483" spans="1:8">
      <c r="A483" t="str">
        <f t="shared" si="7"/>
        <v>121485</v>
      </c>
      <c r="B483" s="545">
        <v>1214</v>
      </c>
      <c r="C483" s="546">
        <v>85</v>
      </c>
      <c r="D483" s="546">
        <v>0</v>
      </c>
      <c r="E483" s="546">
        <v>119</v>
      </c>
      <c r="F483" s="552">
        <v>30174.51</v>
      </c>
      <c r="G483" s="549"/>
      <c r="H483" s="549"/>
    </row>
    <row r="484" spans="1:8">
      <c r="A484" t="str">
        <f t="shared" si="7"/>
        <v>121487</v>
      </c>
      <c r="B484" s="545">
        <v>1214</v>
      </c>
      <c r="C484" s="546">
        <v>87</v>
      </c>
      <c r="D484" s="546">
        <v>1</v>
      </c>
      <c r="E484" s="546">
        <v>1</v>
      </c>
      <c r="F484" s="546">
        <v>988.97</v>
      </c>
      <c r="G484" s="549"/>
      <c r="H484" s="549"/>
    </row>
    <row r="485" spans="1:8">
      <c r="A485" t="str">
        <f t="shared" si="7"/>
        <v>121493</v>
      </c>
      <c r="B485" s="545">
        <v>1214</v>
      </c>
      <c r="C485" s="546">
        <v>93</v>
      </c>
      <c r="D485" s="546">
        <v>1</v>
      </c>
      <c r="E485" s="546">
        <v>0</v>
      </c>
      <c r="F485" s="546">
        <v>0</v>
      </c>
      <c r="G485" s="549"/>
      <c r="H485" s="549"/>
    </row>
    <row r="486" spans="1:8">
      <c r="A486" t="str">
        <f t="shared" si="7"/>
        <v>121495</v>
      </c>
      <c r="B486" s="545">
        <v>1214</v>
      </c>
      <c r="C486" s="546">
        <v>95</v>
      </c>
      <c r="D486" s="546">
        <v>1</v>
      </c>
      <c r="E486" s="546">
        <v>0</v>
      </c>
      <c r="F486" s="546">
        <v>0</v>
      </c>
      <c r="G486" s="549"/>
      <c r="H486" s="549"/>
    </row>
    <row r="487" spans="1:8">
      <c r="A487" t="str">
        <f t="shared" si="7"/>
        <v>1214100</v>
      </c>
      <c r="B487" s="545">
        <v>1214</v>
      </c>
      <c r="C487" s="546">
        <v>100</v>
      </c>
      <c r="D487" s="546">
        <v>1</v>
      </c>
      <c r="E487" s="546">
        <v>0</v>
      </c>
      <c r="F487" s="546">
        <v>0</v>
      </c>
      <c r="G487" s="549"/>
      <c r="H487" s="549"/>
    </row>
    <row r="488" spans="1:8">
      <c r="A488" t="str">
        <f t="shared" si="7"/>
        <v>1214102</v>
      </c>
      <c r="B488" s="545">
        <v>1214</v>
      </c>
      <c r="C488" s="546">
        <v>102</v>
      </c>
      <c r="D488" s="546">
        <v>1</v>
      </c>
      <c r="E488" s="546">
        <v>2</v>
      </c>
      <c r="F488" s="546">
        <v>491.17</v>
      </c>
      <c r="G488" s="549"/>
      <c r="H488" s="549"/>
    </row>
    <row r="489" spans="1:8">
      <c r="A489" t="str">
        <f t="shared" si="7"/>
        <v>1214103</v>
      </c>
      <c r="B489" s="545">
        <v>1214</v>
      </c>
      <c r="C489" s="546">
        <v>103</v>
      </c>
      <c r="D489" s="546">
        <v>1</v>
      </c>
      <c r="E489" s="546">
        <v>1</v>
      </c>
      <c r="F489" s="552">
        <v>6431.7</v>
      </c>
      <c r="G489" s="549"/>
      <c r="H489" s="549"/>
    </row>
    <row r="490" spans="1:8">
      <c r="A490" t="str">
        <f t="shared" si="7"/>
        <v>1214104</v>
      </c>
      <c r="B490" s="545">
        <v>1214</v>
      </c>
      <c r="C490" s="546">
        <v>104</v>
      </c>
      <c r="D490" s="546">
        <v>1</v>
      </c>
      <c r="E490" s="546">
        <v>0</v>
      </c>
      <c r="F490" s="552">
        <v>2461.14</v>
      </c>
      <c r="G490" s="549"/>
      <c r="H490" s="549"/>
    </row>
    <row r="491" spans="1:8">
      <c r="A491" t="str">
        <f t="shared" si="7"/>
        <v>1214106</v>
      </c>
      <c r="B491" s="545">
        <v>1214</v>
      </c>
      <c r="C491" s="546">
        <v>106</v>
      </c>
      <c r="D491" s="546">
        <v>0</v>
      </c>
      <c r="E491" s="546">
        <v>131</v>
      </c>
      <c r="F491" s="552">
        <v>35069.870000000003</v>
      </c>
      <c r="G491" s="549"/>
      <c r="H491" s="549"/>
    </row>
    <row r="492" spans="1:8">
      <c r="A492" t="str">
        <f t="shared" si="7"/>
        <v>1214112</v>
      </c>
      <c r="B492" s="545">
        <v>1214</v>
      </c>
      <c r="C492" s="546">
        <v>112</v>
      </c>
      <c r="D492" s="546">
        <v>1</v>
      </c>
      <c r="E492" s="546">
        <v>0</v>
      </c>
      <c r="F492" s="546">
        <v>2.36</v>
      </c>
      <c r="G492" s="549"/>
      <c r="H492" s="549"/>
    </row>
    <row r="493" spans="1:8">
      <c r="A493" t="str">
        <f t="shared" si="7"/>
        <v>1214113</v>
      </c>
      <c r="B493" s="545">
        <v>1214</v>
      </c>
      <c r="C493" s="546">
        <v>113</v>
      </c>
      <c r="D493" s="546">
        <v>0</v>
      </c>
      <c r="E493" s="546">
        <v>7</v>
      </c>
      <c r="F493" s="552">
        <v>1756.25</v>
      </c>
      <c r="G493" s="549"/>
      <c r="H493" s="549"/>
    </row>
    <row r="494" spans="1:8">
      <c r="A494" t="str">
        <f t="shared" si="7"/>
        <v>1214117</v>
      </c>
      <c r="B494" s="545">
        <v>1214</v>
      </c>
      <c r="C494" s="546">
        <v>117</v>
      </c>
      <c r="D494" s="546">
        <v>1</v>
      </c>
      <c r="E494" s="546">
        <v>0</v>
      </c>
      <c r="F494" s="546">
        <v>4.4800000000000004</v>
      </c>
      <c r="G494" s="549"/>
      <c r="H494" s="549"/>
    </row>
    <row r="495" spans="1:8">
      <c r="A495" t="str">
        <f t="shared" si="7"/>
        <v>1214120</v>
      </c>
      <c r="B495" s="545">
        <v>1214</v>
      </c>
      <c r="C495" s="546">
        <v>120</v>
      </c>
      <c r="D495" s="546">
        <v>0</v>
      </c>
      <c r="E495" s="546">
        <v>206</v>
      </c>
      <c r="F495" s="552">
        <v>46919.199999999997</v>
      </c>
      <c r="G495" s="549"/>
      <c r="H495" s="549"/>
    </row>
    <row r="496" spans="1:8">
      <c r="A496" t="str">
        <f t="shared" si="7"/>
        <v>1214123</v>
      </c>
      <c r="B496" s="545">
        <v>1214</v>
      </c>
      <c r="C496" s="546">
        <v>123</v>
      </c>
      <c r="D496" s="546">
        <v>1</v>
      </c>
      <c r="E496" s="546">
        <v>0</v>
      </c>
      <c r="F496" s="546">
        <v>13.01</v>
      </c>
      <c r="G496" s="549"/>
      <c r="H496" s="549"/>
    </row>
    <row r="497" spans="1:8">
      <c r="A497" t="str">
        <f t="shared" si="7"/>
        <v>1214124</v>
      </c>
      <c r="B497" s="545">
        <v>1214</v>
      </c>
      <c r="C497" s="546">
        <v>124</v>
      </c>
      <c r="D497" s="546">
        <v>0</v>
      </c>
      <c r="E497" s="546">
        <v>206</v>
      </c>
      <c r="F497" s="552">
        <v>47588.22</v>
      </c>
      <c r="G497" s="549"/>
      <c r="H497" s="549"/>
    </row>
    <row r="498" spans="1:8">
      <c r="A498" t="str">
        <f t="shared" si="7"/>
        <v>1214126</v>
      </c>
      <c r="B498" s="545">
        <v>1214</v>
      </c>
      <c r="C498" s="546">
        <v>126</v>
      </c>
      <c r="D498" s="546">
        <v>1</v>
      </c>
      <c r="E498" s="546">
        <v>2</v>
      </c>
      <c r="F498" s="552">
        <v>1777.22</v>
      </c>
      <c r="G498" s="549"/>
      <c r="H498" s="549"/>
    </row>
    <row r="499" spans="1:8">
      <c r="A499" t="str">
        <f t="shared" si="7"/>
        <v>1214127</v>
      </c>
      <c r="B499" s="545">
        <v>1214</v>
      </c>
      <c r="C499" s="546">
        <v>127</v>
      </c>
      <c r="D499" s="546">
        <v>0</v>
      </c>
      <c r="E499" s="546">
        <v>4</v>
      </c>
      <c r="F499" s="552">
        <v>2441.1799999999998</v>
      </c>
      <c r="G499" s="549"/>
      <c r="H499" s="549"/>
    </row>
    <row r="500" spans="1:8">
      <c r="A500" t="str">
        <f t="shared" si="7"/>
        <v>1214128</v>
      </c>
      <c r="B500" s="545">
        <v>1214</v>
      </c>
      <c r="C500" s="546">
        <v>128</v>
      </c>
      <c r="D500" s="546">
        <v>1</v>
      </c>
      <c r="E500" s="546">
        <v>0</v>
      </c>
      <c r="F500" s="546">
        <v>6.61</v>
      </c>
      <c r="G500" s="549"/>
      <c r="H500" s="549"/>
    </row>
    <row r="501" spans="1:8">
      <c r="A501" t="str">
        <f t="shared" si="7"/>
        <v>1214151</v>
      </c>
      <c r="B501" s="545">
        <v>1214</v>
      </c>
      <c r="C501" s="546">
        <v>151</v>
      </c>
      <c r="D501" s="546">
        <v>1</v>
      </c>
      <c r="E501" s="546">
        <v>1</v>
      </c>
      <c r="F501" s="546">
        <v>417.95</v>
      </c>
      <c r="G501" s="549"/>
      <c r="H501" s="549"/>
    </row>
    <row r="502" spans="1:8">
      <c r="A502" t="str">
        <f t="shared" si="7"/>
        <v>1214152</v>
      </c>
      <c r="B502" s="545">
        <v>1214</v>
      </c>
      <c r="C502" s="546">
        <v>152</v>
      </c>
      <c r="D502" s="546">
        <v>1</v>
      </c>
      <c r="E502" s="546">
        <v>0</v>
      </c>
      <c r="F502" s="546">
        <v>0</v>
      </c>
      <c r="G502" s="549"/>
      <c r="H502" s="549"/>
    </row>
    <row r="503" spans="1:8">
      <c r="A503" t="str">
        <f t="shared" si="7"/>
        <v>1214153</v>
      </c>
      <c r="B503" s="545">
        <v>1214</v>
      </c>
      <c r="C503" s="546">
        <v>153</v>
      </c>
      <c r="D503" s="546">
        <v>0</v>
      </c>
      <c r="E503" s="546">
        <v>3</v>
      </c>
      <c r="F503" s="552">
        <v>1829.05</v>
      </c>
      <c r="G503" s="549"/>
      <c r="H503" s="549"/>
    </row>
    <row r="504" spans="1:8">
      <c r="A504" t="str">
        <f t="shared" si="7"/>
        <v>1214154</v>
      </c>
      <c r="B504" s="545">
        <v>1214</v>
      </c>
      <c r="C504" s="546">
        <v>154</v>
      </c>
      <c r="D504" s="546">
        <v>1</v>
      </c>
      <c r="E504" s="546">
        <v>1</v>
      </c>
      <c r="F504" s="546">
        <v>742.55</v>
      </c>
      <c r="G504" s="549"/>
      <c r="H504" s="549"/>
    </row>
    <row r="505" spans="1:8">
      <c r="A505" t="str">
        <f t="shared" si="7"/>
        <v>1214155</v>
      </c>
      <c r="B505" s="545">
        <v>1214</v>
      </c>
      <c r="C505" s="546">
        <v>155</v>
      </c>
      <c r="D505" s="546">
        <v>1</v>
      </c>
      <c r="E505" s="546">
        <v>0</v>
      </c>
      <c r="F505" s="546">
        <v>0</v>
      </c>
      <c r="G505" s="549"/>
      <c r="H505" s="549"/>
    </row>
    <row r="506" spans="1:8">
      <c r="A506" t="str">
        <f t="shared" si="7"/>
        <v>1214156</v>
      </c>
      <c r="B506" s="545">
        <v>1214</v>
      </c>
      <c r="C506" s="546">
        <v>156</v>
      </c>
      <c r="D506" s="546">
        <v>0</v>
      </c>
      <c r="E506" s="546">
        <v>3</v>
      </c>
      <c r="F506" s="552">
        <v>39149.19</v>
      </c>
      <c r="G506" s="549"/>
      <c r="H506" s="549"/>
    </row>
    <row r="507" spans="1:8">
      <c r="A507" t="str">
        <f t="shared" si="7"/>
        <v>1214158</v>
      </c>
      <c r="B507" s="545">
        <v>1214</v>
      </c>
      <c r="C507" s="546">
        <v>158</v>
      </c>
      <c r="D507" s="546">
        <v>1</v>
      </c>
      <c r="E507" s="546">
        <v>0</v>
      </c>
      <c r="F507" s="546">
        <v>0</v>
      </c>
      <c r="G507" s="549"/>
      <c r="H507" s="549"/>
    </row>
    <row r="508" spans="1:8">
      <c r="A508" t="str">
        <f t="shared" si="7"/>
        <v>1214162</v>
      </c>
      <c r="B508" s="545">
        <v>1214</v>
      </c>
      <c r="C508" s="546">
        <v>162</v>
      </c>
      <c r="D508" s="546">
        <v>1</v>
      </c>
      <c r="E508" s="546">
        <v>2</v>
      </c>
      <c r="F508" s="546">
        <v>477.6</v>
      </c>
      <c r="G508" s="549"/>
      <c r="H508" s="549"/>
    </row>
    <row r="509" spans="1:8">
      <c r="A509" t="str">
        <f t="shared" si="7"/>
        <v>1214163</v>
      </c>
      <c r="B509" s="545">
        <v>1214</v>
      </c>
      <c r="C509" s="546">
        <v>163</v>
      </c>
      <c r="D509" s="546">
        <v>0</v>
      </c>
      <c r="E509" s="546">
        <v>32</v>
      </c>
      <c r="F509" s="552">
        <v>8726.59</v>
      </c>
      <c r="G509" s="549"/>
      <c r="H509" s="549"/>
    </row>
    <row r="510" spans="1:8">
      <c r="A510" t="str">
        <f t="shared" si="7"/>
        <v>1214165</v>
      </c>
      <c r="B510" s="545">
        <v>1214</v>
      </c>
      <c r="C510" s="546">
        <v>165</v>
      </c>
      <c r="D510" s="546">
        <v>1</v>
      </c>
      <c r="E510" s="546">
        <v>0</v>
      </c>
      <c r="F510" s="546">
        <v>0</v>
      </c>
      <c r="G510" s="549"/>
      <c r="H510" s="549"/>
    </row>
    <row r="511" spans="1:8">
      <c r="A511" t="str">
        <f t="shared" si="7"/>
        <v>1214166</v>
      </c>
      <c r="B511" s="545">
        <v>1214</v>
      </c>
      <c r="C511" s="546">
        <v>166</v>
      </c>
      <c r="D511" s="546">
        <v>1</v>
      </c>
      <c r="E511" s="546">
        <v>0</v>
      </c>
      <c r="F511" s="546">
        <v>0</v>
      </c>
      <c r="G511" s="549"/>
      <c r="H511" s="549"/>
    </row>
    <row r="512" spans="1:8">
      <c r="A512" t="str">
        <f t="shared" si="7"/>
        <v>1214167</v>
      </c>
      <c r="B512" s="545">
        <v>1214</v>
      </c>
      <c r="C512" s="546">
        <v>167</v>
      </c>
      <c r="D512" s="546">
        <v>1</v>
      </c>
      <c r="E512" s="546">
        <v>0</v>
      </c>
      <c r="F512" s="546">
        <v>6.61</v>
      </c>
      <c r="G512" s="549"/>
      <c r="H512" s="549"/>
    </row>
    <row r="513" spans="1:8">
      <c r="A513" t="str">
        <f t="shared" si="7"/>
        <v>1214170</v>
      </c>
      <c r="B513" s="545">
        <v>1214</v>
      </c>
      <c r="C513" s="546">
        <v>170</v>
      </c>
      <c r="D513" s="546">
        <v>1</v>
      </c>
      <c r="E513" s="546">
        <v>0</v>
      </c>
      <c r="F513" s="546">
        <v>0</v>
      </c>
      <c r="G513" s="549"/>
      <c r="H513" s="549"/>
    </row>
    <row r="514" spans="1:8">
      <c r="A514" t="str">
        <f t="shared" ref="A514:A577" si="8">+CONCATENATE(B514,C514)</f>
        <v>1214172</v>
      </c>
      <c r="B514" s="545">
        <v>1214</v>
      </c>
      <c r="C514" s="546">
        <v>172</v>
      </c>
      <c r="D514" s="546">
        <v>0</v>
      </c>
      <c r="E514" s="546">
        <v>210</v>
      </c>
      <c r="F514" s="552">
        <v>140797.97</v>
      </c>
      <c r="G514" s="549"/>
      <c r="H514" s="549"/>
    </row>
    <row r="515" spans="1:8">
      <c r="A515" t="str">
        <f t="shared" si="8"/>
        <v>1214175</v>
      </c>
      <c r="B515" s="545">
        <v>1214</v>
      </c>
      <c r="C515" s="546">
        <v>175</v>
      </c>
      <c r="D515" s="546">
        <v>0</v>
      </c>
      <c r="E515" s="546">
        <v>6</v>
      </c>
      <c r="F515" s="552">
        <v>7828.94</v>
      </c>
      <c r="G515" s="549"/>
      <c r="H515" s="549"/>
    </row>
    <row r="516" spans="1:8">
      <c r="A516" t="str">
        <f t="shared" si="8"/>
        <v>1214176</v>
      </c>
      <c r="B516" s="545">
        <v>1214</v>
      </c>
      <c r="C516" s="546">
        <v>176</v>
      </c>
      <c r="D516" s="546">
        <v>0</v>
      </c>
      <c r="E516" s="546">
        <v>4</v>
      </c>
      <c r="F516" s="546">
        <v>947.31</v>
      </c>
      <c r="G516" s="549"/>
      <c r="H516" s="549"/>
    </row>
    <row r="517" spans="1:8">
      <c r="A517" t="str">
        <f t="shared" si="8"/>
        <v>1214180</v>
      </c>
      <c r="B517" s="545">
        <v>1214</v>
      </c>
      <c r="C517" s="546">
        <v>180</v>
      </c>
      <c r="D517" s="546">
        <v>1</v>
      </c>
      <c r="E517" s="546">
        <v>0</v>
      </c>
      <c r="F517" s="546">
        <v>0</v>
      </c>
      <c r="G517" s="549"/>
      <c r="H517" s="549"/>
    </row>
    <row r="518" spans="1:8">
      <c r="A518" t="str">
        <f t="shared" si="8"/>
        <v>1214181</v>
      </c>
      <c r="B518" s="545">
        <v>1214</v>
      </c>
      <c r="C518" s="546">
        <v>181</v>
      </c>
      <c r="D518" s="546">
        <v>1</v>
      </c>
      <c r="E518" s="546">
        <v>0</v>
      </c>
      <c r="F518" s="546">
        <v>0</v>
      </c>
      <c r="G518" s="549"/>
      <c r="H518" s="549"/>
    </row>
    <row r="519" spans="1:8">
      <c r="A519" t="str">
        <f t="shared" si="8"/>
        <v>1214182</v>
      </c>
      <c r="B519" s="545">
        <v>1214</v>
      </c>
      <c r="C519" s="546">
        <v>182</v>
      </c>
      <c r="D519" s="546">
        <v>1</v>
      </c>
      <c r="E519" s="546">
        <v>0</v>
      </c>
      <c r="F519" s="546">
        <v>0</v>
      </c>
      <c r="G519" s="549"/>
      <c r="H519" s="549"/>
    </row>
    <row r="520" spans="1:8">
      <c r="A520" t="str">
        <f t="shared" si="8"/>
        <v>1214185</v>
      </c>
      <c r="B520" s="545">
        <v>1214</v>
      </c>
      <c r="C520" s="546">
        <v>185</v>
      </c>
      <c r="D520" s="546">
        <v>1</v>
      </c>
      <c r="E520" s="546">
        <v>0</v>
      </c>
      <c r="F520" s="546">
        <v>9.6199999999999992</v>
      </c>
      <c r="G520" s="549"/>
      <c r="H520" s="549"/>
    </row>
    <row r="521" spans="1:8">
      <c r="A521" t="str">
        <f t="shared" si="8"/>
        <v>1214186</v>
      </c>
      <c r="B521" s="545">
        <v>1214</v>
      </c>
      <c r="C521" s="546">
        <v>186</v>
      </c>
      <c r="D521" s="546">
        <v>1</v>
      </c>
      <c r="E521" s="546">
        <v>0</v>
      </c>
      <c r="F521" s="546">
        <v>7.74</v>
      </c>
      <c r="G521" s="549"/>
      <c r="H521" s="549"/>
    </row>
    <row r="522" spans="1:8">
      <c r="A522" t="str">
        <f t="shared" si="8"/>
        <v>1214188</v>
      </c>
      <c r="B522" s="545">
        <v>1214</v>
      </c>
      <c r="C522" s="546">
        <v>188</v>
      </c>
      <c r="D522" s="546">
        <v>0</v>
      </c>
      <c r="E522" s="546">
        <v>201</v>
      </c>
      <c r="F522" s="552">
        <v>37360.15</v>
      </c>
      <c r="G522" s="549"/>
      <c r="H522" s="549"/>
    </row>
    <row r="523" spans="1:8">
      <c r="A523" t="str">
        <f t="shared" si="8"/>
        <v>1214189</v>
      </c>
      <c r="B523" s="545">
        <v>1214</v>
      </c>
      <c r="C523" s="546">
        <v>189</v>
      </c>
      <c r="D523" s="546">
        <v>0</v>
      </c>
      <c r="E523" s="546">
        <v>201</v>
      </c>
      <c r="F523" s="552">
        <v>37191.43</v>
      </c>
      <c r="G523" s="549"/>
      <c r="H523" s="549"/>
    </row>
    <row r="524" spans="1:8">
      <c r="A524" t="str">
        <f t="shared" si="8"/>
        <v>1214190</v>
      </c>
      <c r="B524" s="545">
        <v>1214</v>
      </c>
      <c r="C524" s="546">
        <v>190</v>
      </c>
      <c r="D524" s="546">
        <v>0</v>
      </c>
      <c r="E524" s="546">
        <v>76</v>
      </c>
      <c r="F524" s="552">
        <v>28949.31</v>
      </c>
      <c r="G524" s="549"/>
      <c r="H524" s="549"/>
    </row>
    <row r="525" spans="1:8">
      <c r="A525" t="str">
        <f t="shared" si="8"/>
        <v>1214191</v>
      </c>
      <c r="B525" s="545">
        <v>1214</v>
      </c>
      <c r="C525" s="546">
        <v>191</v>
      </c>
      <c r="D525" s="546">
        <v>1</v>
      </c>
      <c r="E525" s="546">
        <v>0</v>
      </c>
      <c r="F525" s="546">
        <v>0</v>
      </c>
      <c r="G525" s="549"/>
      <c r="H525" s="549"/>
    </row>
    <row r="526" spans="1:8">
      <c r="A526" t="str">
        <f t="shared" si="8"/>
        <v>1214192</v>
      </c>
      <c r="B526" s="545">
        <v>1214</v>
      </c>
      <c r="C526" s="546">
        <v>192</v>
      </c>
      <c r="D526" s="546">
        <v>1</v>
      </c>
      <c r="E526" s="546">
        <v>1</v>
      </c>
      <c r="F526" s="546">
        <v>420.56</v>
      </c>
      <c r="G526" s="549"/>
      <c r="H526" s="549"/>
    </row>
    <row r="527" spans="1:8">
      <c r="A527" t="str">
        <f t="shared" si="8"/>
        <v>1214193</v>
      </c>
      <c r="B527" s="545">
        <v>1214</v>
      </c>
      <c r="C527" s="546">
        <v>193</v>
      </c>
      <c r="D527" s="546">
        <v>1</v>
      </c>
      <c r="E527" s="546">
        <v>1</v>
      </c>
      <c r="F527" s="546">
        <v>475.37</v>
      </c>
      <c r="G527" s="549"/>
      <c r="H527" s="549"/>
    </row>
    <row r="528" spans="1:8">
      <c r="A528" t="str">
        <f t="shared" si="8"/>
        <v>1214194</v>
      </c>
      <c r="B528" s="545">
        <v>1214</v>
      </c>
      <c r="C528" s="546">
        <v>194</v>
      </c>
      <c r="D528" s="546">
        <v>1</v>
      </c>
      <c r="E528" s="546">
        <v>1</v>
      </c>
      <c r="F528" s="546">
        <v>475.37</v>
      </c>
      <c r="G528" s="549"/>
      <c r="H528" s="549"/>
    </row>
    <row r="529" spans="1:8">
      <c r="A529" t="str">
        <f t="shared" si="8"/>
        <v>1214195</v>
      </c>
      <c r="B529" s="545">
        <v>1214</v>
      </c>
      <c r="C529" s="546">
        <v>195</v>
      </c>
      <c r="D529" s="546">
        <v>1</v>
      </c>
      <c r="E529" s="546">
        <v>1</v>
      </c>
      <c r="F529" s="546">
        <v>475.37</v>
      </c>
      <c r="G529" s="549"/>
      <c r="H529" s="549"/>
    </row>
    <row r="530" spans="1:8">
      <c r="A530" t="str">
        <f t="shared" si="8"/>
        <v>1214196</v>
      </c>
      <c r="B530" s="545">
        <v>1214</v>
      </c>
      <c r="C530" s="546">
        <v>196</v>
      </c>
      <c r="D530" s="546">
        <v>1</v>
      </c>
      <c r="E530" s="546">
        <v>1</v>
      </c>
      <c r="F530" s="546">
        <v>249.9</v>
      </c>
      <c r="G530" s="549"/>
      <c r="H530" s="549"/>
    </row>
    <row r="531" spans="1:8">
      <c r="A531" t="str">
        <f t="shared" si="8"/>
        <v>1214201</v>
      </c>
      <c r="B531" s="545">
        <v>1214</v>
      </c>
      <c r="C531" s="546">
        <v>201</v>
      </c>
      <c r="D531" s="546">
        <v>1</v>
      </c>
      <c r="E531" s="546">
        <v>0</v>
      </c>
      <c r="F531" s="546">
        <v>0</v>
      </c>
      <c r="G531" s="549"/>
      <c r="H531" s="549"/>
    </row>
    <row r="532" spans="1:8">
      <c r="A532" t="str">
        <f t="shared" si="8"/>
        <v>1214202</v>
      </c>
      <c r="B532" s="545">
        <v>1214</v>
      </c>
      <c r="C532" s="546">
        <v>202</v>
      </c>
      <c r="D532" s="546">
        <v>0</v>
      </c>
      <c r="E532" s="546">
        <v>4</v>
      </c>
      <c r="F532" s="552">
        <v>4767.3599999999997</v>
      </c>
      <c r="G532" s="549"/>
      <c r="H532" s="549"/>
    </row>
    <row r="533" spans="1:8">
      <c r="A533" t="str">
        <f t="shared" si="8"/>
        <v>1214203</v>
      </c>
      <c r="B533" s="545">
        <v>1214</v>
      </c>
      <c r="C533" s="546">
        <v>203</v>
      </c>
      <c r="D533" s="546">
        <v>1</v>
      </c>
      <c r="E533" s="546">
        <v>0</v>
      </c>
      <c r="F533" s="546">
        <v>0</v>
      </c>
      <c r="G533" s="549"/>
      <c r="H533" s="549"/>
    </row>
    <row r="534" spans="1:8">
      <c r="A534" t="str">
        <f t="shared" si="8"/>
        <v>1214204</v>
      </c>
      <c r="B534" s="545">
        <v>1214</v>
      </c>
      <c r="C534" s="546">
        <v>204</v>
      </c>
      <c r="D534" s="546">
        <v>1</v>
      </c>
      <c r="E534" s="546">
        <v>0</v>
      </c>
      <c r="F534" s="546">
        <v>0</v>
      </c>
      <c r="G534" s="549"/>
      <c r="H534" s="549"/>
    </row>
    <row r="535" spans="1:8">
      <c r="A535" t="str">
        <f t="shared" si="8"/>
        <v>1214205</v>
      </c>
      <c r="B535" s="545">
        <v>1214</v>
      </c>
      <c r="C535" s="546">
        <v>205</v>
      </c>
      <c r="D535" s="546">
        <v>1</v>
      </c>
      <c r="E535" s="546">
        <v>0</v>
      </c>
      <c r="F535" s="546">
        <v>0</v>
      </c>
      <c r="G535" s="549"/>
      <c r="H535" s="549"/>
    </row>
    <row r="536" spans="1:8">
      <c r="A536" t="str">
        <f t="shared" si="8"/>
        <v>1214206</v>
      </c>
      <c r="B536" s="545">
        <v>1214</v>
      </c>
      <c r="C536" s="546">
        <v>206</v>
      </c>
      <c r="D536" s="546">
        <v>1</v>
      </c>
      <c r="E536" s="546">
        <v>0</v>
      </c>
      <c r="F536" s="546">
        <v>0</v>
      </c>
      <c r="G536" s="549"/>
      <c r="H536" s="549"/>
    </row>
    <row r="537" spans="1:8">
      <c r="A537" t="str">
        <f t="shared" si="8"/>
        <v>1214207</v>
      </c>
      <c r="B537" s="545">
        <v>1214</v>
      </c>
      <c r="C537" s="546">
        <v>207</v>
      </c>
      <c r="D537" s="546">
        <v>1</v>
      </c>
      <c r="E537" s="546">
        <v>0</v>
      </c>
      <c r="F537" s="552">
        <v>2051.7399999999998</v>
      </c>
      <c r="G537" s="549"/>
      <c r="H537" s="549"/>
    </row>
    <row r="538" spans="1:8">
      <c r="A538" t="str">
        <f t="shared" si="8"/>
        <v>1214209</v>
      </c>
      <c r="B538" s="545">
        <v>1214</v>
      </c>
      <c r="C538" s="546">
        <v>209</v>
      </c>
      <c r="D538" s="546">
        <v>1</v>
      </c>
      <c r="E538" s="546">
        <v>0</v>
      </c>
      <c r="F538" s="546">
        <v>0</v>
      </c>
      <c r="G538" s="549"/>
      <c r="H538" s="549"/>
    </row>
    <row r="539" spans="1:8">
      <c r="A539" t="str">
        <f t="shared" si="8"/>
        <v>1214211</v>
      </c>
      <c r="B539" s="545">
        <v>1214</v>
      </c>
      <c r="C539" s="546">
        <v>211</v>
      </c>
      <c r="D539" s="546">
        <v>1</v>
      </c>
      <c r="E539" s="546">
        <v>0</v>
      </c>
      <c r="F539" s="546">
        <v>0</v>
      </c>
      <c r="G539" s="549"/>
      <c r="H539" s="549"/>
    </row>
    <row r="540" spans="1:8">
      <c r="A540" t="str">
        <f t="shared" si="8"/>
        <v>1214213</v>
      </c>
      <c r="B540" s="545">
        <v>1214</v>
      </c>
      <c r="C540" s="546">
        <v>213</v>
      </c>
      <c r="D540" s="546">
        <v>1</v>
      </c>
      <c r="E540" s="546">
        <v>0</v>
      </c>
      <c r="F540" s="546">
        <v>0</v>
      </c>
      <c r="G540" s="549"/>
      <c r="H540" s="549"/>
    </row>
    <row r="541" spans="1:8">
      <c r="A541" t="str">
        <f t="shared" si="8"/>
        <v>1214215</v>
      </c>
      <c r="B541" s="545">
        <v>1214</v>
      </c>
      <c r="C541" s="546">
        <v>215</v>
      </c>
      <c r="D541" s="546">
        <v>1</v>
      </c>
      <c r="E541" s="546">
        <v>0</v>
      </c>
      <c r="F541" s="546">
        <v>10.1</v>
      </c>
      <c r="G541" s="549"/>
      <c r="H541" s="549"/>
    </row>
    <row r="542" spans="1:8">
      <c r="A542" t="str">
        <f t="shared" si="8"/>
        <v>1214216</v>
      </c>
      <c r="B542" s="545">
        <v>1214</v>
      </c>
      <c r="C542" s="546">
        <v>216</v>
      </c>
      <c r="D542" s="546">
        <v>0</v>
      </c>
      <c r="E542" s="546">
        <v>19</v>
      </c>
      <c r="F542" s="552">
        <v>13813.3</v>
      </c>
      <c r="G542" s="549"/>
      <c r="H542" s="549"/>
    </row>
    <row r="543" spans="1:8">
      <c r="A543" t="str">
        <f t="shared" si="8"/>
        <v>1214217</v>
      </c>
      <c r="B543" s="545">
        <v>1214</v>
      </c>
      <c r="C543" s="546">
        <v>217</v>
      </c>
      <c r="D543" s="546">
        <v>1</v>
      </c>
      <c r="E543" s="546">
        <v>1</v>
      </c>
      <c r="F543" s="546">
        <v>813.9</v>
      </c>
      <c r="G543" s="549"/>
      <c r="H543" s="549"/>
    </row>
    <row r="544" spans="1:8">
      <c r="A544" t="str">
        <f t="shared" si="8"/>
        <v>1214219</v>
      </c>
      <c r="B544" s="545">
        <v>1214</v>
      </c>
      <c r="C544" s="546">
        <v>219</v>
      </c>
      <c r="D544" s="546">
        <v>1</v>
      </c>
      <c r="E544" s="546">
        <v>0</v>
      </c>
      <c r="F544" s="546">
        <v>0</v>
      </c>
      <c r="G544" s="549"/>
      <c r="H544" s="549"/>
    </row>
    <row r="545" spans="1:8">
      <c r="A545" t="str">
        <f t="shared" si="8"/>
        <v>1214220</v>
      </c>
      <c r="B545" s="545">
        <v>1214</v>
      </c>
      <c r="C545" s="546">
        <v>220</v>
      </c>
      <c r="D545" s="546">
        <v>1</v>
      </c>
      <c r="E545" s="546">
        <v>2</v>
      </c>
      <c r="F545" s="546">
        <v>477.6</v>
      </c>
      <c r="G545" s="549"/>
      <c r="H545" s="549"/>
    </row>
    <row r="546" spans="1:8">
      <c r="A546" t="str">
        <f t="shared" si="8"/>
        <v>1214221</v>
      </c>
      <c r="B546" s="545">
        <v>1214</v>
      </c>
      <c r="C546" s="546">
        <v>221</v>
      </c>
      <c r="D546" s="546">
        <v>1</v>
      </c>
      <c r="E546" s="546">
        <v>2</v>
      </c>
      <c r="F546" s="546">
        <v>904.25</v>
      </c>
      <c r="G546" s="549"/>
      <c r="H546" s="549"/>
    </row>
    <row r="547" spans="1:8">
      <c r="A547" t="str">
        <f t="shared" si="8"/>
        <v>1214222</v>
      </c>
      <c r="B547" s="545">
        <v>1214</v>
      </c>
      <c r="C547" s="546">
        <v>222</v>
      </c>
      <c r="D547" s="546">
        <v>0</v>
      </c>
      <c r="E547" s="546">
        <v>7</v>
      </c>
      <c r="F547" s="552">
        <v>1960.49</v>
      </c>
      <c r="G547" s="549"/>
      <c r="H547" s="549"/>
    </row>
    <row r="548" spans="1:8">
      <c r="A548" t="str">
        <f t="shared" si="8"/>
        <v>1214223</v>
      </c>
      <c r="B548" s="545">
        <v>1214</v>
      </c>
      <c r="C548" s="546">
        <v>223</v>
      </c>
      <c r="D548" s="546">
        <v>0</v>
      </c>
      <c r="E548" s="546">
        <v>3</v>
      </c>
      <c r="F548" s="546">
        <v>714.61</v>
      </c>
      <c r="G548" s="549"/>
      <c r="H548" s="549"/>
    </row>
    <row r="549" spans="1:8">
      <c r="A549" t="str">
        <f t="shared" si="8"/>
        <v>1214224</v>
      </c>
      <c r="B549" s="545">
        <v>1214</v>
      </c>
      <c r="C549" s="546">
        <v>224</v>
      </c>
      <c r="D549" s="546">
        <v>1</v>
      </c>
      <c r="E549" s="546">
        <v>0</v>
      </c>
      <c r="F549" s="546">
        <v>0</v>
      </c>
      <c r="G549" s="549"/>
      <c r="H549" s="549"/>
    </row>
    <row r="550" spans="1:8">
      <c r="A550" t="str">
        <f t="shared" si="8"/>
        <v>1214225</v>
      </c>
      <c r="B550" s="545">
        <v>1214</v>
      </c>
      <c r="C550" s="546">
        <v>225</v>
      </c>
      <c r="D550" s="546">
        <v>1</v>
      </c>
      <c r="E550" s="546">
        <v>2</v>
      </c>
      <c r="F550" s="546">
        <v>477.6</v>
      </c>
      <c r="G550" s="549"/>
      <c r="H550" s="549"/>
    </row>
    <row r="551" spans="1:8">
      <c r="A551" t="str">
        <f t="shared" si="8"/>
        <v>1214226</v>
      </c>
      <c r="B551" s="545">
        <v>1214</v>
      </c>
      <c r="C551" s="546">
        <v>226</v>
      </c>
      <c r="D551" s="546">
        <v>1</v>
      </c>
      <c r="E551" s="546">
        <v>0</v>
      </c>
      <c r="F551" s="546">
        <v>0</v>
      </c>
      <c r="G551" s="549"/>
      <c r="H551" s="549"/>
    </row>
    <row r="552" spans="1:8">
      <c r="A552" t="str">
        <f t="shared" si="8"/>
        <v>1214227</v>
      </c>
      <c r="B552" s="545">
        <v>1214</v>
      </c>
      <c r="C552" s="546">
        <v>227</v>
      </c>
      <c r="D552" s="546">
        <v>1</v>
      </c>
      <c r="E552" s="546">
        <v>0</v>
      </c>
      <c r="F552" s="546">
        <v>0</v>
      </c>
      <c r="G552" s="549"/>
      <c r="H552" s="549"/>
    </row>
    <row r="553" spans="1:8">
      <c r="A553" t="str">
        <f t="shared" si="8"/>
        <v>1214228</v>
      </c>
      <c r="B553" s="545">
        <v>1214</v>
      </c>
      <c r="C553" s="546">
        <v>228</v>
      </c>
      <c r="D553" s="546">
        <v>1</v>
      </c>
      <c r="E553" s="546">
        <v>0</v>
      </c>
      <c r="F553" s="546">
        <v>0</v>
      </c>
      <c r="G553" s="549"/>
      <c r="H553" s="549"/>
    </row>
    <row r="554" spans="1:8">
      <c r="A554" t="str">
        <f t="shared" si="8"/>
        <v>1214229</v>
      </c>
      <c r="B554" s="545">
        <v>1214</v>
      </c>
      <c r="C554" s="546">
        <v>229</v>
      </c>
      <c r="D554" s="546">
        <v>1</v>
      </c>
      <c r="E554" s="546">
        <v>1</v>
      </c>
      <c r="F554" s="546">
        <v>270.94</v>
      </c>
      <c r="G554" s="549"/>
      <c r="H554" s="549"/>
    </row>
    <row r="555" spans="1:8">
      <c r="A555" t="str">
        <f t="shared" si="8"/>
        <v>1214233</v>
      </c>
      <c r="B555" s="545">
        <v>1214</v>
      </c>
      <c r="C555" s="546">
        <v>233</v>
      </c>
      <c r="D555" s="546">
        <v>1</v>
      </c>
      <c r="E555" s="546">
        <v>0</v>
      </c>
      <c r="F555" s="546">
        <v>0</v>
      </c>
      <c r="G555" s="549"/>
      <c r="H555" s="549"/>
    </row>
    <row r="556" spans="1:8">
      <c r="A556" t="str">
        <f t="shared" si="8"/>
        <v>1214234</v>
      </c>
      <c r="B556" s="545">
        <v>1214</v>
      </c>
      <c r="C556" s="546">
        <v>234</v>
      </c>
      <c r="D556" s="546">
        <v>1</v>
      </c>
      <c r="E556" s="546">
        <v>0</v>
      </c>
      <c r="F556" s="546">
        <v>499.8</v>
      </c>
      <c r="G556" s="549"/>
      <c r="H556" s="549"/>
    </row>
    <row r="557" spans="1:8">
      <c r="A557" t="str">
        <f t="shared" si="8"/>
        <v>1214235</v>
      </c>
      <c r="B557" s="545">
        <v>1214</v>
      </c>
      <c r="C557" s="546">
        <v>235</v>
      </c>
      <c r="D557" s="546">
        <v>1</v>
      </c>
      <c r="E557" s="546">
        <v>0</v>
      </c>
      <c r="F557" s="546">
        <v>0</v>
      </c>
      <c r="G557" s="549"/>
      <c r="H557" s="549"/>
    </row>
    <row r="558" spans="1:8">
      <c r="A558" t="str">
        <f t="shared" si="8"/>
        <v>1214255</v>
      </c>
      <c r="B558" s="545">
        <v>1214</v>
      </c>
      <c r="C558" s="546">
        <v>255</v>
      </c>
      <c r="D558" s="546">
        <v>0</v>
      </c>
      <c r="E558" s="546">
        <v>11</v>
      </c>
      <c r="F558" s="552">
        <v>7275.72</v>
      </c>
      <c r="G558" s="549"/>
      <c r="H558" s="549"/>
    </row>
    <row r="559" spans="1:8">
      <c r="A559" t="str">
        <f t="shared" si="8"/>
        <v>1214257</v>
      </c>
      <c r="B559" s="545">
        <v>1214</v>
      </c>
      <c r="C559" s="546">
        <v>257</v>
      </c>
      <c r="D559" s="546">
        <v>1</v>
      </c>
      <c r="E559" s="546">
        <v>0</v>
      </c>
      <c r="F559" s="546">
        <v>0</v>
      </c>
      <c r="G559" s="549"/>
      <c r="H559" s="549"/>
    </row>
    <row r="560" spans="1:8">
      <c r="A560" t="str">
        <f t="shared" si="8"/>
        <v>1214259</v>
      </c>
      <c r="B560" s="545">
        <v>1214</v>
      </c>
      <c r="C560" s="546">
        <v>259</v>
      </c>
      <c r="D560" s="546">
        <v>1</v>
      </c>
      <c r="E560" s="546">
        <v>0</v>
      </c>
      <c r="F560" s="546">
        <v>0</v>
      </c>
      <c r="G560" s="549"/>
      <c r="H560" s="549"/>
    </row>
    <row r="561" spans="1:8">
      <c r="A561" t="str">
        <f t="shared" si="8"/>
        <v>1214260</v>
      </c>
      <c r="B561" s="545">
        <v>1214</v>
      </c>
      <c r="C561" s="546">
        <v>260</v>
      </c>
      <c r="D561" s="546">
        <v>1</v>
      </c>
      <c r="E561" s="546">
        <v>0</v>
      </c>
      <c r="F561" s="546">
        <v>0</v>
      </c>
      <c r="G561" s="549"/>
      <c r="H561" s="549"/>
    </row>
    <row r="562" spans="1:8">
      <c r="A562" t="str">
        <f t="shared" si="8"/>
        <v>1214262</v>
      </c>
      <c r="B562" s="545">
        <v>1214</v>
      </c>
      <c r="C562" s="546">
        <v>262</v>
      </c>
      <c r="D562" s="546">
        <v>1</v>
      </c>
      <c r="E562" s="546">
        <v>0</v>
      </c>
      <c r="F562" s="546">
        <v>0</v>
      </c>
      <c r="G562" s="549"/>
      <c r="H562" s="549"/>
    </row>
    <row r="563" spans="1:8">
      <c r="A563" t="str">
        <f t="shared" si="8"/>
        <v>1214263</v>
      </c>
      <c r="B563" s="545">
        <v>1214</v>
      </c>
      <c r="C563" s="546">
        <v>263</v>
      </c>
      <c r="D563" s="546">
        <v>1</v>
      </c>
      <c r="E563" s="546">
        <v>1</v>
      </c>
      <c r="F563" s="552">
        <v>3675.76</v>
      </c>
      <c r="G563" s="549"/>
      <c r="H563" s="549"/>
    </row>
    <row r="564" spans="1:8">
      <c r="A564" t="str">
        <f t="shared" si="8"/>
        <v>1214264</v>
      </c>
      <c r="B564" s="545">
        <v>1214</v>
      </c>
      <c r="C564" s="546">
        <v>264</v>
      </c>
      <c r="D564" s="546">
        <v>1</v>
      </c>
      <c r="E564" s="546">
        <v>1</v>
      </c>
      <c r="F564" s="546">
        <v>238.07</v>
      </c>
      <c r="G564" s="549"/>
      <c r="H564" s="549"/>
    </row>
    <row r="565" spans="1:8">
      <c r="A565" t="str">
        <f t="shared" si="8"/>
        <v>1214266</v>
      </c>
      <c r="B565" s="545">
        <v>1214</v>
      </c>
      <c r="C565" s="546">
        <v>266</v>
      </c>
      <c r="D565" s="546">
        <v>1</v>
      </c>
      <c r="E565" s="546">
        <v>0</v>
      </c>
      <c r="F565" s="546">
        <v>0</v>
      </c>
      <c r="G565" s="549"/>
      <c r="H565" s="549"/>
    </row>
    <row r="566" spans="1:8">
      <c r="A566" t="str">
        <f t="shared" si="8"/>
        <v>1214267</v>
      </c>
      <c r="B566" s="545">
        <v>1214</v>
      </c>
      <c r="C566" s="546">
        <v>267</v>
      </c>
      <c r="D566" s="546">
        <v>1</v>
      </c>
      <c r="E566" s="546">
        <v>0</v>
      </c>
      <c r="F566" s="546">
        <v>0</v>
      </c>
      <c r="G566" s="549"/>
      <c r="H566" s="549"/>
    </row>
    <row r="567" spans="1:8">
      <c r="A567" t="str">
        <f t="shared" si="8"/>
        <v>1214269</v>
      </c>
      <c r="B567" s="545">
        <v>1214</v>
      </c>
      <c r="C567" s="546">
        <v>269</v>
      </c>
      <c r="D567" s="546">
        <v>0</v>
      </c>
      <c r="E567" s="546">
        <v>7</v>
      </c>
      <c r="F567" s="552">
        <v>1740.14</v>
      </c>
      <c r="G567" s="549"/>
      <c r="H567" s="549"/>
    </row>
    <row r="568" spans="1:8">
      <c r="A568" t="str">
        <f t="shared" si="8"/>
        <v>1214270</v>
      </c>
      <c r="B568" s="545">
        <v>1214</v>
      </c>
      <c r="C568" s="546">
        <v>270</v>
      </c>
      <c r="D568" s="546">
        <v>1</v>
      </c>
      <c r="E568" s="546">
        <v>0</v>
      </c>
      <c r="F568" s="546">
        <v>0</v>
      </c>
      <c r="G568" s="549"/>
      <c r="H568" s="549"/>
    </row>
    <row r="569" spans="1:8">
      <c r="A569" t="str">
        <f t="shared" si="8"/>
        <v>1214271</v>
      </c>
      <c r="B569" s="545">
        <v>1214</v>
      </c>
      <c r="C569" s="546">
        <v>271</v>
      </c>
      <c r="D569" s="546">
        <v>1</v>
      </c>
      <c r="E569" s="546">
        <v>0</v>
      </c>
      <c r="F569" s="546">
        <v>0</v>
      </c>
      <c r="G569" s="549"/>
      <c r="H569" s="549"/>
    </row>
    <row r="570" spans="1:8">
      <c r="A570" t="str">
        <f t="shared" si="8"/>
        <v>1214272</v>
      </c>
      <c r="B570" s="545">
        <v>1214</v>
      </c>
      <c r="C570" s="546">
        <v>272</v>
      </c>
      <c r="D570" s="546">
        <v>0</v>
      </c>
      <c r="E570" s="546">
        <v>5</v>
      </c>
      <c r="F570" s="552">
        <v>20492.14</v>
      </c>
      <c r="G570" s="549"/>
      <c r="H570" s="549"/>
    </row>
    <row r="571" spans="1:8">
      <c r="A571" t="str">
        <f t="shared" si="8"/>
        <v>1214273</v>
      </c>
      <c r="B571" s="545">
        <v>1214</v>
      </c>
      <c r="C571" s="546">
        <v>273</v>
      </c>
      <c r="D571" s="546">
        <v>1</v>
      </c>
      <c r="E571" s="546">
        <v>0</v>
      </c>
      <c r="F571" s="546">
        <v>0</v>
      </c>
      <c r="G571" s="549"/>
      <c r="H571" s="549"/>
    </row>
    <row r="572" spans="1:8">
      <c r="A572" t="str">
        <f t="shared" si="8"/>
        <v>1214274</v>
      </c>
      <c r="B572" s="545">
        <v>1214</v>
      </c>
      <c r="C572" s="546">
        <v>274</v>
      </c>
      <c r="D572" s="546">
        <v>1</v>
      </c>
      <c r="E572" s="546">
        <v>0</v>
      </c>
      <c r="F572" s="546">
        <v>6.68</v>
      </c>
      <c r="G572" s="549"/>
      <c r="H572" s="549"/>
    </row>
    <row r="573" spans="1:8">
      <c r="A573" t="str">
        <f t="shared" si="8"/>
        <v>1214275</v>
      </c>
      <c r="B573" s="545">
        <v>1214</v>
      </c>
      <c r="C573" s="546">
        <v>275</v>
      </c>
      <c r="D573" s="546">
        <v>1</v>
      </c>
      <c r="E573" s="546">
        <v>0</v>
      </c>
      <c r="F573" s="546">
        <v>4.4800000000000004</v>
      </c>
      <c r="G573" s="549"/>
      <c r="H573" s="549"/>
    </row>
    <row r="574" spans="1:8">
      <c r="A574" t="str">
        <f t="shared" si="8"/>
        <v>1214277</v>
      </c>
      <c r="B574" s="545">
        <v>1214</v>
      </c>
      <c r="C574" s="546">
        <v>277</v>
      </c>
      <c r="D574" s="546">
        <v>1</v>
      </c>
      <c r="E574" s="546">
        <v>0</v>
      </c>
      <c r="F574" s="546">
        <v>150.16999999999999</v>
      </c>
      <c r="G574" s="549"/>
      <c r="H574" s="549"/>
    </row>
    <row r="575" spans="1:8">
      <c r="A575" t="str">
        <f t="shared" si="8"/>
        <v>1214278</v>
      </c>
      <c r="B575" s="545">
        <v>1214</v>
      </c>
      <c r="C575" s="546">
        <v>278</v>
      </c>
      <c r="D575" s="546">
        <v>1</v>
      </c>
      <c r="E575" s="546">
        <v>0</v>
      </c>
      <c r="F575" s="546">
        <v>0</v>
      </c>
      <c r="G575" s="549"/>
      <c r="H575" s="549"/>
    </row>
    <row r="576" spans="1:8">
      <c r="A576" t="str">
        <f t="shared" si="8"/>
        <v>1214280</v>
      </c>
      <c r="B576" s="545">
        <v>1214</v>
      </c>
      <c r="C576" s="546">
        <v>280</v>
      </c>
      <c r="D576" s="546">
        <v>1</v>
      </c>
      <c r="E576" s="546">
        <v>0</v>
      </c>
      <c r="F576" s="552">
        <v>1449.23</v>
      </c>
      <c r="G576" s="549"/>
      <c r="H576" s="549"/>
    </row>
    <row r="577" spans="1:8">
      <c r="A577" t="str">
        <f t="shared" si="8"/>
        <v>1214281</v>
      </c>
      <c r="B577" s="545">
        <v>1214</v>
      </c>
      <c r="C577" s="546">
        <v>281</v>
      </c>
      <c r="D577" s="546">
        <v>1</v>
      </c>
      <c r="E577" s="546">
        <v>0</v>
      </c>
      <c r="F577" s="546">
        <v>0</v>
      </c>
      <c r="G577" s="549"/>
      <c r="H577" s="549"/>
    </row>
    <row r="578" spans="1:8">
      <c r="A578" t="str">
        <f t="shared" ref="A578:A641" si="9">+CONCATENATE(B578,C578)</f>
        <v>1214282</v>
      </c>
      <c r="B578" s="545">
        <v>1214</v>
      </c>
      <c r="C578" s="546">
        <v>282</v>
      </c>
      <c r="D578" s="546">
        <v>1</v>
      </c>
      <c r="E578" s="546">
        <v>0</v>
      </c>
      <c r="F578" s="546">
        <v>2.02</v>
      </c>
      <c r="G578" s="549"/>
      <c r="H578" s="549"/>
    </row>
    <row r="579" spans="1:8">
      <c r="A579" t="str">
        <f t="shared" si="9"/>
        <v>1214283</v>
      </c>
      <c r="B579" s="545">
        <v>1214</v>
      </c>
      <c r="C579" s="546">
        <v>283</v>
      </c>
      <c r="D579" s="546">
        <v>1</v>
      </c>
      <c r="E579" s="546">
        <v>0</v>
      </c>
      <c r="F579" s="546">
        <v>0</v>
      </c>
      <c r="G579" s="549"/>
      <c r="H579" s="549"/>
    </row>
    <row r="580" spans="1:8">
      <c r="A580" t="str">
        <f t="shared" si="9"/>
        <v>1214284</v>
      </c>
      <c r="B580" s="545">
        <v>1214</v>
      </c>
      <c r="C580" s="546">
        <v>284</v>
      </c>
      <c r="D580" s="546">
        <v>1</v>
      </c>
      <c r="E580" s="546">
        <v>0</v>
      </c>
      <c r="F580" s="546">
        <v>0</v>
      </c>
      <c r="G580" s="549"/>
      <c r="H580" s="549"/>
    </row>
    <row r="581" spans="1:8">
      <c r="A581" t="str">
        <f t="shared" si="9"/>
        <v>1214285</v>
      </c>
      <c r="B581" s="545">
        <v>1214</v>
      </c>
      <c r="C581" s="546">
        <v>285</v>
      </c>
      <c r="D581" s="546">
        <v>1</v>
      </c>
      <c r="E581" s="546">
        <v>0</v>
      </c>
      <c r="F581" s="546">
        <v>0</v>
      </c>
      <c r="G581" s="549"/>
      <c r="H581" s="549"/>
    </row>
    <row r="582" spans="1:8">
      <c r="A582" t="str">
        <f t="shared" si="9"/>
        <v>1214286</v>
      </c>
      <c r="B582" s="545">
        <v>1214</v>
      </c>
      <c r="C582" s="546">
        <v>286</v>
      </c>
      <c r="D582" s="546">
        <v>1</v>
      </c>
      <c r="E582" s="546">
        <v>0</v>
      </c>
      <c r="F582" s="552">
        <v>3263.97</v>
      </c>
      <c r="G582" s="549"/>
      <c r="H582" s="549"/>
    </row>
    <row r="583" spans="1:8">
      <c r="A583" t="str">
        <f t="shared" si="9"/>
        <v>1214287</v>
      </c>
      <c r="B583" s="545">
        <v>1214</v>
      </c>
      <c r="C583" s="546">
        <v>287</v>
      </c>
      <c r="D583" s="546">
        <v>1</v>
      </c>
      <c r="E583" s="546">
        <v>0</v>
      </c>
      <c r="F583" s="546">
        <v>2.36</v>
      </c>
      <c r="G583" s="549"/>
      <c r="H583" s="549"/>
    </row>
    <row r="584" spans="1:8">
      <c r="A584" t="str">
        <f t="shared" si="9"/>
        <v>1214291</v>
      </c>
      <c r="B584" s="545">
        <v>1214</v>
      </c>
      <c r="C584" s="546">
        <v>291</v>
      </c>
      <c r="D584" s="546">
        <v>1</v>
      </c>
      <c r="E584" s="546">
        <v>1</v>
      </c>
      <c r="F584" s="552">
        <v>3857.14</v>
      </c>
      <c r="G584" s="549"/>
      <c r="H584" s="549"/>
    </row>
    <row r="585" spans="1:8">
      <c r="A585" t="str">
        <f t="shared" si="9"/>
        <v>1214292</v>
      </c>
      <c r="B585" s="545">
        <v>1214</v>
      </c>
      <c r="C585" s="546">
        <v>292</v>
      </c>
      <c r="D585" s="546">
        <v>1</v>
      </c>
      <c r="E585" s="546">
        <v>2</v>
      </c>
      <c r="F585" s="552">
        <v>2536.4299999999998</v>
      </c>
      <c r="G585" s="549"/>
      <c r="H585" s="549"/>
    </row>
    <row r="586" spans="1:8">
      <c r="A586" t="str">
        <f t="shared" si="9"/>
        <v>1214293</v>
      </c>
      <c r="B586" s="545">
        <v>1214</v>
      </c>
      <c r="C586" s="546">
        <v>293</v>
      </c>
      <c r="D586" s="546">
        <v>0</v>
      </c>
      <c r="E586" s="546">
        <v>4</v>
      </c>
      <c r="F586" s="552">
        <v>2971.43</v>
      </c>
      <c r="G586" s="549"/>
      <c r="H586" s="549"/>
    </row>
    <row r="587" spans="1:8">
      <c r="A587" t="str">
        <f t="shared" si="9"/>
        <v>1214295</v>
      </c>
      <c r="B587" s="545">
        <v>1214</v>
      </c>
      <c r="C587" s="546">
        <v>295</v>
      </c>
      <c r="D587" s="546">
        <v>1</v>
      </c>
      <c r="E587" s="546">
        <v>0</v>
      </c>
      <c r="F587" s="546">
        <v>0</v>
      </c>
      <c r="G587" s="549"/>
      <c r="H587" s="549"/>
    </row>
    <row r="588" spans="1:8">
      <c r="A588" t="str">
        <f t="shared" si="9"/>
        <v>1214296</v>
      </c>
      <c r="B588" s="545">
        <v>1214</v>
      </c>
      <c r="C588" s="546">
        <v>296</v>
      </c>
      <c r="D588" s="546">
        <v>1</v>
      </c>
      <c r="E588" s="546">
        <v>0</v>
      </c>
      <c r="F588" s="546">
        <v>11.5</v>
      </c>
      <c r="G588" s="549"/>
      <c r="H588" s="549"/>
    </row>
    <row r="589" spans="1:8">
      <c r="A589" t="str">
        <f t="shared" si="9"/>
        <v>1214297</v>
      </c>
      <c r="B589" s="545">
        <v>1214</v>
      </c>
      <c r="C589" s="546">
        <v>297</v>
      </c>
      <c r="D589" s="546">
        <v>0</v>
      </c>
      <c r="E589" s="546">
        <v>55</v>
      </c>
      <c r="F589" s="552">
        <v>25007.14</v>
      </c>
      <c r="G589" s="549"/>
      <c r="H589" s="549"/>
    </row>
    <row r="590" spans="1:8">
      <c r="A590" t="str">
        <f t="shared" si="9"/>
        <v>1214298</v>
      </c>
      <c r="B590" s="545">
        <v>1214</v>
      </c>
      <c r="C590" s="546">
        <v>298</v>
      </c>
      <c r="D590" s="546">
        <v>1</v>
      </c>
      <c r="E590" s="546">
        <v>0</v>
      </c>
      <c r="F590" s="546">
        <v>0</v>
      </c>
      <c r="G590" s="549"/>
      <c r="H590" s="549"/>
    </row>
    <row r="591" spans="1:8">
      <c r="A591" t="str">
        <f t="shared" si="9"/>
        <v>1214299</v>
      </c>
      <c r="B591" s="545">
        <v>1214</v>
      </c>
      <c r="C591" s="546">
        <v>299</v>
      </c>
      <c r="D591" s="546">
        <v>1</v>
      </c>
      <c r="E591" s="546">
        <v>0</v>
      </c>
      <c r="F591" s="546">
        <v>0</v>
      </c>
      <c r="G591" s="549"/>
      <c r="H591" s="549"/>
    </row>
    <row r="592" spans="1:8">
      <c r="A592" t="str">
        <f t="shared" si="9"/>
        <v>1214300</v>
      </c>
      <c r="B592" s="545">
        <v>1214</v>
      </c>
      <c r="C592" s="546">
        <v>300</v>
      </c>
      <c r="D592" s="546">
        <v>1</v>
      </c>
      <c r="E592" s="546">
        <v>2</v>
      </c>
      <c r="F592" s="552">
        <v>1344.27</v>
      </c>
      <c r="G592" s="549"/>
      <c r="H592" s="549"/>
    </row>
    <row r="593" spans="1:8">
      <c r="A593" t="str">
        <f t="shared" si="9"/>
        <v>1214303</v>
      </c>
      <c r="B593" s="545">
        <v>1214</v>
      </c>
      <c r="C593" s="546">
        <v>303</v>
      </c>
      <c r="D593" s="546">
        <v>0</v>
      </c>
      <c r="E593" s="546">
        <v>15</v>
      </c>
      <c r="F593" s="552">
        <v>10426.299999999999</v>
      </c>
      <c r="G593" s="549"/>
      <c r="H593" s="549"/>
    </row>
    <row r="594" spans="1:8">
      <c r="A594" t="str">
        <f t="shared" si="9"/>
        <v>1214304</v>
      </c>
      <c r="B594" s="545">
        <v>1214</v>
      </c>
      <c r="C594" s="546">
        <v>304</v>
      </c>
      <c r="D594" s="546">
        <v>1</v>
      </c>
      <c r="E594" s="546">
        <v>0</v>
      </c>
      <c r="F594" s="546">
        <v>0</v>
      </c>
      <c r="G594" s="549"/>
      <c r="H594" s="549"/>
    </row>
    <row r="595" spans="1:8">
      <c r="A595" t="str">
        <f t="shared" si="9"/>
        <v>1214305</v>
      </c>
      <c r="B595" s="545">
        <v>1214</v>
      </c>
      <c r="C595" s="546">
        <v>305</v>
      </c>
      <c r="D595" s="546">
        <v>1</v>
      </c>
      <c r="E595" s="546">
        <v>0</v>
      </c>
      <c r="F595" s="552">
        <v>1336.05</v>
      </c>
      <c r="G595" s="549"/>
      <c r="H595" s="549"/>
    </row>
    <row r="596" spans="1:8">
      <c r="A596" t="str">
        <f t="shared" si="9"/>
        <v>1214311</v>
      </c>
      <c r="B596" s="545">
        <v>1214</v>
      </c>
      <c r="C596" s="546">
        <v>311</v>
      </c>
      <c r="D596" s="546">
        <v>1</v>
      </c>
      <c r="E596" s="546">
        <v>1</v>
      </c>
      <c r="F596" s="546">
        <v>238.07</v>
      </c>
      <c r="G596" s="549"/>
      <c r="H596" s="549"/>
    </row>
    <row r="597" spans="1:8">
      <c r="A597" t="str">
        <f t="shared" si="9"/>
        <v>1214312</v>
      </c>
      <c r="B597" s="545">
        <v>1214</v>
      </c>
      <c r="C597" s="546">
        <v>312</v>
      </c>
      <c r="D597" s="546">
        <v>0</v>
      </c>
      <c r="E597" s="546">
        <v>10</v>
      </c>
      <c r="F597" s="552">
        <v>7363.56</v>
      </c>
      <c r="G597" s="549"/>
      <c r="H597" s="549"/>
    </row>
    <row r="598" spans="1:8">
      <c r="A598" t="str">
        <f t="shared" si="9"/>
        <v>1214313</v>
      </c>
      <c r="B598" s="545">
        <v>1214</v>
      </c>
      <c r="C598" s="546">
        <v>313</v>
      </c>
      <c r="D598" s="546">
        <v>0</v>
      </c>
      <c r="E598" s="546">
        <v>8</v>
      </c>
      <c r="F598" s="552">
        <v>5914.36</v>
      </c>
      <c r="G598" s="549"/>
      <c r="H598" s="549"/>
    </row>
    <row r="599" spans="1:8">
      <c r="A599" t="str">
        <f t="shared" si="9"/>
        <v>1214314</v>
      </c>
      <c r="B599" s="545">
        <v>1214</v>
      </c>
      <c r="C599" s="546">
        <v>314</v>
      </c>
      <c r="D599" s="546">
        <v>0</v>
      </c>
      <c r="E599" s="546">
        <v>31</v>
      </c>
      <c r="F599" s="552">
        <v>19071.490000000002</v>
      </c>
      <c r="G599" s="549"/>
      <c r="H599" s="549"/>
    </row>
    <row r="600" spans="1:8">
      <c r="A600" t="str">
        <f t="shared" si="9"/>
        <v>1214316</v>
      </c>
      <c r="B600" s="545">
        <v>1214</v>
      </c>
      <c r="C600" s="546">
        <v>316</v>
      </c>
      <c r="D600" s="546">
        <v>1</v>
      </c>
      <c r="E600" s="546">
        <v>0</v>
      </c>
      <c r="F600" s="546">
        <v>0</v>
      </c>
      <c r="G600" s="549"/>
      <c r="H600" s="549"/>
    </row>
    <row r="601" spans="1:8">
      <c r="A601" t="str">
        <f t="shared" si="9"/>
        <v>1214317</v>
      </c>
      <c r="B601" s="545">
        <v>1214</v>
      </c>
      <c r="C601" s="546">
        <v>317</v>
      </c>
      <c r="D601" s="546">
        <v>1</v>
      </c>
      <c r="E601" s="546">
        <v>0</v>
      </c>
      <c r="F601" s="546">
        <v>2.36</v>
      </c>
      <c r="G601" s="549"/>
      <c r="H601" s="549"/>
    </row>
    <row r="602" spans="1:8">
      <c r="A602" t="str">
        <f t="shared" si="9"/>
        <v>1214320</v>
      </c>
      <c r="B602" s="545">
        <v>1214</v>
      </c>
      <c r="C602" s="546">
        <v>320</v>
      </c>
      <c r="D602" s="546">
        <v>0</v>
      </c>
      <c r="E602" s="546">
        <v>6</v>
      </c>
      <c r="F602" s="552">
        <v>4378.54</v>
      </c>
      <c r="G602" s="549"/>
      <c r="H602" s="549"/>
    </row>
    <row r="603" spans="1:8">
      <c r="A603" t="str">
        <f t="shared" si="9"/>
        <v>1214321</v>
      </c>
      <c r="B603" s="545">
        <v>1214</v>
      </c>
      <c r="C603" s="546">
        <v>321</v>
      </c>
      <c r="D603" s="546">
        <v>0</v>
      </c>
      <c r="E603" s="546">
        <v>18</v>
      </c>
      <c r="F603" s="552">
        <v>12120.47</v>
      </c>
      <c r="G603" s="549"/>
      <c r="H603" s="549"/>
    </row>
    <row r="604" spans="1:8">
      <c r="A604" t="str">
        <f t="shared" si="9"/>
        <v>1214322</v>
      </c>
      <c r="B604" s="545">
        <v>1214</v>
      </c>
      <c r="C604" s="546">
        <v>322</v>
      </c>
      <c r="D604" s="546">
        <v>1</v>
      </c>
      <c r="E604" s="546">
        <v>1</v>
      </c>
      <c r="F604" s="552">
        <v>1325.12</v>
      </c>
      <c r="G604" s="549"/>
      <c r="H604" s="549"/>
    </row>
    <row r="605" spans="1:8">
      <c r="A605" t="str">
        <f t="shared" si="9"/>
        <v>1214325</v>
      </c>
      <c r="B605" s="545">
        <v>1214</v>
      </c>
      <c r="C605" s="546">
        <v>325</v>
      </c>
      <c r="D605" s="546">
        <v>1</v>
      </c>
      <c r="E605" s="546">
        <v>1</v>
      </c>
      <c r="F605" s="546">
        <v>749.72</v>
      </c>
      <c r="G605" s="549"/>
      <c r="H605" s="549"/>
    </row>
    <row r="606" spans="1:8">
      <c r="A606" t="str">
        <f t="shared" si="9"/>
        <v>1214326</v>
      </c>
      <c r="B606" s="545">
        <v>1214</v>
      </c>
      <c r="C606" s="546">
        <v>326</v>
      </c>
      <c r="D606" s="546">
        <v>1</v>
      </c>
      <c r="E606" s="546">
        <v>2</v>
      </c>
      <c r="F606" s="546">
        <v>841.72</v>
      </c>
      <c r="G606" s="549"/>
      <c r="H606" s="549"/>
    </row>
    <row r="607" spans="1:8">
      <c r="A607" t="str">
        <f t="shared" si="9"/>
        <v>1214327</v>
      </c>
      <c r="B607" s="545">
        <v>1214</v>
      </c>
      <c r="C607" s="546">
        <v>327</v>
      </c>
      <c r="D607" s="546">
        <v>1</v>
      </c>
      <c r="E607" s="546">
        <v>2</v>
      </c>
      <c r="F607" s="546">
        <v>843.79</v>
      </c>
      <c r="G607" s="549"/>
      <c r="H607" s="549"/>
    </row>
    <row r="608" spans="1:8">
      <c r="A608" t="str">
        <f t="shared" si="9"/>
        <v>1214328</v>
      </c>
      <c r="B608" s="545">
        <v>1214</v>
      </c>
      <c r="C608" s="546">
        <v>328</v>
      </c>
      <c r="D608" s="546">
        <v>1</v>
      </c>
      <c r="E608" s="546">
        <v>2</v>
      </c>
      <c r="F608" s="546">
        <v>851.35</v>
      </c>
      <c r="G608" s="549"/>
      <c r="H608" s="549"/>
    </row>
    <row r="609" spans="1:8">
      <c r="A609" t="str">
        <f t="shared" si="9"/>
        <v>1214329</v>
      </c>
      <c r="B609" s="545">
        <v>1214</v>
      </c>
      <c r="C609" s="546">
        <v>329</v>
      </c>
      <c r="D609" s="546">
        <v>1</v>
      </c>
      <c r="E609" s="546">
        <v>2</v>
      </c>
      <c r="F609" s="546">
        <v>850.26</v>
      </c>
      <c r="G609" s="549"/>
      <c r="H609" s="549"/>
    </row>
    <row r="610" spans="1:8">
      <c r="A610" t="str">
        <f t="shared" si="9"/>
        <v>1214330</v>
      </c>
      <c r="B610" s="545">
        <v>1214</v>
      </c>
      <c r="C610" s="546">
        <v>330</v>
      </c>
      <c r="D610" s="546">
        <v>1</v>
      </c>
      <c r="E610" s="546">
        <v>2</v>
      </c>
      <c r="F610" s="546">
        <v>840.02</v>
      </c>
      <c r="G610" s="549"/>
      <c r="H610" s="549"/>
    </row>
    <row r="611" spans="1:8">
      <c r="A611" t="str">
        <f t="shared" si="9"/>
        <v>1214331</v>
      </c>
      <c r="B611" s="545">
        <v>1214</v>
      </c>
      <c r="C611" s="546">
        <v>331</v>
      </c>
      <c r="D611" s="546">
        <v>1</v>
      </c>
      <c r="E611" s="546">
        <v>2</v>
      </c>
      <c r="F611" s="546">
        <v>812.21</v>
      </c>
      <c r="G611" s="549"/>
      <c r="H611" s="549"/>
    </row>
    <row r="612" spans="1:8">
      <c r="A612" t="str">
        <f t="shared" si="9"/>
        <v>1214332</v>
      </c>
      <c r="B612" s="545">
        <v>1214</v>
      </c>
      <c r="C612" s="546">
        <v>332</v>
      </c>
      <c r="D612" s="546">
        <v>1</v>
      </c>
      <c r="E612" s="546">
        <v>1</v>
      </c>
      <c r="F612" s="546">
        <v>749.72</v>
      </c>
      <c r="G612" s="549"/>
      <c r="H612" s="549"/>
    </row>
    <row r="613" spans="1:8">
      <c r="A613" t="str">
        <f t="shared" si="9"/>
        <v>1214333</v>
      </c>
      <c r="B613" s="545">
        <v>1214</v>
      </c>
      <c r="C613" s="546">
        <v>333</v>
      </c>
      <c r="D613" s="546">
        <v>1</v>
      </c>
      <c r="E613" s="546">
        <v>2</v>
      </c>
      <c r="F613" s="546">
        <v>847.79</v>
      </c>
      <c r="G613" s="2"/>
    </row>
    <row r="614" spans="1:8">
      <c r="A614" t="str">
        <f t="shared" si="9"/>
        <v>1214334</v>
      </c>
      <c r="B614" s="545">
        <v>1214</v>
      </c>
      <c r="C614" s="546">
        <v>334</v>
      </c>
      <c r="D614" s="546">
        <v>0</v>
      </c>
      <c r="E614" s="546">
        <v>5</v>
      </c>
      <c r="F614" s="552">
        <v>3823.24</v>
      </c>
      <c r="G614" s="2"/>
    </row>
    <row r="615" spans="1:8">
      <c r="A615" t="str">
        <f t="shared" si="9"/>
        <v>1214335</v>
      </c>
      <c r="B615" s="545">
        <v>1214</v>
      </c>
      <c r="C615" s="546">
        <v>335</v>
      </c>
      <c r="D615" s="546">
        <v>1</v>
      </c>
      <c r="E615" s="546">
        <v>0</v>
      </c>
      <c r="F615" s="546">
        <v>0</v>
      </c>
      <c r="G615" s="2"/>
    </row>
    <row r="616" spans="1:8">
      <c r="A616" t="str">
        <f t="shared" si="9"/>
        <v>1214336</v>
      </c>
      <c r="B616" s="545">
        <v>1214</v>
      </c>
      <c r="C616" s="546">
        <v>336</v>
      </c>
      <c r="D616" s="546">
        <v>1</v>
      </c>
      <c r="E616" s="546">
        <v>1</v>
      </c>
      <c r="F616" s="546">
        <v>238.07</v>
      </c>
      <c r="G616" s="2"/>
    </row>
    <row r="617" spans="1:8">
      <c r="A617" t="str">
        <f t="shared" si="9"/>
        <v>1214337</v>
      </c>
      <c r="B617" s="545">
        <v>1214</v>
      </c>
      <c r="C617" s="546">
        <v>337</v>
      </c>
      <c r="D617" s="546">
        <v>0</v>
      </c>
      <c r="E617" s="546">
        <v>7</v>
      </c>
      <c r="F617" s="552">
        <v>5194.12</v>
      </c>
    </row>
    <row r="618" spans="1:8">
      <c r="A618" t="str">
        <f t="shared" si="9"/>
        <v>1214338</v>
      </c>
      <c r="B618" s="545">
        <v>1214</v>
      </c>
      <c r="C618" s="546">
        <v>338</v>
      </c>
      <c r="D618" s="546">
        <v>0</v>
      </c>
      <c r="E618" s="546">
        <v>10</v>
      </c>
      <c r="F618" s="552">
        <v>7241.96</v>
      </c>
      <c r="G618" s="2"/>
    </row>
    <row r="619" spans="1:8">
      <c r="A619" t="str">
        <f t="shared" si="9"/>
        <v>1214339</v>
      </c>
      <c r="B619" s="545">
        <v>1214</v>
      </c>
      <c r="C619" s="546">
        <v>339</v>
      </c>
      <c r="D619" s="546">
        <v>0</v>
      </c>
      <c r="E619" s="546">
        <v>10</v>
      </c>
      <c r="F619" s="552">
        <v>7351.16</v>
      </c>
      <c r="G619" s="2"/>
    </row>
    <row r="620" spans="1:8">
      <c r="A620" t="str">
        <f t="shared" si="9"/>
        <v>1214349</v>
      </c>
      <c r="B620" s="545">
        <v>1214</v>
      </c>
      <c r="C620" s="546">
        <v>349</v>
      </c>
      <c r="D620" s="546">
        <v>0</v>
      </c>
      <c r="E620" s="546">
        <v>11</v>
      </c>
      <c r="F620" s="552">
        <v>9492.2199999999993</v>
      </c>
      <c r="G620" s="2"/>
    </row>
    <row r="621" spans="1:8">
      <c r="A621" t="str">
        <f t="shared" si="9"/>
        <v>1214350</v>
      </c>
      <c r="B621" s="545">
        <v>1214</v>
      </c>
      <c r="C621" s="546">
        <v>350</v>
      </c>
      <c r="D621" s="546">
        <v>0</v>
      </c>
      <c r="E621" s="546">
        <v>12</v>
      </c>
      <c r="F621" s="552">
        <v>10312.83</v>
      </c>
      <c r="G621" s="2"/>
    </row>
    <row r="622" spans="1:8">
      <c r="A622" t="str">
        <f t="shared" si="9"/>
        <v>1214351</v>
      </c>
      <c r="B622" s="545">
        <v>1214</v>
      </c>
      <c r="C622" s="546">
        <v>351</v>
      </c>
      <c r="D622" s="546">
        <v>0</v>
      </c>
      <c r="E622" s="546">
        <v>12</v>
      </c>
      <c r="F622" s="552">
        <v>10312.83</v>
      </c>
      <c r="G622" s="2"/>
    </row>
    <row r="623" spans="1:8">
      <c r="A623" t="str">
        <f t="shared" si="9"/>
        <v>1214352</v>
      </c>
      <c r="B623" s="545">
        <v>1214</v>
      </c>
      <c r="C623" s="546">
        <v>352</v>
      </c>
      <c r="D623" s="546">
        <v>0</v>
      </c>
      <c r="E623" s="546">
        <v>10</v>
      </c>
      <c r="F623" s="552">
        <v>7755.79</v>
      </c>
      <c r="G623" s="2"/>
    </row>
    <row r="624" spans="1:8">
      <c r="A624" t="str">
        <f t="shared" si="9"/>
        <v>1214353</v>
      </c>
      <c r="B624" s="545">
        <v>1214</v>
      </c>
      <c r="C624" s="546">
        <v>353</v>
      </c>
      <c r="D624" s="546">
        <v>0</v>
      </c>
      <c r="E624" s="546">
        <v>11</v>
      </c>
      <c r="F624" s="552">
        <v>8337.4599999999991</v>
      </c>
      <c r="G624" s="2"/>
    </row>
    <row r="625" spans="1:7">
      <c r="A625" t="str">
        <f t="shared" si="9"/>
        <v>1214354</v>
      </c>
      <c r="B625" s="545">
        <v>1214</v>
      </c>
      <c r="C625" s="546">
        <v>354</v>
      </c>
      <c r="D625" s="546">
        <v>0</v>
      </c>
      <c r="E625" s="546">
        <v>10</v>
      </c>
      <c r="F625" s="552">
        <v>2913.62</v>
      </c>
      <c r="G625" s="2"/>
    </row>
    <row r="626" spans="1:7">
      <c r="A626" t="str">
        <f t="shared" si="9"/>
        <v>1214355</v>
      </c>
      <c r="B626" s="545">
        <v>1214</v>
      </c>
      <c r="C626" s="546">
        <v>355</v>
      </c>
      <c r="D626" s="546">
        <v>0</v>
      </c>
      <c r="E626" s="546">
        <v>9</v>
      </c>
      <c r="F626" s="552">
        <v>2659.74</v>
      </c>
    </row>
    <row r="627" spans="1:7">
      <c r="A627" t="str">
        <f t="shared" si="9"/>
        <v>1214356</v>
      </c>
      <c r="B627" s="545">
        <v>1214</v>
      </c>
      <c r="C627" s="546">
        <v>356</v>
      </c>
      <c r="D627" s="546">
        <v>1</v>
      </c>
      <c r="E627" s="546">
        <v>0</v>
      </c>
      <c r="F627" s="552">
        <v>1851.94</v>
      </c>
    </row>
    <row r="628" spans="1:7">
      <c r="A628" t="str">
        <f t="shared" si="9"/>
        <v>1214357</v>
      </c>
      <c r="B628" s="545">
        <v>1214</v>
      </c>
      <c r="C628" s="546">
        <v>357</v>
      </c>
      <c r="D628" s="546">
        <v>1</v>
      </c>
      <c r="E628" s="546">
        <v>1</v>
      </c>
      <c r="F628" s="546">
        <v>238.07</v>
      </c>
      <c r="G628" s="2"/>
    </row>
    <row r="629" spans="1:7">
      <c r="A629" t="str">
        <f t="shared" si="9"/>
        <v>1214358</v>
      </c>
      <c r="B629" s="545">
        <v>1214</v>
      </c>
      <c r="C629" s="546">
        <v>358</v>
      </c>
      <c r="D629" s="546">
        <v>0</v>
      </c>
      <c r="E629" s="546">
        <v>9</v>
      </c>
      <c r="F629" s="552">
        <v>2657.77</v>
      </c>
      <c r="G629" s="2"/>
    </row>
    <row r="630" spans="1:7">
      <c r="A630" t="str">
        <f t="shared" si="9"/>
        <v>1214359</v>
      </c>
      <c r="B630" s="545">
        <v>1214</v>
      </c>
      <c r="C630" s="546">
        <v>359</v>
      </c>
      <c r="D630" s="546">
        <v>0</v>
      </c>
      <c r="E630" s="546">
        <v>8</v>
      </c>
      <c r="F630" s="552">
        <v>2395.62</v>
      </c>
      <c r="G630" s="2"/>
    </row>
    <row r="631" spans="1:7">
      <c r="A631" t="str">
        <f t="shared" si="9"/>
        <v>1214360</v>
      </c>
      <c r="B631" s="545">
        <v>1214</v>
      </c>
      <c r="C631" s="546">
        <v>360</v>
      </c>
      <c r="D631" s="546">
        <v>0</v>
      </c>
      <c r="E631" s="546">
        <v>11</v>
      </c>
      <c r="F631" s="552">
        <v>3160.45</v>
      </c>
      <c r="G631" s="2"/>
    </row>
    <row r="632" spans="1:7">
      <c r="A632" t="str">
        <f t="shared" si="9"/>
        <v>1214361</v>
      </c>
      <c r="B632" s="545">
        <v>1214</v>
      </c>
      <c r="C632" s="546">
        <v>361</v>
      </c>
      <c r="D632" s="546">
        <v>0</v>
      </c>
      <c r="E632" s="546">
        <v>11</v>
      </c>
      <c r="F632" s="552">
        <v>3156.68</v>
      </c>
    </row>
    <row r="633" spans="1:7">
      <c r="A633" t="str">
        <f t="shared" si="9"/>
        <v>1214362</v>
      </c>
      <c r="B633" s="545">
        <v>1214</v>
      </c>
      <c r="C633" s="546">
        <v>362</v>
      </c>
      <c r="D633" s="546">
        <v>0</v>
      </c>
      <c r="E633" s="546">
        <v>7</v>
      </c>
      <c r="F633" s="552">
        <v>2158.92</v>
      </c>
    </row>
    <row r="634" spans="1:7">
      <c r="A634" t="str">
        <f t="shared" si="9"/>
        <v>1214363</v>
      </c>
      <c r="B634" s="545">
        <v>1214</v>
      </c>
      <c r="C634" s="546">
        <v>363</v>
      </c>
      <c r="D634" s="546">
        <v>0</v>
      </c>
      <c r="E634" s="546">
        <v>3</v>
      </c>
      <c r="F634" s="552">
        <v>2464.79</v>
      </c>
      <c r="G634" s="2"/>
    </row>
    <row r="635" spans="1:7">
      <c r="A635" t="str">
        <f t="shared" si="9"/>
        <v>1214364</v>
      </c>
      <c r="B635" s="545">
        <v>1214</v>
      </c>
      <c r="C635" s="546">
        <v>364</v>
      </c>
      <c r="D635" s="546">
        <v>1</v>
      </c>
      <c r="E635" s="546">
        <v>2</v>
      </c>
      <c r="F635" s="552">
        <v>1675.51</v>
      </c>
    </row>
    <row r="636" spans="1:7">
      <c r="A636" t="str">
        <f t="shared" si="9"/>
        <v>1214365</v>
      </c>
      <c r="B636" s="545">
        <v>1214</v>
      </c>
      <c r="C636" s="546">
        <v>365</v>
      </c>
      <c r="D636" s="546">
        <v>0</v>
      </c>
      <c r="E636" s="546">
        <v>9</v>
      </c>
      <c r="F636" s="552">
        <v>2665.98</v>
      </c>
      <c r="G636" s="2"/>
    </row>
    <row r="637" spans="1:7">
      <c r="A637" t="str">
        <f t="shared" si="9"/>
        <v>1214366</v>
      </c>
      <c r="B637" s="545">
        <v>1214</v>
      </c>
      <c r="C637" s="546">
        <v>366</v>
      </c>
      <c r="D637" s="546">
        <v>1</v>
      </c>
      <c r="E637" s="546">
        <v>0</v>
      </c>
      <c r="F637" s="552">
        <v>2794.16</v>
      </c>
      <c r="G637" s="2"/>
    </row>
    <row r="638" spans="1:7">
      <c r="A638" t="str">
        <f t="shared" si="9"/>
        <v>1214367</v>
      </c>
      <c r="B638" s="545">
        <v>1214</v>
      </c>
      <c r="C638" s="546">
        <v>367</v>
      </c>
      <c r="D638" s="546">
        <v>1</v>
      </c>
      <c r="E638" s="546">
        <v>2</v>
      </c>
      <c r="F638" s="546">
        <v>477.6</v>
      </c>
    </row>
    <row r="639" spans="1:7">
      <c r="A639" t="str">
        <f t="shared" si="9"/>
        <v>1214368</v>
      </c>
      <c r="B639" s="545">
        <v>1214</v>
      </c>
      <c r="C639" s="546">
        <v>368</v>
      </c>
      <c r="D639" s="546">
        <v>0</v>
      </c>
      <c r="E639" s="546">
        <v>7</v>
      </c>
      <c r="F639" s="552">
        <v>3209.86</v>
      </c>
      <c r="G639" s="2"/>
    </row>
    <row r="640" spans="1:7">
      <c r="A640" t="str">
        <f t="shared" si="9"/>
        <v>1214369</v>
      </c>
      <c r="B640" s="545">
        <v>1214</v>
      </c>
      <c r="C640" s="546">
        <v>369</v>
      </c>
      <c r="D640" s="546">
        <v>0</v>
      </c>
      <c r="E640" s="546">
        <v>3</v>
      </c>
      <c r="F640" s="552">
        <v>1363.55</v>
      </c>
      <c r="G640" s="2"/>
    </row>
    <row r="641" spans="1:7">
      <c r="A641" t="str">
        <f t="shared" si="9"/>
        <v>1214370</v>
      </c>
      <c r="B641" s="545">
        <v>1214</v>
      </c>
      <c r="C641" s="546">
        <v>370</v>
      </c>
      <c r="D641" s="546">
        <v>1</v>
      </c>
      <c r="E641" s="546">
        <v>1</v>
      </c>
      <c r="F641" s="546">
        <v>238.07</v>
      </c>
      <c r="G641" s="2"/>
    </row>
    <row r="642" spans="1:7">
      <c r="A642" t="str">
        <f t="shared" ref="A642:A669" si="10">+CONCATENATE(B642,C642)</f>
        <v>1214371</v>
      </c>
      <c r="B642" s="545">
        <v>1214</v>
      </c>
      <c r="C642" s="546">
        <v>371</v>
      </c>
      <c r="D642" s="546">
        <v>1</v>
      </c>
      <c r="E642" s="546">
        <v>2</v>
      </c>
      <c r="F642" s="546">
        <v>477.6</v>
      </c>
    </row>
    <row r="643" spans="1:7">
      <c r="A643" t="str">
        <f t="shared" si="10"/>
        <v>1214372</v>
      </c>
      <c r="B643" s="545">
        <v>1214</v>
      </c>
      <c r="C643" s="546">
        <v>372</v>
      </c>
      <c r="D643" s="546">
        <v>0</v>
      </c>
      <c r="E643" s="546">
        <v>3</v>
      </c>
      <c r="F643" s="546">
        <v>717.96</v>
      </c>
      <c r="G643" s="2"/>
    </row>
    <row r="644" spans="1:7">
      <c r="A644" t="str">
        <f t="shared" si="10"/>
        <v>1214373</v>
      </c>
      <c r="B644" s="545">
        <v>1214</v>
      </c>
      <c r="C644" s="546">
        <v>373</v>
      </c>
      <c r="D644" s="546">
        <v>0</v>
      </c>
      <c r="E644" s="546">
        <v>4</v>
      </c>
      <c r="F644" s="552">
        <v>5624.22</v>
      </c>
      <c r="G644" s="2"/>
    </row>
    <row r="645" spans="1:7">
      <c r="A645" t="str">
        <f t="shared" si="10"/>
        <v>1214374</v>
      </c>
      <c r="B645" s="545">
        <v>1214</v>
      </c>
      <c r="C645" s="546">
        <v>374</v>
      </c>
      <c r="D645" s="546">
        <v>1</v>
      </c>
      <c r="E645" s="546">
        <v>2</v>
      </c>
      <c r="F645" s="546">
        <v>903.78</v>
      </c>
      <c r="G645" s="2"/>
    </row>
    <row r="646" spans="1:7">
      <c r="A646" t="str">
        <f t="shared" si="10"/>
        <v>1214375</v>
      </c>
      <c r="B646" s="545">
        <v>1214</v>
      </c>
      <c r="C646" s="546">
        <v>375</v>
      </c>
      <c r="D646" s="546">
        <v>1</v>
      </c>
      <c r="E646" s="546">
        <v>0</v>
      </c>
      <c r="F646" s="546">
        <v>0</v>
      </c>
      <c r="G646" s="2"/>
    </row>
    <row r="647" spans="1:7">
      <c r="A647" t="str">
        <f t="shared" si="10"/>
        <v>1214376</v>
      </c>
      <c r="B647" s="545">
        <v>1214</v>
      </c>
      <c r="C647" s="546">
        <v>376</v>
      </c>
      <c r="D647" s="546">
        <v>0</v>
      </c>
      <c r="E647" s="546">
        <v>4</v>
      </c>
      <c r="F647" s="552">
        <v>3983.33</v>
      </c>
      <c r="G647" s="2"/>
    </row>
    <row r="648" spans="1:7">
      <c r="A648" t="str">
        <f t="shared" si="10"/>
        <v>12152</v>
      </c>
      <c r="B648" s="545">
        <v>1215</v>
      </c>
      <c r="C648" s="546">
        <v>2</v>
      </c>
      <c r="D648" s="546">
        <v>1</v>
      </c>
      <c r="E648" s="546">
        <v>1</v>
      </c>
      <c r="F648" s="552">
        <v>1097.52</v>
      </c>
      <c r="G648" s="2"/>
    </row>
    <row r="649" spans="1:7">
      <c r="A649" t="str">
        <f t="shared" si="10"/>
        <v>12153</v>
      </c>
      <c r="B649" s="545">
        <v>1215</v>
      </c>
      <c r="C649" s="546">
        <v>3</v>
      </c>
      <c r="D649" s="546">
        <v>1</v>
      </c>
      <c r="E649" s="546">
        <v>0</v>
      </c>
      <c r="F649" s="546">
        <v>0</v>
      </c>
      <c r="G649" s="2"/>
    </row>
    <row r="650" spans="1:7">
      <c r="A650" t="str">
        <f t="shared" si="10"/>
        <v>12155</v>
      </c>
      <c r="B650" s="545">
        <v>1215</v>
      </c>
      <c r="C650" s="546">
        <v>5</v>
      </c>
      <c r="D650" s="546">
        <v>1</v>
      </c>
      <c r="E650" s="546">
        <v>0</v>
      </c>
      <c r="F650" s="546">
        <v>0</v>
      </c>
      <c r="G650" s="2"/>
    </row>
    <row r="651" spans="1:7">
      <c r="A651" t="str">
        <f t="shared" si="10"/>
        <v>12156</v>
      </c>
      <c r="B651" s="545">
        <v>1215</v>
      </c>
      <c r="C651" s="546">
        <v>6</v>
      </c>
      <c r="D651" s="546">
        <v>1</v>
      </c>
      <c r="E651" s="546">
        <v>1</v>
      </c>
      <c r="F651" s="546">
        <v>667.8</v>
      </c>
      <c r="G651" s="2"/>
    </row>
    <row r="652" spans="1:7">
      <c r="A652" t="str">
        <f t="shared" si="10"/>
        <v>12159</v>
      </c>
      <c r="B652" s="545">
        <v>1215</v>
      </c>
      <c r="C652" s="546">
        <v>9</v>
      </c>
      <c r="D652" s="546">
        <v>1</v>
      </c>
      <c r="E652" s="546">
        <v>0</v>
      </c>
      <c r="F652" s="546">
        <v>0</v>
      </c>
      <c r="G652" s="2"/>
    </row>
    <row r="653" spans="1:7">
      <c r="A653" t="str">
        <f t="shared" si="10"/>
        <v>121510</v>
      </c>
      <c r="B653" s="545">
        <v>1215</v>
      </c>
      <c r="C653" s="546">
        <v>10</v>
      </c>
      <c r="D653" s="546">
        <v>1</v>
      </c>
      <c r="E653" s="546">
        <v>1</v>
      </c>
      <c r="F653" s="546">
        <v>667.8</v>
      </c>
      <c r="G653" s="2"/>
    </row>
    <row r="654" spans="1:7">
      <c r="A654" t="str">
        <f t="shared" si="10"/>
        <v>121511</v>
      </c>
      <c r="B654" s="545">
        <v>1215</v>
      </c>
      <c r="C654" s="546">
        <v>11</v>
      </c>
      <c r="D654" s="546">
        <v>1</v>
      </c>
      <c r="E654" s="546">
        <v>0</v>
      </c>
      <c r="F654" s="546">
        <v>0</v>
      </c>
      <c r="G654" s="2"/>
    </row>
    <row r="655" spans="1:7">
      <c r="A655" t="str">
        <f t="shared" si="10"/>
        <v>121521</v>
      </c>
      <c r="B655" s="545">
        <v>1215</v>
      </c>
      <c r="C655" s="546">
        <v>21</v>
      </c>
      <c r="D655" s="546">
        <v>1</v>
      </c>
      <c r="E655" s="546">
        <v>0</v>
      </c>
      <c r="F655" s="546">
        <v>0</v>
      </c>
    </row>
    <row r="656" spans="1:7">
      <c r="A656" t="str">
        <f t="shared" si="10"/>
        <v>121524</v>
      </c>
      <c r="B656" s="545">
        <v>1215</v>
      </c>
      <c r="C656" s="546">
        <v>24</v>
      </c>
      <c r="D656" s="546">
        <v>1</v>
      </c>
      <c r="E656" s="546">
        <v>0</v>
      </c>
      <c r="F656" s="546">
        <v>0</v>
      </c>
    </row>
    <row r="657" spans="1:8">
      <c r="A657" t="str">
        <f t="shared" si="10"/>
        <v>121526</v>
      </c>
      <c r="B657" s="545">
        <v>1215</v>
      </c>
      <c r="C657" s="546">
        <v>26</v>
      </c>
      <c r="D657" s="546">
        <v>1</v>
      </c>
      <c r="E657" s="546">
        <v>0</v>
      </c>
      <c r="F657" s="546">
        <v>0</v>
      </c>
    </row>
    <row r="658" spans="1:8">
      <c r="A658" t="str">
        <f t="shared" si="10"/>
        <v>121527</v>
      </c>
      <c r="B658" s="545">
        <v>1215</v>
      </c>
      <c r="C658" s="546">
        <v>27</v>
      </c>
      <c r="D658" s="546">
        <v>1</v>
      </c>
      <c r="E658" s="546">
        <v>0</v>
      </c>
      <c r="F658" s="546">
        <v>0</v>
      </c>
      <c r="G658" s="2"/>
    </row>
    <row r="659" spans="1:8">
      <c r="A659" t="str">
        <f t="shared" si="10"/>
        <v>121528</v>
      </c>
      <c r="B659" s="545">
        <v>1215</v>
      </c>
      <c r="C659" s="546">
        <v>28</v>
      </c>
      <c r="D659" s="546">
        <v>1</v>
      </c>
      <c r="E659" s="546">
        <v>0</v>
      </c>
      <c r="F659" s="546">
        <v>0</v>
      </c>
      <c r="G659" s="2"/>
    </row>
    <row r="660" spans="1:8">
      <c r="A660" t="str">
        <f t="shared" si="10"/>
        <v>121529</v>
      </c>
      <c r="B660" s="545">
        <v>1215</v>
      </c>
      <c r="C660" s="546">
        <v>29</v>
      </c>
      <c r="D660" s="546">
        <v>1</v>
      </c>
      <c r="E660" s="546">
        <v>0</v>
      </c>
      <c r="F660" s="546">
        <v>4.4800000000000004</v>
      </c>
      <c r="G660" s="2"/>
    </row>
    <row r="661" spans="1:8">
      <c r="A661" t="str">
        <f t="shared" si="10"/>
        <v>121530</v>
      </c>
      <c r="B661" s="545">
        <v>1215</v>
      </c>
      <c r="C661" s="546">
        <v>30</v>
      </c>
      <c r="D661" s="546">
        <v>1</v>
      </c>
      <c r="E661" s="546">
        <v>0</v>
      </c>
      <c r="F661" s="546">
        <v>0</v>
      </c>
      <c r="G661" s="2"/>
    </row>
    <row r="662" spans="1:8">
      <c r="A662" t="str">
        <f t="shared" si="10"/>
        <v>121531</v>
      </c>
      <c r="B662" s="545">
        <v>1215</v>
      </c>
      <c r="C662" s="546">
        <v>31</v>
      </c>
      <c r="D662" s="546">
        <v>1</v>
      </c>
      <c r="E662" s="546">
        <v>0</v>
      </c>
      <c r="F662" s="546">
        <v>4.4800000000000004</v>
      </c>
      <c r="G662" s="2"/>
    </row>
    <row r="663" spans="1:8">
      <c r="A663" t="str">
        <f t="shared" si="10"/>
        <v>121532</v>
      </c>
      <c r="B663" s="545">
        <v>1215</v>
      </c>
      <c r="C663" s="546">
        <v>32</v>
      </c>
      <c r="D663" s="546">
        <v>1</v>
      </c>
      <c r="E663" s="546">
        <v>0</v>
      </c>
      <c r="F663" s="546">
        <v>4.4800000000000004</v>
      </c>
      <c r="G663" s="2"/>
    </row>
    <row r="664" spans="1:8">
      <c r="A664" t="str">
        <f t="shared" si="10"/>
        <v>121537</v>
      </c>
      <c r="B664" s="545">
        <v>1215</v>
      </c>
      <c r="C664" s="546">
        <v>37</v>
      </c>
      <c r="D664" s="546">
        <v>1</v>
      </c>
      <c r="E664" s="546">
        <v>1</v>
      </c>
      <c r="F664" s="546">
        <v>667.8</v>
      </c>
    </row>
    <row r="665" spans="1:8">
      <c r="A665" t="str">
        <f t="shared" si="10"/>
        <v>121538</v>
      </c>
      <c r="B665" s="545">
        <v>1215</v>
      </c>
      <c r="C665" s="546">
        <v>38</v>
      </c>
      <c r="D665" s="546">
        <v>1</v>
      </c>
      <c r="E665" s="546">
        <v>0</v>
      </c>
      <c r="F665" s="546">
        <v>0</v>
      </c>
      <c r="G665" s="2"/>
    </row>
    <row r="666" spans="1:8">
      <c r="A666" t="str">
        <f t="shared" si="10"/>
        <v>121539</v>
      </c>
      <c r="B666" s="545">
        <v>1215</v>
      </c>
      <c r="C666" s="546">
        <v>39</v>
      </c>
      <c r="D666" s="546">
        <v>1</v>
      </c>
      <c r="E666" s="546">
        <v>0</v>
      </c>
      <c r="F666" s="546">
        <v>-472.62</v>
      </c>
      <c r="G666" s="2"/>
    </row>
    <row r="667" spans="1:8">
      <c r="A667" t="str">
        <f t="shared" si="10"/>
        <v>121540</v>
      </c>
      <c r="B667" s="545">
        <v>1215</v>
      </c>
      <c r="C667" s="546">
        <v>40</v>
      </c>
      <c r="D667" s="546">
        <v>1</v>
      </c>
      <c r="E667" s="546">
        <v>0</v>
      </c>
      <c r="F667" s="546">
        <v>0</v>
      </c>
      <c r="G667" s="2"/>
    </row>
    <row r="668" spans="1:8">
      <c r="A668" t="str">
        <f t="shared" si="10"/>
        <v>121541</v>
      </c>
      <c r="B668" s="545">
        <v>1215</v>
      </c>
      <c r="C668" s="546">
        <v>41</v>
      </c>
      <c r="D668" s="546">
        <v>1</v>
      </c>
      <c r="E668" s="546">
        <v>0</v>
      </c>
      <c r="F668" s="546">
        <v>0</v>
      </c>
      <c r="G668" s="2"/>
    </row>
    <row r="669" spans="1:8">
      <c r="A669" t="str">
        <f t="shared" si="10"/>
        <v>121542</v>
      </c>
      <c r="B669" s="545">
        <v>1215</v>
      </c>
      <c r="C669" s="546">
        <v>42</v>
      </c>
      <c r="D669" s="546">
        <v>1</v>
      </c>
      <c r="E669" s="546">
        <v>2</v>
      </c>
      <c r="F669" s="546">
        <v>488.6</v>
      </c>
      <c r="G669" s="2"/>
      <c r="H669" s="2"/>
    </row>
    <row r="670" spans="1:8">
      <c r="A670" t="str">
        <f t="shared" ref="A670:A705" si="11">+CONCATENATE(B670,C670)</f>
        <v>121543</v>
      </c>
      <c r="B670" s="545">
        <v>1215</v>
      </c>
      <c r="C670" s="546">
        <v>43</v>
      </c>
      <c r="D670" s="546">
        <v>0</v>
      </c>
      <c r="E670" s="546">
        <v>10</v>
      </c>
      <c r="F670" s="552">
        <v>2433.3000000000002</v>
      </c>
      <c r="G670" s="2"/>
    </row>
    <row r="671" spans="1:8">
      <c r="A671" t="str">
        <f t="shared" si="11"/>
        <v>121617</v>
      </c>
      <c r="B671" s="545">
        <v>1216</v>
      </c>
      <c r="C671" s="546">
        <v>17</v>
      </c>
      <c r="D671" s="546">
        <v>1</v>
      </c>
      <c r="E671" s="546">
        <v>0</v>
      </c>
      <c r="F671" s="546">
        <v>0</v>
      </c>
      <c r="G671" s="2"/>
    </row>
    <row r="672" spans="1:8">
      <c r="A672" t="str">
        <f t="shared" si="11"/>
        <v>121618</v>
      </c>
      <c r="B672" s="545">
        <v>1216</v>
      </c>
      <c r="C672" s="546">
        <v>18</v>
      </c>
      <c r="D672" s="546">
        <v>1</v>
      </c>
      <c r="E672" s="546">
        <v>0</v>
      </c>
      <c r="F672" s="546">
        <v>0</v>
      </c>
      <c r="G672" s="2"/>
    </row>
    <row r="673" spans="1:8">
      <c r="A673" t="str">
        <f t="shared" si="11"/>
        <v>121619</v>
      </c>
      <c r="B673" s="545">
        <v>1216</v>
      </c>
      <c r="C673" s="546">
        <v>19</v>
      </c>
      <c r="D673" s="546">
        <v>1</v>
      </c>
      <c r="E673" s="546">
        <v>2</v>
      </c>
      <c r="F673" s="552">
        <v>18264.05</v>
      </c>
      <c r="G673" s="2"/>
    </row>
    <row r="674" spans="1:8">
      <c r="A674" t="str">
        <f t="shared" si="11"/>
        <v>121622</v>
      </c>
      <c r="B674" s="545">
        <v>1216</v>
      </c>
      <c r="C674" s="546">
        <v>22</v>
      </c>
      <c r="D674" s="546">
        <v>1</v>
      </c>
      <c r="E674" s="546">
        <v>2</v>
      </c>
      <c r="F674" s="552">
        <v>4780.05</v>
      </c>
      <c r="G674" s="2"/>
    </row>
    <row r="675" spans="1:8">
      <c r="A675" t="str">
        <f t="shared" si="11"/>
        <v>121623</v>
      </c>
      <c r="B675" s="545">
        <v>1216</v>
      </c>
      <c r="C675" s="546">
        <v>23</v>
      </c>
      <c r="D675" s="546">
        <v>1</v>
      </c>
      <c r="E675" s="546">
        <v>0</v>
      </c>
      <c r="F675" s="546">
        <v>0</v>
      </c>
      <c r="G675" s="2"/>
      <c r="H675" s="2"/>
    </row>
    <row r="676" spans="1:8">
      <c r="A676" t="str">
        <f t="shared" si="11"/>
        <v>121624</v>
      </c>
      <c r="B676" s="545">
        <v>1216</v>
      </c>
      <c r="C676" s="546">
        <v>24</v>
      </c>
      <c r="D676" s="546">
        <v>1</v>
      </c>
      <c r="E676" s="546">
        <v>0</v>
      </c>
      <c r="F676" s="546">
        <v>0</v>
      </c>
      <c r="G676" s="2"/>
    </row>
    <row r="677" spans="1:8">
      <c r="A677" t="str">
        <f t="shared" si="11"/>
        <v>121625</v>
      </c>
      <c r="B677" s="545">
        <v>1216</v>
      </c>
      <c r="C677" s="546">
        <v>25</v>
      </c>
      <c r="D677" s="546">
        <v>1</v>
      </c>
      <c r="E677" s="546">
        <v>2</v>
      </c>
      <c r="F677" s="552">
        <v>5640.47</v>
      </c>
      <c r="G677" s="2"/>
    </row>
    <row r="678" spans="1:8">
      <c r="A678" t="str">
        <f t="shared" si="11"/>
        <v>121626</v>
      </c>
      <c r="B678" s="545">
        <v>1216</v>
      </c>
      <c r="C678" s="546">
        <v>26</v>
      </c>
      <c r="D678" s="546">
        <v>1</v>
      </c>
      <c r="E678" s="546">
        <v>2</v>
      </c>
      <c r="F678" s="552">
        <v>2628.83</v>
      </c>
      <c r="G678" s="2"/>
      <c r="H678" s="2"/>
    </row>
    <row r="679" spans="1:8">
      <c r="A679" t="str">
        <f t="shared" si="11"/>
        <v>121627</v>
      </c>
      <c r="B679" s="545">
        <v>1216</v>
      </c>
      <c r="C679" s="546">
        <v>27</v>
      </c>
      <c r="D679" s="546">
        <v>1</v>
      </c>
      <c r="E679" s="546">
        <v>2</v>
      </c>
      <c r="F679" s="552">
        <v>7361.48</v>
      </c>
      <c r="G679" s="2"/>
    </row>
    <row r="680" spans="1:8" ht="13.5" thickBot="1">
      <c r="A680" t="str">
        <f t="shared" si="11"/>
        <v>121638</v>
      </c>
      <c r="B680" s="547">
        <v>1216</v>
      </c>
      <c r="C680" s="548">
        <v>38</v>
      </c>
      <c r="D680" s="548">
        <v>0</v>
      </c>
      <c r="E680" s="548">
        <v>3</v>
      </c>
      <c r="F680" s="553">
        <v>2009.12</v>
      </c>
    </row>
    <row r="681" spans="1:8">
      <c r="A681" t="str">
        <f t="shared" si="11"/>
        <v/>
      </c>
      <c r="B681" s="545"/>
      <c r="C681" s="546"/>
      <c r="D681" s="546"/>
      <c r="E681" s="546"/>
      <c r="F681" s="552"/>
      <c r="G681" s="2"/>
    </row>
    <row r="682" spans="1:8" ht="13.5" thickBot="1">
      <c r="A682" t="str">
        <f t="shared" si="11"/>
        <v/>
      </c>
      <c r="B682" s="547"/>
      <c r="C682" s="548"/>
      <c r="D682" s="548"/>
      <c r="E682" s="548"/>
      <c r="F682" s="553"/>
      <c r="G682" s="2"/>
    </row>
    <row r="683" spans="1:8">
      <c r="A683" t="str">
        <f t="shared" si="11"/>
        <v/>
      </c>
      <c r="B683" s="545"/>
      <c r="C683" s="546"/>
      <c r="D683" s="546"/>
      <c r="E683" s="546"/>
      <c r="F683" s="546"/>
      <c r="G683" s="2"/>
    </row>
    <row r="684" spans="1:8">
      <c r="A684" t="str">
        <f t="shared" si="11"/>
        <v/>
      </c>
      <c r="B684" s="545"/>
      <c r="C684" s="546"/>
      <c r="D684" s="546"/>
      <c r="E684" s="546"/>
      <c r="F684" s="546"/>
      <c r="G684" s="2"/>
    </row>
    <row r="685" spans="1:8">
      <c r="A685" t="str">
        <f t="shared" si="11"/>
        <v/>
      </c>
      <c r="B685" s="545"/>
      <c r="C685" s="546"/>
      <c r="D685" s="546"/>
      <c r="E685" s="546"/>
      <c r="F685" s="546"/>
      <c r="G685" s="2"/>
    </row>
    <row r="686" spans="1:8">
      <c r="A686" t="str">
        <f t="shared" si="11"/>
        <v/>
      </c>
      <c r="B686" s="545"/>
      <c r="C686" s="546"/>
      <c r="D686" s="546"/>
      <c r="E686" s="546"/>
      <c r="F686" s="546"/>
      <c r="G686" s="2"/>
      <c r="H686" s="2"/>
    </row>
    <row r="687" spans="1:8">
      <c r="A687" t="str">
        <f t="shared" si="11"/>
        <v/>
      </c>
      <c r="B687" s="545"/>
      <c r="C687" s="546"/>
      <c r="D687" s="546"/>
      <c r="E687" s="546"/>
      <c r="F687" s="546"/>
      <c r="G687" s="2"/>
    </row>
    <row r="688" spans="1:8">
      <c r="A688" t="str">
        <f t="shared" si="11"/>
        <v/>
      </c>
      <c r="B688" s="545"/>
      <c r="C688" s="546"/>
      <c r="D688" s="546"/>
      <c r="E688" s="546"/>
      <c r="F688" s="546"/>
      <c r="G688" s="2"/>
    </row>
    <row r="689" spans="1:8">
      <c r="A689" t="str">
        <f t="shared" si="11"/>
        <v/>
      </c>
      <c r="B689" s="545"/>
      <c r="C689" s="546"/>
      <c r="D689" s="546"/>
      <c r="E689" s="546"/>
      <c r="F689" s="546"/>
      <c r="G689" s="2"/>
    </row>
    <row r="690" spans="1:8">
      <c r="A690" t="str">
        <f t="shared" si="11"/>
        <v/>
      </c>
      <c r="B690" s="545"/>
      <c r="C690" s="546"/>
      <c r="D690" s="546"/>
      <c r="E690" s="546"/>
      <c r="F690" s="546"/>
      <c r="G690" s="2"/>
    </row>
    <row r="691" spans="1:8">
      <c r="A691" t="str">
        <f t="shared" si="11"/>
        <v/>
      </c>
      <c r="B691" s="545"/>
      <c r="C691" s="546"/>
      <c r="D691" s="546"/>
      <c r="E691" s="546"/>
      <c r="F691" s="546"/>
    </row>
    <row r="692" spans="1:8">
      <c r="A692" t="str">
        <f t="shared" si="11"/>
        <v/>
      </c>
      <c r="B692" s="545"/>
      <c r="C692" s="546"/>
      <c r="D692" s="546"/>
      <c r="E692" s="546"/>
      <c r="F692" s="546"/>
      <c r="G692" s="2"/>
    </row>
    <row r="693" spans="1:8">
      <c r="A693" t="str">
        <f t="shared" si="11"/>
        <v/>
      </c>
      <c r="B693" s="545"/>
      <c r="C693" s="546"/>
      <c r="D693" s="546"/>
      <c r="E693" s="546"/>
      <c r="F693" s="546"/>
    </row>
    <row r="694" spans="1:8">
      <c r="A694" t="str">
        <f t="shared" si="11"/>
        <v/>
      </c>
      <c r="B694" s="545"/>
      <c r="C694" s="546"/>
      <c r="D694" s="546"/>
      <c r="E694" s="546"/>
      <c r="F694" s="546"/>
    </row>
    <row r="695" spans="1:8">
      <c r="A695" t="str">
        <f t="shared" si="11"/>
        <v/>
      </c>
      <c r="B695" s="545"/>
      <c r="C695" s="546"/>
      <c r="D695" s="546"/>
      <c r="E695" s="546"/>
      <c r="F695" s="546"/>
      <c r="G695" s="2"/>
      <c r="H695" s="2"/>
    </row>
    <row r="696" spans="1:8">
      <c r="A696" t="str">
        <f t="shared" si="11"/>
        <v/>
      </c>
      <c r="B696" s="545"/>
      <c r="C696" s="546"/>
      <c r="D696" s="546"/>
      <c r="E696" s="546"/>
      <c r="F696" s="546"/>
      <c r="G696" s="2"/>
      <c r="H696" s="2"/>
    </row>
    <row r="697" spans="1:8">
      <c r="A697" t="str">
        <f t="shared" si="11"/>
        <v/>
      </c>
      <c r="B697" s="545"/>
      <c r="C697" s="546"/>
      <c r="D697" s="546"/>
      <c r="E697" s="546"/>
      <c r="F697" s="546"/>
      <c r="G697" s="2"/>
    </row>
    <row r="698" spans="1:8">
      <c r="A698" t="str">
        <f t="shared" si="11"/>
        <v/>
      </c>
      <c r="B698" s="545"/>
      <c r="C698" s="546"/>
      <c r="D698" s="546"/>
      <c r="E698" s="546"/>
      <c r="F698" s="546"/>
      <c r="G698" s="2"/>
      <c r="H698" s="2"/>
    </row>
    <row r="699" spans="1:8">
      <c r="A699" t="str">
        <f t="shared" si="11"/>
        <v/>
      </c>
      <c r="B699" s="545"/>
      <c r="C699" s="546"/>
      <c r="D699" s="546"/>
      <c r="E699" s="546"/>
      <c r="F699" s="546"/>
      <c r="G699" s="2"/>
    </row>
    <row r="700" spans="1:8">
      <c r="A700" t="str">
        <f t="shared" si="11"/>
        <v/>
      </c>
      <c r="B700" s="545"/>
      <c r="C700" s="546"/>
      <c r="D700" s="546"/>
      <c r="E700" s="546"/>
      <c r="F700" s="546"/>
      <c r="G700" s="2"/>
      <c r="H700" s="2"/>
    </row>
    <row r="701" spans="1:8">
      <c r="A701" t="str">
        <f t="shared" si="11"/>
        <v/>
      </c>
      <c r="B701" s="545"/>
      <c r="C701" s="546"/>
      <c r="D701" s="546"/>
      <c r="E701" s="546"/>
      <c r="F701" s="546"/>
      <c r="G701" s="2"/>
    </row>
    <row r="702" spans="1:8">
      <c r="A702" t="str">
        <f t="shared" si="11"/>
        <v/>
      </c>
      <c r="B702" s="545"/>
      <c r="C702" s="546"/>
      <c r="D702" s="546"/>
      <c r="E702" s="546"/>
      <c r="F702" s="546"/>
      <c r="G702" s="2"/>
      <c r="H702" s="2"/>
    </row>
    <row r="703" spans="1:8">
      <c r="A703" t="str">
        <f t="shared" si="11"/>
        <v/>
      </c>
      <c r="B703" s="545"/>
      <c r="C703" s="546"/>
      <c r="D703" s="546"/>
      <c r="E703" s="546"/>
      <c r="F703" s="546"/>
      <c r="G703" s="2"/>
    </row>
    <row r="704" spans="1:8">
      <c r="A704" t="str">
        <f t="shared" si="11"/>
        <v/>
      </c>
      <c r="B704" s="545"/>
      <c r="C704" s="546"/>
      <c r="D704" s="546"/>
      <c r="E704" s="546"/>
      <c r="F704" s="546"/>
    </row>
    <row r="705" spans="1:8">
      <c r="A705" t="str">
        <f t="shared" si="11"/>
        <v/>
      </c>
      <c r="B705" s="545"/>
      <c r="C705" s="546"/>
      <c r="D705" s="546"/>
      <c r="E705" s="546"/>
      <c r="F705" s="546"/>
    </row>
    <row r="706" spans="1:8">
      <c r="A706" t="str">
        <f>+CONCATENATE(B706,C706)</f>
        <v/>
      </c>
      <c r="B706" s="545"/>
      <c r="C706" s="546"/>
      <c r="D706" s="546"/>
      <c r="E706" s="546"/>
      <c r="F706" s="546"/>
      <c r="G706" s="2"/>
    </row>
    <row r="707" spans="1:8">
      <c r="A707" t="str">
        <f t="shared" ref="A707:A710" si="12">+CONCATENATE(B707,C707)</f>
        <v/>
      </c>
      <c r="B707" s="545"/>
      <c r="C707" s="546"/>
      <c r="D707" s="546"/>
      <c r="E707" s="546"/>
      <c r="F707" s="546"/>
      <c r="G707" s="2"/>
    </row>
    <row r="708" spans="1:8">
      <c r="A708" t="str">
        <f t="shared" si="12"/>
        <v/>
      </c>
      <c r="B708" s="545"/>
      <c r="C708" s="546"/>
      <c r="D708" s="546"/>
      <c r="E708" s="546"/>
      <c r="F708" s="546"/>
      <c r="G708" s="2"/>
    </row>
    <row r="709" spans="1:8">
      <c r="A709" t="str">
        <f t="shared" si="12"/>
        <v/>
      </c>
      <c r="B709" s="545"/>
      <c r="C709" s="546"/>
      <c r="D709" s="546"/>
      <c r="E709" s="546"/>
      <c r="F709" s="546"/>
      <c r="G709" s="2"/>
    </row>
    <row r="710" spans="1:8" ht="13.5" thickBot="1">
      <c r="A710" t="str">
        <f t="shared" si="12"/>
        <v/>
      </c>
      <c r="B710" s="547"/>
      <c r="C710" s="548"/>
      <c r="D710" s="548"/>
      <c r="E710" s="548"/>
      <c r="F710" s="548"/>
      <c r="G710" s="2"/>
    </row>
    <row r="712" spans="1:8">
      <c r="G712" s="2"/>
    </row>
    <row r="713" spans="1:8">
      <c r="G713" s="2"/>
    </row>
    <row r="714" spans="1:8">
      <c r="G714" s="2"/>
      <c r="H714" s="2"/>
    </row>
    <row r="716" spans="1:8">
      <c r="G716" s="2"/>
    </row>
    <row r="718" spans="1:8">
      <c r="G718" s="2"/>
    </row>
    <row r="719" spans="1:8">
      <c r="G719" s="2"/>
    </row>
    <row r="720" spans="1:8">
      <c r="G720" s="2"/>
    </row>
    <row r="721" spans="7:8">
      <c r="G721" s="2"/>
    </row>
    <row r="722" spans="7:8">
      <c r="G722" s="2"/>
    </row>
    <row r="723" spans="7:8">
      <c r="G723" s="2"/>
    </row>
    <row r="724" spans="7:8">
      <c r="G724" s="2"/>
    </row>
    <row r="725" spans="7:8">
      <c r="G725" s="2"/>
    </row>
    <row r="726" spans="7:8">
      <c r="G726" s="2"/>
    </row>
    <row r="727" spans="7:8">
      <c r="G727" s="2"/>
    </row>
    <row r="731" spans="7:8">
      <c r="G731" s="2"/>
    </row>
    <row r="732" spans="7:8">
      <c r="G732" s="2"/>
      <c r="H732" s="2"/>
    </row>
    <row r="733" spans="7:8">
      <c r="G733" s="2"/>
      <c r="H733" s="2"/>
    </row>
    <row r="734" spans="7:8">
      <c r="G734" s="2"/>
      <c r="H734" s="2"/>
    </row>
    <row r="735" spans="7:8">
      <c r="G735" s="2"/>
      <c r="H735" s="2"/>
    </row>
    <row r="736" spans="7:8">
      <c r="G736" s="2"/>
      <c r="H736" s="2"/>
    </row>
    <row r="738" spans="7:7">
      <c r="G738" s="2"/>
    </row>
    <row r="739" spans="7:7">
      <c r="G739" s="2"/>
    </row>
    <row r="740" spans="7:7">
      <c r="G740" s="2"/>
    </row>
    <row r="741" spans="7:7">
      <c r="G741" s="2"/>
    </row>
    <row r="742" spans="7:7">
      <c r="G742" s="2"/>
    </row>
    <row r="745" spans="7:7">
      <c r="G745" s="2"/>
    </row>
    <row r="747" spans="7:7">
      <c r="G747" s="2"/>
    </row>
    <row r="748" spans="7:7">
      <c r="G748" s="2"/>
    </row>
    <row r="749" spans="7:7">
      <c r="G749" s="2"/>
    </row>
    <row r="750" spans="7:7">
      <c r="G750" s="2"/>
    </row>
    <row r="752" spans="7:7">
      <c r="G752" s="2"/>
    </row>
    <row r="753" spans="7:7">
      <c r="G753" s="2"/>
    </row>
    <row r="754" spans="7:7">
      <c r="G754" s="2"/>
    </row>
    <row r="757" spans="7:7">
      <c r="G757" s="2"/>
    </row>
    <row r="758" spans="7:7">
      <c r="G758" s="2"/>
    </row>
    <row r="759" spans="7:7">
      <c r="G759" s="2"/>
    </row>
    <row r="760" spans="7:7">
      <c r="G760" s="2"/>
    </row>
    <row r="761" spans="7:7">
      <c r="G761" s="2"/>
    </row>
    <row r="763" spans="7:7">
      <c r="G763" s="2"/>
    </row>
    <row r="764" spans="7:7">
      <c r="G764" s="2"/>
    </row>
    <row r="765" spans="7:7">
      <c r="G765" s="2"/>
    </row>
    <row r="766" spans="7:7">
      <c r="G766" s="2"/>
    </row>
    <row r="767" spans="7:7">
      <c r="G767" s="2"/>
    </row>
    <row r="768" spans="7:7">
      <c r="G768" s="2"/>
    </row>
    <row r="769" spans="7:8">
      <c r="G769" s="2"/>
    </row>
    <row r="774" spans="7:8">
      <c r="G774" s="2"/>
    </row>
    <row r="775" spans="7:8">
      <c r="G775" s="2"/>
    </row>
    <row r="776" spans="7:8">
      <c r="G776" s="2"/>
    </row>
    <row r="777" spans="7:8">
      <c r="G777" s="2"/>
      <c r="H777" s="2"/>
    </row>
    <row r="778" spans="7:8">
      <c r="G778" s="2"/>
    </row>
    <row r="781" spans="7:8">
      <c r="G781" s="2"/>
    </row>
    <row r="782" spans="7:8">
      <c r="G782" s="2"/>
    </row>
    <row r="783" spans="7:8">
      <c r="G783" s="2"/>
    </row>
    <row r="784" spans="7:8">
      <c r="G784" s="2"/>
    </row>
    <row r="785" spans="7:8">
      <c r="G785" s="2"/>
    </row>
    <row r="786" spans="7:8">
      <c r="G786" s="2"/>
    </row>
    <row r="793" spans="7:8">
      <c r="G793" s="2"/>
    </row>
    <row r="797" spans="7:8">
      <c r="G797" s="2"/>
    </row>
    <row r="798" spans="7:8">
      <c r="G798" s="2"/>
    </row>
    <row r="799" spans="7:8">
      <c r="G799" s="2"/>
      <c r="H799" s="2"/>
    </row>
    <row r="803" spans="7:8">
      <c r="G803" s="2"/>
    </row>
    <row r="807" spans="7:8">
      <c r="G807" s="2"/>
    </row>
    <row r="808" spans="7:8">
      <c r="G808" s="2"/>
    </row>
    <row r="812" spans="7:8">
      <c r="G812" s="2"/>
    </row>
    <row r="816" spans="7:8">
      <c r="G816" s="2"/>
      <c r="H816" s="2"/>
    </row>
    <row r="817" spans="7:8">
      <c r="G817" s="2"/>
    </row>
    <row r="818" spans="7:8">
      <c r="G818" s="2"/>
    </row>
    <row r="819" spans="7:8">
      <c r="G819" s="2"/>
    </row>
    <row r="820" spans="7:8">
      <c r="G820" s="2"/>
    </row>
    <row r="822" spans="7:8">
      <c r="G822" s="2"/>
    </row>
    <row r="824" spans="7:8">
      <c r="G824" s="2"/>
    </row>
    <row r="825" spans="7:8">
      <c r="G825" s="2"/>
      <c r="H825" s="2"/>
    </row>
    <row r="826" spans="7:8">
      <c r="G826" s="2"/>
    </row>
    <row r="827" spans="7:8">
      <c r="G827" s="2"/>
    </row>
    <row r="828" spans="7:8">
      <c r="G828" s="2"/>
    </row>
    <row r="829" spans="7:8">
      <c r="G829" s="2"/>
    </row>
    <row r="830" spans="7:8">
      <c r="G830" s="2"/>
    </row>
    <row r="831" spans="7:8">
      <c r="G831" s="2"/>
    </row>
    <row r="832" spans="7:8">
      <c r="G832" s="2"/>
    </row>
    <row r="833" spans="7:7">
      <c r="G833" s="2"/>
    </row>
    <row r="834" spans="7:7">
      <c r="G834" s="2"/>
    </row>
    <row r="838" spans="7:7">
      <c r="G838" s="2"/>
    </row>
    <row r="839" spans="7:7">
      <c r="G839" s="2"/>
    </row>
    <row r="840" spans="7:7">
      <c r="G840" s="2"/>
    </row>
    <row r="842" spans="7:7">
      <c r="G842" s="2"/>
    </row>
    <row r="843" spans="7:7">
      <c r="G843" s="2"/>
    </row>
    <row r="844" spans="7:7">
      <c r="G844" s="2"/>
    </row>
    <row r="846" spans="7:7">
      <c r="G846" s="2"/>
    </row>
    <row r="847" spans="7:7">
      <c r="G847" s="2"/>
    </row>
    <row r="851" spans="7:8">
      <c r="G851" s="2"/>
    </row>
    <row r="853" spans="7:8">
      <c r="G853" s="2"/>
      <c r="H853" s="2"/>
    </row>
    <row r="854" spans="7:8">
      <c r="G854" s="2"/>
      <c r="H854" s="2"/>
    </row>
    <row r="855" spans="7:8">
      <c r="G855" s="2"/>
    </row>
    <row r="856" spans="7:8">
      <c r="G856" s="2"/>
      <c r="H856" s="2"/>
    </row>
    <row r="857" spans="7:8">
      <c r="G857" s="2"/>
      <c r="H857" s="2"/>
    </row>
    <row r="858" spans="7:8">
      <c r="G858" s="2"/>
    </row>
    <row r="859" spans="7:8">
      <c r="G859" s="2"/>
    </row>
    <row r="860" spans="7:8">
      <c r="G860" s="2"/>
    </row>
    <row r="861" spans="7:8">
      <c r="G861" s="2"/>
    </row>
    <row r="864" spans="7:8">
      <c r="G864" s="2"/>
    </row>
    <row r="865" spans="7:8">
      <c r="G865" s="2"/>
    </row>
    <row r="869" spans="7:8">
      <c r="G869" s="2"/>
    </row>
    <row r="870" spans="7:8">
      <c r="G870" s="2"/>
    </row>
    <row r="871" spans="7:8">
      <c r="G871" s="2"/>
      <c r="H871" s="2"/>
    </row>
    <row r="872" spans="7:8">
      <c r="G872" s="2"/>
    </row>
    <row r="874" spans="7:8">
      <c r="G874" s="2"/>
    </row>
    <row r="875" spans="7:8">
      <c r="G875" s="2"/>
    </row>
    <row r="876" spans="7:8">
      <c r="G876" s="2"/>
    </row>
    <row r="877" spans="7:8">
      <c r="G877" s="2"/>
    </row>
    <row r="878" spans="7:8">
      <c r="G878" s="2"/>
    </row>
    <row r="879" spans="7:8">
      <c r="G879" s="2"/>
    </row>
    <row r="880" spans="7:8">
      <c r="G880" s="2"/>
    </row>
    <row r="881" spans="7:8">
      <c r="G881" s="2"/>
      <c r="H881" s="2"/>
    </row>
    <row r="882" spans="7:8">
      <c r="G882" s="2"/>
    </row>
    <row r="883" spans="7:8">
      <c r="G883" s="2"/>
    </row>
    <row r="884" spans="7:8">
      <c r="G884" s="2"/>
    </row>
    <row r="887" spans="7:8">
      <c r="G887" s="2"/>
    </row>
    <row r="888" spans="7:8">
      <c r="G888" s="2"/>
    </row>
    <row r="890" spans="7:8">
      <c r="G890" s="2"/>
    </row>
    <row r="893" spans="7:8">
      <c r="G893" s="2"/>
    </row>
    <row r="894" spans="7:8">
      <c r="G894" s="2"/>
      <c r="H894" s="2"/>
    </row>
    <row r="895" spans="7:8">
      <c r="G895" s="2"/>
    </row>
    <row r="896" spans="7:8">
      <c r="G896" s="2"/>
    </row>
    <row r="897" spans="7:8">
      <c r="G897" s="2"/>
      <c r="H897" s="2"/>
    </row>
    <row r="898" spans="7:8">
      <c r="G898" s="2"/>
    </row>
    <row r="899" spans="7:8">
      <c r="G899" s="2"/>
    </row>
    <row r="900" spans="7:8">
      <c r="G900" s="2"/>
    </row>
    <row r="901" spans="7:8">
      <c r="G901" s="2"/>
      <c r="H901" s="2"/>
    </row>
    <row r="902" spans="7:8">
      <c r="G902" s="2"/>
    </row>
    <row r="904" spans="7:8">
      <c r="G904" s="2"/>
    </row>
    <row r="905" spans="7:8">
      <c r="G905" s="2"/>
      <c r="H905" s="2"/>
    </row>
    <row r="906" spans="7:8">
      <c r="G906" s="2"/>
    </row>
    <row r="909" spans="7:8">
      <c r="G909" s="2"/>
      <c r="H909" s="2"/>
    </row>
    <row r="911" spans="7:8">
      <c r="G911" s="2"/>
    </row>
    <row r="912" spans="7:8">
      <c r="G912" s="2"/>
    </row>
    <row r="913" spans="7:8">
      <c r="G913" s="2"/>
    </row>
    <row r="914" spans="7:8">
      <c r="G914" s="2"/>
      <c r="H914" s="2"/>
    </row>
    <row r="916" spans="7:8">
      <c r="G916" s="2"/>
      <c r="H916" s="2"/>
    </row>
    <row r="917" spans="7:8">
      <c r="G917" s="2"/>
    </row>
    <row r="918" spans="7:8">
      <c r="G918" s="2"/>
    </row>
    <row r="919" spans="7:8">
      <c r="G919" s="2"/>
    </row>
    <row r="920" spans="7:8">
      <c r="G920" s="2"/>
    </row>
    <row r="921" spans="7:8">
      <c r="G921" s="2"/>
    </row>
    <row r="922" spans="7:8">
      <c r="G922" s="2"/>
    </row>
    <row r="923" spans="7:8">
      <c r="G923" s="2"/>
    </row>
    <row r="924" spans="7:8">
      <c r="G924" s="2"/>
    </row>
    <row r="925" spans="7:8">
      <c r="G925" s="2"/>
    </row>
    <row r="926" spans="7:8">
      <c r="G926" s="2"/>
    </row>
    <row r="927" spans="7:8">
      <c r="G927" s="2"/>
    </row>
    <row r="928" spans="7:8">
      <c r="G928" s="2"/>
    </row>
    <row r="929" spans="7:8">
      <c r="G929" s="2"/>
    </row>
    <row r="930" spans="7:8">
      <c r="G930" s="2"/>
    </row>
    <row r="931" spans="7:8">
      <c r="G931" s="2"/>
    </row>
    <row r="932" spans="7:8">
      <c r="G932" s="2"/>
    </row>
    <row r="933" spans="7:8">
      <c r="G933" s="2"/>
    </row>
    <row r="934" spans="7:8">
      <c r="G934" s="2"/>
    </row>
    <row r="936" spans="7:8">
      <c r="G936" s="2"/>
    </row>
    <row r="937" spans="7:8">
      <c r="G937" s="2"/>
    </row>
    <row r="939" spans="7:8">
      <c r="G939" s="2"/>
      <c r="H939" s="2"/>
    </row>
    <row r="941" spans="7:8">
      <c r="G941" s="2"/>
      <c r="H941" s="2"/>
    </row>
    <row r="942" spans="7:8">
      <c r="G942" s="2"/>
    </row>
    <row r="946" spans="7:7">
      <c r="G946" s="2"/>
    </row>
    <row r="948" spans="7:7">
      <c r="G948" s="2"/>
    </row>
    <row r="949" spans="7:7">
      <c r="G949" s="2"/>
    </row>
    <row r="953" spans="7:7">
      <c r="G953" s="2"/>
    </row>
    <row r="954" spans="7:7">
      <c r="G954" s="2"/>
    </row>
    <row r="955" spans="7:7">
      <c r="G955" s="2"/>
    </row>
    <row r="956" spans="7:7">
      <c r="G956" s="2"/>
    </row>
    <row r="957" spans="7:7">
      <c r="G957" s="2"/>
    </row>
    <row r="959" spans="7:7">
      <c r="G959" s="2"/>
    </row>
    <row r="961" spans="7:7">
      <c r="G961" s="2"/>
    </row>
    <row r="962" spans="7:7">
      <c r="G962" s="2"/>
    </row>
    <row r="964" spans="7:7">
      <c r="G964" s="2"/>
    </row>
    <row r="968" spans="7:7">
      <c r="G968" s="2"/>
    </row>
    <row r="969" spans="7:7">
      <c r="G969" s="2"/>
    </row>
    <row r="970" spans="7:7">
      <c r="G970" s="2"/>
    </row>
    <row r="971" spans="7:7">
      <c r="G971" s="2"/>
    </row>
    <row r="972" spans="7:7">
      <c r="G972" s="2"/>
    </row>
    <row r="974" spans="7:7">
      <c r="G974" s="2"/>
    </row>
    <row r="975" spans="7:7">
      <c r="G975" s="2"/>
    </row>
    <row r="976" spans="7:7">
      <c r="G976" s="2"/>
    </row>
    <row r="977" spans="7:8">
      <c r="G977" s="2"/>
    </row>
    <row r="978" spans="7:8">
      <c r="G978" s="2"/>
    </row>
    <row r="980" spans="7:8">
      <c r="G980" s="2"/>
    </row>
    <row r="981" spans="7:8">
      <c r="G981" s="2"/>
    </row>
    <row r="982" spans="7:8">
      <c r="G982" s="2"/>
    </row>
    <row r="983" spans="7:8">
      <c r="G983" s="2"/>
    </row>
    <row r="984" spans="7:8">
      <c r="G984" s="2"/>
    </row>
    <row r="985" spans="7:8">
      <c r="G985" s="2"/>
    </row>
    <row r="986" spans="7:8">
      <c r="G986" s="2"/>
    </row>
    <row r="987" spans="7:8">
      <c r="G987" s="2"/>
    </row>
    <row r="991" spans="7:8">
      <c r="G991" s="2"/>
    </row>
    <row r="992" spans="7:8">
      <c r="G992" s="2"/>
      <c r="H992" s="2"/>
    </row>
    <row r="993" spans="7:8">
      <c r="G993" s="2"/>
      <c r="H993" s="2"/>
    </row>
    <row r="994" spans="7:8">
      <c r="G994" s="2"/>
    </row>
    <row r="999" spans="7:8">
      <c r="G999" s="2"/>
    </row>
    <row r="1000" spans="7:8">
      <c r="G1000" s="2"/>
    </row>
    <row r="1001" spans="7:8">
      <c r="G1001" s="2"/>
    </row>
    <row r="1002" spans="7:8">
      <c r="G1002" s="2"/>
    </row>
    <row r="1003" spans="7:8">
      <c r="G1003" s="2"/>
    </row>
    <row r="1004" spans="7:8">
      <c r="G1004" s="2"/>
    </row>
    <row r="1005" spans="7:8">
      <c r="G1005" s="2"/>
    </row>
    <row r="1006" spans="7:8">
      <c r="G1006" s="2"/>
    </row>
    <row r="1007" spans="7:8">
      <c r="G1007" s="2"/>
    </row>
    <row r="1008" spans="7:8">
      <c r="G1008" s="2"/>
    </row>
    <row r="1009" spans="7:7">
      <c r="G1009" s="2"/>
    </row>
    <row r="1010" spans="7:7">
      <c r="G1010" s="2"/>
    </row>
    <row r="1011" spans="7:7">
      <c r="G1011" s="2"/>
    </row>
    <row r="1012" spans="7:7">
      <c r="G1012" s="2"/>
    </row>
    <row r="1013" spans="7:7">
      <c r="G1013" s="2"/>
    </row>
    <row r="1014" spans="7:7">
      <c r="G1014" s="2"/>
    </row>
    <row r="1015" spans="7:7">
      <c r="G1015" s="2"/>
    </row>
    <row r="1016" spans="7:7">
      <c r="G1016" s="2"/>
    </row>
    <row r="1017" spans="7:7">
      <c r="G1017" s="2"/>
    </row>
    <row r="1018" spans="7:7">
      <c r="G1018" s="2"/>
    </row>
    <row r="1021" spans="7:7">
      <c r="G1021" s="2"/>
    </row>
    <row r="1022" spans="7:7">
      <c r="G1022" s="2"/>
    </row>
    <row r="1023" spans="7:7">
      <c r="G1023" s="2"/>
    </row>
    <row r="1024" spans="7:7">
      <c r="G1024" s="2"/>
    </row>
    <row r="1025" spans="7:7">
      <c r="G1025" s="2"/>
    </row>
    <row r="1026" spans="7:7">
      <c r="G1026" s="2"/>
    </row>
    <row r="1027" spans="7:7">
      <c r="G1027" s="2"/>
    </row>
    <row r="1031" spans="7:7">
      <c r="G1031" s="2"/>
    </row>
    <row r="1035" spans="7:7">
      <c r="G1035" s="2"/>
    </row>
    <row r="1036" spans="7:7">
      <c r="G1036" s="2"/>
    </row>
    <row r="1037" spans="7:7">
      <c r="G1037" s="2"/>
    </row>
    <row r="1038" spans="7:7">
      <c r="G1038" s="2"/>
    </row>
    <row r="1040" spans="7:7">
      <c r="G1040" s="2"/>
    </row>
    <row r="1041" spans="7:8">
      <c r="G1041" s="2"/>
      <c r="H1041" s="2"/>
    </row>
    <row r="1042" spans="7:8">
      <c r="G1042" s="2"/>
    </row>
    <row r="1043" spans="7:8">
      <c r="G1043" s="2"/>
      <c r="H1043" s="2"/>
    </row>
    <row r="1044" spans="7:8">
      <c r="G1044" s="2"/>
    </row>
    <row r="1045" spans="7:8">
      <c r="G1045" s="2"/>
    </row>
    <row r="1046" spans="7:8">
      <c r="G1046" s="2"/>
    </row>
    <row r="1047" spans="7:8">
      <c r="G1047" s="2"/>
      <c r="H1047" s="2"/>
    </row>
    <row r="1048" spans="7:8">
      <c r="G1048" s="2"/>
    </row>
    <row r="1049" spans="7:8">
      <c r="G1049" s="2"/>
    </row>
    <row r="1051" spans="7:8">
      <c r="G1051" s="2"/>
    </row>
    <row r="1052" spans="7:8">
      <c r="G1052" s="2"/>
    </row>
    <row r="1054" spans="7:8">
      <c r="G1054" s="2"/>
    </row>
    <row r="1055" spans="7:8">
      <c r="G1055" s="2"/>
    </row>
    <row r="1056" spans="7:8">
      <c r="G1056" s="2"/>
    </row>
    <row r="1057" spans="7:7">
      <c r="G1057" s="2"/>
    </row>
    <row r="1058" spans="7:7">
      <c r="G1058" s="2"/>
    </row>
    <row r="1059" spans="7:7">
      <c r="G1059" s="2"/>
    </row>
    <row r="1060" spans="7:7">
      <c r="G1060" s="2"/>
    </row>
    <row r="1061" spans="7:7">
      <c r="G1061" s="2"/>
    </row>
    <row r="1062" spans="7:7">
      <c r="G1062" s="2"/>
    </row>
    <row r="1063" spans="7:7">
      <c r="G1063" s="2"/>
    </row>
    <row r="1065" spans="7:7">
      <c r="G1065" s="2"/>
    </row>
    <row r="1070" spans="7:7">
      <c r="G1070" s="2"/>
    </row>
    <row r="1072" spans="7:7">
      <c r="G1072" s="2"/>
    </row>
    <row r="1075" spans="7:8">
      <c r="G1075" s="2"/>
    </row>
    <row r="1077" spans="7:8">
      <c r="G1077" s="2"/>
    </row>
    <row r="1078" spans="7:8">
      <c r="G1078" s="2"/>
    </row>
    <row r="1079" spans="7:8">
      <c r="G1079" s="2"/>
      <c r="H1079" s="2"/>
    </row>
    <row r="1080" spans="7:8">
      <c r="G1080" s="2"/>
    </row>
    <row r="1082" spans="7:8">
      <c r="G1082" s="2"/>
    </row>
    <row r="1083" spans="7:8">
      <c r="G1083" s="2"/>
    </row>
    <row r="1084" spans="7:8">
      <c r="G1084" s="2"/>
    </row>
    <row r="1085" spans="7:8">
      <c r="G1085" s="2"/>
    </row>
    <row r="1086" spans="7:8">
      <c r="G1086" s="2"/>
    </row>
    <row r="1087" spans="7:8">
      <c r="G1087" s="2"/>
    </row>
    <row r="1088" spans="7:8">
      <c r="G1088" s="2"/>
    </row>
    <row r="1089" spans="7:8">
      <c r="G1089" s="2"/>
    </row>
    <row r="1090" spans="7:8">
      <c r="G1090" s="2"/>
    </row>
    <row r="1091" spans="7:8">
      <c r="G1091" s="2"/>
      <c r="H1091" s="2"/>
    </row>
    <row r="1096" spans="7:8">
      <c r="G1096" s="2"/>
    </row>
    <row r="1097" spans="7:8">
      <c r="G1097" s="2"/>
    </row>
    <row r="1098" spans="7:8">
      <c r="G1098" s="2"/>
    </row>
    <row r="1100" spans="7:8">
      <c r="G1100" s="2"/>
    </row>
    <row r="1102" spans="7:8">
      <c r="G1102" s="2"/>
    </row>
    <row r="1103" spans="7:8">
      <c r="G1103" s="2"/>
    </row>
    <row r="1104" spans="7:8">
      <c r="G1104" s="2"/>
    </row>
    <row r="1105" spans="7:8">
      <c r="G1105" s="2"/>
    </row>
    <row r="1106" spans="7:8">
      <c r="G1106" s="2"/>
      <c r="H1106" s="2"/>
    </row>
    <row r="1109" spans="7:8">
      <c r="G1109" s="2"/>
    </row>
    <row r="1110" spans="7:8">
      <c r="G1110" s="2"/>
    </row>
    <row r="1111" spans="7:8">
      <c r="G1111" s="2"/>
    </row>
    <row r="1112" spans="7:8">
      <c r="G1112" s="2"/>
    </row>
    <row r="1113" spans="7:8">
      <c r="G1113" s="2"/>
    </row>
    <row r="1114" spans="7:8">
      <c r="G1114" s="2"/>
    </row>
    <row r="1119" spans="7:8">
      <c r="G1119" s="2"/>
    </row>
    <row r="1122" spans="7:8">
      <c r="G1122" s="2"/>
    </row>
    <row r="1123" spans="7:8">
      <c r="G1123" s="2"/>
    </row>
    <row r="1124" spans="7:8">
      <c r="G1124" s="2"/>
    </row>
    <row r="1125" spans="7:8">
      <c r="G1125" s="2"/>
    </row>
    <row r="1126" spans="7:8">
      <c r="G1126" s="2"/>
    </row>
    <row r="1128" spans="7:8">
      <c r="G1128" s="2"/>
    </row>
    <row r="1129" spans="7:8">
      <c r="G1129" s="2"/>
    </row>
    <row r="1130" spans="7:8">
      <c r="G1130" s="2"/>
    </row>
    <row r="1131" spans="7:8">
      <c r="G1131" s="2"/>
    </row>
    <row r="1132" spans="7:8">
      <c r="G1132" s="2"/>
      <c r="H1132" s="2"/>
    </row>
    <row r="1140" spans="7:7">
      <c r="G1140" s="2"/>
    </row>
    <row r="1141" spans="7:7">
      <c r="G1141" s="2"/>
    </row>
    <row r="1145" spans="7:7">
      <c r="G1145" s="2"/>
    </row>
    <row r="1146" spans="7:7">
      <c r="G1146" s="2"/>
    </row>
    <row r="1147" spans="7:7">
      <c r="G1147" s="2"/>
    </row>
    <row r="1149" spans="7:7">
      <c r="G1149" s="2"/>
    </row>
    <row r="1150" spans="7:7">
      <c r="G1150" s="2"/>
    </row>
    <row r="1151" spans="7:7">
      <c r="G1151" s="2"/>
    </row>
    <row r="1152" spans="7:7">
      <c r="G1152" s="2"/>
    </row>
    <row r="1153" spans="7:7">
      <c r="G1153" s="2"/>
    </row>
    <row r="1156" spans="7:7">
      <c r="G1156" s="2"/>
    </row>
    <row r="1159" spans="7:7">
      <c r="G1159" s="2"/>
    </row>
    <row r="1161" spans="7:7">
      <c r="G1161" s="2"/>
    </row>
    <row r="1163" spans="7:7">
      <c r="G1163" s="2"/>
    </row>
    <row r="1164" spans="7:7">
      <c r="G1164" s="2"/>
    </row>
    <row r="1165" spans="7:7">
      <c r="G1165" s="2"/>
    </row>
    <row r="1168" spans="7:7">
      <c r="G1168" s="2"/>
    </row>
    <row r="1169" spans="7:8">
      <c r="G1169" s="2"/>
    </row>
    <row r="1170" spans="7:8">
      <c r="G1170" s="2"/>
    </row>
    <row r="1172" spans="7:8">
      <c r="G1172" s="2"/>
    </row>
    <row r="1175" spans="7:8">
      <c r="G1175" s="2"/>
    </row>
    <row r="1176" spans="7:8">
      <c r="G1176" s="2"/>
    </row>
    <row r="1177" spans="7:8">
      <c r="G1177" s="2"/>
    </row>
    <row r="1179" spans="7:8">
      <c r="G1179" s="2"/>
    </row>
    <row r="1180" spans="7:8">
      <c r="G1180" s="2"/>
    </row>
    <row r="1181" spans="7:8">
      <c r="G1181" s="2"/>
      <c r="H1181" s="2"/>
    </row>
    <row r="1182" spans="7:8">
      <c r="G1182" s="2"/>
      <c r="H1182" s="2"/>
    </row>
    <row r="1183" spans="7:8">
      <c r="G1183" s="2"/>
    </row>
    <row r="1184" spans="7:8">
      <c r="G1184" s="2"/>
    </row>
    <row r="1188" spans="7:7">
      <c r="G1188" s="2"/>
    </row>
    <row r="1189" spans="7:7">
      <c r="G1189" s="2"/>
    </row>
    <row r="1190" spans="7:7">
      <c r="G1190" s="2"/>
    </row>
    <row r="1191" spans="7:7">
      <c r="G1191" s="2"/>
    </row>
    <row r="1192" spans="7:7">
      <c r="G1192" s="2"/>
    </row>
    <row r="1193" spans="7:7">
      <c r="G1193" s="2"/>
    </row>
    <row r="1194" spans="7:7">
      <c r="G1194" s="2"/>
    </row>
    <row r="1196" spans="7:7">
      <c r="G1196" s="2"/>
    </row>
    <row r="1199" spans="7:7">
      <c r="G1199" s="2"/>
    </row>
    <row r="1201" spans="7:7">
      <c r="G1201" s="2"/>
    </row>
    <row r="1202" spans="7:7">
      <c r="G1202" s="2"/>
    </row>
    <row r="1203" spans="7:7">
      <c r="G1203" s="2"/>
    </row>
    <row r="1204" spans="7:7">
      <c r="G1204" s="2"/>
    </row>
    <row r="1205" spans="7:7">
      <c r="G1205" s="2"/>
    </row>
    <row r="1206" spans="7:7">
      <c r="G1206" s="2"/>
    </row>
    <row r="1207" spans="7:7">
      <c r="G1207" s="2"/>
    </row>
    <row r="1209" spans="7:7">
      <c r="G1209" s="2"/>
    </row>
    <row r="1210" spans="7:7">
      <c r="G1210" s="2"/>
    </row>
    <row r="1213" spans="7:7">
      <c r="G1213" s="2"/>
    </row>
    <row r="1214" spans="7:7">
      <c r="G1214" s="2"/>
    </row>
    <row r="1215" spans="7:7">
      <c r="G1215" s="2"/>
    </row>
    <row r="1217" spans="7:7">
      <c r="G1217" s="2"/>
    </row>
    <row r="1218" spans="7:7">
      <c r="G1218" s="2"/>
    </row>
    <row r="1219" spans="7:7">
      <c r="G1219" s="2"/>
    </row>
    <row r="1220" spans="7:7">
      <c r="G1220" s="2"/>
    </row>
    <row r="1221" spans="7:7">
      <c r="G1221" s="2"/>
    </row>
  </sheetData>
  <autoFilter ref="A1:X1221" xr:uid="{00000000-0009-0000-0000-000002000000}"/>
  <phoneticPr fontId="0" type="noConversion"/>
  <pageMargins left="0.75" right="0.75" top="1" bottom="1" header="0" footer="0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I27"/>
  <sheetViews>
    <sheetView workbookViewId="0" xr3:uid="{51F8DEE0-4D01-5F28-A812-FC0BD7CAC4A5}">
      <selection activeCell="B2" sqref="B2:I700"/>
    </sheetView>
  </sheetViews>
  <sheetFormatPr defaultColWidth="11.42578125" defaultRowHeight="12.75"/>
  <cols>
    <col min="1" max="16384" width="11.42578125" style="137"/>
  </cols>
  <sheetData>
    <row r="2" spans="2:9" ht="15.75">
      <c r="B2" s="143"/>
    </row>
    <row r="5" spans="2:9">
      <c r="B5" s="144"/>
    </row>
    <row r="6" spans="2:9" ht="13.5" thickBot="1"/>
    <row r="7" spans="2:9" ht="14.25" thickTop="1" thickBot="1">
      <c r="B7" s="656"/>
      <c r="C7" s="657"/>
      <c r="D7" s="657"/>
      <c r="E7" s="657"/>
      <c r="F7" s="657"/>
      <c r="G7" s="657"/>
      <c r="H7" s="657"/>
      <c r="I7" s="658"/>
    </row>
    <row r="8" spans="2:9" ht="13.5" thickTop="1"/>
    <row r="10" spans="2:9">
      <c r="B10" s="144"/>
    </row>
    <row r="11" spans="2:9" ht="13.5" thickBot="1"/>
    <row r="12" spans="2:9" ht="16.5" thickTop="1" thickBot="1">
      <c r="B12" s="659"/>
      <c r="C12" s="660"/>
      <c r="D12" s="660"/>
      <c r="E12" s="660"/>
      <c r="F12" s="660"/>
      <c r="G12" s="660"/>
      <c r="H12" s="660"/>
      <c r="I12" s="661"/>
    </row>
    <row r="13" spans="2:9" ht="13.5" thickTop="1"/>
    <row r="20" spans="1:2">
      <c r="A20" s="148" t="s">
        <v>62</v>
      </c>
      <c r="B20" s="148"/>
    </row>
    <row r="21" spans="1:2">
      <c r="A21" s="148">
        <v>1</v>
      </c>
      <c r="B21" s="148"/>
    </row>
    <row r="22" spans="1:2">
      <c r="A22" s="148">
        <v>2</v>
      </c>
      <c r="B22" s="148"/>
    </row>
    <row r="23" spans="1:2">
      <c r="A23" s="148">
        <v>3</v>
      </c>
      <c r="B23" s="148"/>
    </row>
    <row r="24" spans="1:2">
      <c r="A24" s="148">
        <v>4</v>
      </c>
      <c r="B24" s="148"/>
    </row>
    <row r="25" spans="1:2">
      <c r="A25" s="148">
        <v>5</v>
      </c>
      <c r="B25" s="148"/>
    </row>
    <row r="26" spans="1:2">
      <c r="A26" s="148">
        <v>6</v>
      </c>
      <c r="B26" s="148"/>
    </row>
    <row r="27" spans="1:2">
      <c r="A27" s="148">
        <v>7</v>
      </c>
      <c r="B27" s="148"/>
    </row>
  </sheetData>
  <mergeCells count="2">
    <mergeCell ref="B7:I7"/>
    <mergeCell ref="B12:I12"/>
  </mergeCells>
  <phoneticPr fontId="0" type="noConversion"/>
  <pageMargins left="0.75" right="0.75" top="1" bottom="1" header="0" footer="0"/>
  <pageSetup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E29:F30"/>
  <sheetViews>
    <sheetView showGridLines="0" topLeftCell="A4" workbookViewId="0" xr3:uid="{F9CF3CF3-643B-5BE6-8B46-32C596A47465}">
      <selection activeCell="F30" sqref="F30"/>
    </sheetView>
  </sheetViews>
  <sheetFormatPr defaultColWidth="11.42578125" defaultRowHeight="12.75"/>
  <cols>
    <col min="1" max="16384" width="11.42578125" style="225"/>
  </cols>
  <sheetData>
    <row r="29" spans="5:6" ht="13.5" thickBot="1">
      <c r="E29" s="575"/>
      <c r="F29" s="575"/>
    </row>
    <row r="30" spans="5:6" ht="13.5" thickBot="1">
      <c r="E30" s="227" t="s">
        <v>63</v>
      </c>
      <c r="F30" s="228" t="e">
        <f>+Hijuelas!#REF!</f>
        <v>#REF!</v>
      </c>
    </row>
  </sheetData>
  <phoneticPr fontId="0" type="noConversion"/>
  <pageMargins left="0.75" right="0.75" top="1" bottom="1" header="0" footer="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1:L41"/>
  <sheetViews>
    <sheetView tabSelected="1" zoomScale="75" zoomScaleNormal="100" workbookViewId="0" xr3:uid="{78B4E459-6924-5F8B-B7BA-2DD04133E49E}">
      <selection activeCell="A2" sqref="A2"/>
    </sheetView>
  </sheetViews>
  <sheetFormatPr defaultColWidth="11.42578125" defaultRowHeight="12.75"/>
  <cols>
    <col min="1" max="1" width="12.5703125" style="137" customWidth="1"/>
    <col min="2" max="2" width="19.28515625" style="137" customWidth="1"/>
    <col min="3" max="3" width="4.42578125" style="137" bestFit="1" customWidth="1"/>
    <col min="4" max="4" width="22" style="137" bestFit="1" customWidth="1"/>
    <col min="5" max="5" width="21.5703125" style="137" bestFit="1" customWidth="1"/>
    <col min="6" max="6" width="18.28515625" style="137" bestFit="1" customWidth="1"/>
    <col min="7" max="7" width="18.5703125" style="137" customWidth="1"/>
    <col min="8" max="8" width="12.42578125" style="137" bestFit="1" customWidth="1"/>
    <col min="9" max="9" width="14.85546875" style="137" bestFit="1" customWidth="1"/>
    <col min="10" max="10" width="12.42578125" style="137" bestFit="1" customWidth="1"/>
    <col min="11" max="11" width="9.85546875" style="137" bestFit="1" customWidth="1"/>
    <col min="12" max="12" width="11.28515625" style="137" bestFit="1" customWidth="1"/>
    <col min="13" max="16384" width="11.42578125" style="137"/>
  </cols>
  <sheetData>
    <row r="1" spans="1:11">
      <c r="A1" s="697">
        <v>42973</v>
      </c>
    </row>
    <row r="3" spans="1:11" ht="15.75">
      <c r="B3" s="143" t="s">
        <v>64</v>
      </c>
      <c r="C3" s="143"/>
    </row>
    <row r="4" spans="1:11" ht="16.5" thickBot="1">
      <c r="D4" s="166" t="s">
        <v>65</v>
      </c>
    </row>
    <row r="5" spans="1:11">
      <c r="F5" s="516" t="s">
        <v>66</v>
      </c>
      <c r="G5" s="522">
        <v>42973.541666666664</v>
      </c>
    </row>
    <row r="6" spans="1:11">
      <c r="F6" s="576" t="s">
        <v>67</v>
      </c>
      <c r="G6" s="517">
        <v>3.9895833333333335</v>
      </c>
      <c r="H6" s="517">
        <v>4.040972222222222</v>
      </c>
    </row>
    <row r="7" spans="1:11">
      <c r="F7" s="518" t="s">
        <v>68</v>
      </c>
      <c r="G7" s="519" t="s">
        <v>69</v>
      </c>
    </row>
    <row r="8" spans="1:11" ht="13.5" thickBot="1">
      <c r="F8" s="520" t="s">
        <v>70</v>
      </c>
      <c r="G8" s="521" t="s">
        <v>71</v>
      </c>
    </row>
    <row r="9" spans="1:11" ht="13.5" thickBot="1"/>
    <row r="10" spans="1:11" ht="24.95" customHeight="1" thickBot="1">
      <c r="B10" s="487" t="s">
        <v>72</v>
      </c>
      <c r="C10" s="488" t="s">
        <v>73</v>
      </c>
      <c r="D10" s="489" t="s">
        <v>74</v>
      </c>
      <c r="E10" s="489" t="s">
        <v>75</v>
      </c>
      <c r="F10" s="489" t="s">
        <v>76</v>
      </c>
      <c r="G10" s="489" t="s">
        <v>77</v>
      </c>
      <c r="H10" s="489" t="s">
        <v>78</v>
      </c>
      <c r="I10" s="489" t="s">
        <v>79</v>
      </c>
      <c r="J10" s="489" t="s">
        <v>80</v>
      </c>
      <c r="K10" s="490" t="s">
        <v>81</v>
      </c>
    </row>
    <row r="11" spans="1:11" ht="26.25" customHeight="1" thickTop="1">
      <c r="B11" s="491" t="s">
        <v>82</v>
      </c>
      <c r="C11" s="492">
        <v>1</v>
      </c>
      <c r="D11" s="493">
        <f>+G5</f>
        <v>42973.541666666664</v>
      </c>
      <c r="E11" s="493">
        <f>+'1_1'!C6</f>
        <v>42977.531250000007</v>
      </c>
      <c r="F11" s="494">
        <f>COUNTA('1_1'!G$13:G24)</f>
        <v>12</v>
      </c>
      <c r="G11" s="495">
        <f>'1_1'!J$9</f>
        <v>2.9137674033499463</v>
      </c>
      <c r="H11" s="494">
        <f>+'1_1'!E28</f>
        <v>95.010100000000023</v>
      </c>
      <c r="I11" s="494">
        <f>+'1_1'!H28</f>
        <v>80.437100000000015</v>
      </c>
      <c r="J11" s="496">
        <f>+I11/H11</f>
        <v>0.84661630710840208</v>
      </c>
      <c r="K11" s="497">
        <f>1-J11</f>
        <v>0.15338369289159792</v>
      </c>
    </row>
    <row r="12" spans="1:11" ht="26.25" customHeight="1">
      <c r="B12" s="502" t="s">
        <v>83</v>
      </c>
      <c r="C12" s="503">
        <v>2</v>
      </c>
      <c r="D12" s="504">
        <f>+E16</f>
        <v>42975.965548768494</v>
      </c>
      <c r="E12" s="504">
        <f>+'2_1'!L35</f>
        <v>42977.531249999985</v>
      </c>
      <c r="F12" s="505">
        <f>COUNTA('2_1'!G$15:G35)</f>
        <v>21</v>
      </c>
      <c r="G12" s="506">
        <f>+'2_1'!J9</f>
        <v>5.7716278373924572</v>
      </c>
      <c r="H12" s="505">
        <f>+'2_1'!E36</f>
        <v>22.053600000000003</v>
      </c>
      <c r="I12" s="505">
        <f>+'2_1'!H36</f>
        <v>15.626800000000001</v>
      </c>
      <c r="J12" s="507">
        <f t="shared" ref="J12:J26" si="0">+I12/H12</f>
        <v>0.70858272572278447</v>
      </c>
      <c r="K12" s="508">
        <f t="shared" ref="K12:K26" si="1">1-J12</f>
        <v>0.29141727427721553</v>
      </c>
    </row>
    <row r="13" spans="1:11" ht="26.25" customHeight="1">
      <c r="B13" s="498" t="s">
        <v>84</v>
      </c>
      <c r="C13" s="492">
        <v>3</v>
      </c>
      <c r="D13" s="493">
        <f>+G5</f>
        <v>42973.541666666664</v>
      </c>
      <c r="E13" s="493">
        <f>+'3_1'!C6</f>
        <v>42973.697829173441</v>
      </c>
      <c r="F13" s="499">
        <f>COUNTA('3_1'!G$13:G21)</f>
        <v>9</v>
      </c>
      <c r="G13" s="500">
        <f>+'3_1'!J9</f>
        <v>1.5127430473829462</v>
      </c>
      <c r="H13" s="499">
        <f>+'3_1'!E22</f>
        <v>160.74200000000002</v>
      </c>
      <c r="I13" s="499">
        <f>+'3_1'!H22</f>
        <v>149.9759</v>
      </c>
      <c r="J13" s="496">
        <f t="shared" si="0"/>
        <v>0.93302248323400216</v>
      </c>
      <c r="K13" s="497">
        <f t="shared" si="1"/>
        <v>6.6977516765997835E-2</v>
      </c>
    </row>
    <row r="14" spans="1:11" ht="26.25" customHeight="1">
      <c r="B14" s="502" t="s">
        <v>35</v>
      </c>
      <c r="C14" s="503">
        <v>4</v>
      </c>
      <c r="D14" s="504">
        <f>+E16</f>
        <v>42975.965548768494</v>
      </c>
      <c r="E14" s="504">
        <f>+'4_1'!C6</f>
        <v>42977.53125</v>
      </c>
      <c r="F14" s="505">
        <f>COUNTA('4_1'!G13:G19)</f>
        <v>7</v>
      </c>
      <c r="G14" s="506">
        <f>+'4_1'!J9</f>
        <v>4.1502674795990169</v>
      </c>
      <c r="H14" s="505">
        <f>+'4_1'!E20</f>
        <v>22.334</v>
      </c>
      <c r="I14" s="505">
        <f>+'4_1'!H20</f>
        <v>22.334</v>
      </c>
      <c r="J14" s="507">
        <f t="shared" si="0"/>
        <v>1</v>
      </c>
      <c r="K14" s="508">
        <f t="shared" si="1"/>
        <v>0</v>
      </c>
    </row>
    <row r="15" spans="1:11" ht="26.25" customHeight="1">
      <c r="B15" s="498" t="s">
        <v>36</v>
      </c>
      <c r="C15" s="492">
        <v>5</v>
      </c>
      <c r="D15" s="493">
        <f>+$G$5</f>
        <v>42973.541666666664</v>
      </c>
      <c r="E15" s="493">
        <f>+'5_1'!C6</f>
        <v>42977.53125</v>
      </c>
      <c r="F15" s="499">
        <f>COUNTA('5_1'!G$13:G21)</f>
        <v>9</v>
      </c>
      <c r="G15" s="500">
        <f>'5_1'!J$9</f>
        <v>3.1395034202590129</v>
      </c>
      <c r="H15" s="499">
        <f>+'5_1'!E22</f>
        <v>82.507400000000004</v>
      </c>
      <c r="I15" s="499">
        <f>+'5_1'!H22</f>
        <v>72.928200000000004</v>
      </c>
      <c r="J15" s="496">
        <f t="shared" si="0"/>
        <v>0.88389889876544403</v>
      </c>
      <c r="K15" s="497">
        <f t="shared" si="1"/>
        <v>0.11610110123455597</v>
      </c>
    </row>
    <row r="16" spans="1:11" ht="26.25" customHeight="1">
      <c r="B16" s="498" t="s">
        <v>85</v>
      </c>
      <c r="C16" s="492">
        <v>6</v>
      </c>
      <c r="D16" s="493">
        <f>+G5</f>
        <v>42973.541666666664</v>
      </c>
      <c r="E16" s="493">
        <f>+'6_1'!L13</f>
        <v>42975.965548768494</v>
      </c>
      <c r="F16" s="499">
        <f>COUNTA('6_1'!G$13:G29)</f>
        <v>17</v>
      </c>
      <c r="G16" s="500">
        <f>'6_1'!J$9</f>
        <v>2.2832806871581544</v>
      </c>
      <c r="H16" s="499">
        <f>+'6_1'!E30</f>
        <v>68.637199999999993</v>
      </c>
      <c r="I16" s="499">
        <f>+'6_1'!H30</f>
        <v>58.767600000000002</v>
      </c>
      <c r="J16" s="496">
        <f t="shared" si="0"/>
        <v>0.85620625549993312</v>
      </c>
      <c r="K16" s="497">
        <f t="shared" si="1"/>
        <v>0.14379374450006688</v>
      </c>
    </row>
    <row r="17" spans="1:12" ht="26.25" customHeight="1">
      <c r="B17" s="498" t="s">
        <v>45</v>
      </c>
      <c r="C17" s="492">
        <v>7</v>
      </c>
      <c r="D17" s="493">
        <f t="shared" ref="D17:D26" si="2">+$G$5</f>
        <v>42973.541666666664</v>
      </c>
      <c r="E17" s="493">
        <f>+'7_1'!C6</f>
        <v>42977.531249999993</v>
      </c>
      <c r="F17" s="499">
        <f>COUNTA('7_1'!G$13:G38)</f>
        <v>26</v>
      </c>
      <c r="G17" s="500">
        <f>'7_1'!J$9</f>
        <v>0.97370492416796783</v>
      </c>
      <c r="H17" s="499">
        <f>+'7_1'!E39</f>
        <v>277.44590000000005</v>
      </c>
      <c r="I17" s="499">
        <f>+'7_1'!H39</f>
        <v>233.0018</v>
      </c>
      <c r="J17" s="496">
        <f t="shared" si="0"/>
        <v>0.83980985121784091</v>
      </c>
      <c r="K17" s="497">
        <f t="shared" si="1"/>
        <v>0.16019014878215909</v>
      </c>
    </row>
    <row r="18" spans="1:12" ht="26.25" customHeight="1">
      <c r="B18" s="498" t="s">
        <v>86</v>
      </c>
      <c r="C18" s="492">
        <v>8</v>
      </c>
      <c r="D18" s="493">
        <f t="shared" si="2"/>
        <v>42973.541666666664</v>
      </c>
      <c r="E18" s="493">
        <f>+'8_1'!C6</f>
        <v>42973.625</v>
      </c>
      <c r="F18" s="499">
        <f>COUNTA('8_1'!G$13:G31)</f>
        <v>3</v>
      </c>
      <c r="G18" s="500">
        <f>'8_1'!J$9</f>
        <v>21.005108442373185</v>
      </c>
      <c r="H18" s="499">
        <f>+'8_1'!E16</f>
        <v>28.397000000000002</v>
      </c>
      <c r="I18" s="499">
        <f>+'8_1'!H16</f>
        <v>11.157999999999999</v>
      </c>
      <c r="J18" s="496">
        <f t="shared" si="0"/>
        <v>0.39292883051026511</v>
      </c>
      <c r="K18" s="497">
        <f t="shared" si="1"/>
        <v>0.60707116948973483</v>
      </c>
    </row>
    <row r="19" spans="1:12" ht="26.25" customHeight="1">
      <c r="B19" s="498" t="s">
        <v>38</v>
      </c>
      <c r="C19" s="492">
        <v>9</v>
      </c>
      <c r="D19" s="493">
        <f t="shared" si="2"/>
        <v>42973.541666666664</v>
      </c>
      <c r="E19" s="493">
        <f>+'9_1'!C6</f>
        <v>42977.53125</v>
      </c>
      <c r="F19" s="499">
        <f>COUNTA('9_1'!G$13:G37)</f>
        <v>25</v>
      </c>
      <c r="G19" s="500">
        <f>'9_1'!J$9</f>
        <v>1.5285597986218267</v>
      </c>
      <c r="H19" s="499">
        <f>+'9_1'!E38</f>
        <v>166.19379999999998</v>
      </c>
      <c r="I19" s="499">
        <f>+'9_1'!H38</f>
        <v>146.7885</v>
      </c>
      <c r="J19" s="496">
        <f t="shared" si="0"/>
        <v>0.8832369197888249</v>
      </c>
      <c r="K19" s="497">
        <f t="shared" si="1"/>
        <v>0.1167630802111751</v>
      </c>
    </row>
    <row r="20" spans="1:12" ht="26.25" customHeight="1">
      <c r="B20" s="498" t="s">
        <v>39</v>
      </c>
      <c r="C20" s="492">
        <v>10</v>
      </c>
      <c r="D20" s="493">
        <f t="shared" si="2"/>
        <v>42973.541666666664</v>
      </c>
      <c r="E20" s="493">
        <f>+'10_1'!C6</f>
        <v>42977.53125</v>
      </c>
      <c r="F20" s="499">
        <f>COUNTA('10_1'!G$13:G21)</f>
        <v>9</v>
      </c>
      <c r="G20" s="500">
        <f>'10_1'!J$9</f>
        <v>5.1815161088499746</v>
      </c>
      <c r="H20" s="501">
        <f>+'10_1'!E22</f>
        <v>46.515300000000003</v>
      </c>
      <c r="I20" s="501">
        <f>+'10_1'!H22</f>
        <v>45.232900000000001</v>
      </c>
      <c r="J20" s="496">
        <f t="shared" si="0"/>
        <v>0.97243057660597687</v>
      </c>
      <c r="K20" s="497">
        <f t="shared" si="1"/>
        <v>2.7569423394023129E-2</v>
      </c>
    </row>
    <row r="21" spans="1:12" ht="26.25" customHeight="1">
      <c r="B21" s="498" t="s">
        <v>47</v>
      </c>
      <c r="C21" s="492">
        <v>11</v>
      </c>
      <c r="D21" s="493">
        <f>+D20</f>
        <v>42973.541666666664</v>
      </c>
      <c r="E21" s="493">
        <f>+'11_1'!C6</f>
        <v>42977.53125</v>
      </c>
      <c r="F21" s="499">
        <f>COUNTA('11_1'!G$13:G17)</f>
        <v>5</v>
      </c>
      <c r="G21" s="500">
        <f>'11_1'!J$9</f>
        <v>7.6201442747316017</v>
      </c>
      <c r="H21" s="499">
        <f>++'11_1'!E18</f>
        <v>14.763500000000001</v>
      </c>
      <c r="I21" s="499">
        <f>+'11_1'!H18</f>
        <v>14.763500000000001</v>
      </c>
      <c r="J21" s="496">
        <f t="shared" si="0"/>
        <v>1</v>
      </c>
      <c r="K21" s="497">
        <f t="shared" si="1"/>
        <v>0</v>
      </c>
    </row>
    <row r="22" spans="1:12" ht="26.25" customHeight="1">
      <c r="B22" s="498" t="s">
        <v>87</v>
      </c>
      <c r="C22" s="492">
        <v>12</v>
      </c>
      <c r="D22" s="493">
        <f t="shared" si="2"/>
        <v>42973.541666666664</v>
      </c>
      <c r="E22" s="493">
        <f>+'12_1'!C6</f>
        <v>42977.53125</v>
      </c>
      <c r="F22" s="499">
        <f>COUNTA('12_1'!G$22:G22)</f>
        <v>1</v>
      </c>
      <c r="G22" s="500">
        <f>'12_1'!J$9</f>
        <v>3.3983141751785824</v>
      </c>
      <c r="H22" s="499">
        <f>+'12_1'!E23</f>
        <v>84.363900000000001</v>
      </c>
      <c r="I22" s="499">
        <f>+'12_1'!H23</f>
        <v>68.96802000000001</v>
      </c>
      <c r="J22" s="496">
        <f t="shared" si="0"/>
        <v>0.8175063030514238</v>
      </c>
      <c r="K22" s="497">
        <f t="shared" si="1"/>
        <v>0.1824936969485762</v>
      </c>
    </row>
    <row r="23" spans="1:12" ht="26.25" customHeight="1">
      <c r="B23" s="498" t="s">
        <v>41</v>
      </c>
      <c r="C23" s="492">
        <v>13</v>
      </c>
      <c r="D23" s="493">
        <f t="shared" si="2"/>
        <v>42973.541666666664</v>
      </c>
      <c r="E23" s="493">
        <f>+'13_1'!C6</f>
        <v>42977.531249999993</v>
      </c>
      <c r="F23" s="499">
        <f>COUNTA('13_1'!G$15:G27)</f>
        <v>13</v>
      </c>
      <c r="G23" s="500">
        <f>'13_1'!J$9</f>
        <v>3.0138448946291692</v>
      </c>
      <c r="H23" s="499">
        <f>+'13_1'!H33</f>
        <v>6.8602999999999996</v>
      </c>
      <c r="I23" s="499">
        <f>+'13_1'!H34</f>
        <v>75.830600000000004</v>
      </c>
      <c r="J23" s="496">
        <f t="shared" si="0"/>
        <v>11.053539932656008</v>
      </c>
      <c r="K23" s="497">
        <f t="shared" si="1"/>
        <v>-10.053539932656008</v>
      </c>
    </row>
    <row r="24" spans="1:12" ht="26.25" customHeight="1">
      <c r="B24" s="498" t="s">
        <v>88</v>
      </c>
      <c r="C24" s="492">
        <v>14</v>
      </c>
      <c r="D24" s="493">
        <v>42666.520833333336</v>
      </c>
      <c r="E24" s="493">
        <f>+E23</f>
        <v>42977.531249999993</v>
      </c>
      <c r="F24" s="499">
        <f>COUNTA('14_1'!G$12:G42)</f>
        <v>31</v>
      </c>
      <c r="G24" s="500">
        <f>'14_1'!J$9</f>
        <v>2.5180039811074582</v>
      </c>
      <c r="H24" s="499">
        <f>+'14_1'!E43</f>
        <v>110.49840000000003</v>
      </c>
      <c r="I24" s="499">
        <f>+'14_1'!H43</f>
        <v>98.954040000000006</v>
      </c>
      <c r="J24" s="496">
        <f t="shared" si="0"/>
        <v>0.89552464108077567</v>
      </c>
      <c r="K24" s="497">
        <f t="shared" si="1"/>
        <v>0.10447535891922433</v>
      </c>
    </row>
    <row r="25" spans="1:12" ht="26.25" customHeight="1">
      <c r="B25" s="498" t="s">
        <v>48</v>
      </c>
      <c r="C25" s="492">
        <v>15</v>
      </c>
      <c r="D25" s="493">
        <f>+G5</f>
        <v>42973.541666666664</v>
      </c>
      <c r="E25" s="493">
        <f>+'15_1'!C6</f>
        <v>42977.53125</v>
      </c>
      <c r="F25" s="499">
        <f>COUNTA('15_1'!G$20:G32)</f>
        <v>13</v>
      </c>
      <c r="G25" s="500">
        <f>'15_1'!J$9</f>
        <v>5.305092889173606</v>
      </c>
      <c r="H25" s="499">
        <f>+'15_1'!E33</f>
        <v>31.847699999999996</v>
      </c>
      <c r="I25" s="499">
        <f>+'15_1'!H33</f>
        <v>43.708000000000006</v>
      </c>
      <c r="J25" s="496">
        <f t="shared" si="0"/>
        <v>1.3724067986071211</v>
      </c>
      <c r="K25" s="497">
        <f t="shared" si="1"/>
        <v>-0.37240679860712111</v>
      </c>
    </row>
    <row r="26" spans="1:12" ht="26.25" customHeight="1" thickBot="1">
      <c r="B26" s="509" t="s">
        <v>49</v>
      </c>
      <c r="C26" s="510">
        <v>16</v>
      </c>
      <c r="D26" s="493">
        <f t="shared" si="2"/>
        <v>42973.541666666664</v>
      </c>
      <c r="E26" s="511">
        <f>+'16_1'!C6</f>
        <v>42977.531250000007</v>
      </c>
      <c r="F26" s="512">
        <f>COUNTA('16_1'!G$13:G22)</f>
        <v>10</v>
      </c>
      <c r="G26" s="513">
        <f>'16_1'!J$9</f>
        <v>2.6424379766958106</v>
      </c>
      <c r="H26" s="512">
        <f>+'16_1'!E23</f>
        <v>94.426500000000019</v>
      </c>
      <c r="I26" s="512">
        <f>+'16_1'!H23</f>
        <v>88.696500000000015</v>
      </c>
      <c r="J26" s="514">
        <f t="shared" si="0"/>
        <v>0.93931788216231671</v>
      </c>
      <c r="K26" s="515">
        <f t="shared" si="1"/>
        <v>6.0682117837683291E-2</v>
      </c>
    </row>
    <row r="27" spans="1:12" ht="15.75">
      <c r="F27" s="524">
        <f>SUM(F11:F26)</f>
        <v>211</v>
      </c>
      <c r="G27" s="224" t="s">
        <v>89</v>
      </c>
      <c r="H27" s="226">
        <f>SUM(H11:H26)</f>
        <v>1312.5966000000003</v>
      </c>
      <c r="I27" s="224"/>
      <c r="J27" s="482">
        <f>AVERAGE(J11:J26)</f>
        <v>1.5246892753756951</v>
      </c>
      <c r="K27" s="483">
        <f>AVERAGE(K11:K26)</f>
        <v>-0.52468927537569499</v>
      </c>
    </row>
    <row r="28" spans="1:12">
      <c r="F28" s="224"/>
      <c r="G28" s="224"/>
      <c r="H28" s="226"/>
      <c r="I28" s="224"/>
      <c r="J28" s="224"/>
      <c r="K28" s="224"/>
      <c r="L28" s="224"/>
    </row>
    <row r="29" spans="1:12" s="222" customFormat="1" ht="15">
      <c r="A29" s="533"/>
      <c r="B29" s="533"/>
      <c r="C29" s="533"/>
      <c r="D29" s="533"/>
      <c r="E29" s="577"/>
      <c r="H29" s="223">
        <f>SUM(H11:H27)</f>
        <v>2625.1932000000006</v>
      </c>
      <c r="I29" s="218" t="e">
        <f>+'18_1'!D21</f>
        <v>#N/A</v>
      </c>
      <c r="J29" s="218" t="e">
        <f>+'18_1'!E21</f>
        <v>#N/A</v>
      </c>
    </row>
    <row r="41" s="218" customFormat="1"/>
  </sheetData>
  <phoneticPr fontId="0" type="noConversion"/>
  <dataValidations count="2">
    <dataValidation type="list" allowBlank="1" showInputMessage="1" showErrorMessage="1" sqref="G7" xr:uid="{00000000-0002-0000-0500-000000000000}">
      <formula1>" POR ENTERO, POR FRACCIÓN"</formula1>
    </dataValidation>
    <dataValidation type="list" allowBlank="1" showInputMessage="1" showErrorMessage="1" sqref="G8" xr:uid="{00000000-0002-0000-0500-000001000000}">
      <formula1>"SI, NO"</formula1>
    </dataValidation>
  </dataValidations>
  <pageMargins left="0.75" right="0.75" top="0.39" bottom="1" header="0" footer="0"/>
  <pageSetup paperSize="9" scale="93" orientation="landscape" verticalDpi="200" r:id="rId1"/>
  <headerFooter alignWithMargins="0"/>
  <colBreaks count="1" manualBreakCount="1">
    <brk id="12" max="1048575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U33"/>
  <sheetViews>
    <sheetView view="pageBreakPreview" zoomScale="75" zoomScaleNormal="75" zoomScaleSheetLayoutView="100" workbookViewId="0" xr3:uid="{9B253EF2-77E0-53E3-AE26-4D66ECD923F3}">
      <selection activeCell="L1" sqref="L1:L1048576"/>
    </sheetView>
  </sheetViews>
  <sheetFormatPr defaultColWidth="11.42578125" defaultRowHeight="12.75"/>
  <cols>
    <col min="1" max="1" width="9.7109375" bestFit="1" customWidth="1"/>
    <col min="2" max="2" width="6.28515625" bestFit="1" customWidth="1"/>
    <col min="3" max="3" width="9.5703125" bestFit="1" customWidth="1"/>
    <col min="4" max="4" width="4" bestFit="1" customWidth="1"/>
    <col min="5" max="5" width="11.5703125" bestFit="1" customWidth="1"/>
    <col min="6" max="6" width="13.42578125" customWidth="1"/>
    <col min="7" max="7" width="38.28515625" bestFit="1" customWidth="1"/>
    <col min="8" max="8" width="13.140625" customWidth="1"/>
    <col min="9" max="9" width="7.5703125" bestFit="1" customWidth="1"/>
    <col min="10" max="10" width="18.5703125" customWidth="1"/>
    <col min="11" max="11" width="15.7109375" customWidth="1"/>
    <col min="12" max="12" width="18" customWidth="1"/>
    <col min="13" max="13" width="25.85546875" customWidth="1"/>
    <col min="14" max="14" width="22.7109375" customWidth="1"/>
    <col min="15" max="15" width="40.5703125" customWidth="1"/>
    <col min="16" max="16" width="34.28515625" customWidth="1"/>
    <col min="18" max="20" width="11.5703125" bestFit="1" customWidth="1"/>
    <col min="21" max="21" width="12.5703125" bestFit="1" customWidth="1"/>
    <col min="22" max="22" width="11.570312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2" spans="1:21">
      <c r="A2" s="137"/>
      <c r="B2" s="144" t="s">
        <v>90</v>
      </c>
      <c r="C2" s="137"/>
      <c r="D2" s="137"/>
      <c r="E2" s="137"/>
      <c r="F2" s="137"/>
      <c r="G2" s="137"/>
      <c r="H2" s="137" t="s">
        <v>91</v>
      </c>
      <c r="I2" s="137"/>
      <c r="J2" s="137"/>
      <c r="K2" s="137"/>
      <c r="L2" s="137"/>
      <c r="M2" s="137"/>
      <c r="N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</row>
    <row r="5" spans="1:21">
      <c r="A5" s="669" t="s">
        <v>92</v>
      </c>
      <c r="B5" s="670"/>
      <c r="C5" s="662">
        <f>+Hijuelas!D11</f>
        <v>42973.541666666664</v>
      </c>
      <c r="D5" s="663"/>
      <c r="E5" s="664"/>
      <c r="F5" s="344"/>
      <c r="G5" s="345" t="s">
        <v>93</v>
      </c>
      <c r="H5" s="346">
        <f>+Hijuelas!$G$6</f>
        <v>3.9895833333333335</v>
      </c>
      <c r="I5" s="137"/>
      <c r="J5" s="137"/>
      <c r="K5" s="137"/>
      <c r="L5" s="137"/>
      <c r="M5" s="137"/>
      <c r="N5" s="137"/>
    </row>
    <row r="6" spans="1:21" ht="13.5" thickBot="1">
      <c r="A6" s="671" t="s">
        <v>94</v>
      </c>
      <c r="B6" s="672"/>
      <c r="C6" s="665">
        <f>+K27</f>
        <v>42977.531250000007</v>
      </c>
      <c r="D6" s="666"/>
      <c r="E6" s="667"/>
      <c r="F6" s="344"/>
      <c r="G6" s="347" t="s">
        <v>95</v>
      </c>
      <c r="H6" s="354">
        <v>8.3333333333333329E-2</v>
      </c>
      <c r="I6" s="344"/>
      <c r="J6" s="137"/>
      <c r="K6" s="578"/>
      <c r="L6" s="578"/>
      <c r="M6" s="137"/>
      <c r="N6" s="137"/>
    </row>
    <row r="7" spans="1:21" ht="13.5" thickBot="1">
      <c r="A7" s="137"/>
      <c r="B7" s="137"/>
      <c r="C7" s="137"/>
      <c r="D7" s="137"/>
      <c r="E7" s="137"/>
      <c r="F7" s="137"/>
      <c r="G7" s="348" t="s">
        <v>96</v>
      </c>
      <c r="H7" s="349">
        <v>0</v>
      </c>
      <c r="I7" s="137"/>
      <c r="J7" s="137"/>
      <c r="K7" s="137"/>
      <c r="L7" s="137"/>
      <c r="M7" s="137"/>
      <c r="N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</row>
    <row r="9" spans="1:21">
      <c r="A9" s="668" t="s">
        <v>97</v>
      </c>
      <c r="B9" s="668"/>
      <c r="C9" s="556">
        <f>H5-(H6+H7)</f>
        <v>3.90625</v>
      </c>
      <c r="D9" s="556"/>
      <c r="E9" s="555" t="s">
        <v>98</v>
      </c>
      <c r="F9" s="350">
        <f>+C9*60</f>
        <v>234.375</v>
      </c>
      <c r="G9" s="555" t="s">
        <v>99</v>
      </c>
      <c r="H9" s="399">
        <f>+H28</f>
        <v>80.437100000000015</v>
      </c>
      <c r="I9" s="555" t="s">
        <v>100</v>
      </c>
      <c r="J9" s="350">
        <f>+F9/H9</f>
        <v>2.9137674033499463</v>
      </c>
      <c r="K9" s="137"/>
      <c r="L9" s="137"/>
      <c r="M9" s="137"/>
      <c r="N9" s="137"/>
    </row>
    <row r="10" spans="1:21">
      <c r="A10" s="137"/>
      <c r="B10" s="137"/>
      <c r="C10" s="137"/>
      <c r="D10" s="137"/>
      <c r="E10" s="137"/>
      <c r="F10" s="137" t="s">
        <v>101</v>
      </c>
      <c r="G10" s="137"/>
      <c r="H10" s="137"/>
      <c r="I10" s="137"/>
      <c r="J10" s="137"/>
      <c r="K10" s="137"/>
      <c r="L10" s="137"/>
      <c r="M10" s="137"/>
      <c r="N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</row>
    <row r="12" spans="1:21" s="47" customFormat="1" ht="24.75" thickBot="1">
      <c r="A12" s="400" t="s">
        <v>102</v>
      </c>
      <c r="B12" s="372" t="s">
        <v>103</v>
      </c>
      <c r="C12" s="372" t="s">
        <v>104</v>
      </c>
      <c r="D12" s="372" t="s">
        <v>105</v>
      </c>
      <c r="E12" s="372" t="s">
        <v>106</v>
      </c>
      <c r="F12" s="336" t="s">
        <v>107</v>
      </c>
      <c r="G12" s="372" t="s">
        <v>108</v>
      </c>
      <c r="H12" s="372" t="s">
        <v>109</v>
      </c>
      <c r="I12" s="372" t="s">
        <v>110</v>
      </c>
      <c r="J12" s="372" t="s">
        <v>111</v>
      </c>
      <c r="K12" s="372" t="s">
        <v>112</v>
      </c>
      <c r="L12" s="554" t="s">
        <v>113</v>
      </c>
      <c r="M12" s="372" t="s">
        <v>114</v>
      </c>
      <c r="N12" s="372" t="s">
        <v>115</v>
      </c>
      <c r="O12" s="372" t="s">
        <v>116</v>
      </c>
      <c r="P12" s="372" t="s">
        <v>117</v>
      </c>
      <c r="Q12" s="372" t="s">
        <v>118</v>
      </c>
      <c r="R12" s="372" t="s">
        <v>119</v>
      </c>
      <c r="S12" s="372" t="s">
        <v>120</v>
      </c>
      <c r="T12" s="372" t="s">
        <v>121</v>
      </c>
      <c r="U12" s="394" t="s">
        <v>122</v>
      </c>
    </row>
    <row r="13" spans="1:21" ht="30" customHeight="1" thickTop="1">
      <c r="A13" s="35">
        <v>1</v>
      </c>
      <c r="B13" s="5">
        <v>1200</v>
      </c>
      <c r="C13" s="5">
        <v>37</v>
      </c>
      <c r="D13" s="5">
        <v>1</v>
      </c>
      <c r="E13" s="9">
        <v>6.2153</v>
      </c>
      <c r="F13" s="103" t="str">
        <f t="shared" ref="F13:F27" si="0">IF(Q13=0,"NO",IF(Q13=1,"SI",IF(Q13=3,"cede turno","CONDICIONAL")))</f>
        <v>SI</v>
      </c>
      <c r="G13" s="5" t="s">
        <v>123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6.2153</v>
      </c>
      <c r="I13" s="580">
        <f t="shared" ref="I13:I27" si="1">+$J$9/60*H13</f>
        <v>0.30183230903401537</v>
      </c>
      <c r="J13" s="125">
        <f>+C5+H6</f>
        <v>42973.625</v>
      </c>
      <c r="K13" s="125">
        <f>+J13+I13</f>
        <v>42973.926832309036</v>
      </c>
      <c r="L13" s="174"/>
      <c r="M13" s="5"/>
      <c r="N13" s="5"/>
      <c r="O13" s="5"/>
      <c r="P13" s="52" t="str">
        <f t="shared" ref="P13:P24" si="2">+CONCATENATE(B13,C13)</f>
        <v>120037</v>
      </c>
      <c r="Q13" s="150">
        <f>VLOOKUP(P13,deuda!A$1:H$720,4,0)</f>
        <v>1</v>
      </c>
      <c r="R13" s="150">
        <f>VLOOKUP(P13,deuda!A$1:H$720,5,0)</f>
        <v>0</v>
      </c>
      <c r="S13" s="150" t="str">
        <f>IF(VLOOKUP(P13,deuda!A$1:H$720,6,0)=0,"",VLOOKUP(P13,deuda!A$1:H$720,6,0))</f>
        <v/>
      </c>
      <c r="T13" s="151" t="str">
        <f>IF((VLOOKUP(P13,deuda!A$1:H$720,7,0))=0,"",VLOOKUP(P13,deuda!A$1:H$720,7,0))</f>
        <v/>
      </c>
      <c r="U13" s="152" t="str">
        <f>IF((VLOOKUP(P13,deuda!A$1:H$20,8,0))=0,"",VLOOKUP(P13,deuda!A$1:H$720,8,0))</f>
        <v/>
      </c>
    </row>
    <row r="14" spans="1:21" ht="30" customHeight="1">
      <c r="A14" s="35">
        <v>2</v>
      </c>
      <c r="B14" s="5">
        <v>1200</v>
      </c>
      <c r="C14" s="5">
        <v>72</v>
      </c>
      <c r="D14" s="5">
        <v>1</v>
      </c>
      <c r="E14" s="9">
        <v>0.1129</v>
      </c>
      <c r="F14" s="103" t="str">
        <f t="shared" si="0"/>
        <v>NO</v>
      </c>
      <c r="G14" s="5" t="s">
        <v>124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0</v>
      </c>
      <c r="I14" s="580">
        <f t="shared" si="1"/>
        <v>0</v>
      </c>
      <c r="J14" s="125">
        <f>+K13</f>
        <v>42973.926832309036</v>
      </c>
      <c r="K14" s="125">
        <f>+J14+I14</f>
        <v>42973.926832309036</v>
      </c>
      <c r="L14" s="174"/>
      <c r="M14" s="5"/>
      <c r="N14" s="5"/>
      <c r="O14" s="5"/>
      <c r="P14" s="52" t="str">
        <f t="shared" si="2"/>
        <v>120072</v>
      </c>
      <c r="Q14" s="150">
        <f>VLOOKUP(P14,deuda!A$1:H$720,4,0)</f>
        <v>0</v>
      </c>
      <c r="R14" s="150">
        <f>VLOOKUP(P14,deuda!A$1:H$720,5,0)</f>
        <v>4</v>
      </c>
      <c r="S14" s="150">
        <f>IF(VLOOKUP(P14,deuda!A$1:H$720,6,0)=0,"",VLOOKUP(P14,deuda!A$1:H$720,6,0))</f>
        <v>2538.06</v>
      </c>
      <c r="T14" s="151" t="str">
        <f>IF((VLOOKUP(P14,deuda!A$1:H$720,7,0))=0,"",VLOOKUP(P14,deuda!A$1:H$720,7,0))</f>
        <v/>
      </c>
      <c r="U14" s="152" t="e">
        <f>IF((VLOOKUP(P14,deuda!A$1:H$20,8,0))=0,"",VLOOKUP(P14,deuda!A$1:H$720,8,0))</f>
        <v>#N/A</v>
      </c>
    </row>
    <row r="15" spans="1:21" ht="30" customHeight="1">
      <c r="A15" s="35">
        <v>3</v>
      </c>
      <c r="B15" s="5">
        <v>1211</v>
      </c>
      <c r="C15" s="5">
        <v>13</v>
      </c>
      <c r="D15" s="5">
        <v>1</v>
      </c>
      <c r="E15" s="9">
        <v>3.6749000000000001</v>
      </c>
      <c r="F15" s="103" t="str">
        <f t="shared" si="0"/>
        <v>SI</v>
      </c>
      <c r="G15" s="5" t="s">
        <v>125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3.6749000000000001</v>
      </c>
      <c r="I15" s="580">
        <f t="shared" si="1"/>
        <v>0.17846339717617862</v>
      </c>
      <c r="J15" s="125">
        <f t="shared" ref="J15:J27" si="3">+K14</f>
        <v>42973.926832309036</v>
      </c>
      <c r="K15" s="125">
        <f t="shared" ref="K15:K27" si="4">+J15+I15</f>
        <v>42974.105295706213</v>
      </c>
      <c r="L15" s="174"/>
      <c r="M15" s="5"/>
      <c r="N15" s="5"/>
      <c r="O15" s="5"/>
      <c r="P15" s="52" t="str">
        <f t="shared" si="2"/>
        <v>121113</v>
      </c>
      <c r="Q15" s="150">
        <f>VLOOKUP(P15,deuda!A$1:H$720,4,0)</f>
        <v>1</v>
      </c>
      <c r="R15" s="150">
        <f>VLOOKUP(P15,deuda!A$1:H$720,5,0)</f>
        <v>2</v>
      </c>
      <c r="S15" s="150">
        <f>IF(VLOOKUP(P15,deuda!A$1:H$720,6,0)=0,"",VLOOKUP(P15,deuda!A$1:H$720,6,0))</f>
        <v>2235.88</v>
      </c>
      <c r="T15" s="151" t="str">
        <f>IF((VLOOKUP(P15,deuda!A$1:H$720,7,0))=0,"",VLOOKUP(P15,deuda!A$1:H$720,7,0))</f>
        <v/>
      </c>
      <c r="U15" s="152" t="e">
        <f>IF((VLOOKUP(P15,deuda!A$1:H$20,8,0))=0,"",VLOOKUP(P15,deuda!A$1:H$720,8,0))</f>
        <v>#N/A</v>
      </c>
    </row>
    <row r="16" spans="1:21" ht="30" customHeight="1">
      <c r="A16" s="35">
        <v>4</v>
      </c>
      <c r="B16" s="5">
        <v>1211</v>
      </c>
      <c r="C16" s="5">
        <v>11</v>
      </c>
      <c r="D16" s="5">
        <v>1</v>
      </c>
      <c r="E16" s="6">
        <v>4.3312999999999997</v>
      </c>
      <c r="F16" s="103" t="str">
        <f t="shared" si="0"/>
        <v>SI</v>
      </c>
      <c r="G16" s="5" t="s">
        <v>125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4.3312999999999997</v>
      </c>
      <c r="I16" s="580">
        <f t="shared" si="1"/>
        <v>0.21034001256882703</v>
      </c>
      <c r="J16" s="125">
        <f t="shared" si="3"/>
        <v>42974.105295706213</v>
      </c>
      <c r="K16" s="125">
        <f t="shared" si="4"/>
        <v>42974.315635718784</v>
      </c>
      <c r="L16" s="125"/>
      <c r="M16" s="5"/>
      <c r="N16" s="5"/>
      <c r="O16" s="5"/>
      <c r="P16" s="52" t="str">
        <f t="shared" si="2"/>
        <v>121111</v>
      </c>
      <c r="Q16" s="150">
        <f>VLOOKUP(P16,deuda!A$1:H$720,4,0)</f>
        <v>1</v>
      </c>
      <c r="R16" s="150">
        <f>VLOOKUP(P16,deuda!A$1:H$720,5,0)</f>
        <v>2</v>
      </c>
      <c r="S16" s="150">
        <f>IF(VLOOKUP(P16,deuda!A$1:H$720,6,0)=0,"",VLOOKUP(P16,deuda!A$1:H$720,6,0))</f>
        <v>2612.44</v>
      </c>
      <c r="T16" s="151" t="str">
        <f>IF((VLOOKUP(P16,deuda!A$1:H$720,7,0))=0,"",VLOOKUP(P16,deuda!A$1:H$720,7,0))</f>
        <v/>
      </c>
      <c r="U16" s="152" t="e">
        <f>IF((VLOOKUP(P16,deuda!A$1:H$20,8,0))=0,"",VLOOKUP(P16,deuda!A$1:H$720,8,0))</f>
        <v>#N/A</v>
      </c>
    </row>
    <row r="17" spans="1:21" ht="30" customHeight="1">
      <c r="A17" s="35">
        <v>5</v>
      </c>
      <c r="B17" s="5">
        <v>1211</v>
      </c>
      <c r="C17" s="5">
        <v>17</v>
      </c>
      <c r="D17" s="5">
        <v>1</v>
      </c>
      <c r="E17" s="9">
        <v>23.6844</v>
      </c>
      <c r="F17" s="103" t="str">
        <f t="shared" si="0"/>
        <v>SI</v>
      </c>
      <c r="G17" s="5" t="s">
        <v>126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23.6844</v>
      </c>
      <c r="I17" s="580">
        <f t="shared" si="1"/>
        <v>1.1501805447983577</v>
      </c>
      <c r="J17" s="125">
        <f t="shared" si="3"/>
        <v>42974.315635718784</v>
      </c>
      <c r="K17" s="125">
        <f t="shared" si="4"/>
        <v>42975.465816263582</v>
      </c>
      <c r="L17" s="125"/>
      <c r="M17" s="5"/>
      <c r="N17" s="5"/>
      <c r="O17" s="5"/>
      <c r="P17" s="52" t="str">
        <f t="shared" si="2"/>
        <v>121117</v>
      </c>
      <c r="Q17" s="150">
        <f>VLOOKUP(P17,deuda!A$1:H$720,4,0)</f>
        <v>1</v>
      </c>
      <c r="R17" s="150">
        <f>VLOOKUP(P17,deuda!A$1:H$720,5,0)</f>
        <v>0</v>
      </c>
      <c r="S17" s="150" t="str">
        <f>IF(VLOOKUP(P17,deuda!A$1:H$720,6,0)=0,"",VLOOKUP(P17,deuda!A$1:H$720,6,0))</f>
        <v/>
      </c>
      <c r="T17" s="151" t="str">
        <f>IF((VLOOKUP(P17,deuda!A$1:H$720,7,0))=0,"",VLOOKUP(P17,deuda!A$1:H$720,7,0))</f>
        <v/>
      </c>
      <c r="U17" s="152" t="e">
        <f>IF((VLOOKUP(P17,deuda!A$1:H$20,8,0))=0,"",VLOOKUP(P17,deuda!A$1:H$720,8,0))</f>
        <v>#N/A</v>
      </c>
    </row>
    <row r="18" spans="1:21" ht="30" customHeight="1">
      <c r="A18" s="35">
        <v>6</v>
      </c>
      <c r="B18" s="5">
        <v>1200</v>
      </c>
      <c r="C18" s="5">
        <v>36</v>
      </c>
      <c r="D18" s="5">
        <v>1</v>
      </c>
      <c r="E18" s="6">
        <v>6.3281999999999998</v>
      </c>
      <c r="F18" s="103" t="str">
        <f t="shared" si="0"/>
        <v>SI</v>
      </c>
      <c r="G18" s="5" t="s">
        <v>127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6.3281999999999998</v>
      </c>
      <c r="I18" s="580">
        <f t="shared" si="1"/>
        <v>0.30731504803131882</v>
      </c>
      <c r="J18" s="125">
        <f t="shared" si="3"/>
        <v>42975.465816263582</v>
      </c>
      <c r="K18" s="125">
        <f t="shared" si="4"/>
        <v>42975.773131311616</v>
      </c>
      <c r="L18" s="125"/>
      <c r="M18" s="5"/>
      <c r="N18" s="5"/>
      <c r="O18" s="5"/>
      <c r="P18" s="52" t="str">
        <f t="shared" si="2"/>
        <v>120036</v>
      </c>
      <c r="Q18" s="150">
        <f>VLOOKUP(P18,deuda!A$1:H$720,4,0)</f>
        <v>1</v>
      </c>
      <c r="R18" s="150">
        <f>VLOOKUP(P18,deuda!A$1:H$720,5,0)</f>
        <v>1</v>
      </c>
      <c r="S18" s="150">
        <f>IF(VLOOKUP(P18,deuda!A$1:H$720,6,0)=0,"",VLOOKUP(P18,deuda!A$1:H$720,6,0))</f>
        <v>1527.2</v>
      </c>
      <c r="T18" s="151" t="str">
        <f>IF((VLOOKUP(P18,deuda!A$1:H$720,7,0))=0,"",VLOOKUP(P18,deuda!A$1:H$720,7,0))</f>
        <v/>
      </c>
      <c r="U18" s="152" t="str">
        <f>IF((VLOOKUP(P18,deuda!A$1:H$20,8,0))=0,"",VLOOKUP(P18,deuda!A$1:H$720,8,0))</f>
        <v/>
      </c>
    </row>
    <row r="19" spans="1:21" ht="30" customHeight="1">
      <c r="A19" s="35">
        <v>7</v>
      </c>
      <c r="B19" s="5">
        <v>1216</v>
      </c>
      <c r="C19" s="5">
        <v>23</v>
      </c>
      <c r="D19" s="5">
        <v>1</v>
      </c>
      <c r="E19" s="9">
        <v>15</v>
      </c>
      <c r="F19" s="103" t="str">
        <f t="shared" si="0"/>
        <v>SI</v>
      </c>
      <c r="G19" s="5" t="s">
        <v>128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15</v>
      </c>
      <c r="I19" s="580">
        <f t="shared" si="1"/>
        <v>0.72844185083748658</v>
      </c>
      <c r="J19" s="125">
        <f t="shared" si="3"/>
        <v>42975.773131311616</v>
      </c>
      <c r="K19" s="125">
        <f t="shared" si="4"/>
        <v>42976.501573162452</v>
      </c>
      <c r="L19" s="125"/>
      <c r="M19" s="5"/>
      <c r="N19" s="5"/>
      <c r="O19" s="5"/>
      <c r="P19" s="52" t="str">
        <f t="shared" si="2"/>
        <v>121623</v>
      </c>
      <c r="Q19" s="150">
        <f>VLOOKUP(P19,deuda!A$1:H$720,4,0)</f>
        <v>1</v>
      </c>
      <c r="R19" s="150">
        <f>VLOOKUP(P19,deuda!A$1:H$720,5,0)</f>
        <v>0</v>
      </c>
      <c r="S19" s="150" t="str">
        <f>IF(VLOOKUP(P19,deuda!A$1:H$720,6,0)=0,"",VLOOKUP(P19,deuda!A$1:H$720,6,0))</f>
        <v/>
      </c>
      <c r="T19" s="151" t="str">
        <f>IF((VLOOKUP(P19,deuda!A$1:H$720,7,0))=0,"",VLOOKUP(P19,deuda!A$1:H$720,7,0))</f>
        <v/>
      </c>
      <c r="U19" s="152" t="e">
        <f>IF((VLOOKUP(P19,deuda!A$1:H$20,8,0))=0,"",VLOOKUP(P19,deuda!A$1:H$720,8,0))</f>
        <v>#N/A</v>
      </c>
    </row>
    <row r="20" spans="1:21" ht="30" customHeight="1">
      <c r="A20" s="35">
        <v>8</v>
      </c>
      <c r="B20" s="5">
        <v>1200</v>
      </c>
      <c r="C20" s="5">
        <v>74</v>
      </c>
      <c r="D20" s="5">
        <v>1</v>
      </c>
      <c r="E20" s="9">
        <v>9.4601000000000006</v>
      </c>
      <c r="F20" s="103" t="str">
        <f t="shared" si="0"/>
        <v>SI</v>
      </c>
      <c r="G20" s="5" t="s">
        <v>129</v>
      </c>
      <c r="H20" s="579">
        <v>0</v>
      </c>
      <c r="I20" s="580">
        <f t="shared" si="1"/>
        <v>0</v>
      </c>
      <c r="J20" s="125">
        <f t="shared" si="3"/>
        <v>42976.501573162452</v>
      </c>
      <c r="K20" s="125">
        <f t="shared" si="4"/>
        <v>42976.501573162452</v>
      </c>
      <c r="L20" s="125"/>
      <c r="M20" s="5"/>
      <c r="N20" s="5"/>
      <c r="O20" s="5"/>
      <c r="P20" s="52" t="str">
        <f t="shared" si="2"/>
        <v>120074</v>
      </c>
      <c r="Q20" s="150">
        <f>VLOOKUP(P20,deuda!A$1:H$720,4,0)</f>
        <v>1</v>
      </c>
      <c r="R20" s="150">
        <f>VLOOKUP(P20,deuda!A$1:H$720,5,0)</f>
        <v>2</v>
      </c>
      <c r="S20" s="150">
        <f>IF(VLOOKUP(P20,deuda!A$1:H$720,6,0)=0,"",VLOOKUP(P20,deuda!A$1:H$720,6,0))</f>
        <v>4349.8</v>
      </c>
      <c r="T20" s="151" t="str">
        <f>IF((VLOOKUP(P20,deuda!A$1:H$720,7,0))=0,"",VLOOKUP(P20,deuda!A$1:H$720,7,0))</f>
        <v/>
      </c>
      <c r="U20" s="152" t="e">
        <f>IF((VLOOKUP(P20,deuda!A$1:H$20,8,0))=0,"",VLOOKUP(P20,deuda!A$1:H$720,8,0))</f>
        <v>#N/A</v>
      </c>
    </row>
    <row r="21" spans="1:21" ht="30" customHeight="1">
      <c r="A21" s="35">
        <v>8</v>
      </c>
      <c r="B21" s="5">
        <v>1200</v>
      </c>
      <c r="C21" s="5">
        <v>75</v>
      </c>
      <c r="D21" s="5">
        <v>1</v>
      </c>
      <c r="E21" s="9">
        <v>5</v>
      </c>
      <c r="F21" s="103" t="str">
        <f t="shared" si="0"/>
        <v>SI</v>
      </c>
      <c r="G21" s="5" t="s">
        <v>129</v>
      </c>
      <c r="H21" s="579">
        <v>0</v>
      </c>
      <c r="I21" s="580">
        <f t="shared" si="1"/>
        <v>0</v>
      </c>
      <c r="J21" s="125">
        <f t="shared" si="3"/>
        <v>42976.501573162452</v>
      </c>
      <c r="K21" s="125">
        <f t="shared" si="4"/>
        <v>42976.501573162452</v>
      </c>
      <c r="L21" s="125"/>
      <c r="M21" s="5"/>
      <c r="N21" s="5"/>
      <c r="O21" s="5"/>
      <c r="P21" s="52" t="str">
        <f t="shared" si="2"/>
        <v>120075</v>
      </c>
      <c r="Q21" s="150">
        <f>VLOOKUP(P21,deuda!A$1:H$720,4,0)</f>
        <v>1</v>
      </c>
      <c r="R21" s="150">
        <f>VLOOKUP(P21,deuda!A$1:H$720,5,0)</f>
        <v>2</v>
      </c>
      <c r="S21" s="150">
        <f>IF(VLOOKUP(P21,deuda!A$1:H$720,6,0)=0,"",VLOOKUP(P21,deuda!A$1:H$720,6,0))</f>
        <v>2198.59</v>
      </c>
      <c r="T21" s="151" t="str">
        <f>IF((VLOOKUP(P21,deuda!A$1:H$720,7,0))=0,"",VLOOKUP(P21,deuda!A$1:H$720,7,0))</f>
        <v/>
      </c>
      <c r="U21" s="152" t="e">
        <f>IF((VLOOKUP(P21,deuda!A$1:H$20,8,0))=0,"",VLOOKUP(P21,deuda!A$1:H$720,8,0))</f>
        <v>#N/A</v>
      </c>
    </row>
    <row r="22" spans="1:21" ht="30" customHeight="1">
      <c r="A22" s="35">
        <v>9</v>
      </c>
      <c r="B22" s="5">
        <v>1200</v>
      </c>
      <c r="C22" s="5">
        <v>64</v>
      </c>
      <c r="D22" s="5">
        <v>1</v>
      </c>
      <c r="E22" s="6">
        <v>1.5085999999999999</v>
      </c>
      <c r="F22" s="103" t="str">
        <f t="shared" si="0"/>
        <v>SI</v>
      </c>
      <c r="G22" s="5" t="s">
        <v>130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1.5085999999999999</v>
      </c>
      <c r="I22" s="580">
        <f t="shared" si="1"/>
        <v>7.3261825078228815E-2</v>
      </c>
      <c r="J22" s="125">
        <f t="shared" si="3"/>
        <v>42976.501573162452</v>
      </c>
      <c r="K22" s="125">
        <f t="shared" si="4"/>
        <v>42976.574834987528</v>
      </c>
      <c r="L22" s="125"/>
      <c r="M22" s="5"/>
      <c r="N22" s="5"/>
      <c r="O22" s="5"/>
      <c r="P22" s="52" t="str">
        <f t="shared" si="2"/>
        <v>120064</v>
      </c>
      <c r="Q22" s="150">
        <f>VLOOKUP(P22,deuda!A$1:H$720,4,0)</f>
        <v>1</v>
      </c>
      <c r="R22" s="150">
        <f>VLOOKUP(P22,deuda!A$1:H$720,5,0)</f>
        <v>0</v>
      </c>
      <c r="S22" s="150">
        <f>IF(VLOOKUP(P22,deuda!A$1:H$720,6,0)=0,"",VLOOKUP(P22,deuda!A$1:H$720,6,0))</f>
        <v>4.2</v>
      </c>
      <c r="T22" s="151" t="str">
        <f>IF((VLOOKUP(P22,deuda!A$1:H$720,7,0))=0,"",VLOOKUP(P22,deuda!A$1:H$720,7,0))</f>
        <v/>
      </c>
      <c r="U22" s="152" t="e">
        <f>IF((VLOOKUP(P22,deuda!A$1:H$20,8,0))=0,"",VLOOKUP(P22,deuda!A$1:H$720,8,0))</f>
        <v>#N/A</v>
      </c>
    </row>
    <row r="23" spans="1:21" ht="30" customHeight="1">
      <c r="A23" s="35">
        <v>10</v>
      </c>
      <c r="B23" s="5">
        <v>1200</v>
      </c>
      <c r="C23" s="5">
        <v>71</v>
      </c>
      <c r="D23" s="5">
        <v>1</v>
      </c>
      <c r="E23" s="6">
        <v>1.8927</v>
      </c>
      <c r="F23" s="103" t="str">
        <f t="shared" si="0"/>
        <v>SI</v>
      </c>
      <c r="G23" s="5" t="s">
        <v>131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1.8927</v>
      </c>
      <c r="I23" s="580">
        <f t="shared" si="1"/>
        <v>9.1914792738674062E-2</v>
      </c>
      <c r="J23" s="125">
        <f t="shared" si="3"/>
        <v>42976.574834987528</v>
      </c>
      <c r="K23" s="125">
        <f t="shared" si="4"/>
        <v>42976.66674978027</v>
      </c>
      <c r="L23" s="125"/>
      <c r="M23" s="5"/>
      <c r="N23" s="5"/>
      <c r="O23" s="5"/>
      <c r="P23" s="52" t="str">
        <f t="shared" si="2"/>
        <v>120071</v>
      </c>
      <c r="Q23" s="150">
        <f>VLOOKUP(P23,deuda!A$1:H$720,4,0)</f>
        <v>1</v>
      </c>
      <c r="R23" s="150">
        <f>VLOOKUP(P23,deuda!A$1:H$720,5,0)</f>
        <v>0</v>
      </c>
      <c r="S23" s="150" t="str">
        <f>IF(VLOOKUP(P23,deuda!A$1:H$720,6,0)=0,"",VLOOKUP(P23,deuda!A$1:H$720,6,0))</f>
        <v/>
      </c>
      <c r="T23" s="151" t="str">
        <f>IF((VLOOKUP(P23,deuda!A$1:H$720,7,0))=0,"",VLOOKUP(P23,deuda!A$1:H$720,7,0))</f>
        <v/>
      </c>
      <c r="U23" s="152" t="e">
        <f>IF((VLOOKUP(P23,deuda!A$1:H$20,8,0))=0,"",VLOOKUP(P23,deuda!A$1:H$720,8,0))</f>
        <v>#N/A</v>
      </c>
    </row>
    <row r="24" spans="1:21" ht="30" customHeight="1">
      <c r="A24" s="35">
        <v>11</v>
      </c>
      <c r="B24" s="5">
        <v>1200</v>
      </c>
      <c r="C24" s="5">
        <v>65</v>
      </c>
      <c r="D24" s="5">
        <v>1</v>
      </c>
      <c r="E24" s="9">
        <v>2.5411000000000001</v>
      </c>
      <c r="F24" s="103" t="str">
        <f t="shared" si="0"/>
        <v>SI</v>
      </c>
      <c r="G24" s="5" t="s">
        <v>132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2.5411000000000001</v>
      </c>
      <c r="I24" s="580">
        <f t="shared" si="1"/>
        <v>0.12340290581087582</v>
      </c>
      <c r="J24" s="125">
        <f t="shared" si="3"/>
        <v>42976.66674978027</v>
      </c>
      <c r="K24" s="125">
        <f t="shared" si="4"/>
        <v>42976.790152686081</v>
      </c>
      <c r="L24" s="125"/>
      <c r="M24" s="5"/>
      <c r="N24" s="5"/>
      <c r="O24" s="5"/>
      <c r="P24" s="52" t="str">
        <f t="shared" si="2"/>
        <v>120065</v>
      </c>
      <c r="Q24" s="150">
        <f>VLOOKUP(P24,deuda!A$1:H$720,4,0)</f>
        <v>1</v>
      </c>
      <c r="R24" s="150">
        <f>VLOOKUP(P24,deuda!A$1:H$720,5,0)</f>
        <v>0</v>
      </c>
      <c r="S24" s="150" t="str">
        <f>IF(VLOOKUP(P24,deuda!A$1:H$720,6,0)=0,"",VLOOKUP(P24,deuda!A$1:H$720,6,0))</f>
        <v/>
      </c>
      <c r="T24" s="151" t="str">
        <f>IF((VLOOKUP(P24,deuda!A$1:H$720,7,0))=0,"",VLOOKUP(P24,deuda!A$1:H$720,7,0))</f>
        <v/>
      </c>
      <c r="U24" s="152" t="e">
        <f>IF((VLOOKUP(P24,deuda!A$1:H$20,8,0))=0,"",VLOOKUP(P24,deuda!A$1:H$720,8,0))</f>
        <v>#N/A</v>
      </c>
    </row>
    <row r="25" spans="1:21" s="10" customFormat="1" ht="30" customHeight="1">
      <c r="A25" s="35">
        <v>12</v>
      </c>
      <c r="B25" s="5">
        <v>1201</v>
      </c>
      <c r="C25" s="5">
        <v>1</v>
      </c>
      <c r="D25" s="5">
        <v>1</v>
      </c>
      <c r="E25" s="9">
        <v>11.7981</v>
      </c>
      <c r="F25" s="103" t="str">
        <f t="shared" si="0"/>
        <v>SI</v>
      </c>
      <c r="G25" s="5" t="s">
        <v>133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11.7981</v>
      </c>
      <c r="I25" s="580">
        <f t="shared" si="1"/>
        <v>0.57294865335771672</v>
      </c>
      <c r="J25" s="125">
        <f t="shared" si="3"/>
        <v>42976.790152686081</v>
      </c>
      <c r="K25" s="125">
        <f t="shared" si="4"/>
        <v>42977.363101339441</v>
      </c>
      <c r="L25" s="125"/>
      <c r="N25" s="5"/>
      <c r="O25" s="5"/>
      <c r="P25" s="52" t="str">
        <f>+CONCATENATE(B25,C25)</f>
        <v>12011</v>
      </c>
      <c r="Q25" s="150">
        <f>VLOOKUP(P25,deuda!A$1:H$720,4,0)</f>
        <v>1</v>
      </c>
      <c r="R25" s="150">
        <f>VLOOKUP(P25,deuda!A$1:H$720,5,0)</f>
        <v>0</v>
      </c>
      <c r="S25" s="150" t="str">
        <f>IF(VLOOKUP(P25,deuda!A$1:H$720,6,0)=0,"",VLOOKUP(P25,deuda!A$1:H$720,6,0))</f>
        <v/>
      </c>
      <c r="T25" s="151" t="str">
        <f>IF((VLOOKUP(P25,deuda!A$1:H$720,7,0))=0,"",VLOOKUP(P25,deuda!A$1:H$720,7,0))</f>
        <v/>
      </c>
      <c r="U25" s="152" t="e">
        <f>IF((VLOOKUP(P25,deuda!A$1:H$20,8,0))=0,"",VLOOKUP(P25,deuda!A$1:H$720,8,0))</f>
        <v>#N/A</v>
      </c>
    </row>
    <row r="26" spans="1:21" s="10" customFormat="1" ht="30" customHeight="1">
      <c r="A26" s="35">
        <v>12</v>
      </c>
      <c r="B26" s="5">
        <v>1200</v>
      </c>
      <c r="C26" s="5">
        <v>63</v>
      </c>
      <c r="D26" s="5">
        <v>1</v>
      </c>
      <c r="E26" s="9">
        <v>1</v>
      </c>
      <c r="F26" s="103" t="str">
        <f t="shared" si="0"/>
        <v>SI</v>
      </c>
      <c r="G26" s="5" t="s">
        <v>134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1</v>
      </c>
      <c r="I26" s="580">
        <f t="shared" si="1"/>
        <v>4.8562790055832437E-2</v>
      </c>
      <c r="J26" s="125">
        <f t="shared" si="3"/>
        <v>42977.363101339441</v>
      </c>
      <c r="K26" s="125">
        <f t="shared" si="4"/>
        <v>42977.411664129497</v>
      </c>
      <c r="L26" s="125"/>
      <c r="N26" s="5"/>
      <c r="O26" s="5"/>
      <c r="P26" s="52" t="str">
        <f>+CONCATENATE(B26,C26)</f>
        <v>120063</v>
      </c>
      <c r="Q26" s="150">
        <f>VLOOKUP(P26,deuda!A$1:H$720,4,0)</f>
        <v>1</v>
      </c>
      <c r="R26" s="150">
        <f>VLOOKUP(P26,deuda!A$1:H$720,5,0)</f>
        <v>0</v>
      </c>
      <c r="S26" s="150" t="str">
        <f>IF(VLOOKUP(P26,deuda!A$1:H$720,6,0)=0,"",VLOOKUP(P26,deuda!A$1:H$720,6,0))</f>
        <v/>
      </c>
      <c r="T26" s="151" t="str">
        <f>IF((VLOOKUP(P26,deuda!A$1:H$720,7,0))=0,"",VLOOKUP(P26,deuda!A$1:H$720,7,0))</f>
        <v/>
      </c>
      <c r="U26" s="152" t="e">
        <f>IF((VLOOKUP(P26,deuda!A$1:H$20,8,0))=0,"",VLOOKUP(P26,deuda!A$1:H$720,8,0))</f>
        <v>#N/A</v>
      </c>
    </row>
    <row r="27" spans="1:21" ht="30" customHeight="1" thickBot="1">
      <c r="A27" s="36">
        <v>12</v>
      </c>
      <c r="B27" s="29">
        <v>1201</v>
      </c>
      <c r="C27" s="29">
        <v>26</v>
      </c>
      <c r="D27" s="29">
        <v>1</v>
      </c>
      <c r="E27" s="40">
        <v>2.4624999999999999</v>
      </c>
      <c r="F27" s="103" t="str">
        <f t="shared" si="0"/>
        <v>SI</v>
      </c>
      <c r="G27" s="581" t="s">
        <v>135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2.4624999999999999</v>
      </c>
      <c r="I27" s="580">
        <f t="shared" si="1"/>
        <v>0.11958587051248737</v>
      </c>
      <c r="J27" s="125">
        <f t="shared" si="3"/>
        <v>42977.411664129497</v>
      </c>
      <c r="K27" s="125">
        <f t="shared" si="4"/>
        <v>42977.531250000007</v>
      </c>
      <c r="L27" s="125"/>
      <c r="N27" s="29"/>
      <c r="O27" s="29"/>
      <c r="P27" s="52" t="str">
        <f>+CONCATENATE(B27,C27)</f>
        <v>120126</v>
      </c>
      <c r="Q27" s="150">
        <f>VLOOKUP(P27,deuda!A$1:H$720,4,0)</f>
        <v>1</v>
      </c>
      <c r="R27" s="150">
        <f>VLOOKUP(P27,deuda!A$1:H$720,5,0)</f>
        <v>1</v>
      </c>
      <c r="S27" s="150">
        <f>IF(VLOOKUP(P27,deuda!A$1:H$720,6,0)=0,"",VLOOKUP(P27,deuda!A$1:H$720,6,0))</f>
        <v>674.25</v>
      </c>
      <c r="T27" s="151" t="str">
        <f>IF((VLOOKUP(P27,deuda!A$1:H$720,7,0))=0,"",VLOOKUP(P27,deuda!A$1:H$720,7,0))</f>
        <v/>
      </c>
      <c r="U27" s="152" t="e">
        <f>IF((VLOOKUP(P27,deuda!A$1:H$20,8,0))=0,"",VLOOKUP(P27,deuda!A$1:H$720,8,0))</f>
        <v>#N/A</v>
      </c>
    </row>
    <row r="28" spans="1:21" ht="13.5" thickBot="1">
      <c r="A28" s="10"/>
      <c r="B28" s="10"/>
      <c r="C28" s="10"/>
      <c r="D28" s="10"/>
      <c r="E28" s="352">
        <f>SUM(E13:E27)</f>
        <v>95.010100000000023</v>
      </c>
      <c r="F28" s="353"/>
      <c r="G28" s="19"/>
      <c r="H28" s="582">
        <f>SUM(H13:H27)</f>
        <v>80.437100000000015</v>
      </c>
      <c r="I28" s="580">
        <f>SUM(I13:I27)</f>
        <v>3.9062499999999987</v>
      </c>
      <c r="J28" s="10"/>
      <c r="K28" s="10"/>
      <c r="L28" s="125"/>
      <c r="M28" s="10"/>
      <c r="N28" s="10"/>
      <c r="O28" s="10"/>
      <c r="P28" s="10"/>
    </row>
    <row r="29" spans="1:21">
      <c r="I29" s="580">
        <f>+$J$9/60*H29</f>
        <v>0</v>
      </c>
      <c r="L29" s="125"/>
    </row>
    <row r="30" spans="1:21">
      <c r="C30" t="s">
        <v>136</v>
      </c>
      <c r="E30" t="s">
        <v>137</v>
      </c>
      <c r="F30" t="s">
        <v>138</v>
      </c>
      <c r="L30" s="125"/>
    </row>
    <row r="31" spans="1:21">
      <c r="C31" s="15">
        <f>+H28</f>
        <v>80.437100000000015</v>
      </c>
      <c r="D31" s="15"/>
      <c r="E31">
        <v>1.1399999999999999</v>
      </c>
      <c r="F31" s="278">
        <f>+C31*E31</f>
        <v>91.698294000000004</v>
      </c>
      <c r="L31" s="125"/>
    </row>
    <row r="32" spans="1:21">
      <c r="I32" s="279"/>
      <c r="L32" s="125"/>
    </row>
    <row r="33" spans="12:12">
      <c r="L33" s="10"/>
    </row>
  </sheetData>
  <mergeCells count="5">
    <mergeCell ref="C5:E5"/>
    <mergeCell ref="C6:E6"/>
    <mergeCell ref="A9:B9"/>
    <mergeCell ref="A5:B5"/>
    <mergeCell ref="A6:B6"/>
  </mergeCells>
  <phoneticPr fontId="0" type="noConversion"/>
  <dataValidations disablePrompts="1" xWindow="673" yWindow="361" count="1">
    <dataValidation allowBlank="1" showInputMessage="1" showErrorMessage="1" errorTitle="ATENCIÓN" error="NO PUEDEN INGRESARSE VALORES" promptTitle="RECORDAR" prompt="NO OLVIDE VOLVER A PEGAR LA FORMULA PARA QUE LA PLANILLA LEA AUTOMATICAMENTE LOS DATOS " sqref="Q13:Q27" xr:uid="{00000000-0002-0000-0600-000000000000}"/>
  </dataValidations>
  <pageMargins left="0.27559055118110237" right="0.19685039370078741" top="0.31496062992125984" bottom="0.19685039370078741" header="0" footer="0"/>
  <pageSetup paperSize="281" scale="85" orientation="landscape" r:id="rId1"/>
  <headerFooter alignWithMargins="0"/>
  <colBreaks count="1" manualBreakCount="1">
    <brk id="16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7"/>
  <dimension ref="A1:G203"/>
  <sheetViews>
    <sheetView view="pageBreakPreview" topLeftCell="A149" zoomScale="75" zoomScaleNormal="100" workbookViewId="0" xr3:uid="{85D5C41F-068E-5C55-9968-509E7C2A5619}">
      <selection activeCell="D21" sqref="D21"/>
    </sheetView>
  </sheetViews>
  <sheetFormatPr defaultColWidth="11.42578125" defaultRowHeight="12.75"/>
  <cols>
    <col min="2" max="2" width="11.7109375" bestFit="1" customWidth="1"/>
    <col min="3" max="3" width="21.85546875" bestFit="1" customWidth="1"/>
    <col min="5" max="5" width="11.7109375" bestFit="1" customWidth="1"/>
    <col min="6" max="6" width="28.85546875" customWidth="1"/>
  </cols>
  <sheetData>
    <row r="1" spans="1:7">
      <c r="A1" s="447"/>
      <c r="B1" s="448"/>
      <c r="C1" s="448"/>
      <c r="D1" s="448"/>
      <c r="E1" s="448"/>
      <c r="F1" s="449"/>
      <c r="G1" s="81"/>
    </row>
    <row r="2" spans="1:7">
      <c r="A2" s="465" t="s">
        <v>64</v>
      </c>
      <c r="B2" s="81"/>
      <c r="C2" s="81"/>
      <c r="D2" s="81"/>
      <c r="E2" s="81"/>
      <c r="F2" s="451"/>
      <c r="G2" s="81"/>
    </row>
    <row r="3" spans="1:7">
      <c r="A3" s="450"/>
      <c r="B3" s="81"/>
      <c r="C3" s="81"/>
      <c r="D3" s="81"/>
      <c r="E3" s="81"/>
      <c r="F3" s="451"/>
      <c r="G3" s="81"/>
    </row>
    <row r="4" spans="1:7">
      <c r="A4" s="450" t="s">
        <v>139</v>
      </c>
      <c r="B4" s="81" t="str">
        <f>VLOOKUP(F5,'1_1'!$A$13:$G$34,7,0)</f>
        <v>SEGOVIA, CARLOS ADRIAN</v>
      </c>
      <c r="C4" s="81"/>
      <c r="D4" s="81"/>
      <c r="E4" s="81"/>
      <c r="F4" s="452" t="s">
        <v>102</v>
      </c>
      <c r="G4" s="81"/>
    </row>
    <row r="5" spans="1:7">
      <c r="A5" s="450" t="s">
        <v>72</v>
      </c>
      <c r="B5" s="81" t="str">
        <f>+'1_1'!$H$2</f>
        <v>Hijuela DIRECTAS</v>
      </c>
      <c r="C5" s="81"/>
      <c r="D5" s="81"/>
      <c r="E5" s="81"/>
      <c r="F5" s="452">
        <v>1</v>
      </c>
      <c r="G5" s="81"/>
    </row>
    <row r="6" spans="1:7">
      <c r="A6" s="450"/>
      <c r="B6" s="81"/>
      <c r="C6" s="81"/>
      <c r="D6" s="81"/>
      <c r="E6" s="81"/>
      <c r="F6" s="451"/>
      <c r="G6" s="81"/>
    </row>
    <row r="7" spans="1:7">
      <c r="A7" s="450" t="s">
        <v>140</v>
      </c>
      <c r="B7" s="138">
        <f>VLOOKUP(F5,'1_1'!$A$13:$B$24,2,0)</f>
        <v>1200</v>
      </c>
      <c r="C7" s="81"/>
      <c r="D7" s="139" t="s">
        <v>141</v>
      </c>
      <c r="E7" s="457">
        <f>DSUM('1_1'!A$12:J$24,'1_1'!$I$12,F4:F5)</f>
        <v>0.30183230903401537</v>
      </c>
      <c r="F7" s="451"/>
      <c r="G7" s="81"/>
    </row>
    <row r="8" spans="1:7">
      <c r="A8" s="450" t="s">
        <v>142</v>
      </c>
      <c r="B8" s="205">
        <v>37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450" t="s">
        <v>144</v>
      </c>
      <c r="B9" s="206">
        <f>DSUM('1_1'!$A$12:$H$24,'1_1'!$H$12,F4:F5)</f>
        <v>6.2153</v>
      </c>
      <c r="C9" s="81"/>
      <c r="D9" s="139" t="s">
        <v>145</v>
      </c>
      <c r="E9" s="458" t="str">
        <f>IF(VLOOKUP(F5,'1_1'!$A$13:$D$24,4,0)=1, "Definitivo 100%", "Eventual 80%")</f>
        <v>Definitivo 100%</v>
      </c>
      <c r="F9" s="583"/>
      <c r="G9" s="81"/>
    </row>
    <row r="10" spans="1:7" ht="15.75">
      <c r="A10" s="450"/>
      <c r="B10" s="81" t="s">
        <v>146</v>
      </c>
      <c r="C10" s="145">
        <f>DMIN('1_1'!A$12:K$24,'1_1'!$J$12,F4:F5)</f>
        <v>42973.625</v>
      </c>
      <c r="D10" s="189" t="str">
        <f>IF(E10=1,"Domingo",IF(E10=2,"Lunes",IF(E10=3,"Martes",IF(E10=4,"Miercoles",IF(E10=5,"Jueves",IF(E10=6,"Viernes",IF(E10=7,"Sábado",0)))))))</f>
        <v>Sábado</v>
      </c>
      <c r="E10" s="190">
        <f>WEEKDAY(C10)</f>
        <v>7</v>
      </c>
      <c r="F10" s="453"/>
      <c r="G10" s="81"/>
    </row>
    <row r="11" spans="1:7" ht="15.75">
      <c r="A11" s="450"/>
      <c r="B11" s="81" t="s">
        <v>147</v>
      </c>
      <c r="C11" s="145">
        <f>DMAX('1_1'!A$12:M$24,'1_1'!$K$12,F4:F5)</f>
        <v>42973.926832309036</v>
      </c>
      <c r="D11" s="189" t="str">
        <f>IF(E11=1,"Domingo",IF(E11=2,"Lunes",IF(E11=3,"Martes",IF(E11=4,"Miercoles",IF(E11=5,"Jueves",IF(E11=6,"Viernes",IF(E11=7,"Sábado",0)))))))</f>
        <v>Sábado</v>
      </c>
      <c r="E11" s="190">
        <f>WEEKDAY(C11)</f>
        <v>7</v>
      </c>
      <c r="F11" s="453"/>
      <c r="G11" s="81"/>
    </row>
    <row r="12" spans="1:7">
      <c r="A12" s="450"/>
      <c r="B12" s="81"/>
      <c r="C12" s="81"/>
      <c r="D12" s="81"/>
      <c r="E12" s="584"/>
      <c r="F12" s="583"/>
      <c r="G12" s="81"/>
    </row>
    <row r="13" spans="1:7">
      <c r="A13" s="470">
        <f>+Mensajes!$B$7</f>
        <v>0</v>
      </c>
      <c r="B13" s="81"/>
      <c r="C13" s="81"/>
      <c r="D13" s="81"/>
      <c r="E13" s="81"/>
      <c r="F13" s="451"/>
      <c r="G13" s="81"/>
    </row>
    <row r="14" spans="1:7">
      <c r="A14" s="470">
        <f>+Mensajes!$B$12</f>
        <v>0</v>
      </c>
      <c r="B14" s="81"/>
      <c r="C14" s="81"/>
      <c r="D14" s="81"/>
      <c r="E14" s="81"/>
      <c r="F14" s="451"/>
      <c r="G14" s="81"/>
    </row>
    <row r="15" spans="1:7">
      <c r="A15" s="471"/>
      <c r="B15" s="81"/>
      <c r="C15" s="81"/>
      <c r="D15" s="81"/>
      <c r="E15" s="81"/>
      <c r="F15" s="451"/>
      <c r="G15" s="81"/>
    </row>
    <row r="16" spans="1:7" ht="13.5" thickBot="1">
      <c r="A16" s="468"/>
      <c r="B16" s="455"/>
      <c r="C16" s="455"/>
      <c r="D16" s="455"/>
      <c r="E16" s="454" t="str">
        <f>IF(DSUM('1_1'!$A$12:$Q$91,16,F4:F5)=COUNTIF('1_1'!$A$13:$A$92,F5),"","Regularice su Deuda")</f>
        <v>Regularice su Deuda</v>
      </c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VLOOKUP(F22,'1_1'!$A$13:$G$34,7,0)</f>
        <v>RIOS, OSCAR DANIEL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+'1_1'!$H$2</f>
        <v>Hijuela DIRECTAS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50" t="s">
        <v>140</v>
      </c>
      <c r="B24" s="138">
        <f>VLOOKUP(F22,'1_1'!$A$13:$B$24,2,0)</f>
        <v>1200</v>
      </c>
      <c r="C24" s="81"/>
      <c r="D24" s="139" t="s">
        <v>141</v>
      </c>
      <c r="E24" s="457">
        <f>DSUM('1_1'!A$12:J$24,'1_1'!$I$12,F21:F22)</f>
        <v>0</v>
      </c>
      <c r="F24" s="451"/>
    </row>
    <row r="25" spans="1:6">
      <c r="A25" s="450" t="s">
        <v>142</v>
      </c>
      <c r="B25" s="205">
        <v>72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50" t="s">
        <v>144</v>
      </c>
      <c r="B26" s="206">
        <f>DSUM('1_1'!$A$12:$H$24,'1_1'!$H$12,F21:F22)</f>
        <v>0</v>
      </c>
      <c r="C26" s="81"/>
      <c r="D26" s="139" t="s">
        <v>145</v>
      </c>
      <c r="E26" s="458" t="str">
        <f>IF(VLOOKUP(F22,'1_1'!$A$13:$D$24,4,0)=1, "Definitivo 100%", "Eventual 80%")</f>
        <v>Definitivo 100%</v>
      </c>
      <c r="F26" s="583"/>
    </row>
    <row r="27" spans="1:6" ht="15.75">
      <c r="A27" s="450"/>
      <c r="B27" s="81" t="s">
        <v>146</v>
      </c>
      <c r="C27" s="145">
        <f>DMIN('1_1'!A$12:K$24,'1_1'!$J$12,F21:F22)</f>
        <v>42973.926832309036</v>
      </c>
      <c r="D27" s="189" t="str">
        <f>IF(E27=1,"Domingo",IF(E27=2,"Lunes",IF(E27=3,"Martes",IF(E27=4,"Miercoles",IF(E27=5,"Jueves",IF(E27=6,"Viernes",IF(E27=7,"Sábado",0)))))))</f>
        <v>Sábado</v>
      </c>
      <c r="E27" s="190">
        <f>WEEKDAY(C27)</f>
        <v>7</v>
      </c>
      <c r="F27" s="453"/>
    </row>
    <row r="28" spans="1:6" ht="15.75">
      <c r="A28" s="450"/>
      <c r="B28" s="81" t="s">
        <v>147</v>
      </c>
      <c r="C28" s="145">
        <f>DMAX('1_1'!A$12:M$24,'1_1'!$K$12,F21:F22)</f>
        <v>42973.926832309036</v>
      </c>
      <c r="D28" s="189" t="str">
        <f>IF(E28=1,"Domingo",IF(E28=2,"Lunes",IF(E28=3,"Martes",IF(E28=4,"Miercoles",IF(E28=5,"Jueves",IF(E28=6,"Viernes",IF(E28=7,"Sábado",0)))))))</f>
        <v>Sábado</v>
      </c>
      <c r="E28" s="190">
        <f>WEEKDAY(C28)</f>
        <v>7</v>
      </c>
      <c r="F28" s="453"/>
    </row>
    <row r="29" spans="1:6">
      <c r="A29" s="450"/>
      <c r="B29" s="81"/>
      <c r="C29" s="81"/>
      <c r="D29" s="81"/>
      <c r="E29" s="584"/>
      <c r="F29" s="583"/>
    </row>
    <row r="30" spans="1:6">
      <c r="A30" s="470">
        <f>+Mensajes!$B$7</f>
        <v>0</v>
      </c>
      <c r="B30" s="81"/>
      <c r="C30" s="81"/>
      <c r="D30" s="81"/>
      <c r="E30" s="81"/>
      <c r="F30" s="451"/>
    </row>
    <row r="31" spans="1:6">
      <c r="A31" s="470">
        <f>+Mensajes!$B$12</f>
        <v>0</v>
      </c>
      <c r="B31" s="81"/>
      <c r="C31" s="81"/>
      <c r="D31" s="81"/>
      <c r="E31" s="81"/>
      <c r="F31" s="451"/>
    </row>
    <row r="32" spans="1:6">
      <c r="A32" s="471"/>
      <c r="B32" s="81"/>
      <c r="C32" s="81"/>
      <c r="D32" s="81"/>
      <c r="E32" s="81"/>
      <c r="F32" s="451"/>
    </row>
    <row r="33" spans="1:6" ht="13.5" thickBot="1">
      <c r="A33" s="468"/>
      <c r="B33" s="455"/>
      <c r="C33" s="455"/>
      <c r="D33" s="455"/>
      <c r="E33" s="454" t="str">
        <f>IF(DSUM('1_1'!$A$12:$Q$91,16,F21:F22)=COUNTIF('1_1'!$A$13:$A$92,F22),"","Regularice su Deuda")</f>
        <v>Regularice su Deuda</v>
      </c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VLOOKUP(F39,'1_1'!$A$13:$G$34,7,0)</f>
        <v>GALDEANO, JOSE MATIAS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+'1_1'!$H$2</f>
        <v>Hijuela DIRECTAS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50" t="s">
        <v>140</v>
      </c>
      <c r="B41" s="138">
        <f>VLOOKUP(F39,'1_1'!$A$13:$B$24,2,0)</f>
        <v>1211</v>
      </c>
      <c r="C41" s="81"/>
      <c r="D41" s="139" t="s">
        <v>141</v>
      </c>
      <c r="E41" s="457">
        <f>DSUM('1_1'!A$12:J$24,'1_1'!$I$12,F38:F39)</f>
        <v>0.17846339717617862</v>
      </c>
      <c r="F41" s="451"/>
    </row>
    <row r="42" spans="1:6">
      <c r="A42" s="450" t="s">
        <v>142</v>
      </c>
      <c r="B42" s="205">
        <v>13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50" t="s">
        <v>144</v>
      </c>
      <c r="B43" s="206">
        <f>DSUM('1_1'!$A$12:$H$24,'1_1'!$H$12,F38:F39)</f>
        <v>3.6749000000000001</v>
      </c>
      <c r="C43" s="81"/>
      <c r="D43" s="139" t="s">
        <v>145</v>
      </c>
      <c r="E43" s="458" t="str">
        <f>IF(VLOOKUP(F39,'1_1'!$A$13:$D$24,4,0)=1, "Definitivo 100%", "Eventual 80%")</f>
        <v>Definitivo 100%</v>
      </c>
      <c r="F43" s="583"/>
    </row>
    <row r="44" spans="1:6" ht="15.75">
      <c r="A44" s="450"/>
      <c r="B44" s="81" t="s">
        <v>146</v>
      </c>
      <c r="C44" s="145">
        <f>DMIN('1_1'!A$12:K$24,'1_1'!$J$12,F38:F39)</f>
        <v>42973.926832309036</v>
      </c>
      <c r="D44" s="189" t="str">
        <f>IF(E44=1,"Domingo",IF(E44=2,"Lunes",IF(E44=3,"Martes",IF(E44=4,"Miercoles",IF(E44=5,"Jueves",IF(E44=6,"Viernes",IF(E44=7,"Sábado",0)))))))</f>
        <v>Sábado</v>
      </c>
      <c r="E44" s="190">
        <f>WEEKDAY(C44)</f>
        <v>7</v>
      </c>
      <c r="F44" s="453"/>
    </row>
    <row r="45" spans="1:6" ht="15.75">
      <c r="A45" s="450"/>
      <c r="B45" s="81" t="s">
        <v>147</v>
      </c>
      <c r="C45" s="145">
        <f>DMAX('1_1'!A$12:M$24,'1_1'!$K$12,F38:F39)</f>
        <v>42974.105295706213</v>
      </c>
      <c r="D45" s="189" t="str">
        <f>IF(E45=1,"Domingo",IF(E45=2,"Lunes",IF(E45=3,"Martes",IF(E45=4,"Miercoles",IF(E45=5,"Jueves",IF(E45=6,"Viernes",IF(E45=7,"Sábado",0)))))))</f>
        <v>Domingo</v>
      </c>
      <c r="E45" s="190">
        <f>WEEKDAY(C45)</f>
        <v>1</v>
      </c>
      <c r="F45" s="453"/>
    </row>
    <row r="46" spans="1:6">
      <c r="A46" s="450"/>
      <c r="B46" s="81"/>
      <c r="C46" s="81"/>
      <c r="D46" s="81"/>
      <c r="E46" s="584"/>
      <c r="F46" s="583"/>
    </row>
    <row r="47" spans="1:6">
      <c r="A47" s="470">
        <f>+Mensajes!$B$7</f>
        <v>0</v>
      </c>
      <c r="B47" s="81"/>
      <c r="C47" s="81"/>
      <c r="D47" s="81"/>
      <c r="E47" s="81"/>
      <c r="F47" s="451"/>
    </row>
    <row r="48" spans="1:6">
      <c r="A48" s="470">
        <f>+Mensajes!$B$12</f>
        <v>0</v>
      </c>
      <c r="B48" s="81"/>
      <c r="C48" s="81"/>
      <c r="D48" s="81"/>
      <c r="E48" s="81"/>
      <c r="F48" s="451"/>
    </row>
    <row r="49" spans="1:6">
      <c r="A49" s="471"/>
      <c r="B49" s="81"/>
      <c r="C49" s="81"/>
      <c r="D49" s="81"/>
      <c r="E49" s="81"/>
      <c r="F49" s="451"/>
    </row>
    <row r="50" spans="1:6" ht="13.5" thickBot="1">
      <c r="A50" s="468"/>
      <c r="B50" s="455"/>
      <c r="C50" s="455"/>
      <c r="D50" s="455"/>
      <c r="E50" s="454" t="str">
        <f>IF(DSUM('1_1'!$A$12:$Q$91,16,F38:F39)=COUNTIF('1_1'!$A$13:$A$92,F39),"","Regularice su Deuda")</f>
        <v>Regularice su Deuda</v>
      </c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VLOOKUP(F56,'1_1'!$A$13:$G$34,7,0)</f>
        <v>GALDEANO, JOSE MATIAS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+'1_1'!$H$2</f>
        <v>Hijuela DIRECTAS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50" t="s">
        <v>140</v>
      </c>
      <c r="B58" s="138">
        <f>VLOOKUP(F56,'1_1'!$A$13:$B$24,2,0)</f>
        <v>1211</v>
      </c>
      <c r="C58" s="81"/>
      <c r="D58" s="139" t="s">
        <v>141</v>
      </c>
      <c r="E58" s="457">
        <f>DSUM('1_1'!A$12:J$24,'1_1'!$I$12,F55:F56)</f>
        <v>0.21034001256882703</v>
      </c>
      <c r="F58" s="451"/>
    </row>
    <row r="59" spans="1:6">
      <c r="A59" s="450" t="s">
        <v>142</v>
      </c>
      <c r="B59" s="205">
        <v>11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50" t="s">
        <v>144</v>
      </c>
      <c r="B60" s="206">
        <f>DSUM('1_1'!$A$12:$H$24,'1_1'!$H$12,F55:F56)</f>
        <v>4.3312999999999997</v>
      </c>
      <c r="C60" s="81"/>
      <c r="D60" s="139" t="s">
        <v>145</v>
      </c>
      <c r="E60" s="458" t="str">
        <f>IF(VLOOKUP(F56,'1_1'!$A$13:$D$24,4,0)=1, "Definitivo 100%", "Eventual 80%")</f>
        <v>Definitivo 100%</v>
      </c>
      <c r="F60" s="583"/>
    </row>
    <row r="61" spans="1:6" ht="15.75">
      <c r="A61" s="450"/>
      <c r="B61" s="81" t="s">
        <v>146</v>
      </c>
      <c r="C61" s="145">
        <f>DMIN('1_1'!A$12:K$24,'1_1'!$J$12,F55:F56)</f>
        <v>42974.105295706213</v>
      </c>
      <c r="D61" s="189" t="str">
        <f>IF(E61=1,"Domingo",IF(E61=2,"Lunes",IF(E61=3,"Martes",IF(E61=4,"Miercoles",IF(E61=5,"Jueves",IF(E61=6,"Viernes",IF(E61=7,"Sábado",0)))))))</f>
        <v>Domingo</v>
      </c>
      <c r="E61" s="190">
        <f>WEEKDAY(C61)</f>
        <v>1</v>
      </c>
      <c r="F61" s="453"/>
    </row>
    <row r="62" spans="1:6" ht="15.75">
      <c r="A62" s="450"/>
      <c r="B62" s="81" t="s">
        <v>147</v>
      </c>
      <c r="C62" s="145">
        <f>DMAX('1_1'!A$12:M$24,'1_1'!$K$12,F55:F56)</f>
        <v>42974.315635718784</v>
      </c>
      <c r="D62" s="189" t="str">
        <f>IF(E62=1,"Domingo",IF(E62=2,"Lunes",IF(E62=3,"Martes",IF(E62=4,"Miercoles",IF(E62=5,"Jueves",IF(E62=6,"Viernes",IF(E62=7,"Sábado",0)))))))</f>
        <v>Domingo</v>
      </c>
      <c r="E62" s="190">
        <f>WEEKDAY(C62)</f>
        <v>1</v>
      </c>
      <c r="F62" s="453"/>
    </row>
    <row r="63" spans="1:6">
      <c r="A63" s="450"/>
      <c r="B63" s="81"/>
      <c r="C63" s="81"/>
      <c r="D63" s="81"/>
      <c r="E63" s="584"/>
      <c r="F63" s="583"/>
    </row>
    <row r="64" spans="1:6">
      <c r="A64" s="470">
        <f>+Mensajes!$B$7</f>
        <v>0</v>
      </c>
      <c r="B64" s="81"/>
      <c r="C64" s="81"/>
      <c r="D64" s="81"/>
      <c r="E64" s="81"/>
      <c r="F64" s="451"/>
    </row>
    <row r="65" spans="1:6">
      <c r="A65" s="470">
        <f>+Mensajes!$B$12</f>
        <v>0</v>
      </c>
      <c r="B65" s="81"/>
      <c r="C65" s="81"/>
      <c r="D65" s="81"/>
      <c r="E65" s="81"/>
      <c r="F65" s="451"/>
    </row>
    <row r="66" spans="1:6">
      <c r="A66" s="471"/>
      <c r="B66" s="81"/>
      <c r="C66" s="81"/>
      <c r="D66" s="81"/>
      <c r="E66" s="81"/>
      <c r="F66" s="451"/>
    </row>
    <row r="67" spans="1:6" ht="13.5" thickBot="1">
      <c r="A67" s="468"/>
      <c r="B67" s="455"/>
      <c r="C67" s="455"/>
      <c r="D67" s="455"/>
      <c r="E67" s="454" t="str">
        <f>IF(DSUM('1_1'!$A$12:$Q$91,16,F55:F56)=COUNTIF('1_1'!$A$13:$A$92,F56),"","Regularice su Deuda")</f>
        <v>Regularice su Deuda</v>
      </c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VLOOKUP(F73,'1_1'!$A$13:$G$34,7,0)</f>
        <v>ORIHUELA, DIONISIO HUARACHI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+'1_1'!$H$2</f>
        <v>Hijuela DIRECTAS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50" t="s">
        <v>140</v>
      </c>
      <c r="B75" s="138">
        <f>VLOOKUP(F73,'1_1'!$A$13:$B$24,2,0)</f>
        <v>1211</v>
      </c>
      <c r="C75" s="81"/>
      <c r="D75" s="139" t="s">
        <v>141</v>
      </c>
      <c r="E75" s="457">
        <f>DSUM('1_1'!A$12:J$24,'1_1'!$I$12,F72:F73)</f>
        <v>1.1501805447983577</v>
      </c>
      <c r="F75" s="451"/>
    </row>
    <row r="76" spans="1:6">
      <c r="A76" s="450" t="s">
        <v>142</v>
      </c>
      <c r="B76" s="205">
        <v>17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50" t="s">
        <v>144</v>
      </c>
      <c r="B77" s="206">
        <f>DSUM('1_1'!$A$12:$H$24,'1_1'!$H$12,F72:F73)</f>
        <v>23.6844</v>
      </c>
      <c r="C77" s="81"/>
      <c r="D77" s="139" t="s">
        <v>145</v>
      </c>
      <c r="E77" s="458" t="str">
        <f>IF(VLOOKUP(F73,'1_1'!$A$13:$D$24,4,0)=1, "Definitivo 100%", "Eventual 80%")</f>
        <v>Definitivo 100%</v>
      </c>
      <c r="F77" s="583"/>
    </row>
    <row r="78" spans="1:6" ht="15.75">
      <c r="A78" s="450"/>
      <c r="B78" s="81" t="s">
        <v>146</v>
      </c>
      <c r="C78" s="145">
        <f>DMIN('1_1'!A$12:K$24,'1_1'!$J$12,F72:F73)</f>
        <v>42974.315635718784</v>
      </c>
      <c r="D78" s="189" t="str">
        <f>IF(E78=1,"Domingo",IF(E78=2,"Lunes",IF(E78=3,"Martes",IF(E78=4,"Miercoles",IF(E78=5,"Jueves",IF(E78=6,"Viernes",IF(E78=7,"Sábado",0)))))))</f>
        <v>Domingo</v>
      </c>
      <c r="E78" s="190">
        <f>WEEKDAY(C78)</f>
        <v>1</v>
      </c>
      <c r="F78" s="453"/>
    </row>
    <row r="79" spans="1:6" ht="15.75">
      <c r="A79" s="450"/>
      <c r="B79" s="81" t="s">
        <v>147</v>
      </c>
      <c r="C79" s="145">
        <f>DMAX('1_1'!A$12:M$24,'1_1'!$K$12,F72:F73)</f>
        <v>42975.465816263582</v>
      </c>
      <c r="D79" s="189" t="str">
        <f>IF(E79=1,"Domingo",IF(E79=2,"Lunes",IF(E79=3,"Martes",IF(E79=4,"Miercoles",IF(E79=5,"Jueves",IF(E79=6,"Viernes",IF(E79=7,"Sábado",0)))))))</f>
        <v>Lunes</v>
      </c>
      <c r="E79" s="190">
        <f>WEEKDAY(C79)</f>
        <v>2</v>
      </c>
      <c r="F79" s="453"/>
    </row>
    <row r="80" spans="1:6">
      <c r="A80" s="450"/>
      <c r="B80" s="81"/>
      <c r="C80" s="81"/>
      <c r="D80" s="81"/>
      <c r="E80" s="584"/>
      <c r="F80" s="583"/>
    </row>
    <row r="81" spans="1:6">
      <c r="A81" s="470">
        <f>+Mensajes!$B$7</f>
        <v>0</v>
      </c>
      <c r="B81" s="81"/>
      <c r="C81" s="81"/>
      <c r="D81" s="81"/>
      <c r="E81" s="81"/>
      <c r="F81" s="451"/>
    </row>
    <row r="82" spans="1:6">
      <c r="A82" s="470">
        <f>+Mensajes!$B$12</f>
        <v>0</v>
      </c>
      <c r="B82" s="81"/>
      <c r="C82" s="81"/>
      <c r="D82" s="81"/>
      <c r="E82" s="81"/>
      <c r="F82" s="451"/>
    </row>
    <row r="83" spans="1:6">
      <c r="A83" s="471"/>
      <c r="B83" s="81"/>
      <c r="C83" s="81"/>
      <c r="D83" s="81"/>
      <c r="E83" s="81"/>
      <c r="F83" s="451"/>
    </row>
    <row r="84" spans="1:6" ht="13.5" thickBot="1">
      <c r="A84" s="468"/>
      <c r="B84" s="455"/>
      <c r="C84" s="455"/>
      <c r="D84" s="455"/>
      <c r="E84" s="454" t="str">
        <f>IF(DSUM('1_1'!$A$12:$Q$91,16,F72:F73)=COUNTIF('1_1'!$A$13:$A$92,F73),"","Regularice su Deuda")</f>
        <v>Regularice su Deuda</v>
      </c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VLOOKUP(F90,'1_1'!$A$13:$G$34,7,0)</f>
        <v>VARGAS FERNADEZ, JOSE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+'1_1'!$H$2</f>
        <v>Hijuela DIRECTAS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50" t="s">
        <v>140</v>
      </c>
      <c r="B92" s="138">
        <f>VLOOKUP(F90,'1_1'!$A$13:$B$24,2,0)</f>
        <v>1200</v>
      </c>
      <c r="C92" s="81"/>
      <c r="D92" s="139" t="s">
        <v>141</v>
      </c>
      <c r="E92" s="457">
        <f>DSUM('1_1'!A$12:J$24,'1_1'!$I$12,F89:F90)</f>
        <v>0.30731504803131882</v>
      </c>
      <c r="F92" s="451"/>
    </row>
    <row r="93" spans="1:6">
      <c r="A93" s="450" t="s">
        <v>142</v>
      </c>
      <c r="B93" s="205">
        <v>36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50" t="s">
        <v>144</v>
      </c>
      <c r="B94" s="206">
        <f>DSUM('1_1'!$A$12:$H$24,'1_1'!$H$12,F89:F90)</f>
        <v>6.3281999999999998</v>
      </c>
      <c r="C94" s="81"/>
      <c r="D94" s="139" t="s">
        <v>145</v>
      </c>
      <c r="E94" s="458" t="str">
        <f>IF(VLOOKUP(F90,'1_1'!$A$13:$D$24,4,0)=1, "Definitivo 100%", "Eventual 80%")</f>
        <v>Definitivo 100%</v>
      </c>
      <c r="F94" s="583"/>
    </row>
    <row r="95" spans="1:6" ht="15.75">
      <c r="A95" s="450"/>
      <c r="B95" s="81" t="s">
        <v>146</v>
      </c>
      <c r="C95" s="145">
        <f>DMIN('1_1'!A$12:K$24,'1_1'!$J$12,F89:F90)</f>
        <v>42975.465816263582</v>
      </c>
      <c r="D95" s="189" t="str">
        <f>IF(E95=1,"Domingo",IF(E95=2,"Lunes",IF(E95=3,"Martes",IF(E95=4,"Miercoles",IF(E95=5,"Jueves",IF(E95=6,"Viernes",IF(E95=7,"Sábado",0)))))))</f>
        <v>Lunes</v>
      </c>
      <c r="E95" s="190">
        <f>WEEKDAY(C95)</f>
        <v>2</v>
      </c>
      <c r="F95" s="453"/>
    </row>
    <row r="96" spans="1:6" ht="15.75">
      <c r="A96" s="450"/>
      <c r="B96" s="81" t="s">
        <v>147</v>
      </c>
      <c r="C96" s="145">
        <f>DMAX('1_1'!A$12:M$24,'1_1'!$K$12,F89:F90)</f>
        <v>42975.773131311616</v>
      </c>
      <c r="D96" s="189" t="str">
        <f>IF(E96=1,"Domingo",IF(E96=2,"Lunes",IF(E96=3,"Martes",IF(E96=4,"Miercoles",IF(E96=5,"Jueves",IF(E96=6,"Viernes",IF(E96=7,"Sábado",0)))))))</f>
        <v>Lunes</v>
      </c>
      <c r="E96" s="190">
        <f>WEEKDAY(C96)</f>
        <v>2</v>
      </c>
      <c r="F96" s="453"/>
    </row>
    <row r="97" spans="1:6">
      <c r="A97" s="450"/>
      <c r="B97" s="81"/>
      <c r="C97" s="81"/>
      <c r="D97" s="81"/>
      <c r="E97" s="584"/>
      <c r="F97" s="583"/>
    </row>
    <row r="98" spans="1:6">
      <c r="A98" s="470">
        <f>+Mensajes!$B$7</f>
        <v>0</v>
      </c>
      <c r="B98" s="81"/>
      <c r="C98" s="81"/>
      <c r="D98" s="81"/>
      <c r="E98" s="81"/>
      <c r="F98" s="451"/>
    </row>
    <row r="99" spans="1:6">
      <c r="A99" s="470">
        <f>+Mensajes!$B$12</f>
        <v>0</v>
      </c>
      <c r="B99" s="81"/>
      <c r="C99" s="81"/>
      <c r="D99" s="81"/>
      <c r="E99" s="81"/>
      <c r="F99" s="451"/>
    </row>
    <row r="100" spans="1:6">
      <c r="A100" s="471"/>
      <c r="B100" s="81"/>
      <c r="C100" s="81"/>
      <c r="D100" s="81"/>
      <c r="E100" s="81"/>
      <c r="F100" s="451"/>
    </row>
    <row r="101" spans="1:6" ht="13.5" thickBot="1">
      <c r="A101" s="468"/>
      <c r="B101" s="455"/>
      <c r="C101" s="455"/>
      <c r="D101" s="455"/>
      <c r="E101" s="454" t="str">
        <f>IF(DSUM('1_1'!$A$12:$Q$91,16,F89:F90)=COUNTIF('1_1'!$A$13:$A$92,F90),"","Regularice su Deuda")</f>
        <v>Regularice su Deuda</v>
      </c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VLOOKUP(F107,'1_1'!$A$13:$G$34,7,0)</f>
        <v>AMADEO ,MARAÑON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+'1_1'!$H$2</f>
        <v>Hijuela DIRECTAS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50" t="s">
        <v>140</v>
      </c>
      <c r="B109" s="138">
        <f>VLOOKUP(F107,'1_1'!$A$13:$B$24,2,0)</f>
        <v>1216</v>
      </c>
      <c r="C109" s="81"/>
      <c r="D109" s="139" t="s">
        <v>141</v>
      </c>
      <c r="E109" s="457">
        <f>DSUM('1_1'!A$12:J$24,'1_1'!$I$12,F106:F107)</f>
        <v>0.72844185083748658</v>
      </c>
      <c r="F109" s="451"/>
    </row>
    <row r="110" spans="1:6">
      <c r="A110" s="450" t="s">
        <v>142</v>
      </c>
      <c r="B110" s="205">
        <v>23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50" t="s">
        <v>144</v>
      </c>
      <c r="B111" s="206">
        <f>DSUM('1_1'!$A$12:$H$24,'1_1'!$H$12,F106:F107)</f>
        <v>15</v>
      </c>
      <c r="C111" s="81"/>
      <c r="D111" s="139" t="s">
        <v>145</v>
      </c>
      <c r="E111" s="458" t="str">
        <f>IF(VLOOKUP(F107,'1_1'!$A$13:$D$24,4,0)=1, "Definitivo 100%", "Eventual 80%")</f>
        <v>Definitivo 100%</v>
      </c>
      <c r="F111" s="583"/>
    </row>
    <row r="112" spans="1:6" ht="15.75">
      <c r="A112" s="450"/>
      <c r="B112" s="81" t="s">
        <v>146</v>
      </c>
      <c r="C112" s="145">
        <f>DMIN('1_1'!A$12:K$24,'1_1'!$J$12,F106:F107)</f>
        <v>42975.773131311616</v>
      </c>
      <c r="D112" s="189" t="str">
        <f>IF(E112=1,"Domingo",IF(E112=2,"Lunes",IF(E112=3,"Martes",IF(E112=4,"Miercoles",IF(E112=5,"Jueves",IF(E112=6,"Viernes",IF(E112=7,"Sábado",0)))))))</f>
        <v>Lunes</v>
      </c>
      <c r="E112" s="190">
        <f>WEEKDAY(C112)</f>
        <v>2</v>
      </c>
      <c r="F112" s="453"/>
    </row>
    <row r="113" spans="1:6" ht="15.75">
      <c r="A113" s="450"/>
      <c r="B113" s="81" t="s">
        <v>147</v>
      </c>
      <c r="C113" s="145">
        <f>DMAX('1_1'!A$12:M$24,'1_1'!$K$12,F106:F107)</f>
        <v>42976.501573162452</v>
      </c>
      <c r="D113" s="189" t="str">
        <f>IF(E113=1,"Domingo",IF(E113=2,"Lunes",IF(E113=3,"Martes",IF(E113=4,"Miercoles",IF(E113=5,"Jueves",IF(E113=6,"Viernes",IF(E113=7,"Sábado",0)))))))</f>
        <v>Martes</v>
      </c>
      <c r="E113" s="190">
        <f>WEEKDAY(C113)</f>
        <v>3</v>
      </c>
      <c r="F113" s="453"/>
    </row>
    <row r="114" spans="1:6">
      <c r="A114" s="450"/>
      <c r="B114" s="81"/>
      <c r="C114" s="81"/>
      <c r="D114" s="81"/>
      <c r="E114" s="584"/>
      <c r="F114" s="583"/>
    </row>
    <row r="115" spans="1:6">
      <c r="A115" s="470">
        <f>+Mensajes!$B$7</f>
        <v>0</v>
      </c>
      <c r="B115" s="81"/>
      <c r="C115" s="81"/>
      <c r="D115" s="81"/>
      <c r="E115" s="81"/>
      <c r="F115" s="451"/>
    </row>
    <row r="116" spans="1:6">
      <c r="A116" s="470">
        <f>+Mensajes!$B$12</f>
        <v>0</v>
      </c>
      <c r="B116" s="81"/>
      <c r="C116" s="81"/>
      <c r="D116" s="81"/>
      <c r="E116" s="81"/>
      <c r="F116" s="451"/>
    </row>
    <row r="117" spans="1:6">
      <c r="A117" s="471"/>
      <c r="B117" s="81"/>
      <c r="C117" s="81"/>
      <c r="D117" s="81"/>
      <c r="E117" s="81"/>
      <c r="F117" s="451"/>
    </row>
    <row r="118" spans="1:6" ht="13.5" thickBot="1">
      <c r="A118" s="468"/>
      <c r="B118" s="455"/>
      <c r="C118" s="455"/>
      <c r="D118" s="455"/>
      <c r="E118" s="454" t="str">
        <f>IF(DSUM('1_1'!$A$12:$Q$91,16,F106:F107)=COUNTIF('1_1'!$A$13:$A$92,F107),"","Regularice su Deuda")</f>
        <v>Regularice su Deuda</v>
      </c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str">
        <f>VLOOKUP(F124,'1_1'!$A$13:$G$34,7,0)</f>
        <v>RAFAEL GIMENEZ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+'1_1'!$H$2</f>
        <v>Hijuela DIRECTAS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50" t="s">
        <v>140</v>
      </c>
      <c r="B126" s="138">
        <f>VLOOKUP(F124,'1_1'!$A$13:$B$24,2,0)</f>
        <v>1200</v>
      </c>
      <c r="C126" s="81"/>
      <c r="D126" s="139" t="s">
        <v>141</v>
      </c>
      <c r="E126" s="457">
        <f>DSUM('1_1'!A$12:J$24,'1_1'!$I$12,F123:F124)</f>
        <v>0</v>
      </c>
      <c r="F126" s="451"/>
    </row>
    <row r="127" spans="1:6">
      <c r="A127" s="450" t="s">
        <v>142</v>
      </c>
      <c r="B127" s="205" t="s">
        <v>148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50" t="s">
        <v>144</v>
      </c>
      <c r="B128" s="206">
        <f>DSUM('1_1'!$A$12:$H$24,'1_1'!$H$12,F123:F124)</f>
        <v>0</v>
      </c>
      <c r="C128" s="81"/>
      <c r="D128" s="139" t="s">
        <v>145</v>
      </c>
      <c r="E128" s="458" t="str">
        <f>IF(VLOOKUP(F124,'1_1'!$A$13:$D$24,4,0)=1, "Definitivo 100%", "Eventual 80%")</f>
        <v>Definitivo 100%</v>
      </c>
      <c r="F128" s="583"/>
    </row>
    <row r="129" spans="1:6" ht="15.75">
      <c r="A129" s="450"/>
      <c r="B129" s="81" t="s">
        <v>146</v>
      </c>
      <c r="C129" s="145">
        <f>DMIN('1_1'!A$12:K$24,'1_1'!$J$12,F123:F124)</f>
        <v>42976.501573162452</v>
      </c>
      <c r="D129" s="189" t="str">
        <f>IF(E129=1,"Domingo",IF(E129=2,"Lunes",IF(E129=3,"Martes",IF(E129=4,"Miercoles",IF(E129=5,"Jueves",IF(E129=6,"Viernes",IF(E129=7,"Sábado",0)))))))</f>
        <v>Martes</v>
      </c>
      <c r="E129" s="190">
        <f>WEEKDAY(C129)</f>
        <v>3</v>
      </c>
      <c r="F129" s="453"/>
    </row>
    <row r="130" spans="1:6" ht="15.75">
      <c r="A130" s="450"/>
      <c r="B130" s="81" t="s">
        <v>147</v>
      </c>
      <c r="C130" s="145">
        <f>DMAX('1_1'!A$12:M$24,'1_1'!$K$12,F123:F124)</f>
        <v>42976.501573162452</v>
      </c>
      <c r="D130" s="189" t="str">
        <f>IF(E130=1,"Domingo",IF(E130=2,"Lunes",IF(E130=3,"Martes",IF(E130=4,"Miercoles",IF(E130=5,"Jueves",IF(E130=6,"Viernes",IF(E130=7,"Sábado",0)))))))</f>
        <v>Martes</v>
      </c>
      <c r="E130" s="190">
        <f>WEEKDAY(C130)</f>
        <v>3</v>
      </c>
      <c r="F130" s="453"/>
    </row>
    <row r="131" spans="1:6">
      <c r="A131" s="450"/>
      <c r="B131" s="81"/>
      <c r="C131" s="81"/>
      <c r="D131" s="81"/>
      <c r="E131" s="584"/>
      <c r="F131" s="583"/>
    </row>
    <row r="132" spans="1:6">
      <c r="A132" s="470">
        <f>+Mensajes!$B$7</f>
        <v>0</v>
      </c>
      <c r="B132" s="81"/>
      <c r="C132" s="81"/>
      <c r="D132" s="81"/>
      <c r="E132" s="81"/>
      <c r="F132" s="451"/>
    </row>
    <row r="133" spans="1:6">
      <c r="A133" s="470">
        <f>+Mensajes!$B$12</f>
        <v>0</v>
      </c>
      <c r="B133" s="81"/>
      <c r="C133" s="81"/>
      <c r="D133" s="81"/>
      <c r="E133" s="81"/>
      <c r="F133" s="451"/>
    </row>
    <row r="134" spans="1:6">
      <c r="A134" s="471"/>
      <c r="B134" s="81"/>
      <c r="C134" s="81"/>
      <c r="D134" s="81"/>
      <c r="E134" s="81"/>
      <c r="F134" s="451"/>
    </row>
    <row r="135" spans="1:6" ht="13.5" thickBot="1">
      <c r="A135" s="468"/>
      <c r="B135" s="455"/>
      <c r="C135" s="455"/>
      <c r="D135" s="455"/>
      <c r="E135" s="454" t="str">
        <f>IF(DSUM('1_1'!$A$12:$Q$91,16,F123:F124)=COUNTIF('1_1'!$A$13:$A$92,F124),"","Regularice su Deuda")</f>
        <v>Regularice su Deuda</v>
      </c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50" t="s">
        <v>139</v>
      </c>
      <c r="B140" s="81" t="str">
        <f>VLOOKUP(F141,'1_1'!$A$13:$G$34,7,0)</f>
        <v>ARAUJO, CENTENO MARTI</v>
      </c>
      <c r="C140" s="81"/>
      <c r="D140" s="81"/>
      <c r="E140" s="81"/>
      <c r="F140" s="452" t="s">
        <v>102</v>
      </c>
    </row>
    <row r="141" spans="1:6">
      <c r="A141" s="450" t="s">
        <v>72</v>
      </c>
      <c r="B141" s="81" t="str">
        <f>+'1_1'!$H$2</f>
        <v>Hijuela DIRECTAS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50" t="s">
        <v>140</v>
      </c>
      <c r="B143" s="138">
        <f>VLOOKUP(F141,'1_1'!$A$13:$B$24,2,0)</f>
        <v>1200</v>
      </c>
      <c r="C143" s="81"/>
      <c r="D143" s="139" t="s">
        <v>141</v>
      </c>
      <c r="E143" s="457">
        <f>DSUM('1_1'!A$12:J$24,'1_1'!$I$12,F140:F141)</f>
        <v>7.3261825078228815E-2</v>
      </c>
      <c r="F143" s="451"/>
    </row>
    <row r="144" spans="1:6">
      <c r="A144" s="450" t="s">
        <v>142</v>
      </c>
      <c r="B144" s="205">
        <v>64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450" t="s">
        <v>144</v>
      </c>
      <c r="B145" s="206">
        <f>DSUM('1_1'!$A$12:$H$24,'1_1'!$H$12,F140:F141)</f>
        <v>1.5085999999999999</v>
      </c>
      <c r="C145" s="81"/>
      <c r="D145" s="139" t="s">
        <v>145</v>
      </c>
      <c r="E145" s="458" t="str">
        <f>IF(VLOOKUP(F141,'1_1'!$A$13:$D$24,4,0)=1, "Definitivo 100%", "Eventual 80%")</f>
        <v>Definitivo 100%</v>
      </c>
      <c r="F145" s="583"/>
    </row>
    <row r="146" spans="1:6" ht="15.75">
      <c r="A146" s="450"/>
      <c r="B146" s="81" t="s">
        <v>146</v>
      </c>
      <c r="C146" s="145">
        <f>DMIN('1_1'!A$12:K$24,'1_1'!$J$12,F140:F141)</f>
        <v>42976.501573162452</v>
      </c>
      <c r="D146" s="189" t="str">
        <f>IF(E146=1,"Domingo",IF(E146=2,"Lunes",IF(E146=3,"Martes",IF(E146=4,"Miercoles",IF(E146=5,"Jueves",IF(E146=6,"Viernes",IF(E146=7,"Sábado",0)))))))</f>
        <v>Martes</v>
      </c>
      <c r="E146" s="190">
        <f>WEEKDAY(C146)</f>
        <v>3</v>
      </c>
      <c r="F146" s="453"/>
    </row>
    <row r="147" spans="1:6" ht="15.75">
      <c r="A147" s="450"/>
      <c r="B147" s="81" t="s">
        <v>147</v>
      </c>
      <c r="C147" s="145">
        <f>DMAX('1_1'!A$12:M$24,'1_1'!$K$12,F140:F141)</f>
        <v>42976.574834987528</v>
      </c>
      <c r="D147" s="189" t="str">
        <f>IF(E147=1,"Domingo",IF(E147=2,"Lunes",IF(E147=3,"Martes",IF(E147=4,"Miercoles",IF(E147=5,"Jueves",IF(E147=6,"Viernes",IF(E147=7,"Sábado",0)))))))</f>
        <v>Martes</v>
      </c>
      <c r="E147" s="190">
        <f>WEEKDAY(C147)</f>
        <v>3</v>
      </c>
      <c r="F147" s="453"/>
    </row>
    <row r="148" spans="1:6">
      <c r="A148" s="450"/>
      <c r="B148" s="81"/>
      <c r="C148" s="81"/>
      <c r="D148" s="81"/>
      <c r="E148" s="584"/>
      <c r="F148" s="583"/>
    </row>
    <row r="149" spans="1:6">
      <c r="A149" s="470">
        <f>+Mensajes!$B$7</f>
        <v>0</v>
      </c>
      <c r="B149" s="81"/>
      <c r="C149" s="81"/>
      <c r="D149" s="81"/>
      <c r="E149" s="81"/>
      <c r="F149" s="451"/>
    </row>
    <row r="150" spans="1:6">
      <c r="A150" s="470">
        <f>+Mensajes!$B$12</f>
        <v>0</v>
      </c>
      <c r="B150" s="81"/>
      <c r="C150" s="81"/>
      <c r="D150" s="81"/>
      <c r="E150" s="81"/>
      <c r="F150" s="451"/>
    </row>
    <row r="151" spans="1:6">
      <c r="A151" s="471"/>
      <c r="B151" s="81"/>
      <c r="C151" s="81"/>
      <c r="D151" s="81"/>
      <c r="E151" s="81"/>
      <c r="F151" s="451"/>
    </row>
    <row r="152" spans="1:6" ht="13.5" thickBot="1">
      <c r="A152" s="468"/>
      <c r="B152" s="455"/>
      <c r="C152" s="455"/>
      <c r="D152" s="455"/>
      <c r="E152" s="454" t="str">
        <f>IF(DSUM('1_1'!$A$12:$Q$91,16,F140:F141)=COUNTIF('1_1'!$A$13:$A$92,F141),"","Regularice su Deuda")</f>
        <v>Regularice su Deuda</v>
      </c>
      <c r="F152" s="456"/>
    </row>
    <row r="153" spans="1:6" ht="13.5" thickBot="1"/>
    <row r="154" spans="1:6">
      <c r="A154" s="447"/>
      <c r="B154" s="448"/>
      <c r="C154" s="448"/>
      <c r="D154" s="448"/>
      <c r="E154" s="448"/>
      <c r="F154" s="449"/>
    </row>
    <row r="155" spans="1:6">
      <c r="A155" s="465" t="s">
        <v>64</v>
      </c>
      <c r="B155" s="81"/>
      <c r="C155" s="81"/>
      <c r="D155" s="81"/>
      <c r="E155" s="81"/>
      <c r="F155" s="451"/>
    </row>
    <row r="156" spans="1:6">
      <c r="A156" s="450"/>
      <c r="B156" s="81"/>
      <c r="C156" s="81"/>
      <c r="D156" s="81"/>
      <c r="E156" s="81"/>
      <c r="F156" s="451"/>
    </row>
    <row r="157" spans="1:6">
      <c r="A157" s="450" t="s">
        <v>139</v>
      </c>
      <c r="B157" s="81" t="str">
        <f>VLOOKUP(F158,'1_1'!$A$13:$G$34,7,0)</f>
        <v>ARAUJO, CENTENO BERNARDO IGNACIO</v>
      </c>
      <c r="C157" s="81"/>
      <c r="D157" s="81"/>
      <c r="E157" s="81"/>
      <c r="F157" s="452" t="s">
        <v>102</v>
      </c>
    </row>
    <row r="158" spans="1:6">
      <c r="A158" s="450" t="s">
        <v>72</v>
      </c>
      <c r="B158" s="81" t="str">
        <f>+'1_1'!$H$2</f>
        <v>Hijuela DIRECTAS</v>
      </c>
      <c r="C158" s="81"/>
      <c r="D158" s="81"/>
      <c r="E158" s="81"/>
      <c r="F158" s="452">
        <v>10</v>
      </c>
    </row>
    <row r="159" spans="1:6">
      <c r="A159" s="450"/>
      <c r="B159" s="81"/>
      <c r="C159" s="81"/>
      <c r="D159" s="81"/>
      <c r="E159" s="81"/>
      <c r="F159" s="451"/>
    </row>
    <row r="160" spans="1:6">
      <c r="A160" s="450" t="s">
        <v>140</v>
      </c>
      <c r="B160" s="138">
        <f>VLOOKUP(F158,'1_1'!$A$13:$B$24,2,0)</f>
        <v>1200</v>
      </c>
      <c r="C160" s="81"/>
      <c r="D160" s="139" t="s">
        <v>141</v>
      </c>
      <c r="E160" s="457">
        <f>DSUM('1_1'!A$12:J$24,'1_1'!$I$12,F157:F158)</f>
        <v>9.1914792738674062E-2</v>
      </c>
      <c r="F160" s="451"/>
    </row>
    <row r="161" spans="1:6">
      <c r="A161" s="450" t="s">
        <v>142</v>
      </c>
      <c r="B161" s="205">
        <v>71</v>
      </c>
      <c r="C161" s="81"/>
      <c r="D161" s="139" t="s">
        <v>143</v>
      </c>
      <c r="E161" s="459" t="str">
        <f>+Hijuelas!$G$7</f>
        <v>POR FRACCIÓN</v>
      </c>
      <c r="F161" s="451"/>
    </row>
    <row r="162" spans="1:6">
      <c r="A162" s="450" t="s">
        <v>144</v>
      </c>
      <c r="B162" s="206">
        <f>DSUM('1_1'!$A$12:$H$24,'1_1'!$H$12,F157:F158)</f>
        <v>1.8927</v>
      </c>
      <c r="C162" s="81"/>
      <c r="D162" s="139" t="s">
        <v>145</v>
      </c>
      <c r="E162" s="458" t="str">
        <f>IF(VLOOKUP(F158,'1_1'!$A$13:$D$24,4,0)=1, "Definitivo 100%", "Eventual 80%")</f>
        <v>Definitivo 100%</v>
      </c>
      <c r="F162" s="583"/>
    </row>
    <row r="163" spans="1:6" ht="15.75">
      <c r="A163" s="450"/>
      <c r="B163" s="81" t="s">
        <v>146</v>
      </c>
      <c r="C163" s="145">
        <f>DMIN('1_1'!A$12:K$24,'1_1'!$J$12,F157:F158)</f>
        <v>42976.574834987528</v>
      </c>
      <c r="D163" s="189" t="str">
        <f>IF(E163=1,"Domingo",IF(E163=2,"Lunes",IF(E163=3,"Martes",IF(E163=4,"Miercoles",IF(E163=5,"Jueves",IF(E163=6,"Viernes",IF(E163=7,"Sábado",0)))))))</f>
        <v>Martes</v>
      </c>
      <c r="E163" s="190">
        <f>WEEKDAY(C163)</f>
        <v>3</v>
      </c>
      <c r="F163" s="453"/>
    </row>
    <row r="164" spans="1:6" ht="15.75">
      <c r="A164" s="450"/>
      <c r="B164" s="81" t="s">
        <v>147</v>
      </c>
      <c r="C164" s="145">
        <f>DMAX('1_1'!A$12:M$24,'1_1'!$K$12,F157:F158)</f>
        <v>42976.66674978027</v>
      </c>
      <c r="D164" s="189" t="str">
        <f>IF(E164=1,"Domingo",IF(E164=2,"Lunes",IF(E164=3,"Martes",IF(E164=4,"Miercoles",IF(E164=5,"Jueves",IF(E164=6,"Viernes",IF(E164=7,"Sábado",0)))))))</f>
        <v>Martes</v>
      </c>
      <c r="E164" s="190">
        <f>WEEKDAY(C164)</f>
        <v>3</v>
      </c>
      <c r="F164" s="453"/>
    </row>
    <row r="165" spans="1:6">
      <c r="A165" s="450"/>
      <c r="B165" s="81"/>
      <c r="C165" s="81"/>
      <c r="D165" s="81"/>
      <c r="E165" s="584"/>
      <c r="F165" s="583"/>
    </row>
    <row r="166" spans="1:6">
      <c r="A166" s="470">
        <f>+Mensajes!$B$7</f>
        <v>0</v>
      </c>
      <c r="B166" s="81"/>
      <c r="C166" s="81"/>
      <c r="D166" s="81"/>
      <c r="E166" s="81"/>
      <c r="F166" s="451"/>
    </row>
    <row r="167" spans="1:6">
      <c r="A167" s="470">
        <f>+Mensajes!$B$12</f>
        <v>0</v>
      </c>
      <c r="B167" s="81"/>
      <c r="C167" s="81"/>
      <c r="D167" s="81"/>
      <c r="E167" s="81"/>
      <c r="F167" s="451"/>
    </row>
    <row r="168" spans="1:6">
      <c r="A168" s="471"/>
      <c r="B168" s="81"/>
      <c r="C168" s="81"/>
      <c r="D168" s="81"/>
      <c r="E168" s="81"/>
      <c r="F168" s="451"/>
    </row>
    <row r="169" spans="1:6" ht="13.5" thickBot="1">
      <c r="A169" s="468"/>
      <c r="B169" s="455"/>
      <c r="C169" s="455"/>
      <c r="D169" s="455"/>
      <c r="E169" s="454" t="str">
        <f>IF(DSUM('1_1'!$A$12:$Q$91,16,F157:F158)=COUNTIF('1_1'!$A$13:$A$92,F158),"","Regularice su Deuda")</f>
        <v>Regularice su Deuda</v>
      </c>
      <c r="F169" s="456"/>
    </row>
    <row r="170" spans="1:6" ht="13.5" thickBot="1"/>
    <row r="171" spans="1:6">
      <c r="A171" s="447"/>
      <c r="B171" s="448"/>
      <c r="C171" s="448"/>
      <c r="D171" s="448"/>
      <c r="E171" s="448"/>
      <c r="F171" s="449"/>
    </row>
    <row r="172" spans="1:6">
      <c r="A172" s="465" t="s">
        <v>64</v>
      </c>
      <c r="B172" s="81"/>
      <c r="C172" s="81"/>
      <c r="D172" s="81"/>
      <c r="E172" s="81"/>
      <c r="F172" s="451"/>
    </row>
    <row r="173" spans="1:6">
      <c r="A173" s="450"/>
      <c r="B173" s="81"/>
      <c r="C173" s="81"/>
      <c r="D173" s="81"/>
      <c r="E173" s="81"/>
      <c r="F173" s="451"/>
    </row>
    <row r="174" spans="1:6">
      <c r="A174" s="450" t="s">
        <v>139</v>
      </c>
      <c r="B174" s="81" t="str">
        <f>VLOOKUP(F175,'1_1'!$A$13:$G$34,7,0)</f>
        <v>ANGILLERI, FRANCISCO</v>
      </c>
      <c r="C174" s="81"/>
      <c r="D174" s="81"/>
      <c r="E174" s="81"/>
      <c r="F174" s="452" t="s">
        <v>102</v>
      </c>
    </row>
    <row r="175" spans="1:6">
      <c r="A175" s="450" t="s">
        <v>72</v>
      </c>
      <c r="B175" s="81" t="str">
        <f>+'1_1'!$H$2</f>
        <v>Hijuela DIRECTAS</v>
      </c>
      <c r="C175" s="81"/>
      <c r="D175" s="81"/>
      <c r="E175" s="81"/>
      <c r="F175" s="452">
        <v>11</v>
      </c>
    </row>
    <row r="176" spans="1:6">
      <c r="A176" s="450"/>
      <c r="B176" s="81"/>
      <c r="C176" s="81"/>
      <c r="D176" s="81"/>
      <c r="E176" s="81"/>
      <c r="F176" s="451"/>
    </row>
    <row r="177" spans="1:6">
      <c r="A177" s="450" t="s">
        <v>140</v>
      </c>
      <c r="B177" s="138">
        <f>VLOOKUP(F175,'1_1'!$A$13:$B$24,2,0)</f>
        <v>1200</v>
      </c>
      <c r="C177" s="81"/>
      <c r="D177" s="139" t="s">
        <v>141</v>
      </c>
      <c r="E177" s="457">
        <f>DSUM('1_1'!A$12:J$24,'1_1'!$I$12,F174:F175)</f>
        <v>0.12340290581087582</v>
      </c>
      <c r="F177" s="451"/>
    </row>
    <row r="178" spans="1:6">
      <c r="A178" s="450" t="s">
        <v>142</v>
      </c>
      <c r="B178" s="205">
        <v>65</v>
      </c>
      <c r="C178" s="81"/>
      <c r="D178" s="139" t="s">
        <v>143</v>
      </c>
      <c r="E178" s="459" t="str">
        <f>+Hijuelas!$G$7</f>
        <v>POR FRACCIÓN</v>
      </c>
      <c r="F178" s="451"/>
    </row>
    <row r="179" spans="1:6">
      <c r="A179" s="450" t="s">
        <v>144</v>
      </c>
      <c r="B179" s="206">
        <f>DSUM('1_1'!$A$12:$H$24,'1_1'!$H$12,F174:F175)</f>
        <v>2.5411000000000001</v>
      </c>
      <c r="C179" s="81"/>
      <c r="D179" s="139" t="s">
        <v>145</v>
      </c>
      <c r="E179" s="458" t="str">
        <f>IF(VLOOKUP(F175,'1_1'!$A$13:$D$24,4,0)=1, "Definitivo 100%", "Eventual 80%")</f>
        <v>Definitivo 100%</v>
      </c>
      <c r="F179" s="583"/>
    </row>
    <row r="180" spans="1:6" ht="15.75">
      <c r="A180" s="450"/>
      <c r="B180" s="81" t="s">
        <v>146</v>
      </c>
      <c r="C180" s="145">
        <f>DMIN('1_1'!A$12:K$24,'1_1'!$J$12,F174:F175)</f>
        <v>42976.66674978027</v>
      </c>
      <c r="D180" s="189" t="str">
        <f>IF(E180=1,"Domingo",IF(E180=2,"Lunes",IF(E180=3,"Martes",IF(E180=4,"Miercoles",IF(E180=5,"Jueves",IF(E180=6,"Viernes",IF(E180=7,"Sábado",0)))))))</f>
        <v>Martes</v>
      </c>
      <c r="E180" s="190">
        <f>WEEKDAY(C180)</f>
        <v>3</v>
      </c>
      <c r="F180" s="453"/>
    </row>
    <row r="181" spans="1:6" ht="15.75">
      <c r="A181" s="450"/>
      <c r="B181" s="81" t="s">
        <v>147</v>
      </c>
      <c r="C181" s="145">
        <f>DMAX('1_1'!A$12:M$24,'1_1'!$K$12,F174:F175)</f>
        <v>42976.790152686081</v>
      </c>
      <c r="D181" s="189" t="str">
        <f>IF(E181=1,"Domingo",IF(E181=2,"Lunes",IF(E181=3,"Martes",IF(E181=4,"Miercoles",IF(E181=5,"Jueves",IF(E181=6,"Viernes",IF(E181=7,"Sábado",0)))))))</f>
        <v>Martes</v>
      </c>
      <c r="E181" s="190">
        <f>WEEKDAY(C181)</f>
        <v>3</v>
      </c>
      <c r="F181" s="453"/>
    </row>
    <row r="182" spans="1:6">
      <c r="A182" s="450"/>
      <c r="B182" s="81"/>
      <c r="C182" s="81"/>
      <c r="D182" s="81"/>
      <c r="E182" s="584"/>
      <c r="F182" s="583"/>
    </row>
    <row r="183" spans="1:6">
      <c r="A183" s="470">
        <f>+Mensajes!$B$7</f>
        <v>0</v>
      </c>
      <c r="B183" s="81"/>
      <c r="C183" s="81"/>
      <c r="D183" s="81"/>
      <c r="E183" s="81"/>
      <c r="F183" s="451"/>
    </row>
    <row r="184" spans="1:6">
      <c r="A184" s="470">
        <f>+Mensajes!$B$12</f>
        <v>0</v>
      </c>
      <c r="B184" s="81"/>
      <c r="C184" s="81"/>
      <c r="D184" s="81"/>
      <c r="E184" s="81"/>
      <c r="F184" s="451"/>
    </row>
    <row r="185" spans="1:6">
      <c r="A185" s="471"/>
      <c r="B185" s="81"/>
      <c r="C185" s="81"/>
      <c r="D185" s="81"/>
      <c r="E185" s="81"/>
      <c r="F185" s="451"/>
    </row>
    <row r="186" spans="1:6" ht="13.5" thickBot="1">
      <c r="A186" s="468"/>
      <c r="B186" s="455"/>
      <c r="C186" s="455"/>
      <c r="D186" s="455"/>
      <c r="E186" s="454" t="str">
        <f>IF(DSUM('1_1'!$A$12:$Q$91,16,F174:F175)=COUNTIF('1_1'!$A$13:$A$92,F175),"","Regularice su Deuda")</f>
        <v>Regularice su Deuda</v>
      </c>
      <c r="F186" s="456"/>
    </row>
    <row r="187" spans="1:6" ht="13.5" thickBot="1"/>
    <row r="188" spans="1:6">
      <c r="A188" s="447"/>
      <c r="B188" s="448"/>
      <c r="C188" s="448"/>
      <c r="D188" s="448"/>
      <c r="E188" s="448"/>
      <c r="F188" s="449"/>
    </row>
    <row r="189" spans="1:6">
      <c r="A189" s="465" t="s">
        <v>64</v>
      </c>
      <c r="B189" s="81"/>
      <c r="C189" s="81"/>
      <c r="D189" s="81"/>
      <c r="E189" s="81"/>
      <c r="F189" s="451"/>
    </row>
    <row r="190" spans="1:6">
      <c r="A190" s="450"/>
      <c r="B190" s="81"/>
      <c r="C190" s="81"/>
      <c r="D190" s="81"/>
      <c r="E190" s="81"/>
      <c r="F190" s="451"/>
    </row>
    <row r="191" spans="1:6">
      <c r="A191" s="450" t="s">
        <v>139</v>
      </c>
      <c r="B191" s="81" t="str">
        <f>VLOOKUP(F192,'1_1'!$A$13:$G$34,7,0)</f>
        <v>VIÑAS ARGENTINAS S.A</v>
      </c>
      <c r="C191" s="81"/>
      <c r="D191" s="81"/>
      <c r="E191" s="81"/>
      <c r="F191" s="452" t="s">
        <v>102</v>
      </c>
    </row>
    <row r="192" spans="1:6">
      <c r="A192" s="450" t="s">
        <v>72</v>
      </c>
      <c r="B192" s="81" t="str">
        <f>+'1_1'!$H$2</f>
        <v>Hijuela DIRECTAS</v>
      </c>
      <c r="C192" s="81"/>
      <c r="D192" s="81"/>
      <c r="E192" s="81"/>
      <c r="F192" s="452">
        <v>12</v>
      </c>
    </row>
    <row r="193" spans="1:6">
      <c r="A193" s="450"/>
      <c r="B193" s="81"/>
      <c r="C193" s="81"/>
      <c r="D193" s="81"/>
      <c r="E193" s="81"/>
      <c r="F193" s="451"/>
    </row>
    <row r="194" spans="1:6">
      <c r="A194" s="450" t="s">
        <v>140</v>
      </c>
      <c r="B194" s="138" t="e">
        <f>VLOOKUP(F192,'1_1'!$A$13:$B$24,2,0)</f>
        <v>#N/A</v>
      </c>
      <c r="C194" s="81"/>
      <c r="D194" s="139" t="s">
        <v>141</v>
      </c>
      <c r="E194" s="457">
        <f>DSUM('1_1'!A$12:J$24,'1_1'!$I$12,F191:F192)</f>
        <v>0</v>
      </c>
      <c r="F194" s="451"/>
    </row>
    <row r="195" spans="1:6">
      <c r="A195" s="450" t="s">
        <v>142</v>
      </c>
      <c r="B195" s="205" t="s">
        <v>149</v>
      </c>
      <c r="C195" s="81"/>
      <c r="D195" s="139" t="s">
        <v>143</v>
      </c>
      <c r="E195" s="459" t="str">
        <f>+Hijuelas!$G$7</f>
        <v>POR FRACCIÓN</v>
      </c>
      <c r="F195" s="451"/>
    </row>
    <row r="196" spans="1:6">
      <c r="A196" s="450" t="s">
        <v>144</v>
      </c>
      <c r="B196" s="206">
        <f>DSUM('1_1'!$A$12:$H$24,'1_1'!$H$12,F191:F192)</f>
        <v>0</v>
      </c>
      <c r="C196" s="81"/>
      <c r="D196" s="139" t="s">
        <v>145</v>
      </c>
      <c r="E196" s="458" t="e">
        <f>IF(VLOOKUP(F192,'1_1'!$A$13:$D$24,4,0)=1, "Definitivo 100%", "Eventual 80%")</f>
        <v>#N/A</v>
      </c>
      <c r="F196" s="583"/>
    </row>
    <row r="197" spans="1:6" ht="15.75">
      <c r="A197" s="450"/>
      <c r="B197" s="81" t="s">
        <v>146</v>
      </c>
      <c r="C197" s="145">
        <f>DMIN('1_1'!A$12:K$24,'1_1'!$J$12,F191:F192)</f>
        <v>0</v>
      </c>
      <c r="D197" s="189" t="str">
        <f>IF(E197=1,"Domingo",IF(E197=2,"Lunes",IF(E197=3,"Martes",IF(E197=4,"Miercoles",IF(E197=5,"Jueves",IF(E197=6,"Viernes",IF(E197=7,"Sábado",0)))))))</f>
        <v>Sábado</v>
      </c>
      <c r="E197" s="190">
        <f>WEEKDAY(C197)</f>
        <v>7</v>
      </c>
      <c r="F197" s="453"/>
    </row>
    <row r="198" spans="1:6" ht="15.75">
      <c r="A198" s="450"/>
      <c r="B198" s="81" t="s">
        <v>147</v>
      </c>
      <c r="C198" s="145">
        <f>DMAX('1_1'!A$12:M$24,'1_1'!$K$12,F191:F192)</f>
        <v>0</v>
      </c>
      <c r="D198" s="189" t="str">
        <f>IF(E198=1,"Domingo",IF(E198=2,"Lunes",IF(E198=3,"Martes",IF(E198=4,"Miercoles",IF(E198=5,"Jueves",IF(E198=6,"Viernes",IF(E198=7,"Sábado",0)))))))</f>
        <v>Sábado</v>
      </c>
      <c r="E198" s="190">
        <f>WEEKDAY(C198)</f>
        <v>7</v>
      </c>
      <c r="F198" s="453"/>
    </row>
    <row r="199" spans="1:6">
      <c r="A199" s="450"/>
      <c r="B199" s="81"/>
      <c r="C199" s="81"/>
      <c r="D199" s="81"/>
      <c r="E199" s="584"/>
      <c r="F199" s="583"/>
    </row>
    <row r="200" spans="1:6">
      <c r="A200" s="470">
        <f>+Mensajes!$B$7</f>
        <v>0</v>
      </c>
      <c r="B200" s="81"/>
      <c r="C200" s="81"/>
      <c r="D200" s="81"/>
      <c r="E200" s="81"/>
      <c r="F200" s="451"/>
    </row>
    <row r="201" spans="1:6">
      <c r="A201" s="470">
        <f>+Mensajes!$B$12</f>
        <v>0</v>
      </c>
      <c r="B201" s="81"/>
      <c r="C201" s="81"/>
      <c r="D201" s="81"/>
      <c r="E201" s="81"/>
      <c r="F201" s="451"/>
    </row>
    <row r="202" spans="1:6">
      <c r="A202" s="471"/>
      <c r="B202" s="81"/>
      <c r="C202" s="81"/>
      <c r="D202" s="81"/>
      <c r="E202" s="81"/>
      <c r="F202" s="451"/>
    </row>
    <row r="203" spans="1:6" ht="13.5" thickBot="1">
      <c r="A203" s="468"/>
      <c r="B203" s="455"/>
      <c r="C203" s="455"/>
      <c r="D203" s="455"/>
      <c r="E203" s="454" t="str">
        <f>IF(DSUM('1_1'!$A$12:$Q$91,16,F191:F192)=COUNTIF('1_1'!$A$13:$A$92,F192),"","Regularice su Deuda")</f>
        <v>Regularice su Deuda</v>
      </c>
      <c r="F203" s="456"/>
    </row>
  </sheetData>
  <phoneticPr fontId="0" type="noConversion"/>
  <pageMargins left="0.59055118110236227" right="0.70866141732283472" top="0.19685039370078741" bottom="0.19685039370078741" header="0" footer="0"/>
  <pageSetup paperSize="281" scale="75" orientation="portrait" r:id="rId1"/>
  <headerFooter alignWithMargins="0"/>
  <rowBreaks count="2" manualBreakCount="2">
    <brk id="85" max="6" man="1"/>
    <brk id="170" max="6" man="1"/>
  </rowBreaks>
  <colBreaks count="1" manualBreakCount="1">
    <brk id="7" max="202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U37"/>
  <sheetViews>
    <sheetView view="pageBreakPreview" zoomScale="75" zoomScaleNormal="75" zoomScaleSheetLayoutView="75" workbookViewId="0" xr3:uid="{44B22561-5205-5C8A-B808-2C70100D228F}">
      <selection activeCell="M1" sqref="M1:M1048576"/>
    </sheetView>
  </sheetViews>
  <sheetFormatPr defaultColWidth="11.42578125" defaultRowHeight="12.75"/>
  <cols>
    <col min="1" max="1" width="9.140625" bestFit="1" customWidth="1"/>
    <col min="2" max="2" width="7.85546875" customWidth="1"/>
    <col min="3" max="3" width="7.7109375" customWidth="1"/>
    <col min="4" max="4" width="4.7109375" bestFit="1" customWidth="1"/>
    <col min="5" max="5" width="12.28515625" bestFit="1" customWidth="1"/>
    <col min="6" max="6" width="15.28515625" bestFit="1" customWidth="1"/>
    <col min="7" max="7" width="29.85546875" bestFit="1" customWidth="1"/>
    <col min="8" max="8" width="16.28515625" bestFit="1" customWidth="1"/>
    <col min="9" max="9" width="8.7109375" customWidth="1"/>
    <col min="10" max="10" width="17.7109375" bestFit="1" customWidth="1"/>
    <col min="11" max="11" width="16.7109375" customWidth="1"/>
    <col min="12" max="12" width="21.140625" customWidth="1"/>
    <col min="13" max="13" width="21" customWidth="1"/>
    <col min="14" max="14" width="31.5703125" customWidth="1"/>
    <col min="15" max="15" width="7" bestFit="1" customWidth="1"/>
    <col min="16" max="16" width="7.5703125" bestFit="1" customWidth="1"/>
    <col min="17" max="17" width="6.85546875" bestFit="1" customWidth="1"/>
    <col min="18" max="18" width="7.5703125" bestFit="1" customWidth="1"/>
    <col min="19" max="19" width="20.28515625" bestFit="1" customWidth="1"/>
    <col min="20" max="20" width="9.8554687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2" spans="1:21">
      <c r="A2" s="137"/>
      <c r="B2" s="137"/>
      <c r="C2" s="137"/>
      <c r="D2" s="137"/>
      <c r="E2" s="137"/>
      <c r="F2" s="137"/>
      <c r="G2" s="137"/>
      <c r="H2" s="137" t="s">
        <v>150</v>
      </c>
      <c r="I2" s="137"/>
      <c r="J2" s="137"/>
      <c r="K2" s="137"/>
      <c r="L2" s="137"/>
      <c r="M2" s="137"/>
      <c r="N2" s="137"/>
    </row>
    <row r="3" spans="1:21">
      <c r="A3" s="137"/>
      <c r="B3" s="137"/>
      <c r="C3" s="144" t="s">
        <v>90</v>
      </c>
      <c r="D3" s="144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</row>
    <row r="5" spans="1:21">
      <c r="A5" s="669" t="s">
        <v>92</v>
      </c>
      <c r="B5" s="670"/>
      <c r="C5" s="662">
        <f>+'6_1'!C6:D6</f>
        <v>42975.965548768494</v>
      </c>
      <c r="D5" s="663"/>
      <c r="E5" s="664"/>
      <c r="F5" s="344"/>
      <c r="G5" s="345" t="s">
        <v>93</v>
      </c>
      <c r="H5" s="346">
        <f>+'4_1'!H24+'4_1'!I24</f>
        <v>1.5657012314894074</v>
      </c>
      <c r="I5" s="137"/>
      <c r="J5" s="137"/>
      <c r="K5" s="137"/>
      <c r="L5" s="137"/>
      <c r="M5" s="137"/>
      <c r="N5" s="137"/>
    </row>
    <row r="6" spans="1:21" ht="13.5" thickBot="1">
      <c r="A6" s="671" t="s">
        <v>94</v>
      </c>
      <c r="B6" s="672"/>
      <c r="C6" s="665">
        <f>+L35</f>
        <v>42977.531249999985</v>
      </c>
      <c r="D6" s="666"/>
      <c r="E6" s="667"/>
      <c r="F6" s="344"/>
      <c r="G6" s="347" t="s">
        <v>95</v>
      </c>
      <c r="H6" s="354">
        <v>0</v>
      </c>
      <c r="I6" s="137"/>
      <c r="J6" s="578"/>
      <c r="K6" s="137"/>
      <c r="L6" s="137"/>
      <c r="M6" s="578"/>
      <c r="N6" s="137"/>
    </row>
    <row r="7" spans="1:21" ht="13.5" thickBot="1">
      <c r="A7" s="137"/>
      <c r="B7" s="137"/>
      <c r="C7" s="137"/>
      <c r="D7" s="137"/>
      <c r="E7" s="137"/>
      <c r="F7" s="137"/>
      <c r="G7" s="348" t="s">
        <v>96</v>
      </c>
      <c r="H7" s="349">
        <v>6.25E-2</v>
      </c>
      <c r="I7" s="137"/>
      <c r="J7" s="137"/>
      <c r="K7" s="137"/>
      <c r="L7" s="137"/>
      <c r="M7" s="137"/>
      <c r="N7" s="137"/>
    </row>
    <row r="8" spans="1:21">
      <c r="A8" s="137"/>
      <c r="B8" s="137"/>
      <c r="C8" s="137"/>
      <c r="D8" s="137"/>
      <c r="E8" s="137"/>
      <c r="F8" s="557">
        <f>+C6-C5</f>
        <v>1.5657012314914027</v>
      </c>
      <c r="G8" s="137"/>
      <c r="H8" s="438">
        <f>+I36</f>
        <v>4.1666666666666664E-2</v>
      </c>
      <c r="I8" s="137"/>
      <c r="J8" s="137"/>
      <c r="K8" s="137"/>
      <c r="L8" s="137"/>
      <c r="M8" s="137"/>
      <c r="N8" s="137"/>
    </row>
    <row r="9" spans="1:21">
      <c r="A9" s="668" t="s">
        <v>97</v>
      </c>
      <c r="B9" s="668"/>
      <c r="C9" s="557">
        <f>+H5-H7</f>
        <v>1.5032012314894074</v>
      </c>
      <c r="D9" s="556"/>
      <c r="E9" s="555" t="s">
        <v>98</v>
      </c>
      <c r="F9" s="350">
        <f>+C9*60</f>
        <v>90.192073889364451</v>
      </c>
      <c r="G9" s="555" t="s">
        <v>99</v>
      </c>
      <c r="H9" s="173">
        <f>+H36</f>
        <v>15.626800000000001</v>
      </c>
      <c r="I9" s="556" t="s">
        <v>151</v>
      </c>
      <c r="J9" s="556">
        <f>+F9/H9</f>
        <v>5.7716278373924572</v>
      </c>
      <c r="K9" s="137"/>
      <c r="L9" s="137"/>
      <c r="M9" s="137"/>
      <c r="N9" s="137"/>
    </row>
    <row r="10" spans="1:21">
      <c r="A10" s="555"/>
      <c r="B10" s="555"/>
      <c r="C10" s="557"/>
      <c r="D10" s="556"/>
      <c r="E10" s="555"/>
      <c r="F10" s="350"/>
      <c r="G10" s="555"/>
      <c r="H10" s="173"/>
      <c r="I10" s="556"/>
      <c r="J10" s="556"/>
      <c r="K10" s="137"/>
      <c r="L10" s="137"/>
      <c r="M10" s="137"/>
      <c r="N10" s="137"/>
    </row>
    <row r="11" spans="1:21" ht="13.5" thickBot="1">
      <c r="A11" s="673" t="s">
        <v>152</v>
      </c>
      <c r="B11" s="673"/>
      <c r="C11" s="557">
        <f>+'4_1'!H24</f>
        <v>0.64453067385931473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</row>
    <row r="12" spans="1:21" ht="24.75" thickBot="1">
      <c r="A12" s="400" t="s">
        <v>102</v>
      </c>
      <c r="B12" s="372" t="s">
        <v>103</v>
      </c>
      <c r="C12" s="372" t="s">
        <v>104</v>
      </c>
      <c r="D12" s="372" t="s">
        <v>105</v>
      </c>
      <c r="E12" s="464" t="s">
        <v>106</v>
      </c>
      <c r="F12" s="372" t="s">
        <v>153</v>
      </c>
      <c r="G12" s="372" t="s">
        <v>108</v>
      </c>
      <c r="H12" s="463" t="s">
        <v>154</v>
      </c>
      <c r="I12" s="372" t="s">
        <v>155</v>
      </c>
      <c r="J12" s="372" t="s">
        <v>110</v>
      </c>
      <c r="K12" s="372" t="s">
        <v>156</v>
      </c>
      <c r="L12" s="372" t="s">
        <v>157</v>
      </c>
      <c r="M12" s="554" t="s">
        <v>113</v>
      </c>
      <c r="N12" s="419" t="s">
        <v>114</v>
      </c>
      <c r="O12" s="585" t="s">
        <v>158</v>
      </c>
      <c r="P12" s="586" t="s">
        <v>117</v>
      </c>
      <c r="Q12" s="586" t="s">
        <v>118</v>
      </c>
      <c r="R12" s="586" t="s">
        <v>119</v>
      </c>
      <c r="S12" s="586" t="s">
        <v>120</v>
      </c>
      <c r="T12" s="586" t="s">
        <v>121</v>
      </c>
      <c r="U12" s="587" t="s">
        <v>122</v>
      </c>
    </row>
    <row r="13" spans="1:21" ht="27.95" customHeight="1" thickTop="1">
      <c r="A13" s="588">
        <v>1</v>
      </c>
      <c r="B13" s="551">
        <v>1200</v>
      </c>
      <c r="C13" s="589">
        <v>76</v>
      </c>
      <c r="D13" s="551">
        <v>1</v>
      </c>
      <c r="E13" s="590">
        <v>2.0638999999999998</v>
      </c>
      <c r="F13" s="103" t="str">
        <f>IF(Q13=0,"NO",IF(Q13=1,"SI",IF(Q13=3,"cede turno","CONDICIONAL")))</f>
        <v>SI</v>
      </c>
      <c r="G13" s="551" t="s">
        <v>159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2.0638999999999998</v>
      </c>
      <c r="I13" s="591">
        <v>0</v>
      </c>
      <c r="J13" s="580">
        <f>+H13*$J$9/60</f>
        <v>0.19853437822657152</v>
      </c>
      <c r="K13" s="592">
        <f>+C5+H7</f>
        <v>42976.028048768494</v>
      </c>
      <c r="L13" s="592">
        <f>+K13+J13</f>
        <v>42976.226583146723</v>
      </c>
      <c r="M13" s="174"/>
      <c r="N13" s="593"/>
      <c r="O13" s="551"/>
      <c r="P13" s="594" t="str">
        <f>+CONCATENATE(B13,C13)</f>
        <v>120076</v>
      </c>
      <c r="Q13" s="150">
        <f>VLOOKUP(P13,deuda!A$1:H$550,4,0)</f>
        <v>1</v>
      </c>
      <c r="R13" s="595">
        <f>VLOOKUP(P13,deuda!A$1:H$542,5,0)</f>
        <v>2</v>
      </c>
      <c r="S13" s="595">
        <f>IF(VLOOKUP(P13,deuda!A$1:H$542,6,0)=0,"",VLOOKUP(P13,deuda!A$1:H$542,6,0))</f>
        <v>1301.77</v>
      </c>
      <c r="T13" s="596" t="str">
        <f>IF((VLOOKUP(P13,deuda!A$1:H$542,7,0))=0,"",VLOOKUP(P13,deuda!A$1:H$542,7,0))</f>
        <v/>
      </c>
      <c r="U13" s="597" t="str">
        <f>IF((VLOOKUP(P13,deuda!A$1:H$542,8,0))=0,"",VLOOKUP(P13,deuda!A$1:H$542,8,0))</f>
        <v/>
      </c>
    </row>
    <row r="14" spans="1:21" ht="27.95" customHeight="1">
      <c r="A14" s="588">
        <v>1</v>
      </c>
      <c r="B14" s="551">
        <v>1200</v>
      </c>
      <c r="C14" s="551">
        <v>42</v>
      </c>
      <c r="D14" s="551">
        <v>1</v>
      </c>
      <c r="E14" s="590">
        <v>1.056</v>
      </c>
      <c r="F14" s="103" t="str">
        <f>IF(Q14=0,"NO",IF(Q14=1,"SI",IF(Q14=3,"cede turno","CONDICIONAL")))</f>
        <v>SI</v>
      </c>
      <c r="G14" s="551" t="s">
        <v>160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1.056</v>
      </c>
      <c r="I14" s="591">
        <v>2.0833333333333332E-2</v>
      </c>
      <c r="J14" s="580">
        <f>+H14*$J$9/60</f>
        <v>0.10158064993810725</v>
      </c>
      <c r="K14" s="592">
        <f>+L29</f>
        <v>42977.387526847459</v>
      </c>
      <c r="L14" s="592">
        <f>+K14+J14</f>
        <v>42977.489107497393</v>
      </c>
      <c r="M14" s="174"/>
      <c r="N14" s="593"/>
      <c r="O14" s="551"/>
      <c r="P14" s="594" t="str">
        <f>+CONCATENATE(B14,C14)</f>
        <v>120042</v>
      </c>
      <c r="Q14" s="150">
        <f>VLOOKUP(P14,deuda!A$1:H$550,4,0)</f>
        <v>1</v>
      </c>
      <c r="R14" s="595">
        <f>VLOOKUP(P14,deuda!A$1:H$542,5,0)</f>
        <v>1</v>
      </c>
      <c r="S14" s="595">
        <f>IF(VLOOKUP(P14,deuda!A$1:H$542,6,0)=0,"",VLOOKUP(P14,deuda!A$1:H$542,6,0))</f>
        <v>474.06</v>
      </c>
      <c r="T14" s="596" t="str">
        <f>IF((VLOOKUP(P14,deuda!A$1:H$542,7,0))=0,"",VLOOKUP(P14,deuda!A$1:H$542,7,0))</f>
        <v/>
      </c>
      <c r="U14" s="597" t="str">
        <f>IF((VLOOKUP(P14,deuda!A$1:H$542,8,0))=0,"",VLOOKUP(P14,deuda!A$1:H$542,8,0))</f>
        <v/>
      </c>
    </row>
    <row r="15" spans="1:21" ht="27.95" customHeight="1">
      <c r="A15" s="588">
        <v>2</v>
      </c>
      <c r="B15" s="594">
        <v>1200</v>
      </c>
      <c r="C15" s="594">
        <v>47</v>
      </c>
      <c r="D15" s="594">
        <v>1</v>
      </c>
      <c r="E15" s="598">
        <v>2.3744000000000001</v>
      </c>
      <c r="F15" s="103" t="str">
        <f t="shared" ref="F15:F32" si="0">IF(Q15=0,"NO",IF(Q15=1,"SI",IF(Q15=3,"cede turno","CONDICIONAL")))</f>
        <v>SI</v>
      </c>
      <c r="G15" s="594" t="s">
        <v>161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2.3744000000000001</v>
      </c>
      <c r="I15" s="591">
        <v>0</v>
      </c>
      <c r="J15" s="580">
        <f t="shared" ref="J15:J35" si="1">+H15*$J$9/60</f>
        <v>0.22840255228507753</v>
      </c>
      <c r="K15" s="592">
        <f>+L13</f>
        <v>42976.226583146723</v>
      </c>
      <c r="L15" s="592">
        <f>+K15+J15</f>
        <v>42976.454985699005</v>
      </c>
      <c r="M15" s="174"/>
      <c r="N15" s="599"/>
      <c r="O15" s="594"/>
      <c r="P15" s="594" t="str">
        <f>+CONCATENATE(B15,C15)</f>
        <v>120047</v>
      </c>
      <c r="Q15" s="150">
        <f>VLOOKUP(P15,deuda!A$1:H$550,4,0)</f>
        <v>1</v>
      </c>
      <c r="R15" s="595">
        <f>VLOOKUP(P15,deuda!A$1:H$542,5,0)</f>
        <v>2</v>
      </c>
      <c r="S15" s="595">
        <f>IF(VLOOKUP(P15,deuda!A$1:H$542,6,0)=0,"",VLOOKUP(P15,deuda!A$1:H$542,6,0))</f>
        <v>1338.11</v>
      </c>
      <c r="T15" s="596" t="str">
        <f>IF((VLOOKUP(P15,deuda!A$1:H$542,7,0))=0,"",VLOOKUP(P15,deuda!A$1:H$542,7,0))</f>
        <v/>
      </c>
      <c r="U15" s="597" t="str">
        <f>IF((VLOOKUP(P15,deuda!A$1:H$542,8,0))=0,"",VLOOKUP(P15,deuda!A$1:H$542,8,0))</f>
        <v/>
      </c>
    </row>
    <row r="16" spans="1:21" ht="27.95" customHeight="1">
      <c r="A16" s="588">
        <v>3</v>
      </c>
      <c r="B16" s="551">
        <v>1200</v>
      </c>
      <c r="C16" s="589">
        <v>46</v>
      </c>
      <c r="D16" s="551">
        <v>1</v>
      </c>
      <c r="E16" s="590">
        <v>1.9331</v>
      </c>
      <c r="F16" s="103" t="str">
        <f t="shared" si="0"/>
        <v>SI</v>
      </c>
      <c r="G16" s="551" t="s">
        <v>162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1.9331</v>
      </c>
      <c r="I16" s="591">
        <v>0</v>
      </c>
      <c r="J16" s="580">
        <f t="shared" si="1"/>
        <v>0.18595222954105597</v>
      </c>
      <c r="K16" s="592">
        <f t="shared" ref="K16:K35" si="2">+L15</f>
        <v>42976.454985699005</v>
      </c>
      <c r="L16" s="592">
        <f t="shared" ref="L16:L35" si="3">+K16+J16</f>
        <v>42976.640937928547</v>
      </c>
      <c r="M16" s="125"/>
      <c r="N16" s="593"/>
      <c r="O16" s="551"/>
      <c r="P16" s="594" t="str">
        <f t="shared" ref="P16:P32" si="4">+CONCATENATE(B16,C16)</f>
        <v>120046</v>
      </c>
      <c r="Q16" s="150">
        <f>VLOOKUP(P16,deuda!A$1:H$550,4,0)</f>
        <v>1</v>
      </c>
      <c r="R16" s="595">
        <f>VLOOKUP(P16,deuda!A$1:H$542,5,0)</f>
        <v>1</v>
      </c>
      <c r="S16" s="595">
        <f>IF(VLOOKUP(P16,deuda!A$1:H$542,6,0)=0,"",VLOOKUP(P16,deuda!A$1:H$542,6,0))</f>
        <v>452.93</v>
      </c>
      <c r="T16" s="596" t="str">
        <f>IF((VLOOKUP(P16,deuda!A$1:H$542,7,0))=0,"",VLOOKUP(P16,deuda!A$1:H$542,7,0))</f>
        <v/>
      </c>
      <c r="U16" s="597" t="str">
        <f>IF((VLOOKUP(P16,deuda!A$1:H$542,8,0))=0,"",VLOOKUP(P16,deuda!A$1:H$542,8,0))</f>
        <v/>
      </c>
    </row>
    <row r="17" spans="1:21" ht="27.95" customHeight="1">
      <c r="A17" s="588">
        <v>4</v>
      </c>
      <c r="B17" s="551">
        <v>1200</v>
      </c>
      <c r="C17" s="551">
        <v>58</v>
      </c>
      <c r="D17" s="551">
        <v>1</v>
      </c>
      <c r="E17" s="590">
        <v>0.91239999999999999</v>
      </c>
      <c r="F17" s="103" t="str">
        <f t="shared" si="0"/>
        <v>SI</v>
      </c>
      <c r="G17" s="551" t="s">
        <v>163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0.91239999999999999</v>
      </c>
      <c r="I17" s="591">
        <v>0</v>
      </c>
      <c r="J17" s="580">
        <f t="shared" si="1"/>
        <v>8.7767220647281291E-2</v>
      </c>
      <c r="K17" s="592">
        <f t="shared" si="2"/>
        <v>42976.640937928547</v>
      </c>
      <c r="L17" s="592">
        <f t="shared" si="3"/>
        <v>42976.728705149195</v>
      </c>
      <c r="M17" s="125"/>
      <c r="N17" s="593"/>
      <c r="O17" s="551"/>
      <c r="P17" s="594" t="str">
        <f>+CONCATENATE(B17,C17)</f>
        <v>120058</v>
      </c>
      <c r="Q17" s="150">
        <f>VLOOKUP(P17,deuda!A$1:H$550,4,0)</f>
        <v>1</v>
      </c>
      <c r="R17" s="595">
        <f>VLOOKUP(P17,deuda!A$1:H$542,5,0)</f>
        <v>2</v>
      </c>
      <c r="S17" s="595">
        <f>IF(VLOOKUP(P17,deuda!A$1:H$542,6,0)=0,"",VLOOKUP(P17,deuda!A$1:H$542,6,0))</f>
        <v>489.19</v>
      </c>
      <c r="T17" s="596" t="str">
        <f>IF((VLOOKUP(P17,deuda!A$1:H$542,7,0))=0,"",VLOOKUP(P17,deuda!A$1:H$542,7,0))</f>
        <v/>
      </c>
      <c r="U17" s="597" t="str">
        <f>IF((VLOOKUP(P17,deuda!A$1:H$542,8,0))=0,"",VLOOKUP(P17,deuda!A$1:H$542,8,0))</f>
        <v/>
      </c>
    </row>
    <row r="18" spans="1:21" ht="27.95" customHeight="1">
      <c r="A18" s="588">
        <v>5</v>
      </c>
      <c r="B18" s="551">
        <v>1200</v>
      </c>
      <c r="C18" s="551">
        <v>53</v>
      </c>
      <c r="D18" s="551">
        <v>1</v>
      </c>
      <c r="E18" s="590">
        <v>0.3659</v>
      </c>
      <c r="F18" s="103" t="str">
        <f t="shared" si="0"/>
        <v>SI</v>
      </c>
      <c r="G18" s="551" t="s">
        <v>164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0.3659</v>
      </c>
      <c r="I18" s="591">
        <v>0</v>
      </c>
      <c r="J18" s="580">
        <f t="shared" si="1"/>
        <v>3.5197310428365006E-2</v>
      </c>
      <c r="K18" s="592">
        <f t="shared" si="2"/>
        <v>42976.728705149195</v>
      </c>
      <c r="L18" s="592">
        <f t="shared" si="3"/>
        <v>42976.763902459621</v>
      </c>
      <c r="M18" s="125"/>
      <c r="N18" s="593"/>
      <c r="O18" s="551"/>
      <c r="P18" s="594" t="str">
        <f t="shared" si="4"/>
        <v>120053</v>
      </c>
      <c r="Q18" s="150">
        <f>VLOOKUP(P18,deuda!A$1:H$550,4,0)</f>
        <v>1</v>
      </c>
      <c r="R18" s="595">
        <f>VLOOKUP(P18,deuda!A$1:H$542,5,0)</f>
        <v>1</v>
      </c>
      <c r="S18" s="595">
        <f>IF(VLOOKUP(P18,deuda!A$1:H$542,6,0)=0,"",VLOOKUP(P18,deuda!A$1:H$542,6,0))</f>
        <v>242.56</v>
      </c>
      <c r="T18" s="596" t="str">
        <f>IF((VLOOKUP(P18,deuda!A$1:H$542,7,0))=0,"",VLOOKUP(P18,deuda!A$1:H$542,7,0))</f>
        <v/>
      </c>
      <c r="U18" s="597" t="str">
        <f>IF((VLOOKUP(P18,deuda!A$1:H$542,8,0))=0,"",VLOOKUP(P18,deuda!A$1:H$542,8,0))</f>
        <v/>
      </c>
    </row>
    <row r="19" spans="1:21" ht="27.95" customHeight="1">
      <c r="A19" s="588">
        <v>5</v>
      </c>
      <c r="B19" s="551">
        <v>1200</v>
      </c>
      <c r="C19" s="551">
        <v>54</v>
      </c>
      <c r="D19" s="551">
        <v>1</v>
      </c>
      <c r="E19" s="590">
        <v>0.61509999999999998</v>
      </c>
      <c r="F19" s="103" t="str">
        <f t="shared" si="0"/>
        <v>SI</v>
      </c>
      <c r="G19" s="551" t="s">
        <v>165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0.61509999999999998</v>
      </c>
      <c r="I19" s="591">
        <v>0</v>
      </c>
      <c r="J19" s="580">
        <f t="shared" si="1"/>
        <v>5.916880471300167E-2</v>
      </c>
      <c r="K19" s="592">
        <f t="shared" si="2"/>
        <v>42976.763902459621</v>
      </c>
      <c r="L19" s="592">
        <f t="shared" si="3"/>
        <v>42976.823071264334</v>
      </c>
      <c r="M19" s="125"/>
      <c r="N19" s="593"/>
      <c r="O19" s="551"/>
      <c r="P19" s="594" t="str">
        <f t="shared" si="4"/>
        <v>120054</v>
      </c>
      <c r="Q19" s="150">
        <f>VLOOKUP(P19,deuda!A$1:H$550,4,0)</f>
        <v>1</v>
      </c>
      <c r="R19" s="595">
        <f>VLOOKUP(P19,deuda!A$1:H$542,5,0)</f>
        <v>1</v>
      </c>
      <c r="S19" s="595">
        <f>IF(VLOOKUP(P19,deuda!A$1:H$542,6,0)=0,"",VLOOKUP(P19,deuda!A$1:H$542,6,0))</f>
        <v>240.72</v>
      </c>
      <c r="T19" s="596" t="str">
        <f>IF((VLOOKUP(P19,deuda!A$1:H$542,7,0))=0,"",VLOOKUP(P19,deuda!A$1:H$542,7,0))</f>
        <v/>
      </c>
      <c r="U19" s="597" t="str">
        <f>IF((VLOOKUP(P19,deuda!A$1:H$542,8,0))=0,"",VLOOKUP(P19,deuda!A$1:H$542,8,0))</f>
        <v/>
      </c>
    </row>
    <row r="20" spans="1:21" ht="27.95" customHeight="1">
      <c r="A20" s="588">
        <v>6</v>
      </c>
      <c r="B20" s="551">
        <v>1200</v>
      </c>
      <c r="C20" s="551">
        <v>45</v>
      </c>
      <c r="D20" s="551">
        <v>1</v>
      </c>
      <c r="E20" s="590">
        <v>0.81369999999999998</v>
      </c>
      <c r="F20" s="103" t="str">
        <f t="shared" si="0"/>
        <v>SI</v>
      </c>
      <c r="G20" s="551" t="s">
        <v>166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0.81369999999999998</v>
      </c>
      <c r="I20" s="591">
        <v>0</v>
      </c>
      <c r="J20" s="580">
        <f t="shared" si="1"/>
        <v>7.8272892854770709E-2</v>
      </c>
      <c r="K20" s="592">
        <f t="shared" si="2"/>
        <v>42976.823071264334</v>
      </c>
      <c r="L20" s="592">
        <f t="shared" si="3"/>
        <v>42976.901344157188</v>
      </c>
      <c r="M20" s="125"/>
      <c r="N20" s="593"/>
      <c r="O20" s="551"/>
      <c r="P20" s="594" t="str">
        <f t="shared" si="4"/>
        <v>120045</v>
      </c>
      <c r="Q20" s="150">
        <f>VLOOKUP(P20,deuda!A$1:H$550,4,0)</f>
        <v>1</v>
      </c>
      <c r="R20" s="595">
        <f>VLOOKUP(P20,deuda!A$1:H$542,5,0)</f>
        <v>2</v>
      </c>
      <c r="S20" s="595">
        <f>IF(VLOOKUP(P20,deuda!A$1:H$542,6,0)=0,"",VLOOKUP(P20,deuda!A$1:H$542,6,0))</f>
        <v>477.6</v>
      </c>
      <c r="T20" s="596" t="str">
        <f>IF((VLOOKUP(P20,deuda!A$1:H$542,7,0))=0,"",VLOOKUP(P20,deuda!A$1:H$542,7,0))</f>
        <v/>
      </c>
      <c r="U20" s="597" t="str">
        <f>IF((VLOOKUP(P20,deuda!A$1:H$542,8,0))=0,"",VLOOKUP(P20,deuda!A$1:H$542,8,0))</f>
        <v/>
      </c>
    </row>
    <row r="21" spans="1:21" ht="27.95" customHeight="1">
      <c r="A21" s="588">
        <v>6</v>
      </c>
      <c r="B21" s="551">
        <v>1200</v>
      </c>
      <c r="C21" s="551">
        <v>51</v>
      </c>
      <c r="D21" s="551">
        <v>1</v>
      </c>
      <c r="E21" s="590">
        <v>0.75380000000000003</v>
      </c>
      <c r="F21" s="103" t="str">
        <f t="shared" si="0"/>
        <v>SI</v>
      </c>
      <c r="G21" s="551" t="s">
        <v>167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0.75380000000000003</v>
      </c>
      <c r="I21" s="591">
        <v>0</v>
      </c>
      <c r="J21" s="580">
        <f t="shared" si="1"/>
        <v>7.2510884397107234E-2</v>
      </c>
      <c r="K21" s="592">
        <f t="shared" si="2"/>
        <v>42976.901344157188</v>
      </c>
      <c r="L21" s="592">
        <f t="shared" si="3"/>
        <v>42976.973855041586</v>
      </c>
      <c r="M21" s="125"/>
      <c r="N21" s="593"/>
      <c r="O21" s="551"/>
      <c r="P21" s="594" t="str">
        <f t="shared" si="4"/>
        <v>120051</v>
      </c>
      <c r="Q21" s="150">
        <f>VLOOKUP(P21,deuda!A$1:H$550,4,0)</f>
        <v>1</v>
      </c>
      <c r="R21" s="595">
        <f>VLOOKUP(P21,deuda!A$1:H$542,5,0)</f>
        <v>2</v>
      </c>
      <c r="S21" s="595">
        <f>IF(VLOOKUP(P21,deuda!A$1:H$542,6,0)=0,"",VLOOKUP(P21,deuda!A$1:H$542,6,0))</f>
        <v>477.6</v>
      </c>
      <c r="T21" s="596" t="str">
        <f>IF((VLOOKUP(P21,deuda!A$1:H$542,7,0))=0,"",VLOOKUP(P21,deuda!A$1:H$542,7,0))</f>
        <v/>
      </c>
      <c r="U21" s="597" t="str">
        <f>IF((VLOOKUP(P21,deuda!A$1:H$542,8,0))=0,"",VLOOKUP(P21,deuda!A$1:H$542,8,0))</f>
        <v/>
      </c>
    </row>
    <row r="22" spans="1:21" ht="27.95" customHeight="1">
      <c r="A22" s="588">
        <v>7</v>
      </c>
      <c r="B22" s="551">
        <v>1200</v>
      </c>
      <c r="C22" s="551">
        <v>50</v>
      </c>
      <c r="D22" s="551">
        <v>1</v>
      </c>
      <c r="E22" s="590">
        <v>0.83509999999999995</v>
      </c>
      <c r="F22" s="103" t="str">
        <f t="shared" si="0"/>
        <v>SI</v>
      </c>
      <c r="G22" s="551" t="s">
        <v>168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0.83509999999999995</v>
      </c>
      <c r="I22" s="591">
        <v>0</v>
      </c>
      <c r="J22" s="580">
        <f t="shared" si="1"/>
        <v>8.0331440116774011E-2</v>
      </c>
      <c r="K22" s="592">
        <f t="shared" si="2"/>
        <v>42976.973855041586</v>
      </c>
      <c r="L22" s="592">
        <f t="shared" si="3"/>
        <v>42977.054186481706</v>
      </c>
      <c r="M22" s="125"/>
      <c r="N22" s="593"/>
      <c r="O22" s="551"/>
      <c r="P22" s="594" t="str">
        <f t="shared" si="4"/>
        <v>120050</v>
      </c>
      <c r="Q22" s="150">
        <f>VLOOKUP(P22,deuda!A$1:H$550,4,0)</f>
        <v>1</v>
      </c>
      <c r="R22" s="595">
        <f>VLOOKUP(P22,deuda!A$1:H$542,5,0)</f>
        <v>0</v>
      </c>
      <c r="S22" s="595" t="str">
        <f>IF(VLOOKUP(P22,deuda!A$1:H$542,6,0)=0,"",VLOOKUP(P22,deuda!A$1:H$542,6,0))</f>
        <v/>
      </c>
      <c r="T22" s="596" t="str">
        <f>IF((VLOOKUP(P22,deuda!A$1:H$542,7,0))=0,"",VLOOKUP(P22,deuda!A$1:H$542,7,0))</f>
        <v/>
      </c>
      <c r="U22" s="597" t="str">
        <f>IF((VLOOKUP(P22,deuda!A$1:H$542,8,0))=0,"",VLOOKUP(P22,deuda!A$1:H$542,8,0))</f>
        <v/>
      </c>
    </row>
    <row r="23" spans="1:21" ht="27.95" customHeight="1">
      <c r="A23" s="588">
        <v>8</v>
      </c>
      <c r="B23" s="551">
        <v>1200</v>
      </c>
      <c r="C23" s="551">
        <v>60</v>
      </c>
      <c r="D23" s="551">
        <v>1</v>
      </c>
      <c r="E23" s="590">
        <v>0.32790000000000002</v>
      </c>
      <c r="F23" s="103" t="str">
        <f t="shared" si="0"/>
        <v>SI</v>
      </c>
      <c r="G23" s="551" t="s">
        <v>169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0.32790000000000002</v>
      </c>
      <c r="I23" s="591">
        <v>0</v>
      </c>
      <c r="J23" s="580">
        <f t="shared" si="1"/>
        <v>3.154194613134978E-2</v>
      </c>
      <c r="K23" s="592">
        <f t="shared" si="2"/>
        <v>42977.054186481706</v>
      </c>
      <c r="L23" s="592">
        <f t="shared" si="3"/>
        <v>42977.085728427839</v>
      </c>
      <c r="M23" s="125"/>
      <c r="N23" s="593"/>
      <c r="O23" s="551"/>
      <c r="P23" s="594" t="str">
        <f t="shared" si="4"/>
        <v>120060</v>
      </c>
      <c r="Q23" s="150">
        <f>VLOOKUP(P23,deuda!A$1:H$550,4,0)</f>
        <v>1</v>
      </c>
      <c r="R23" s="595">
        <f>VLOOKUP(P23,deuda!A$1:H$542,5,0)</f>
        <v>0</v>
      </c>
      <c r="S23" s="595">
        <f>IF(VLOOKUP(P23,deuda!A$1:H$542,6,0)=0,"",VLOOKUP(P23,deuda!A$1:H$542,6,0))</f>
        <v>2.21</v>
      </c>
      <c r="T23" s="596" t="str">
        <f>IF((VLOOKUP(P23,deuda!A$1:H$542,7,0))=0,"",VLOOKUP(P23,deuda!A$1:H$542,7,0))</f>
        <v/>
      </c>
      <c r="U23" s="597" t="str">
        <f>IF((VLOOKUP(P23,deuda!A$1:H$542,8,0))=0,"",VLOOKUP(P23,deuda!A$1:H$542,8,0))</f>
        <v/>
      </c>
    </row>
    <row r="24" spans="1:21" ht="27.95" customHeight="1">
      <c r="A24" s="588">
        <v>9</v>
      </c>
      <c r="B24" s="551">
        <v>1200</v>
      </c>
      <c r="C24" s="551">
        <v>56</v>
      </c>
      <c r="D24" s="551">
        <v>1</v>
      </c>
      <c r="E24" s="590">
        <v>0.76729999999999998</v>
      </c>
      <c r="F24" s="103" t="str">
        <f t="shared" si="0"/>
        <v>NO</v>
      </c>
      <c r="G24" s="551" t="s">
        <v>170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0</v>
      </c>
      <c r="I24" s="591">
        <v>0</v>
      </c>
      <c r="J24" s="580">
        <f t="shared" si="1"/>
        <v>0</v>
      </c>
      <c r="K24" s="592">
        <f t="shared" si="2"/>
        <v>42977.085728427839</v>
      </c>
      <c r="L24" s="592">
        <f t="shared" si="3"/>
        <v>42977.085728427839</v>
      </c>
      <c r="M24" s="125"/>
      <c r="N24" s="593"/>
      <c r="O24" s="551"/>
      <c r="P24" s="594" t="str">
        <f t="shared" si="4"/>
        <v>120056</v>
      </c>
      <c r="Q24" s="150">
        <f>VLOOKUP(P24,deuda!A$1:H$550,4,0)</f>
        <v>0</v>
      </c>
      <c r="R24" s="595">
        <f>VLOOKUP(P24,deuda!A$1:H$542,5,0)</f>
        <v>13</v>
      </c>
      <c r="S24" s="595">
        <f>IF(VLOOKUP(P24,deuda!A$1:H$542,6,0)=0,"",VLOOKUP(P24,deuda!A$1:H$542,6,0))</f>
        <v>4797.4399999999996</v>
      </c>
      <c r="T24" s="596" t="str">
        <f>IF((VLOOKUP(P24,deuda!A$1:H$542,7,0))=0,"",VLOOKUP(P24,deuda!A$1:H$542,7,0))</f>
        <v/>
      </c>
      <c r="U24" s="597" t="str">
        <f>IF((VLOOKUP(P24,deuda!A$1:H$542,8,0))=0,"",VLOOKUP(P24,deuda!A$1:H$542,8,0))</f>
        <v/>
      </c>
    </row>
    <row r="25" spans="1:21" ht="27.95" customHeight="1">
      <c r="A25" s="588">
        <v>9</v>
      </c>
      <c r="B25" s="551">
        <v>1200</v>
      </c>
      <c r="C25" s="551">
        <v>57</v>
      </c>
      <c r="D25" s="551">
        <v>1</v>
      </c>
      <c r="E25" s="590">
        <v>0.84140000000000004</v>
      </c>
      <c r="F25" s="103" t="str">
        <f t="shared" si="0"/>
        <v>NO</v>
      </c>
      <c r="G25" s="551" t="s">
        <v>171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0</v>
      </c>
      <c r="I25" s="591">
        <v>0</v>
      </c>
      <c r="J25" s="580">
        <f t="shared" si="1"/>
        <v>0</v>
      </c>
      <c r="K25" s="592">
        <f t="shared" si="2"/>
        <v>42977.085728427839</v>
      </c>
      <c r="L25" s="592">
        <f t="shared" si="3"/>
        <v>42977.085728427839</v>
      </c>
      <c r="M25" s="125"/>
      <c r="N25" s="593"/>
      <c r="O25" s="551"/>
      <c r="P25" s="594" t="str">
        <f t="shared" si="4"/>
        <v>120057</v>
      </c>
      <c r="Q25" s="150">
        <f>VLOOKUP(P25,deuda!A$1:H$550,4,0)</f>
        <v>0</v>
      </c>
      <c r="R25" s="595">
        <f>VLOOKUP(P25,deuda!A$1:H$542,5,0)</f>
        <v>14</v>
      </c>
      <c r="S25" s="595">
        <f>IF(VLOOKUP(P25,deuda!A$1:H$542,6,0)=0,"",VLOOKUP(P25,deuda!A$1:H$542,6,0))</f>
        <v>3573.88</v>
      </c>
      <c r="T25" s="596" t="str">
        <f>IF((VLOOKUP(P25,deuda!A$1:H$542,7,0))=0,"",VLOOKUP(P25,deuda!A$1:H$542,7,0))</f>
        <v/>
      </c>
      <c r="U25" s="597" t="str">
        <f>IF((VLOOKUP(P25,deuda!A$1:H$542,8,0))=0,"",VLOOKUP(P25,deuda!A$1:H$542,8,0))</f>
        <v/>
      </c>
    </row>
    <row r="26" spans="1:21" ht="27.95" customHeight="1">
      <c r="A26" s="588">
        <v>10</v>
      </c>
      <c r="B26" s="551">
        <v>1200</v>
      </c>
      <c r="C26" s="551">
        <v>52</v>
      </c>
      <c r="D26" s="551">
        <v>1</v>
      </c>
      <c r="E26" s="590">
        <v>0.67600000000000005</v>
      </c>
      <c r="F26" s="103" t="str">
        <f t="shared" si="0"/>
        <v>SI</v>
      </c>
      <c r="G26" s="551" t="s">
        <v>172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0.67600000000000005</v>
      </c>
      <c r="I26" s="591">
        <v>0</v>
      </c>
      <c r="J26" s="580">
        <f t="shared" si="1"/>
        <v>6.502700696795502E-2</v>
      </c>
      <c r="K26" s="592">
        <f t="shared" si="2"/>
        <v>42977.085728427839</v>
      </c>
      <c r="L26" s="592">
        <f t="shared" si="3"/>
        <v>42977.150755434806</v>
      </c>
      <c r="M26" s="125"/>
      <c r="N26" s="593"/>
      <c r="O26" s="551"/>
      <c r="P26" s="594" t="str">
        <f t="shared" si="4"/>
        <v>120052</v>
      </c>
      <c r="Q26" s="150">
        <f>VLOOKUP(P26,deuda!A$1:H$550,4,0)</f>
        <v>1</v>
      </c>
      <c r="R26" s="595">
        <f>VLOOKUP(P26,deuda!A$1:H$542,5,0)</f>
        <v>0</v>
      </c>
      <c r="S26" s="595" t="str">
        <f>IF(VLOOKUP(P26,deuda!A$1:H$542,6,0)=0,"",VLOOKUP(P26,deuda!A$1:H$542,6,0))</f>
        <v/>
      </c>
      <c r="T26" s="596" t="str">
        <f>IF((VLOOKUP(P26,deuda!A$1:H$542,7,0))=0,"",VLOOKUP(P26,deuda!A$1:H$542,7,0))</f>
        <v/>
      </c>
      <c r="U26" s="597" t="str">
        <f>IF((VLOOKUP(P26,deuda!A$1:H$542,8,0))=0,"",VLOOKUP(P26,deuda!A$1:H$542,8,0))</f>
        <v/>
      </c>
    </row>
    <row r="27" spans="1:21" ht="27.95" customHeight="1">
      <c r="A27" s="588">
        <v>10</v>
      </c>
      <c r="B27" s="551">
        <v>1200</v>
      </c>
      <c r="C27" s="551">
        <v>55</v>
      </c>
      <c r="D27" s="551">
        <v>1</v>
      </c>
      <c r="E27" s="590">
        <v>0.96730000000000005</v>
      </c>
      <c r="F27" s="103" t="str">
        <f t="shared" si="0"/>
        <v>SI</v>
      </c>
      <c r="G27" s="551" t="s">
        <v>172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0.96730000000000005</v>
      </c>
      <c r="I27" s="591">
        <v>0</v>
      </c>
      <c r="J27" s="580">
        <f t="shared" si="1"/>
        <v>9.3048260118495402E-2</v>
      </c>
      <c r="K27" s="592">
        <f t="shared" si="2"/>
        <v>42977.150755434806</v>
      </c>
      <c r="L27" s="592">
        <f t="shared" si="3"/>
        <v>42977.243803694924</v>
      </c>
      <c r="M27" s="125"/>
      <c r="N27" s="593"/>
      <c r="O27" s="551"/>
      <c r="P27" s="594" t="str">
        <f t="shared" si="4"/>
        <v>120055</v>
      </c>
      <c r="Q27" s="150">
        <f>VLOOKUP(P27,deuda!A$1:H$550,4,0)</f>
        <v>1</v>
      </c>
      <c r="R27" s="595">
        <f>VLOOKUP(P27,deuda!A$1:H$542,5,0)</f>
        <v>0</v>
      </c>
      <c r="S27" s="595" t="str">
        <f>IF(VLOOKUP(P27,deuda!A$1:H$542,6,0)=0,"",VLOOKUP(P27,deuda!A$1:H$542,6,0))</f>
        <v/>
      </c>
      <c r="T27" s="596" t="str">
        <f>IF((VLOOKUP(P27,deuda!A$1:H$542,7,0))=0,"",VLOOKUP(P27,deuda!A$1:H$542,7,0))</f>
        <v/>
      </c>
      <c r="U27" s="597" t="str">
        <f>IF((VLOOKUP(P27,deuda!A$1:H$542,8,0))=0,"",VLOOKUP(P27,deuda!A$1:H$542,8,0))</f>
        <v/>
      </c>
    </row>
    <row r="28" spans="1:21" ht="27.95" customHeight="1">
      <c r="A28" s="588">
        <v>11</v>
      </c>
      <c r="B28" s="551">
        <v>1200</v>
      </c>
      <c r="C28" s="551">
        <v>48</v>
      </c>
      <c r="D28" s="551">
        <v>1</v>
      </c>
      <c r="E28" s="590">
        <v>4.4821999999999997</v>
      </c>
      <c r="F28" s="103" t="s">
        <v>173</v>
      </c>
      <c r="G28" s="551" t="s">
        <v>174</v>
      </c>
      <c r="H28" s="579">
        <f>IF(Hijuelas!$G$7="POR FRACCIÓN",IF(F28="NO",0,IF(F28="cede turno",0,IF(Hijuelas!$G$8="si",IF(D28=1,E28,E28*0.8),E28))),IF(F28="NO",0,IF(F28="cede turno",0,IF(Hijuelas!$G$8="si",IF(D28=1,ROUNDUP(E28,0),ROUNDUP(E28*0.8,0)),ROUNDUP(E28,0)))))</f>
        <v>0</v>
      </c>
      <c r="I28" s="591">
        <v>0</v>
      </c>
      <c r="J28" s="580">
        <f t="shared" si="1"/>
        <v>0</v>
      </c>
      <c r="K28" s="592">
        <f t="shared" si="2"/>
        <v>42977.243803694924</v>
      </c>
      <c r="L28" s="592">
        <f t="shared" si="3"/>
        <v>42977.243803694924</v>
      </c>
      <c r="M28" s="125"/>
      <c r="N28" s="593"/>
      <c r="O28" s="551"/>
      <c r="P28" s="594" t="str">
        <f>+CONCATENATE(B28,C28)</f>
        <v>120048</v>
      </c>
      <c r="Q28" s="150">
        <f>VLOOKUP(P28,deuda!A$1:H$550,4,0)</f>
        <v>1</v>
      </c>
      <c r="R28" s="595">
        <f>VLOOKUP(P28,deuda!A$1:H$542,5,0)</f>
        <v>1</v>
      </c>
      <c r="S28" s="595">
        <f>IF(VLOOKUP(P28,deuda!A$1:H$542,6,0)=0,"",VLOOKUP(P28,deuda!A$1:H$542,6,0))</f>
        <v>1097.52</v>
      </c>
      <c r="T28" s="596" t="str">
        <f>IF((VLOOKUP(P28,deuda!A$1:H$542,7,0))=0,"",VLOOKUP(P28,deuda!A$1:H$542,7,0))</f>
        <v/>
      </c>
      <c r="U28" s="597" t="str">
        <f>IF((VLOOKUP(P28,deuda!A$1:H$542,8,0))=0,"",VLOOKUP(P28,deuda!A$1:H$542,8,0))</f>
        <v/>
      </c>
    </row>
    <row r="29" spans="1:21" ht="27.95" customHeight="1">
      <c r="A29" s="588">
        <v>12</v>
      </c>
      <c r="B29" s="551">
        <v>1200</v>
      </c>
      <c r="C29" s="551">
        <v>44</v>
      </c>
      <c r="D29" s="551">
        <v>1</v>
      </c>
      <c r="E29" s="590">
        <v>1.4941</v>
      </c>
      <c r="F29" s="103" t="str">
        <f t="shared" si="0"/>
        <v>SI</v>
      </c>
      <c r="G29" s="551" t="s">
        <v>175</v>
      </c>
      <c r="H29" s="579">
        <f>IF(Hijuelas!$G$7="POR FRACCIÓN",IF(F29="NO",0,IF(F29="cede turno",0,IF(Hijuelas!$G$8="si",IF(D29=1,E29,E29*0.8),E29))),IF(F29="NO",0,IF(F29="cede turno",0,IF(Hijuelas!$G$8="si",IF(D29=1,ROUNDUP(E29,0),ROUNDUP(E29*0.8,0)),ROUNDUP(E29,0)))))</f>
        <v>1.4941</v>
      </c>
      <c r="I29" s="591">
        <v>2.0833333333333332E-2</v>
      </c>
      <c r="J29" s="580">
        <f t="shared" si="1"/>
        <v>0.14372315253080117</v>
      </c>
      <c r="K29" s="592">
        <f t="shared" si="2"/>
        <v>42977.243803694924</v>
      </c>
      <c r="L29" s="592">
        <f t="shared" si="3"/>
        <v>42977.387526847459</v>
      </c>
      <c r="M29" s="125"/>
      <c r="N29" s="593"/>
      <c r="O29" s="551"/>
      <c r="P29" s="594" t="str">
        <f t="shared" si="4"/>
        <v>120044</v>
      </c>
      <c r="Q29" s="150">
        <f>VLOOKUP(P29,deuda!A$1:H$550,4,0)</f>
        <v>1</v>
      </c>
      <c r="R29" s="595">
        <f>VLOOKUP(P29,deuda!A$1:H$542,5,0)</f>
        <v>2</v>
      </c>
      <c r="S29" s="595">
        <f>IF(VLOOKUP(P29,deuda!A$1:H$542,6,0)=0,"",VLOOKUP(P29,deuda!A$1:H$542,6,0))</f>
        <v>907.84</v>
      </c>
      <c r="T29" s="596" t="str">
        <f>IF((VLOOKUP(P29,deuda!A$1:H$542,7,0))=0,"",VLOOKUP(P29,deuda!A$1:H$542,7,0))</f>
        <v/>
      </c>
      <c r="U29" s="597" t="str">
        <f>IF((VLOOKUP(P29,deuda!A$1:H$542,8,0))=0,"",VLOOKUP(P29,deuda!A$1:H$542,8,0))</f>
        <v/>
      </c>
    </row>
    <row r="30" spans="1:21" ht="27.95" customHeight="1">
      <c r="A30" s="588">
        <v>13</v>
      </c>
      <c r="B30" s="551">
        <v>1200</v>
      </c>
      <c r="C30" s="551">
        <v>79</v>
      </c>
      <c r="D30" s="551">
        <v>1</v>
      </c>
      <c r="E30" s="590">
        <v>0.1182</v>
      </c>
      <c r="F30" s="103" t="str">
        <f t="shared" si="0"/>
        <v>SI</v>
      </c>
      <c r="G30" s="551" t="s">
        <v>160</v>
      </c>
      <c r="H30" s="579">
        <f>IF(Hijuelas!$G$7="POR FRACCIÓN",IF(F30="NO",0,IF(F30="cede turno",0,IF(Hijuelas!$G$8="si",IF(D30=1,E30,E30*0.8),E30))),IF(F30="NO",0,IF(F30="cede turno",0,IF(Hijuelas!$G$8="si",IF(D30=1,ROUNDUP(E30,0),ROUNDUP(E30*0.8,0)),ROUNDUP(E30,0)))))</f>
        <v>0.1182</v>
      </c>
      <c r="I30" s="591">
        <v>0</v>
      </c>
      <c r="J30" s="580">
        <f t="shared" si="1"/>
        <v>1.1370106839663141E-2</v>
      </c>
      <c r="K30" s="592">
        <f>+L14</f>
        <v>42977.489107497393</v>
      </c>
      <c r="L30" s="592">
        <f t="shared" si="3"/>
        <v>42977.500477604233</v>
      </c>
      <c r="M30" s="125"/>
      <c r="N30" s="600"/>
      <c r="O30" s="551"/>
      <c r="P30" s="601" t="str">
        <f t="shared" si="4"/>
        <v>120079</v>
      </c>
      <c r="Q30" s="150">
        <f>VLOOKUP(P30,deuda!A$1:H$550,4,0)</f>
        <v>1</v>
      </c>
      <c r="R30" s="595">
        <f>VLOOKUP(P30,deuda!A$1:H$542,5,0)</f>
        <v>0</v>
      </c>
      <c r="S30" s="595" t="str">
        <f>IF(VLOOKUP(P30,deuda!A$1:H$542,6,0)=0,"",VLOOKUP(P30,deuda!A$1:H$542,6,0))</f>
        <v/>
      </c>
      <c r="T30" s="596" t="str">
        <f>IF((VLOOKUP(P30,deuda!A$1:H$542,7,0))=0,"",VLOOKUP(P30,deuda!A$1:H$542,7,0))</f>
        <v/>
      </c>
      <c r="U30" s="597" t="str">
        <f>IF((VLOOKUP(P30,deuda!A$1:H$542,8,0))=0,"",VLOOKUP(P30,deuda!A$1:H$542,8,0))</f>
        <v/>
      </c>
    </row>
    <row r="31" spans="1:21" ht="27.95" customHeight="1">
      <c r="A31" s="588">
        <v>13</v>
      </c>
      <c r="B31" s="551">
        <v>1200</v>
      </c>
      <c r="C31" s="551">
        <v>78</v>
      </c>
      <c r="D31" s="551">
        <v>1</v>
      </c>
      <c r="E31" s="590">
        <v>0.11020000000000001</v>
      </c>
      <c r="F31" s="103" t="str">
        <f t="shared" si="0"/>
        <v>SI</v>
      </c>
      <c r="G31" s="551" t="s">
        <v>160</v>
      </c>
      <c r="H31" s="579">
        <f>IF(Hijuelas!$G$7="POR FRACCIÓN",IF(F31="NO",0,IF(F31="cede turno",0,IF(Hijuelas!$G$8="si",IF(D31=1,E31,E31*0.8),E31))),IF(F31="NO",0,IF(F31="cede turno",0,IF(Hijuelas!$G$8="si",IF(D31=1,ROUNDUP(E31,0),ROUNDUP(E31*0.8,0)),ROUNDUP(E31,0)))))</f>
        <v>0.11020000000000001</v>
      </c>
      <c r="I31" s="591">
        <v>0</v>
      </c>
      <c r="J31" s="580">
        <f t="shared" si="1"/>
        <v>1.0600556461344147E-2</v>
      </c>
      <c r="K31" s="592">
        <f t="shared" si="2"/>
        <v>42977.500477604233</v>
      </c>
      <c r="L31" s="592">
        <f t="shared" si="3"/>
        <v>42977.511078160693</v>
      </c>
      <c r="M31" s="125"/>
      <c r="N31" s="600"/>
      <c r="O31" s="551"/>
      <c r="P31" s="601" t="str">
        <f t="shared" si="4"/>
        <v>120078</v>
      </c>
      <c r="Q31" s="150">
        <f>VLOOKUP(P31,deuda!A$1:H$550,4,0)</f>
        <v>1</v>
      </c>
      <c r="R31" s="595">
        <f>VLOOKUP(P31,deuda!A$1:H$542,5,0)</f>
        <v>1</v>
      </c>
      <c r="S31" s="595">
        <f>IF(VLOOKUP(P31,deuda!A$1:H$542,6,0)=0,"",VLOOKUP(P31,deuda!A$1:H$542,6,0))</f>
        <v>230.88</v>
      </c>
      <c r="T31" s="596" t="str">
        <f>IF((VLOOKUP(P31,deuda!A$1:H$542,7,0))=0,"",VLOOKUP(P31,deuda!A$1:H$542,7,0))</f>
        <v/>
      </c>
      <c r="U31" s="597" t="str">
        <f>IF((VLOOKUP(P31,deuda!A$1:H$542,8,0))=0,"",VLOOKUP(P31,deuda!A$1:H$542,8,0))</f>
        <v/>
      </c>
    </row>
    <row r="32" spans="1:21" ht="27.95" customHeight="1">
      <c r="A32" s="588">
        <v>13</v>
      </c>
      <c r="B32" s="551">
        <v>1200</v>
      </c>
      <c r="C32" s="551">
        <v>77</v>
      </c>
      <c r="D32" s="551">
        <v>1</v>
      </c>
      <c r="E32" s="590">
        <v>0.2097</v>
      </c>
      <c r="F32" s="103" t="str">
        <f t="shared" si="0"/>
        <v>SI</v>
      </c>
      <c r="G32" s="551" t="s">
        <v>160</v>
      </c>
      <c r="H32" s="579">
        <f>IF(Hijuelas!$G$7="POR FRACCIÓN",IF(F32="NO",0,IF(F32="cede turno",0,IF(Hijuelas!$G$8="si",IF(D32=1,E32,E32*0.8),E32))),IF(F32="NO",0,IF(F32="cede turno",0,IF(Hijuelas!$G$8="si",IF(D32=1,ROUNDUP(E32,0),ROUNDUP(E32*0.8,0)),ROUNDUP(E32,0)))))</f>
        <v>0.2097</v>
      </c>
      <c r="I32" s="591">
        <v>0</v>
      </c>
      <c r="J32" s="580">
        <f t="shared" si="1"/>
        <v>2.0171839291686637E-2</v>
      </c>
      <c r="K32" s="592">
        <f t="shared" si="2"/>
        <v>42977.511078160693</v>
      </c>
      <c r="L32" s="592">
        <f t="shared" si="3"/>
        <v>42977.531249999985</v>
      </c>
      <c r="M32" s="125"/>
      <c r="N32" s="600"/>
      <c r="O32" s="551"/>
      <c r="P32" s="601" t="str">
        <f t="shared" si="4"/>
        <v>120077</v>
      </c>
      <c r="Q32" s="150">
        <f>VLOOKUP(P32,deuda!A$1:H$550,4,0)</f>
        <v>1</v>
      </c>
      <c r="R32" s="595">
        <f>VLOOKUP(P32,deuda!A$1:H$542,5,0)</f>
        <v>0</v>
      </c>
      <c r="S32" s="595" t="str">
        <f>IF(VLOOKUP(P32,deuda!A$1:H$542,6,0)=0,"",VLOOKUP(P32,deuda!A$1:H$542,6,0))</f>
        <v/>
      </c>
      <c r="T32" s="596" t="str">
        <f>IF((VLOOKUP(P32,deuda!A$1:H$542,7,0))=0,"",VLOOKUP(P32,deuda!A$1:H$542,7,0))</f>
        <v/>
      </c>
      <c r="U32" s="597" t="str">
        <f>IF((VLOOKUP(P32,deuda!A$1:H$542,8,0))=0,"",VLOOKUP(P32,deuda!A$1:H$542,8,0))</f>
        <v/>
      </c>
    </row>
    <row r="33" spans="1:21" ht="30" customHeight="1">
      <c r="A33" s="35">
        <v>14</v>
      </c>
      <c r="B33" s="5">
        <v>1206</v>
      </c>
      <c r="C33" s="5">
        <v>5</v>
      </c>
      <c r="D33" s="6">
        <v>1</v>
      </c>
      <c r="E33" s="355">
        <v>1.9617</v>
      </c>
      <c r="F33" s="103" t="s">
        <v>173</v>
      </c>
      <c r="G33" s="5" t="s">
        <v>176</v>
      </c>
      <c r="H33" s="579">
        <f>IF(Hijuelas!$G$7="POR FRACCIÓN",IF(F33="NO",0,IF(F33="cede turno",0,IF(Hijuelas!$G$8="si",IF(D33=1,E33,E33*0.8),E33))),IF(F33="NO",0,IF(F33="cede turno",0,IF(Hijuelas!$G$8="si",IF(D33=1,ROUNDUP(E33,0),ROUNDUP(E33*0.8,0)),ROUNDUP(E33,0)))))</f>
        <v>0</v>
      </c>
      <c r="I33" s="602">
        <v>0</v>
      </c>
      <c r="J33" s="580">
        <f t="shared" si="1"/>
        <v>0</v>
      </c>
      <c r="K33" s="592">
        <f t="shared" si="2"/>
        <v>42977.531249999985</v>
      </c>
      <c r="L33" s="592">
        <f t="shared" si="3"/>
        <v>42977.531249999985</v>
      </c>
      <c r="M33" s="10"/>
      <c r="N33" s="7"/>
      <c r="O33" s="5"/>
      <c r="P33" s="213" t="str">
        <f>+CONCATENATE(B33,C33)</f>
        <v>12065</v>
      </c>
      <c r="Q33" s="150">
        <f>VLOOKUP(P33,deuda!A$1:H$550,4,0)</f>
        <v>1</v>
      </c>
      <c r="R33" s="595">
        <f>VLOOKUP(P33,deuda!A$1:H$542,5,0)</f>
        <v>0</v>
      </c>
      <c r="S33" s="595" t="str">
        <f>IF(VLOOKUP(P33,deuda!A$1:H$542,6,0)=0,"",VLOOKUP(P33,deuda!A$1:H$542,6,0))</f>
        <v/>
      </c>
      <c r="T33" s="596" t="str">
        <f>IF((VLOOKUP(P33,deuda!A$1:H$542,7,0))=0,"",VLOOKUP(P33,deuda!A$1:H$542,7,0))</f>
        <v/>
      </c>
      <c r="U33" s="597" t="str">
        <f>IF((VLOOKUP(P33,deuda!A$1:H$542,8,0))=0,"",VLOOKUP(P33,deuda!A$1:H$542,8,0))</f>
        <v/>
      </c>
    </row>
    <row r="34" spans="1:21" ht="27.95" customHeight="1">
      <c r="A34" s="588">
        <v>14</v>
      </c>
      <c r="B34" s="551">
        <v>1200</v>
      </c>
      <c r="C34" s="551">
        <v>43</v>
      </c>
      <c r="D34" s="551">
        <v>1</v>
      </c>
      <c r="E34" s="590">
        <v>1.2847999999999999</v>
      </c>
      <c r="F34" s="103" t="s">
        <v>173</v>
      </c>
      <c r="G34" s="551" t="s">
        <v>177</v>
      </c>
      <c r="H34" s="579">
        <f>IF(Hijuelas!$G$7="POR FRACCIÓN",IF(F34="NO",0,IF(F34="cede turno",0,IF(Hijuelas!$G$8="si",IF(D34=1,E34,E34*0.8),E34))),IF(F34="NO",0,IF(F34="cede turno",0,IF(Hijuelas!$G$8="si",IF(D34=1,ROUNDUP(E34,0),ROUNDUP(E34*0.8,0)),ROUNDUP(E34,0)))))</f>
        <v>0</v>
      </c>
      <c r="I34" s="591">
        <v>0</v>
      </c>
      <c r="J34" s="580">
        <f t="shared" si="1"/>
        <v>0</v>
      </c>
      <c r="K34" s="592">
        <f t="shared" si="2"/>
        <v>42977.531249999985</v>
      </c>
      <c r="L34" s="592">
        <f t="shared" si="3"/>
        <v>42977.531249999985</v>
      </c>
      <c r="N34" s="593"/>
      <c r="O34" s="551"/>
      <c r="P34" s="594" t="str">
        <f>+CONCATENATE(B34,C34)</f>
        <v>120043</v>
      </c>
      <c r="Q34" s="150">
        <f>VLOOKUP(P34,deuda!A$1:H$550,4,0)</f>
        <v>1</v>
      </c>
      <c r="R34" s="595">
        <f>VLOOKUP(P34,deuda!A$1:H$542,5,0)</f>
        <v>0</v>
      </c>
      <c r="S34" s="595" t="str">
        <f>IF(VLOOKUP(P34,deuda!A$1:H$542,6,0)=0,"",VLOOKUP(P34,deuda!A$1:H$542,6,0))</f>
        <v/>
      </c>
      <c r="T34" s="596" t="str">
        <f>IF((VLOOKUP(P34,deuda!A$1:H$542,7,0))=0,"",VLOOKUP(P34,deuda!A$1:H$542,7,0))</f>
        <v/>
      </c>
      <c r="U34" s="597" t="str">
        <f>IF((VLOOKUP(P34,deuda!A$1:H$542,8,0))=0,"",VLOOKUP(P34,deuda!A$1:H$542,8,0))</f>
        <v/>
      </c>
    </row>
    <row r="35" spans="1:21" ht="27.95" customHeight="1" thickBot="1">
      <c r="A35" s="588">
        <v>14</v>
      </c>
      <c r="B35" s="589">
        <v>1200</v>
      </c>
      <c r="C35" s="589">
        <v>59</v>
      </c>
      <c r="D35" s="589">
        <v>1</v>
      </c>
      <c r="E35" s="603">
        <v>0.20930000000000001</v>
      </c>
      <c r="F35" s="103" t="s">
        <v>173</v>
      </c>
      <c r="G35" s="551" t="s">
        <v>176</v>
      </c>
      <c r="H35" s="579">
        <f>IF(Hijuelas!$G$7="POR FRACCIÓN",IF(F35="NO",0,IF(F35="cede turno",0,IF(Hijuelas!$G$8="si",IF(D35=1,E35,E35*0.8),E35))),IF(F35="NO",0,IF(F35="cede turno",0,IF(Hijuelas!$G$8="si",IF(D35=1,ROUNDUP(E35,0),ROUNDUP(E35*0.8,0)),ROUNDUP(E35,0)))))</f>
        <v>0</v>
      </c>
      <c r="I35" s="591">
        <v>0</v>
      </c>
      <c r="J35" s="580">
        <f t="shared" si="1"/>
        <v>0</v>
      </c>
      <c r="K35" s="592">
        <f t="shared" si="2"/>
        <v>42977.531249999985</v>
      </c>
      <c r="L35" s="592">
        <f t="shared" si="3"/>
        <v>42977.531249999985</v>
      </c>
      <c r="N35" s="581"/>
      <c r="O35" s="604"/>
      <c r="P35" s="594" t="str">
        <f>+CONCATENATE(B35,C35)</f>
        <v>120059</v>
      </c>
      <c r="Q35" s="150">
        <f>VLOOKUP(P35,deuda!A$1:H$550,4,0)</f>
        <v>1</v>
      </c>
      <c r="R35" s="595">
        <f>VLOOKUP(P35,deuda!A$1:H$542,5,0)</f>
        <v>0</v>
      </c>
      <c r="S35" s="595" t="str">
        <f>IF(VLOOKUP(P35,deuda!A$1:H$542,6,0)=0,"",VLOOKUP(P35,deuda!A$1:H$542,6,0))</f>
        <v/>
      </c>
      <c r="T35" s="596" t="str">
        <f>IF((VLOOKUP(P35,deuda!A$1:H$542,7,0))=0,"",VLOOKUP(P35,deuda!A$1:H$542,7,0))</f>
        <v/>
      </c>
      <c r="U35" s="597" t="str">
        <f>IF((VLOOKUP(P35,deuda!A$1:H$542,8,0))=0,"",VLOOKUP(P35,deuda!A$1:H$542,8,0))</f>
        <v/>
      </c>
    </row>
    <row r="36" spans="1:21" ht="13.5" thickBot="1">
      <c r="E36" s="211">
        <f>SUM(E15:E35)</f>
        <v>22.053600000000003</v>
      </c>
      <c r="F36" s="211"/>
      <c r="G36" s="211"/>
      <c r="H36" s="401">
        <f>SUM(H13:H35)</f>
        <v>15.626800000000001</v>
      </c>
      <c r="I36" s="591">
        <f>SUM(I13:I35)</f>
        <v>4.1666666666666664E-2</v>
      </c>
      <c r="J36" s="402">
        <f>SUM(J13:J35)</f>
        <v>1.5032012314894074</v>
      </c>
      <c r="K36" s="592"/>
      <c r="L36" s="592"/>
      <c r="N36" s="137"/>
    </row>
    <row r="37" spans="1:21">
      <c r="H37" t="s">
        <v>178</v>
      </c>
    </row>
  </sheetData>
  <mergeCells count="6">
    <mergeCell ref="A11:B11"/>
    <mergeCell ref="A9:B9"/>
    <mergeCell ref="A5:B5"/>
    <mergeCell ref="C5:E5"/>
    <mergeCell ref="A6:B6"/>
    <mergeCell ref="C6:E6"/>
  </mergeCells>
  <phoneticPr fontId="0" type="noConversion"/>
  <dataValidations disablePrompts="1" count="1">
    <dataValidation type="list" allowBlank="1" showInputMessage="1" showErrorMessage="1" errorTitle="ATENCIÓN" error="NO PUEDEN INGRESARSE VALORES" promptTitle="RECORDAR" prompt="NO OLVIDE VOLVER A PEGAR LA FORMULA PARA QUE LA PLANILLA LEA AUTOMATICAMENTE LOS DATOS " sqref="Q13:Q35" xr:uid="{00000000-0002-0000-0800-000000000000}">
      <formula1>"2, 3"</formula1>
    </dataValidation>
  </dataValidations>
  <pageMargins left="0.25" right="0.25" top="0.75" bottom="0.75" header="0.3" footer="0.3"/>
  <pageSetup paperSize="281" scale="70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H254"/>
  <sheetViews>
    <sheetView view="pageBreakPreview" topLeftCell="A229" zoomScale="75" zoomScaleNormal="100" zoomScaleSheetLayoutView="100" workbookViewId="0" xr3:uid="{7BE570AB-09E9-518F-B8F7-3F91B7162CA9}">
      <selection activeCell="K267" sqref="K267"/>
    </sheetView>
  </sheetViews>
  <sheetFormatPr defaultColWidth="11.42578125" defaultRowHeight="12.75"/>
  <cols>
    <col min="2" max="2" width="13" customWidth="1"/>
    <col min="3" max="3" width="19.7109375" bestFit="1" customWidth="1"/>
    <col min="4" max="4" width="15.7109375" customWidth="1"/>
    <col min="5" max="5" width="14.7109375" bestFit="1" customWidth="1"/>
    <col min="6" max="6" width="12" bestFit="1" customWidth="1"/>
  </cols>
  <sheetData>
    <row r="1" spans="1:8">
      <c r="A1" s="447"/>
      <c r="B1" s="448"/>
      <c r="C1" s="448"/>
      <c r="D1" s="448"/>
      <c r="E1" s="448"/>
      <c r="F1" s="449"/>
      <c r="G1" s="81"/>
      <c r="H1" s="81"/>
    </row>
    <row r="2" spans="1:8">
      <c r="A2" s="465" t="s">
        <v>64</v>
      </c>
      <c r="B2" s="81"/>
      <c r="C2" s="81"/>
      <c r="D2" s="81"/>
      <c r="E2" s="81"/>
      <c r="F2" s="451"/>
      <c r="G2" s="81"/>
      <c r="H2" s="81"/>
    </row>
    <row r="3" spans="1:8">
      <c r="A3" s="450"/>
      <c r="B3" s="81"/>
      <c r="C3" s="81"/>
      <c r="D3" s="81"/>
      <c r="E3" s="81"/>
      <c r="F3" s="451"/>
      <c r="G3" s="81"/>
      <c r="H3" s="81"/>
    </row>
    <row r="4" spans="1:8">
      <c r="A4" s="450" t="s">
        <v>139</v>
      </c>
      <c r="B4" s="81" t="str">
        <f>VLOOKUP(F5,'2_1'!$A$12:$G$37,7,0)</f>
        <v xml:space="preserve">QUIROGA DE PERALTA, JUANA </v>
      </c>
      <c r="C4" s="81"/>
      <c r="D4" s="81"/>
      <c r="E4" s="81"/>
      <c r="F4" s="452" t="s">
        <v>102</v>
      </c>
      <c r="G4" s="81"/>
      <c r="H4" s="81"/>
    </row>
    <row r="5" spans="1:8">
      <c r="A5" s="450" t="s">
        <v>72</v>
      </c>
      <c r="B5" s="81" t="str">
        <f>+'2_1'!$H$2</f>
        <v>Hijuela 1ra. Araujo</v>
      </c>
      <c r="C5" s="81"/>
      <c r="D5" s="81"/>
      <c r="E5" s="81"/>
      <c r="F5" s="452">
        <v>1</v>
      </c>
      <c r="G5" s="81"/>
      <c r="H5" s="81"/>
    </row>
    <row r="6" spans="1:8">
      <c r="A6" s="450"/>
      <c r="B6" s="81"/>
      <c r="C6" s="81"/>
      <c r="D6" s="81"/>
      <c r="E6" s="81"/>
      <c r="F6" s="451"/>
      <c r="G6" s="81"/>
      <c r="H6" s="81"/>
    </row>
    <row r="7" spans="1:8">
      <c r="A7" s="466" t="s">
        <v>140</v>
      </c>
      <c r="B7" s="458" t="e">
        <f>VLOOKUP(F5,'2_1'!$A$15:$B$37,2,0)</f>
        <v>#N/A</v>
      </c>
      <c r="C7" s="81"/>
      <c r="D7" s="139" t="s">
        <v>141</v>
      </c>
      <c r="E7" s="460">
        <f>DSUM('2_1'!A$12:J$37,'2_1'!$J$12,F4:F5)</f>
        <v>0.30011502816467878</v>
      </c>
      <c r="F7" s="451"/>
      <c r="G7" s="81"/>
      <c r="H7" s="81"/>
    </row>
    <row r="8" spans="1:8">
      <c r="A8" s="466" t="s">
        <v>142</v>
      </c>
      <c r="B8" s="461" t="s">
        <v>179</v>
      </c>
      <c r="C8" s="81"/>
      <c r="D8" s="139" t="s">
        <v>143</v>
      </c>
      <c r="E8" s="459" t="str">
        <f>+Hijuelas!$G$7</f>
        <v>POR FRACCIÓN</v>
      </c>
      <c r="F8" s="451"/>
      <c r="G8" s="81"/>
      <c r="H8" s="81"/>
    </row>
    <row r="9" spans="1:8">
      <c r="A9" s="466" t="s">
        <v>144</v>
      </c>
      <c r="B9" s="462">
        <f>DSUM('2_1'!$A$12:$H$37,'2_1'!$H$12,F4:F5)</f>
        <v>3.1198999999999999</v>
      </c>
      <c r="C9" s="81"/>
      <c r="D9" s="139" t="s">
        <v>145</v>
      </c>
      <c r="E9" s="458" t="e">
        <f>IF(VLOOKUP(F5,'2_1'!$A$15:$D$37,4,0)=1, "Definitivo 100%", "Eventual 80%")</f>
        <v>#N/A</v>
      </c>
      <c r="F9" s="583"/>
      <c r="G9" s="81"/>
      <c r="H9" s="81"/>
    </row>
    <row r="10" spans="1:8" ht="15.75">
      <c r="A10" s="450"/>
      <c r="B10" s="139" t="s">
        <v>146</v>
      </c>
      <c r="C10" s="145">
        <f>DMIN('2_1'!A$12:K$37,'2_1'!$K$12,F4:F5)</f>
        <v>42976.028048768494</v>
      </c>
      <c r="D10" s="189" t="str">
        <f>IF(E10=1,"Domingo",IF(E10=2,"Lunes",IF(E10=3,"Martes",IF(E10=4,"Miercoles",IF(E10=5,"Jueves",IF(E10=6,"Viernes",IF(E10=7,"Sábado",0)))))))</f>
        <v>Martes</v>
      </c>
      <c r="E10" s="190">
        <f>WEEKDAY(C10)</f>
        <v>3</v>
      </c>
      <c r="F10" s="453" t="s">
        <v>62</v>
      </c>
      <c r="G10" s="81"/>
      <c r="H10" s="81"/>
    </row>
    <row r="11" spans="1:8" ht="15.75">
      <c r="A11" s="450"/>
      <c r="B11" s="139" t="s">
        <v>147</v>
      </c>
      <c r="C11" s="145">
        <f>DMAX('2_1'!A$12:L$37,'2_1'!$L$12,F4:F5)</f>
        <v>42977.489107497393</v>
      </c>
      <c r="D11" s="189" t="str">
        <f>IF(E11=1,"Domingo",IF(E11=2,"Lunes",IF(E11=3,"Martes",IF(E11=4,"Miercoles",IF(E11=5,"Jueves",IF(E11=6,"Viernes",IF(E11=7,"Sábado",0)))))))</f>
        <v>Miercoles</v>
      </c>
      <c r="E11" s="190">
        <f>WEEKDAY(C11)</f>
        <v>4</v>
      </c>
      <c r="F11" s="453">
        <f>WEEKDAY(C11)</f>
        <v>4</v>
      </c>
      <c r="G11" s="81"/>
      <c r="H11" s="81"/>
    </row>
    <row r="12" spans="1:8">
      <c r="A12" s="467" t="str">
        <f>+'planilla caudales'!$J$14</f>
        <v>Caudal l/s</v>
      </c>
      <c r="B12" s="324" t="str">
        <f>+'planilla caudales'!$K$14</f>
        <v>Escala cm</v>
      </c>
      <c r="C12" s="81"/>
      <c r="D12" s="81"/>
      <c r="E12" s="81"/>
      <c r="F12" s="451"/>
      <c r="G12" s="81"/>
      <c r="H12" s="81"/>
    </row>
    <row r="13" spans="1:8">
      <c r="A13" s="605">
        <f>+'planilla caudales'!$J$16</f>
        <v>239.96144000000001</v>
      </c>
      <c r="B13" s="606">
        <f>+'planilla caudales'!$K$16</f>
        <v>27.409005355473788</v>
      </c>
      <c r="C13" s="81"/>
      <c r="D13" s="81"/>
      <c r="E13" s="81"/>
      <c r="F13" s="451"/>
      <c r="G13" s="81"/>
      <c r="H13" s="81"/>
    </row>
    <row r="14" spans="1:8" ht="25.5" customHeight="1">
      <c r="A14" s="674">
        <f>+Mensajes!$B$7</f>
        <v>0</v>
      </c>
      <c r="B14" s="675"/>
      <c r="C14" s="675"/>
      <c r="D14" s="675"/>
      <c r="E14" s="675"/>
      <c r="F14" s="676"/>
      <c r="G14" s="81"/>
      <c r="H14" s="81">
        <f>17*15</f>
        <v>255</v>
      </c>
    </row>
    <row r="15" spans="1:8">
      <c r="A15" s="674">
        <f>+Mensajes!$B$12</f>
        <v>0</v>
      </c>
      <c r="B15" s="675"/>
      <c r="C15" s="675"/>
      <c r="D15" s="675"/>
      <c r="E15" s="675"/>
      <c r="F15" s="676"/>
      <c r="G15" s="81"/>
      <c r="H15" s="81"/>
    </row>
    <row r="16" spans="1:8" ht="20.25" customHeight="1" thickBot="1">
      <c r="A16" s="468"/>
      <c r="B16" s="455"/>
      <c r="C16" s="455"/>
      <c r="D16" s="455"/>
      <c r="E16" s="454" t="str">
        <f>IF(DSUM('2_1'!$A$12:$Q$54,16,F4:F5)=COUNTIF('2_1'!$A$12:$A$54,F5),"","Regularice su Deuda")</f>
        <v>Regularice su Deuda</v>
      </c>
      <c r="F16" s="456"/>
      <c r="G16" s="81"/>
      <c r="H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VLOOKUP(F22,'2_1'!$A$12:$G$37,7,0)</f>
        <v>ARGUMEDO, LUPO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+'2_1'!$H$2</f>
        <v>Hijuela 1ra. Araujo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66" t="s">
        <v>140</v>
      </c>
      <c r="B24" s="458">
        <f>VLOOKUP(F22,'2_1'!$A$15:$B$37,2,0)</f>
        <v>1200</v>
      </c>
      <c r="C24" s="81"/>
      <c r="D24" s="139" t="s">
        <v>141</v>
      </c>
      <c r="E24" s="460">
        <f>DSUM('2_1'!A$12:J$37,'2_1'!$J$12,F21:F22)</f>
        <v>0.22840255228507753</v>
      </c>
      <c r="F24" s="451"/>
    </row>
    <row r="25" spans="1:6">
      <c r="A25" s="466" t="s">
        <v>142</v>
      </c>
      <c r="B25" s="461">
        <v>47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66" t="s">
        <v>144</v>
      </c>
      <c r="B26" s="462">
        <f>DSUM('2_1'!$A$12:$H$37,'2_1'!$H$12,F21:F22)</f>
        <v>2.3744000000000001</v>
      </c>
      <c r="C26" s="81"/>
      <c r="D26" s="139" t="s">
        <v>145</v>
      </c>
      <c r="E26" s="458" t="str">
        <f>IF(VLOOKUP(F22,'2_1'!$A$15:$D$37,4,0)=1, "Definitivo 100%", "Eventual 80%")</f>
        <v>Definitivo 100%</v>
      </c>
      <c r="F26" s="583"/>
    </row>
    <row r="27" spans="1:6" ht="15.75">
      <c r="A27" s="450"/>
      <c r="B27" s="139" t="s">
        <v>146</v>
      </c>
      <c r="C27" s="145">
        <f>DMIN('2_1'!A$12:K$37,'2_1'!$K$12,F21:F22)</f>
        <v>42976.226583146723</v>
      </c>
      <c r="D27" s="189" t="str">
        <f t="shared" ref="D27:D28" si="0">IF(E27=1,"Domingo",IF(E27=2,"Lunes",IF(E27=3,"Martes",IF(E27=4,"Miercoles",IF(E27=5,"Jueves",IF(E27=6,"Viernes",IF(E27=7,"Sábado",0)))))))</f>
        <v>Martes</v>
      </c>
      <c r="E27" s="190">
        <f t="shared" ref="E27:E28" si="1">WEEKDAY(C27)</f>
        <v>3</v>
      </c>
      <c r="F27" s="453" t="s">
        <v>62</v>
      </c>
    </row>
    <row r="28" spans="1:6" ht="15.75">
      <c r="A28" s="450"/>
      <c r="B28" s="139" t="s">
        <v>147</v>
      </c>
      <c r="C28" s="145">
        <f>DMAX('2_1'!A$12:L$37,'2_1'!$L$12,F21:F22)</f>
        <v>42976.454985699005</v>
      </c>
      <c r="D28" s="189" t="str">
        <f t="shared" si="0"/>
        <v>Martes</v>
      </c>
      <c r="E28" s="190">
        <f t="shared" si="1"/>
        <v>3</v>
      </c>
      <c r="F28" s="453">
        <f t="shared" ref="F28" si="2">WEEKDAY(C28)</f>
        <v>3</v>
      </c>
    </row>
    <row r="29" spans="1:6">
      <c r="A29" s="467" t="str">
        <f>+'planilla caudales'!$J$14</f>
        <v>Caudal l/s</v>
      </c>
      <c r="B29" s="324" t="str">
        <f>+'planilla caudales'!$K$14</f>
        <v>Escala cm</v>
      </c>
      <c r="C29" s="81"/>
      <c r="D29" s="81"/>
      <c r="E29" s="81"/>
      <c r="F29" s="451"/>
    </row>
    <row r="30" spans="1:6">
      <c r="A30" s="605">
        <f>+'planilla caudales'!$J$16</f>
        <v>239.96144000000001</v>
      </c>
      <c r="B30" s="606">
        <f>+'planilla caudales'!$K$16</f>
        <v>27.409005355473788</v>
      </c>
      <c r="C30" s="81"/>
      <c r="D30" s="81"/>
      <c r="E30" s="81"/>
      <c r="F30" s="451"/>
    </row>
    <row r="31" spans="1:6">
      <c r="A31" s="674">
        <f>+Mensajes!$B$7</f>
        <v>0</v>
      </c>
      <c r="B31" s="675"/>
      <c r="C31" s="675"/>
      <c r="D31" s="675"/>
      <c r="E31" s="675"/>
      <c r="F31" s="676"/>
    </row>
    <row r="32" spans="1:6">
      <c r="A32" s="674">
        <f>+Mensajes!$B$12</f>
        <v>0</v>
      </c>
      <c r="B32" s="675"/>
      <c r="C32" s="675"/>
      <c r="D32" s="675"/>
      <c r="E32" s="675"/>
      <c r="F32" s="676"/>
    </row>
    <row r="33" spans="1:6" ht="13.5" thickBot="1">
      <c r="A33" s="468"/>
      <c r="B33" s="455"/>
      <c r="C33" s="455"/>
      <c r="D33" s="455"/>
      <c r="E33" s="454" t="str">
        <f>IF(DSUM('2_1'!$A$12:$Q$54,16,F21:F22)=COUNTIF('2_1'!$A$12:$A$54,F22),"","Regularice su Deuda")</f>
        <v>Regularice su Deuda</v>
      </c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VLOOKUP(F39,'2_1'!$A$12:$G$37,7,0)</f>
        <v>QUIROGA, NICOLAS DA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+'2_1'!$H$2</f>
        <v>Hijuela 1ra. Araujo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VLOOKUP(F39,'2_1'!$A$15:$B$37,2,0)</f>
        <v>1200</v>
      </c>
      <c r="C41" s="81"/>
      <c r="D41" s="139" t="s">
        <v>141</v>
      </c>
      <c r="E41" s="460">
        <f>DSUM('2_1'!A$12:J$37,'2_1'!$J$12,F38:F39)</f>
        <v>0.18595222954105597</v>
      </c>
      <c r="F41" s="451"/>
    </row>
    <row r="42" spans="1:6">
      <c r="A42" s="466" t="s">
        <v>142</v>
      </c>
      <c r="B42" s="461">
        <v>46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DSUM('2_1'!$A$12:$H$37,'2_1'!$H$12,F38:F39)</f>
        <v>1.9331</v>
      </c>
      <c r="C43" s="81"/>
      <c r="D43" s="139" t="s">
        <v>145</v>
      </c>
      <c r="E43" s="458" t="str">
        <f>IF(VLOOKUP(F39,'2_1'!$A$15:$D$37,4,0)=1, "Definitivo 100%", "Eventual 80%")</f>
        <v>Definitivo 100%</v>
      </c>
      <c r="F43" s="583"/>
    </row>
    <row r="44" spans="1:6" ht="15.75">
      <c r="A44" s="450"/>
      <c r="B44" s="139" t="s">
        <v>146</v>
      </c>
      <c r="C44" s="145">
        <f>DMIN('2_1'!A$12:K$37,'2_1'!$K$12,F38:F39)</f>
        <v>42976.454985699005</v>
      </c>
      <c r="D44" s="189" t="str">
        <f t="shared" ref="D44:D45" si="3">IF(E44=1,"Domingo",IF(E44=2,"Lunes",IF(E44=3,"Martes",IF(E44=4,"Miercoles",IF(E44=5,"Jueves",IF(E44=6,"Viernes",IF(E44=7,"Sábado",0)))))))</f>
        <v>Martes</v>
      </c>
      <c r="E44" s="190">
        <f t="shared" ref="E44:E45" si="4">WEEKDAY(C44)</f>
        <v>3</v>
      </c>
      <c r="F44" s="453" t="s">
        <v>62</v>
      </c>
    </row>
    <row r="45" spans="1:6" ht="15.75">
      <c r="A45" s="450"/>
      <c r="B45" s="139" t="s">
        <v>147</v>
      </c>
      <c r="C45" s="145">
        <f>DMAX('2_1'!A$12:L$37,'2_1'!$L$12,F38:F39)</f>
        <v>42976.640937928547</v>
      </c>
      <c r="D45" s="189" t="str">
        <f t="shared" si="3"/>
        <v>Martes</v>
      </c>
      <c r="E45" s="190">
        <f t="shared" si="4"/>
        <v>3</v>
      </c>
      <c r="F45" s="453">
        <f t="shared" ref="F45" si="5">WEEKDAY(C45)</f>
        <v>3</v>
      </c>
    </row>
    <row r="46" spans="1:6">
      <c r="A46" s="467" t="str">
        <f>+'planilla caudales'!$J$14</f>
        <v>Caudal l/s</v>
      </c>
      <c r="B46" s="324" t="str">
        <f>+'planilla caudales'!$K$14</f>
        <v>Escala cm</v>
      </c>
      <c r="C46" s="81"/>
      <c r="D46" s="81"/>
      <c r="E46" s="81"/>
      <c r="F46" s="451"/>
    </row>
    <row r="47" spans="1:6">
      <c r="A47" s="605">
        <f>+'planilla caudales'!$J$16</f>
        <v>239.96144000000001</v>
      </c>
      <c r="B47" s="606">
        <f>+'planilla caudales'!$K$16</f>
        <v>27.409005355473788</v>
      </c>
      <c r="C47" s="81"/>
      <c r="D47" s="81"/>
      <c r="E47" s="81"/>
      <c r="F47" s="451"/>
    </row>
    <row r="48" spans="1:6">
      <c r="A48" s="674">
        <f>+Mensajes!$B$7</f>
        <v>0</v>
      </c>
      <c r="B48" s="675"/>
      <c r="C48" s="675"/>
      <c r="D48" s="675"/>
      <c r="E48" s="675"/>
      <c r="F48" s="676"/>
    </row>
    <row r="49" spans="1:6">
      <c r="A49" s="674">
        <f>+Mensajes!$B$12</f>
        <v>0</v>
      </c>
      <c r="B49" s="675"/>
      <c r="C49" s="675"/>
      <c r="D49" s="675"/>
      <c r="E49" s="675"/>
      <c r="F49" s="676"/>
    </row>
    <row r="50" spans="1:6" ht="13.5" thickBot="1">
      <c r="A50" s="468"/>
      <c r="B50" s="455"/>
      <c r="C50" s="455"/>
      <c r="D50" s="455"/>
      <c r="E50" s="454" t="str">
        <f>IF(DSUM('2_1'!$A$12:$Q$54,16,F38:F39)=COUNTIF('2_1'!$A$12:$A$54,F39),"","Regularice su Deuda")</f>
        <v>Regularice su Deuda</v>
      </c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VLOOKUP(F56,'2_1'!$A$12:$G$37,7,0)</f>
        <v>ARAUJO, GREGORIO JU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+'2_1'!$H$2</f>
        <v>Hijuela 1ra. Araujo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VLOOKUP(F56,'2_1'!$A$15:$B$37,2,0)</f>
        <v>1200</v>
      </c>
      <c r="C58" s="81"/>
      <c r="D58" s="139" t="s">
        <v>141</v>
      </c>
      <c r="E58" s="460">
        <f>DSUM('2_1'!A$12:J$37,'2_1'!$J$12,F55:F56)</f>
        <v>8.7767220647281291E-2</v>
      </c>
      <c r="F58" s="451"/>
    </row>
    <row r="59" spans="1:6">
      <c r="A59" s="466" t="s">
        <v>142</v>
      </c>
      <c r="B59" s="461">
        <v>58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DSUM('2_1'!$A$12:$H$37,'2_1'!$H$12,F55:F56)</f>
        <v>0.91239999999999999</v>
      </c>
      <c r="C60" s="81"/>
      <c r="D60" s="139" t="s">
        <v>145</v>
      </c>
      <c r="E60" s="458" t="str">
        <f>IF(VLOOKUP(F56,'2_1'!$A$15:$D$37,4,0)=1, "Definitivo 100%", "Eventual 80%")</f>
        <v>Definitivo 100%</v>
      </c>
      <c r="F60" s="583"/>
    </row>
    <row r="61" spans="1:6" ht="15.75">
      <c r="A61" s="450"/>
      <c r="B61" s="139" t="s">
        <v>146</v>
      </c>
      <c r="C61" s="145">
        <f>DMIN('2_1'!A$12:K$37,'2_1'!$K$12,F55:F56)</f>
        <v>42976.640937928547</v>
      </c>
      <c r="D61" s="189" t="str">
        <f t="shared" ref="D61:D62" si="6">IF(E61=1,"Domingo",IF(E61=2,"Lunes",IF(E61=3,"Martes",IF(E61=4,"Miercoles",IF(E61=5,"Jueves",IF(E61=6,"Viernes",IF(E61=7,"Sábado",0)))))))</f>
        <v>Martes</v>
      </c>
      <c r="E61" s="190">
        <f t="shared" ref="E61:E62" si="7">WEEKDAY(C61)</f>
        <v>3</v>
      </c>
      <c r="F61" s="453" t="s">
        <v>62</v>
      </c>
    </row>
    <row r="62" spans="1:6" ht="15.75">
      <c r="A62" s="450"/>
      <c r="B62" s="139" t="s">
        <v>147</v>
      </c>
      <c r="C62" s="145">
        <f>DMAX('2_1'!A$12:L$37,'2_1'!$L$12,F55:F56)</f>
        <v>42976.728705149195</v>
      </c>
      <c r="D62" s="189" t="str">
        <f t="shared" si="6"/>
        <v>Martes</v>
      </c>
      <c r="E62" s="190">
        <f t="shared" si="7"/>
        <v>3</v>
      </c>
      <c r="F62" s="453">
        <f t="shared" ref="F62" si="8">WEEKDAY(C62)</f>
        <v>3</v>
      </c>
    </row>
    <row r="63" spans="1:6">
      <c r="A63" s="467" t="str">
        <f>+'planilla caudales'!$J$14</f>
        <v>Caudal l/s</v>
      </c>
      <c r="B63" s="324" t="str">
        <f>+'planilla caudales'!$K$14</f>
        <v>Escala cm</v>
      </c>
      <c r="C63" s="81"/>
      <c r="D63" s="81"/>
      <c r="E63" s="81"/>
      <c r="F63" s="451"/>
    </row>
    <row r="64" spans="1:6">
      <c r="A64" s="605">
        <f>+'planilla caudales'!$J$16</f>
        <v>239.96144000000001</v>
      </c>
      <c r="B64" s="606">
        <f>+'planilla caudales'!$K$16</f>
        <v>27.409005355473788</v>
      </c>
      <c r="C64" s="81"/>
      <c r="D64" s="81"/>
      <c r="E64" s="81"/>
      <c r="F64" s="451"/>
    </row>
    <row r="65" spans="1:6">
      <c r="A65" s="674">
        <f>+Mensajes!$B$7</f>
        <v>0</v>
      </c>
      <c r="B65" s="675"/>
      <c r="C65" s="675"/>
      <c r="D65" s="675"/>
      <c r="E65" s="675"/>
      <c r="F65" s="676"/>
    </row>
    <row r="66" spans="1:6">
      <c r="A66" s="674">
        <f>+Mensajes!$B$12</f>
        <v>0</v>
      </c>
      <c r="B66" s="675"/>
      <c r="C66" s="675"/>
      <c r="D66" s="675"/>
      <c r="E66" s="675"/>
      <c r="F66" s="676"/>
    </row>
    <row r="67" spans="1:6" ht="13.5" thickBot="1">
      <c r="A67" s="468"/>
      <c r="B67" s="455"/>
      <c r="C67" s="455"/>
      <c r="D67" s="455"/>
      <c r="E67" s="454" t="str">
        <f>IF(DSUM('2_1'!$A$12:$Q$54,16,F55:F56)=COUNTIF('2_1'!$A$12:$A$54,F56),"","Regularice su Deuda")</f>
        <v>Regularice su Deuda</v>
      </c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VLOOKUP(F73,'2_1'!$A$12:$G$37,7,0)</f>
        <v>ARAUJO, ROMULO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+'2_1'!$H$2</f>
        <v>Hijuela 1ra. Araujo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VLOOKUP(F73,'2_1'!$A$15:$B$37,2,0)</f>
        <v>1200</v>
      </c>
      <c r="C75" s="81"/>
      <c r="D75" s="139" t="s">
        <v>141</v>
      </c>
      <c r="E75" s="460">
        <f>DSUM('2_1'!A$12:J$37,'2_1'!$J$12,F72:F73)</f>
        <v>9.4366115141366669E-2</v>
      </c>
      <c r="F75" s="451"/>
    </row>
    <row r="76" spans="1:6">
      <c r="A76" s="466" t="s">
        <v>142</v>
      </c>
      <c r="B76" s="461" t="s">
        <v>180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DSUM('2_1'!$A$12:$H$37,'2_1'!$H$12,F72:F73)</f>
        <v>0.98099999999999998</v>
      </c>
      <c r="C77" s="81"/>
      <c r="D77" s="139" t="s">
        <v>145</v>
      </c>
      <c r="E77" s="458" t="str">
        <f>IF(VLOOKUP(F73,'2_1'!$A$15:$D$37,4,0)=1, "Definitivo 100%", "Eventual 80%")</f>
        <v>Definitivo 100%</v>
      </c>
      <c r="F77" s="583"/>
    </row>
    <row r="78" spans="1:6" ht="15.75">
      <c r="A78" s="450"/>
      <c r="B78" s="139" t="s">
        <v>146</v>
      </c>
      <c r="C78" s="145">
        <f>DMIN('2_1'!A$12:K$37,'2_1'!$K$12,F72:F73)</f>
        <v>42976.728705149195</v>
      </c>
      <c r="D78" s="189" t="str">
        <f t="shared" ref="D78:D79" si="9">IF(E78=1,"Domingo",IF(E78=2,"Lunes",IF(E78=3,"Martes",IF(E78=4,"Miercoles",IF(E78=5,"Jueves",IF(E78=6,"Viernes",IF(E78=7,"Sábado",0)))))))</f>
        <v>Martes</v>
      </c>
      <c r="E78" s="190">
        <f t="shared" ref="E78:E79" si="10">WEEKDAY(C78)</f>
        <v>3</v>
      </c>
      <c r="F78" s="453" t="s">
        <v>62</v>
      </c>
    </row>
    <row r="79" spans="1:6" ht="15.75">
      <c r="A79" s="450"/>
      <c r="B79" s="139" t="s">
        <v>147</v>
      </c>
      <c r="C79" s="145">
        <f>DMAX('2_1'!A$12:L$37,'2_1'!$L$12,F72:F73)</f>
        <v>42976.823071264334</v>
      </c>
      <c r="D79" s="189" t="str">
        <f t="shared" si="9"/>
        <v>Martes</v>
      </c>
      <c r="E79" s="190">
        <f t="shared" si="10"/>
        <v>3</v>
      </c>
      <c r="F79" s="453">
        <f t="shared" ref="F79" si="11">WEEKDAY(C79)</f>
        <v>3</v>
      </c>
    </row>
    <row r="80" spans="1:6">
      <c r="A80" s="467" t="str">
        <f>+'planilla caudales'!$J$14</f>
        <v>Caudal l/s</v>
      </c>
      <c r="B80" s="324" t="str">
        <f>+'planilla caudales'!$K$14</f>
        <v>Escala cm</v>
      </c>
      <c r="C80" s="81"/>
      <c r="D80" s="81"/>
      <c r="E80" s="81"/>
      <c r="F80" s="451"/>
    </row>
    <row r="81" spans="1:6">
      <c r="A81" s="605">
        <f>+'planilla caudales'!$J$16</f>
        <v>239.96144000000001</v>
      </c>
      <c r="B81" s="606">
        <f>+'planilla caudales'!$K$16</f>
        <v>27.409005355473788</v>
      </c>
      <c r="C81" s="81"/>
      <c r="D81" s="81"/>
      <c r="E81" s="81"/>
      <c r="F81" s="451"/>
    </row>
    <row r="82" spans="1:6">
      <c r="A82" s="674">
        <f>+Mensajes!$B$7</f>
        <v>0</v>
      </c>
      <c r="B82" s="675"/>
      <c r="C82" s="675"/>
      <c r="D82" s="675"/>
      <c r="E82" s="675"/>
      <c r="F82" s="676"/>
    </row>
    <row r="83" spans="1:6">
      <c r="A83" s="674">
        <f>+Mensajes!$B$12</f>
        <v>0</v>
      </c>
      <c r="B83" s="675"/>
      <c r="C83" s="675"/>
      <c r="D83" s="675"/>
      <c r="E83" s="675"/>
      <c r="F83" s="676"/>
    </row>
    <row r="84" spans="1:6" ht="13.5" thickBot="1">
      <c r="A84" s="468"/>
      <c r="B84" s="455"/>
      <c r="C84" s="455"/>
      <c r="D84" s="455"/>
      <c r="E84" s="454" t="str">
        <f>IF(DSUM('2_1'!$A$12:$Q$54,16,F72:F73)=COUNTIF('2_1'!$A$12:$A$54,F73),"","Regularice su Deuda")</f>
        <v>Regularice su Deuda</v>
      </c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VLOOKUP(F90,'2_1'!$A$12:$G$37,7,0)</f>
        <v>ARAUJO, MARIO SELED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+'2_1'!$H$2</f>
        <v>Hijuela 1ra. Araujo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VLOOKUP(F90,'2_1'!$A$15:$B$37,2,0)</f>
        <v>1200</v>
      </c>
      <c r="C92" s="81"/>
      <c r="D92" s="139" t="s">
        <v>141</v>
      </c>
      <c r="E92" s="460">
        <f>DSUM('2_1'!A$12:J$37,'2_1'!$J$12,F89:F90)</f>
        <v>0.15078377725187794</v>
      </c>
      <c r="F92" s="451"/>
    </row>
    <row r="93" spans="1:6">
      <c r="A93" s="466" t="s">
        <v>142</v>
      </c>
      <c r="B93" s="461" t="s">
        <v>181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DSUM('2_1'!$A$12:$H$37,'2_1'!$H$12,F89:F90)</f>
        <v>1.5674999999999999</v>
      </c>
      <c r="C94" s="81"/>
      <c r="D94" s="139" t="s">
        <v>145</v>
      </c>
      <c r="E94" s="458" t="str">
        <f>IF(VLOOKUP(F90,'2_1'!$A$15:$D$37,4,0)=1, "Definitivo 100%", "Eventual 80%")</f>
        <v>Definitivo 100%</v>
      </c>
      <c r="F94" s="583"/>
    </row>
    <row r="95" spans="1:6" ht="15.75">
      <c r="A95" s="450"/>
      <c r="B95" s="139" t="s">
        <v>146</v>
      </c>
      <c r="C95" s="145">
        <f>DMIN('2_1'!A$12:K$37,'2_1'!$K$12,F89:F90)</f>
        <v>42976.823071264334</v>
      </c>
      <c r="D95" s="189" t="str">
        <f t="shared" ref="D95:D96" si="12">IF(E95=1,"Domingo",IF(E95=2,"Lunes",IF(E95=3,"Martes",IF(E95=4,"Miercoles",IF(E95=5,"Jueves",IF(E95=6,"Viernes",IF(E95=7,"Sábado",0)))))))</f>
        <v>Martes</v>
      </c>
      <c r="E95" s="190">
        <f t="shared" ref="E95:E96" si="13">WEEKDAY(C95)</f>
        <v>3</v>
      </c>
      <c r="F95" s="453" t="s">
        <v>62</v>
      </c>
    </row>
    <row r="96" spans="1:6" ht="15.75">
      <c r="A96" s="450"/>
      <c r="B96" s="139" t="s">
        <v>147</v>
      </c>
      <c r="C96" s="145">
        <f>DMAX('2_1'!A$12:L$37,'2_1'!$L$12,F89:F90)</f>
        <v>42976.973855041586</v>
      </c>
      <c r="D96" s="189" t="str">
        <f t="shared" si="12"/>
        <v>Martes</v>
      </c>
      <c r="E96" s="190">
        <f t="shared" si="13"/>
        <v>3</v>
      </c>
      <c r="F96" s="453">
        <f t="shared" ref="F96" si="14">WEEKDAY(C96)</f>
        <v>3</v>
      </c>
    </row>
    <row r="97" spans="1:6">
      <c r="A97" s="467" t="str">
        <f>+'planilla caudales'!$J$14</f>
        <v>Caudal l/s</v>
      </c>
      <c r="B97" s="324" t="str">
        <f>+'planilla caudales'!$K$14</f>
        <v>Escala cm</v>
      </c>
      <c r="C97" s="81"/>
      <c r="D97" s="81"/>
      <c r="E97" s="81"/>
      <c r="F97" s="451"/>
    </row>
    <row r="98" spans="1:6">
      <c r="A98" s="605">
        <f>+'planilla caudales'!$J$16</f>
        <v>239.96144000000001</v>
      </c>
      <c r="B98" s="606">
        <f>+'planilla caudales'!$K$16</f>
        <v>27.409005355473788</v>
      </c>
      <c r="C98" s="81"/>
      <c r="D98" s="81"/>
      <c r="E98" s="81"/>
      <c r="F98" s="451"/>
    </row>
    <row r="99" spans="1:6">
      <c r="A99" s="674">
        <f>+Mensajes!$B$7</f>
        <v>0</v>
      </c>
      <c r="B99" s="675"/>
      <c r="C99" s="675"/>
      <c r="D99" s="675"/>
      <c r="E99" s="675"/>
      <c r="F99" s="676"/>
    </row>
    <row r="100" spans="1:6">
      <c r="A100" s="674">
        <f>+Mensajes!$B$12</f>
        <v>0</v>
      </c>
      <c r="B100" s="675"/>
      <c r="C100" s="675"/>
      <c r="D100" s="675"/>
      <c r="E100" s="675"/>
      <c r="F100" s="676"/>
    </row>
    <row r="101" spans="1:6" ht="13.5" thickBot="1">
      <c r="A101" s="468"/>
      <c r="B101" s="455"/>
      <c r="C101" s="455"/>
      <c r="D101" s="455"/>
      <c r="E101" s="454" t="str">
        <f>IF(DSUM('2_1'!$A$12:$Q$54,16,F89:F90)=COUNTIF('2_1'!$A$12:$A$54,F90),"","Regularice su Deuda")</f>
        <v>Regularice su Deuda</v>
      </c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VLOOKUP(F107,'2_1'!$A$12:$G$37,7,0)</f>
        <v>CANTOS, JUAN RAMON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+'2_1'!$H$2</f>
        <v>Hijuela 1ra. Araujo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66" t="s">
        <v>140</v>
      </c>
      <c r="B109" s="458">
        <f>VLOOKUP(F107,'2_1'!$A$15:$B$37,2,0)</f>
        <v>1200</v>
      </c>
      <c r="C109" s="81"/>
      <c r="D109" s="139" t="s">
        <v>141</v>
      </c>
      <c r="E109" s="460">
        <f>DSUM('2_1'!A$12:J$37,'2_1'!$J$12,F106:F107)</f>
        <v>8.0331440116774011E-2</v>
      </c>
      <c r="F109" s="451"/>
    </row>
    <row r="110" spans="1:6">
      <c r="A110" s="466" t="s">
        <v>142</v>
      </c>
      <c r="B110" s="461">
        <v>50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66" t="s">
        <v>144</v>
      </c>
      <c r="B111" s="462">
        <f>DSUM('2_1'!$A$12:$H$37,'2_1'!$H$12,F106:F107)</f>
        <v>0.83509999999999995</v>
      </c>
      <c r="C111" s="81"/>
      <c r="D111" s="139" t="s">
        <v>145</v>
      </c>
      <c r="E111" s="458" t="str">
        <f>IF(VLOOKUP(F107,'2_1'!$A$15:$D$37,4,0)=1, "Definitivo 100%", "Eventual 80%")</f>
        <v>Definitivo 100%</v>
      </c>
      <c r="F111" s="583"/>
    </row>
    <row r="112" spans="1:6" ht="15.75">
      <c r="A112" s="450"/>
      <c r="B112" s="139" t="s">
        <v>146</v>
      </c>
      <c r="C112" s="145">
        <f>DMIN('2_1'!A$12:K$37,'2_1'!$K$12,F106:F107)</f>
        <v>42976.973855041586</v>
      </c>
      <c r="D112" s="189" t="str">
        <f t="shared" ref="D112:D113" si="15">IF(E112=1,"Domingo",IF(E112=2,"Lunes",IF(E112=3,"Martes",IF(E112=4,"Miercoles",IF(E112=5,"Jueves",IF(E112=6,"Viernes",IF(E112=7,"Sábado",0)))))))</f>
        <v>Martes</v>
      </c>
      <c r="E112" s="190">
        <f t="shared" ref="E112:E113" si="16">WEEKDAY(C112)</f>
        <v>3</v>
      </c>
      <c r="F112" s="453" t="s">
        <v>62</v>
      </c>
    </row>
    <row r="113" spans="1:6" ht="15.75">
      <c r="A113" s="450"/>
      <c r="B113" s="139" t="s">
        <v>147</v>
      </c>
      <c r="C113" s="145">
        <f>DMAX('2_1'!A$12:L$37,'2_1'!$L$12,F106:F107)</f>
        <v>42977.054186481706</v>
      </c>
      <c r="D113" s="189" t="str">
        <f t="shared" si="15"/>
        <v>Miercoles</v>
      </c>
      <c r="E113" s="190">
        <f t="shared" si="16"/>
        <v>4</v>
      </c>
      <c r="F113" s="453">
        <f t="shared" ref="F113" si="17">WEEKDAY(C113)</f>
        <v>4</v>
      </c>
    </row>
    <row r="114" spans="1:6">
      <c r="A114" s="467" t="str">
        <f>+'planilla caudales'!$J$14</f>
        <v>Caudal l/s</v>
      </c>
      <c r="B114" s="324" t="str">
        <f>+'planilla caudales'!$K$14</f>
        <v>Escala cm</v>
      </c>
      <c r="C114" s="81"/>
      <c r="D114" s="81"/>
      <c r="E114" s="81"/>
      <c r="F114" s="451"/>
    </row>
    <row r="115" spans="1:6">
      <c r="A115" s="605">
        <f>+'planilla caudales'!$J$16</f>
        <v>239.96144000000001</v>
      </c>
      <c r="B115" s="606">
        <f>+'planilla caudales'!$K$16</f>
        <v>27.409005355473788</v>
      </c>
      <c r="C115" s="81"/>
      <c r="D115" s="81"/>
      <c r="E115" s="81"/>
      <c r="F115" s="451"/>
    </row>
    <row r="116" spans="1:6">
      <c r="A116" s="674">
        <f>+Mensajes!$B$7</f>
        <v>0</v>
      </c>
      <c r="B116" s="675"/>
      <c r="C116" s="675"/>
      <c r="D116" s="675"/>
      <c r="E116" s="675"/>
      <c r="F116" s="676"/>
    </row>
    <row r="117" spans="1:6">
      <c r="A117" s="674">
        <f>+Mensajes!$B$12</f>
        <v>0</v>
      </c>
      <c r="B117" s="675"/>
      <c r="C117" s="675"/>
      <c r="D117" s="675"/>
      <c r="E117" s="675"/>
      <c r="F117" s="676"/>
    </row>
    <row r="118" spans="1:6" ht="13.5" thickBot="1">
      <c r="A118" s="468"/>
      <c r="B118" s="455"/>
      <c r="C118" s="455"/>
      <c r="D118" s="455"/>
      <c r="E118" s="454" t="str">
        <f>IF(DSUM('2_1'!$A$12:$Q$54,16,F106:F107)=COUNTIF('2_1'!$A$12:$A$54,F107),"","Regularice su Deuda")</f>
        <v>Regularice su Deuda</v>
      </c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str">
        <f>VLOOKUP(F124,'2_1'!$A$12:$G$37,7,0)</f>
        <v>ARABEL, ANTONIO JESUS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+'2_1'!$H$2</f>
        <v>Hijuela 1ra. Araujo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66" t="s">
        <v>140</v>
      </c>
      <c r="B126" s="458">
        <f>VLOOKUP(F124,'2_1'!$A$15:$B$37,2,0)</f>
        <v>1200</v>
      </c>
      <c r="C126" s="81"/>
      <c r="D126" s="139" t="s">
        <v>141</v>
      </c>
      <c r="E126" s="460">
        <f>DSUM('2_1'!A$12:J$37,'2_1'!$J$12,F123:F124)</f>
        <v>3.154194613134978E-2</v>
      </c>
      <c r="F126" s="451"/>
    </row>
    <row r="127" spans="1:6">
      <c r="A127" s="466" t="s">
        <v>142</v>
      </c>
      <c r="B127" s="461">
        <v>60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66" t="s">
        <v>144</v>
      </c>
      <c r="B128" s="462">
        <f>DSUM('2_1'!$A$12:$H$37,'2_1'!$H$12,F123:F124)</f>
        <v>0.32790000000000002</v>
      </c>
      <c r="C128" s="81"/>
      <c r="D128" s="139" t="s">
        <v>145</v>
      </c>
      <c r="E128" s="458" t="str">
        <f>IF(VLOOKUP(F124,'2_1'!$A$15:$D$37,4,0)=1, "Definitivo 100%", "Eventual 80%")</f>
        <v>Definitivo 100%</v>
      </c>
      <c r="F128" s="583"/>
    </row>
    <row r="129" spans="1:6" ht="15.75">
      <c r="A129" s="450"/>
      <c r="B129" s="139" t="s">
        <v>146</v>
      </c>
      <c r="C129" s="145">
        <f>DMIN('2_1'!A$12:K$37,'2_1'!$K$12,F123:F124)</f>
        <v>42977.054186481706</v>
      </c>
      <c r="D129" s="189" t="str">
        <f t="shared" ref="D129:D130" si="18">IF(E129=1,"Domingo",IF(E129=2,"Lunes",IF(E129=3,"Martes",IF(E129=4,"Miercoles",IF(E129=5,"Jueves",IF(E129=6,"Viernes",IF(E129=7,"Sábado",0)))))))</f>
        <v>Miercoles</v>
      </c>
      <c r="E129" s="190">
        <f t="shared" ref="E129:E130" si="19">WEEKDAY(C129)</f>
        <v>4</v>
      </c>
      <c r="F129" s="453" t="s">
        <v>62</v>
      </c>
    </row>
    <row r="130" spans="1:6" ht="15.75">
      <c r="A130" s="450"/>
      <c r="B130" s="139" t="s">
        <v>147</v>
      </c>
      <c r="C130" s="145">
        <f>DMAX('2_1'!A$12:L$37,'2_1'!$L$12,F123:F124)</f>
        <v>42977.085728427839</v>
      </c>
      <c r="D130" s="189" t="str">
        <f t="shared" si="18"/>
        <v>Miercoles</v>
      </c>
      <c r="E130" s="190">
        <f t="shared" si="19"/>
        <v>4</v>
      </c>
      <c r="F130" s="453">
        <f t="shared" ref="F130" si="20">WEEKDAY(C130)</f>
        <v>4</v>
      </c>
    </row>
    <row r="131" spans="1:6">
      <c r="A131" s="467" t="str">
        <f>+'planilla caudales'!$J$14</f>
        <v>Caudal l/s</v>
      </c>
      <c r="B131" s="324" t="str">
        <f>+'planilla caudales'!$K$14</f>
        <v>Escala cm</v>
      </c>
      <c r="C131" s="81"/>
      <c r="D131" s="81"/>
      <c r="E131" s="81"/>
      <c r="F131" s="451"/>
    </row>
    <row r="132" spans="1:6">
      <c r="A132" s="605">
        <f>+'planilla caudales'!$J$16</f>
        <v>239.96144000000001</v>
      </c>
      <c r="B132" s="606">
        <f>+'planilla caudales'!$K$16</f>
        <v>27.409005355473788</v>
      </c>
      <c r="C132" s="81"/>
      <c r="D132" s="81"/>
      <c r="E132" s="81"/>
      <c r="F132" s="451"/>
    </row>
    <row r="133" spans="1:6">
      <c r="A133" s="674">
        <f>+Mensajes!$B$7</f>
        <v>0</v>
      </c>
      <c r="B133" s="675"/>
      <c r="C133" s="675"/>
      <c r="D133" s="675"/>
      <c r="E133" s="675"/>
      <c r="F133" s="676"/>
    </row>
    <row r="134" spans="1:6">
      <c r="A134" s="674">
        <f>+Mensajes!$B$12</f>
        <v>0</v>
      </c>
      <c r="B134" s="675"/>
      <c r="C134" s="675"/>
      <c r="D134" s="675"/>
      <c r="E134" s="675"/>
      <c r="F134" s="676"/>
    </row>
    <row r="135" spans="1:6" ht="13.5" thickBot="1">
      <c r="A135" s="468"/>
      <c r="B135" s="455"/>
      <c r="C135" s="455"/>
      <c r="D135" s="455"/>
      <c r="E135" s="454" t="str">
        <f>IF(DSUM('2_1'!$A$12:$Q$54,16,F123:F124)=COUNTIF('2_1'!$A$12:$A$54,F124),"","Regularice su Deuda")</f>
        <v>Regularice su Deuda</v>
      </c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50" t="s">
        <v>139</v>
      </c>
      <c r="B140" s="81" t="str">
        <f>VLOOKUP(F141,'2_1'!$A$12:$G$37,7,0)</f>
        <v>ARAUJO, PABLA ANA</v>
      </c>
      <c r="C140" s="81"/>
      <c r="D140" s="81"/>
      <c r="E140" s="81"/>
      <c r="F140" s="452" t="s">
        <v>102</v>
      </c>
    </row>
    <row r="141" spans="1:6">
      <c r="A141" s="450" t="s">
        <v>72</v>
      </c>
      <c r="B141" s="81" t="str">
        <f>+'2_1'!$H$2</f>
        <v>Hijuela 1ra. Araujo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66" t="s">
        <v>140</v>
      </c>
      <c r="B143" s="458">
        <f>VLOOKUP(F141,'2_1'!$A$15:$B$37,2,0)</f>
        <v>1200</v>
      </c>
      <c r="C143" s="81"/>
      <c r="D143" s="139" t="s">
        <v>141</v>
      </c>
      <c r="E143" s="460">
        <f>DSUM('2_1'!A$12:J$37,'2_1'!$J$12,F140:F141)</f>
        <v>0</v>
      </c>
      <c r="F143" s="451"/>
    </row>
    <row r="144" spans="1:6">
      <c r="A144" s="466" t="s">
        <v>142</v>
      </c>
      <c r="B144" s="461" t="s">
        <v>182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466" t="s">
        <v>144</v>
      </c>
      <c r="B145" s="462">
        <f>DSUM('2_1'!$A$12:$H$37,'2_1'!$H$12,F140:F141)</f>
        <v>0</v>
      </c>
      <c r="C145" s="81"/>
      <c r="D145" s="139" t="s">
        <v>145</v>
      </c>
      <c r="E145" s="458" t="str">
        <f>IF(VLOOKUP(F141,'2_1'!$A$15:$D$37,4,0)=1, "Definitivo 100%", "Eventual 80%")</f>
        <v>Definitivo 100%</v>
      </c>
      <c r="F145" s="583"/>
    </row>
    <row r="146" spans="1:6" ht="15.75">
      <c r="A146" s="450"/>
      <c r="B146" s="139" t="s">
        <v>146</v>
      </c>
      <c r="C146" s="145">
        <f>DMIN('2_1'!A$12:K$37,'2_1'!$K$12,F140:F141)</f>
        <v>42977.085728427839</v>
      </c>
      <c r="D146" s="189" t="str">
        <f t="shared" ref="D146:D147" si="21">IF(E146=1,"Domingo",IF(E146=2,"Lunes",IF(E146=3,"Martes",IF(E146=4,"Miercoles",IF(E146=5,"Jueves",IF(E146=6,"Viernes",IF(E146=7,"Sábado",0)))))))</f>
        <v>Miercoles</v>
      </c>
      <c r="E146" s="190">
        <f t="shared" ref="E146:E147" si="22">WEEKDAY(C146)</f>
        <v>4</v>
      </c>
      <c r="F146" s="453" t="s">
        <v>62</v>
      </c>
    </row>
    <row r="147" spans="1:6" ht="15.75">
      <c r="A147" s="450"/>
      <c r="B147" s="139" t="s">
        <v>147</v>
      </c>
      <c r="C147" s="145">
        <f>DMAX('2_1'!A$12:L$37,'2_1'!$L$12,F140:F141)</f>
        <v>42977.085728427839</v>
      </c>
      <c r="D147" s="189" t="str">
        <f t="shared" si="21"/>
        <v>Miercoles</v>
      </c>
      <c r="E147" s="190">
        <f t="shared" si="22"/>
        <v>4</v>
      </c>
      <c r="F147" s="453">
        <f t="shared" ref="F147" si="23">WEEKDAY(C147)</f>
        <v>4</v>
      </c>
    </row>
    <row r="148" spans="1:6">
      <c r="A148" s="467" t="str">
        <f>+'planilla caudales'!$J$14</f>
        <v>Caudal l/s</v>
      </c>
      <c r="B148" s="324" t="str">
        <f>+'planilla caudales'!$K$14</f>
        <v>Escala cm</v>
      </c>
      <c r="C148" s="81"/>
      <c r="D148" s="81"/>
      <c r="E148" s="81"/>
      <c r="F148" s="451"/>
    </row>
    <row r="149" spans="1:6">
      <c r="A149" s="605">
        <f>+'planilla caudales'!$J$16</f>
        <v>239.96144000000001</v>
      </c>
      <c r="B149" s="606">
        <f>+'planilla caudales'!$K$16</f>
        <v>27.409005355473788</v>
      </c>
      <c r="C149" s="81"/>
      <c r="D149" s="81"/>
      <c r="E149" s="81"/>
      <c r="F149" s="451"/>
    </row>
    <row r="150" spans="1:6">
      <c r="A150" s="674">
        <f>+Mensajes!$B$7</f>
        <v>0</v>
      </c>
      <c r="B150" s="675"/>
      <c r="C150" s="675"/>
      <c r="D150" s="675"/>
      <c r="E150" s="675"/>
      <c r="F150" s="676"/>
    </row>
    <row r="151" spans="1:6">
      <c r="A151" s="674">
        <f>+Mensajes!$B$12</f>
        <v>0</v>
      </c>
      <c r="B151" s="675"/>
      <c r="C151" s="675"/>
      <c r="D151" s="675"/>
      <c r="E151" s="675"/>
      <c r="F151" s="676"/>
    </row>
    <row r="152" spans="1:6" ht="13.5" thickBot="1">
      <c r="A152" s="468"/>
      <c r="B152" s="455"/>
      <c r="C152" s="455"/>
      <c r="D152" s="455"/>
      <c r="E152" s="454" t="str">
        <f>IF(DSUM('2_1'!$A$12:$Q$54,16,F140:F141)=COUNTIF('2_1'!$A$12:$A$54,F141),"","Regularice su Deuda")</f>
        <v>Regularice su Deuda</v>
      </c>
      <c r="F152" s="456"/>
    </row>
    <row r="153" spans="1:6" ht="13.5" thickBot="1"/>
    <row r="154" spans="1:6">
      <c r="A154" s="447"/>
      <c r="B154" s="448"/>
      <c r="C154" s="448"/>
      <c r="D154" s="448"/>
      <c r="E154" s="448"/>
      <c r="F154" s="449"/>
    </row>
    <row r="155" spans="1:6">
      <c r="A155" s="465" t="s">
        <v>64</v>
      </c>
      <c r="B155" s="81"/>
      <c r="C155" s="81"/>
      <c r="D155" s="81"/>
      <c r="E155" s="81"/>
      <c r="F155" s="451"/>
    </row>
    <row r="156" spans="1:6">
      <c r="A156" s="450"/>
      <c r="B156" s="81"/>
      <c r="C156" s="81"/>
      <c r="D156" s="81"/>
      <c r="E156" s="81"/>
      <c r="F156" s="451"/>
    </row>
    <row r="157" spans="1:6">
      <c r="A157" s="450" t="s">
        <v>139</v>
      </c>
      <c r="B157" s="81" t="str">
        <f>VLOOKUP(F158,'2_1'!$A$12:$G$37,7,0)</f>
        <v>PEINADO, ANDRES</v>
      </c>
      <c r="C157" s="81"/>
      <c r="D157" s="81"/>
      <c r="E157" s="81"/>
      <c r="F157" s="452" t="s">
        <v>102</v>
      </c>
    </row>
    <row r="158" spans="1:6">
      <c r="A158" s="450" t="s">
        <v>72</v>
      </c>
      <c r="B158" s="81" t="str">
        <f>+'2_1'!$H$2</f>
        <v>Hijuela 1ra. Araujo</v>
      </c>
      <c r="C158" s="81"/>
      <c r="D158" s="81"/>
      <c r="E158" s="81"/>
      <c r="F158" s="452">
        <v>10</v>
      </c>
    </row>
    <row r="159" spans="1:6">
      <c r="A159" s="450"/>
      <c r="B159" s="81"/>
      <c r="C159" s="81"/>
      <c r="D159" s="81"/>
      <c r="E159" s="81"/>
      <c r="F159" s="451"/>
    </row>
    <row r="160" spans="1:6">
      <c r="A160" s="466" t="s">
        <v>140</v>
      </c>
      <c r="B160" s="458">
        <f>VLOOKUP(F158,'2_1'!$A$15:$B$37,2,0)</f>
        <v>1200</v>
      </c>
      <c r="C160" s="81"/>
      <c r="D160" s="139" t="s">
        <v>141</v>
      </c>
      <c r="E160" s="460">
        <f>DSUM('2_1'!A$12:J$37,'2_1'!$J$12,F157:F158)</f>
        <v>0.15807526708645042</v>
      </c>
      <c r="F160" s="451"/>
    </row>
    <row r="161" spans="1:6">
      <c r="A161" s="466" t="s">
        <v>142</v>
      </c>
      <c r="B161" s="461" t="s">
        <v>183</v>
      </c>
      <c r="C161" s="81"/>
      <c r="D161" s="139" t="s">
        <v>143</v>
      </c>
      <c r="E161" s="459" t="str">
        <f>+Hijuelas!$G$7</f>
        <v>POR FRACCIÓN</v>
      </c>
      <c r="F161" s="451"/>
    </row>
    <row r="162" spans="1:6">
      <c r="A162" s="466" t="s">
        <v>144</v>
      </c>
      <c r="B162" s="462">
        <f>DSUM('2_1'!$A$12:$H$37,'2_1'!$H$12,F157:F158)</f>
        <v>1.6433</v>
      </c>
      <c r="C162" s="81"/>
      <c r="D162" s="139" t="s">
        <v>145</v>
      </c>
      <c r="E162" s="458" t="str">
        <f>IF(VLOOKUP(F158,'2_1'!$A$15:$D$37,4,0)=1, "Definitivo 100%", "Eventual 80%")</f>
        <v>Definitivo 100%</v>
      </c>
      <c r="F162" s="583"/>
    </row>
    <row r="163" spans="1:6" ht="15.75">
      <c r="A163" s="450"/>
      <c r="B163" s="139" t="s">
        <v>146</v>
      </c>
      <c r="C163" s="145">
        <f>DMIN('2_1'!A$12:K$37,'2_1'!$K$12,F157:F158)</f>
        <v>42977.085728427839</v>
      </c>
      <c r="D163" s="189" t="str">
        <f t="shared" ref="D163:D164" si="24">IF(E163=1,"Domingo",IF(E163=2,"Lunes",IF(E163=3,"Martes",IF(E163=4,"Miercoles",IF(E163=5,"Jueves",IF(E163=6,"Viernes",IF(E163=7,"Sábado",0)))))))</f>
        <v>Miercoles</v>
      </c>
      <c r="E163" s="190">
        <f t="shared" ref="E163:E164" si="25">WEEKDAY(C163)</f>
        <v>4</v>
      </c>
      <c r="F163" s="453" t="s">
        <v>62</v>
      </c>
    </row>
    <row r="164" spans="1:6" ht="15.75">
      <c r="A164" s="450"/>
      <c r="B164" s="139" t="s">
        <v>147</v>
      </c>
      <c r="C164" s="145">
        <f>DMAX('2_1'!A$12:L$37,'2_1'!$L$12,F157:F158)</f>
        <v>42977.243803694924</v>
      </c>
      <c r="D164" s="189" t="str">
        <f t="shared" si="24"/>
        <v>Miercoles</v>
      </c>
      <c r="E164" s="190">
        <f t="shared" si="25"/>
        <v>4</v>
      </c>
      <c r="F164" s="453">
        <f t="shared" ref="F164" si="26">WEEKDAY(C164)</f>
        <v>4</v>
      </c>
    </row>
    <row r="165" spans="1:6">
      <c r="A165" s="467" t="str">
        <f>+'planilla caudales'!$J$14</f>
        <v>Caudal l/s</v>
      </c>
      <c r="B165" s="324" t="str">
        <f>+'planilla caudales'!$K$14</f>
        <v>Escala cm</v>
      </c>
      <c r="C165" s="81"/>
      <c r="D165" s="81"/>
      <c r="E165" s="81"/>
      <c r="F165" s="451"/>
    </row>
    <row r="166" spans="1:6">
      <c r="A166" s="605">
        <f>+'planilla caudales'!$J$16</f>
        <v>239.96144000000001</v>
      </c>
      <c r="B166" s="606">
        <f>+'planilla caudales'!$K$16</f>
        <v>27.409005355473788</v>
      </c>
      <c r="C166" s="81"/>
      <c r="D166" s="81"/>
      <c r="E166" s="81"/>
      <c r="F166" s="451"/>
    </row>
    <row r="167" spans="1:6">
      <c r="A167" s="674">
        <f>+Mensajes!$B$7</f>
        <v>0</v>
      </c>
      <c r="B167" s="675"/>
      <c r="C167" s="675"/>
      <c r="D167" s="675"/>
      <c r="E167" s="675"/>
      <c r="F167" s="676"/>
    </row>
    <row r="168" spans="1:6">
      <c r="A168" s="674">
        <f>+Mensajes!$B$12</f>
        <v>0</v>
      </c>
      <c r="B168" s="675"/>
      <c r="C168" s="675"/>
      <c r="D168" s="675"/>
      <c r="E168" s="675"/>
      <c r="F168" s="676"/>
    </row>
    <row r="169" spans="1:6" ht="13.5" thickBot="1">
      <c r="A169" s="468"/>
      <c r="B169" s="455"/>
      <c r="C169" s="455"/>
      <c r="D169" s="455"/>
      <c r="E169" s="454" t="str">
        <f>IF(DSUM('2_1'!$A$12:$Q$54,16,F157:F158)=COUNTIF('2_1'!$A$12:$A$54,F158),"","Regularice su Deuda")</f>
        <v>Regularice su Deuda</v>
      </c>
      <c r="F169" s="456"/>
    </row>
    <row r="170" spans="1:6" ht="13.5" thickBot="1"/>
    <row r="171" spans="1:6">
      <c r="A171" s="447"/>
      <c r="B171" s="448"/>
      <c r="C171" s="448"/>
      <c r="D171" s="448"/>
      <c r="E171" s="448"/>
      <c r="F171" s="449"/>
    </row>
    <row r="172" spans="1:6">
      <c r="A172" s="465" t="s">
        <v>64</v>
      </c>
      <c r="B172" s="81"/>
      <c r="C172" s="81"/>
      <c r="D172" s="81"/>
      <c r="E172" s="81"/>
      <c r="F172" s="451"/>
    </row>
    <row r="173" spans="1:6">
      <c r="A173" s="450"/>
      <c r="B173" s="81"/>
      <c r="C173" s="81"/>
      <c r="D173" s="81"/>
      <c r="E173" s="81"/>
      <c r="F173" s="451"/>
    </row>
    <row r="174" spans="1:6">
      <c r="A174" s="450" t="s">
        <v>139</v>
      </c>
      <c r="B174" s="81" t="str">
        <f>VLOOKUP(F175,'2_1'!$A$12:$G$37,7,0)</f>
        <v>ALVARADO DE QUIROG</v>
      </c>
      <c r="C174" s="81"/>
      <c r="D174" s="81"/>
      <c r="E174" s="81"/>
      <c r="F174" s="452" t="s">
        <v>102</v>
      </c>
    </row>
    <row r="175" spans="1:6">
      <c r="A175" s="450" t="s">
        <v>72</v>
      </c>
      <c r="B175" s="81" t="str">
        <f>+'2_1'!$H$2</f>
        <v>Hijuela 1ra. Araujo</v>
      </c>
      <c r="C175" s="81"/>
      <c r="D175" s="81"/>
      <c r="E175" s="81"/>
      <c r="F175" s="452">
        <v>11</v>
      </c>
    </row>
    <row r="176" spans="1:6">
      <c r="A176" s="450"/>
      <c r="B176" s="81"/>
      <c r="C176" s="81"/>
      <c r="D176" s="81"/>
      <c r="E176" s="81"/>
      <c r="F176" s="451"/>
    </row>
    <row r="177" spans="1:6">
      <c r="A177" s="466" t="s">
        <v>140</v>
      </c>
      <c r="B177" s="458">
        <f>VLOOKUP(F175,'2_1'!$A$15:$B$37,2,0)</f>
        <v>1200</v>
      </c>
      <c r="C177" s="81"/>
      <c r="D177" s="139" t="s">
        <v>141</v>
      </c>
      <c r="E177" s="460">
        <f>DSUM('2_1'!A$12:J$37,'2_1'!$J$12,F174:F175)</f>
        <v>0</v>
      </c>
      <c r="F177" s="451"/>
    </row>
    <row r="178" spans="1:6">
      <c r="A178" s="466" t="s">
        <v>142</v>
      </c>
      <c r="B178" s="461">
        <v>48</v>
      </c>
      <c r="C178" s="81"/>
      <c r="D178" s="139" t="s">
        <v>143</v>
      </c>
      <c r="E178" s="459" t="str">
        <f>+Hijuelas!$G$7</f>
        <v>POR FRACCIÓN</v>
      </c>
      <c r="F178" s="451"/>
    </row>
    <row r="179" spans="1:6">
      <c r="A179" s="466" t="s">
        <v>144</v>
      </c>
      <c r="B179" s="462">
        <f>DSUM('2_1'!$A$12:$H$37,'2_1'!$H$12,F174:F175)</f>
        <v>0</v>
      </c>
      <c r="C179" s="81"/>
      <c r="D179" s="139" t="s">
        <v>145</v>
      </c>
      <c r="E179" s="458" t="str">
        <f>IF(VLOOKUP(F175,'2_1'!$A$15:$D$37,4,0)=1, "Definitivo 100%", "Eventual 80%")</f>
        <v>Definitivo 100%</v>
      </c>
      <c r="F179" s="583"/>
    </row>
    <row r="180" spans="1:6" ht="15.75">
      <c r="A180" s="450"/>
      <c r="B180" s="139" t="s">
        <v>146</v>
      </c>
      <c r="C180" s="145">
        <f>DMIN('2_1'!A$12:K$37,'2_1'!$K$12,F174:F175)</f>
        <v>42977.243803694924</v>
      </c>
      <c r="D180" s="189" t="str">
        <f t="shared" ref="D180:D181" si="27">IF(E180=1,"Domingo",IF(E180=2,"Lunes",IF(E180=3,"Martes",IF(E180=4,"Miercoles",IF(E180=5,"Jueves",IF(E180=6,"Viernes",IF(E180=7,"Sábado",0)))))))</f>
        <v>Miercoles</v>
      </c>
      <c r="E180" s="190">
        <f t="shared" ref="E180:E181" si="28">WEEKDAY(C180)</f>
        <v>4</v>
      </c>
      <c r="F180" s="453" t="s">
        <v>62</v>
      </c>
    </row>
    <row r="181" spans="1:6" ht="15.75">
      <c r="A181" s="450"/>
      <c r="B181" s="139" t="s">
        <v>147</v>
      </c>
      <c r="C181" s="145">
        <f>DMAX('2_1'!A$12:L$37,'2_1'!$L$12,F174:F175)</f>
        <v>42977.243803694924</v>
      </c>
      <c r="D181" s="189" t="str">
        <f t="shared" si="27"/>
        <v>Miercoles</v>
      </c>
      <c r="E181" s="190">
        <f t="shared" si="28"/>
        <v>4</v>
      </c>
      <c r="F181" s="453">
        <f t="shared" ref="F181" si="29">WEEKDAY(C181)</f>
        <v>4</v>
      </c>
    </row>
    <row r="182" spans="1:6">
      <c r="A182" s="467" t="str">
        <f>+'planilla caudales'!$J$14</f>
        <v>Caudal l/s</v>
      </c>
      <c r="B182" s="324" t="str">
        <f>+'planilla caudales'!$K$14</f>
        <v>Escala cm</v>
      </c>
      <c r="C182" s="81"/>
      <c r="D182" s="81"/>
      <c r="E182" s="81"/>
      <c r="F182" s="451"/>
    </row>
    <row r="183" spans="1:6">
      <c r="A183" s="605">
        <f>+'planilla caudales'!$J$16</f>
        <v>239.96144000000001</v>
      </c>
      <c r="B183" s="606">
        <f>+'planilla caudales'!$K$16</f>
        <v>27.409005355473788</v>
      </c>
      <c r="C183" s="81"/>
      <c r="D183" s="81"/>
      <c r="E183" s="81"/>
      <c r="F183" s="451"/>
    </row>
    <row r="184" spans="1:6">
      <c r="A184" s="674">
        <f>+Mensajes!$B$7</f>
        <v>0</v>
      </c>
      <c r="B184" s="675"/>
      <c r="C184" s="675"/>
      <c r="D184" s="675"/>
      <c r="E184" s="675"/>
      <c r="F184" s="676"/>
    </row>
    <row r="185" spans="1:6">
      <c r="A185" s="674">
        <f>+Mensajes!$B$12</f>
        <v>0</v>
      </c>
      <c r="B185" s="675"/>
      <c r="C185" s="675"/>
      <c r="D185" s="675"/>
      <c r="E185" s="675"/>
      <c r="F185" s="676"/>
    </row>
    <row r="186" spans="1:6" ht="13.5" thickBot="1">
      <c r="A186" s="468"/>
      <c r="B186" s="455"/>
      <c r="C186" s="455"/>
      <c r="D186" s="455"/>
      <c r="E186" s="454" t="str">
        <f>IF(DSUM('2_1'!$A$12:$Q$54,16,F174:F175)=COUNTIF('2_1'!$A$12:$A$54,F175),"","Regularice su Deuda")</f>
        <v>Regularice su Deuda</v>
      </c>
      <c r="F186" s="456"/>
    </row>
    <row r="187" spans="1:6" ht="13.5" thickBot="1"/>
    <row r="188" spans="1:6">
      <c r="A188" s="447"/>
      <c r="B188" s="448"/>
      <c r="C188" s="448"/>
      <c r="D188" s="448"/>
      <c r="E188" s="448"/>
      <c r="F188" s="449"/>
    </row>
    <row r="189" spans="1:6">
      <c r="A189" s="465" t="s">
        <v>64</v>
      </c>
      <c r="B189" s="81"/>
      <c r="C189" s="81"/>
      <c r="D189" s="81"/>
      <c r="E189" s="81"/>
      <c r="F189" s="451"/>
    </row>
    <row r="190" spans="1:6">
      <c r="A190" s="450"/>
      <c r="B190" s="81"/>
      <c r="C190" s="81"/>
      <c r="D190" s="81"/>
      <c r="E190" s="81"/>
      <c r="F190" s="451"/>
    </row>
    <row r="191" spans="1:6">
      <c r="A191" s="450" t="s">
        <v>139</v>
      </c>
      <c r="B191" s="81" t="str">
        <f>VLOOKUP(F192,'2_1'!$A$12:$G$37,7,0)</f>
        <v>ARAUJO, LINO</v>
      </c>
      <c r="C191" s="81"/>
      <c r="D191" s="81"/>
      <c r="E191" s="81"/>
      <c r="F191" s="452" t="s">
        <v>102</v>
      </c>
    </row>
    <row r="192" spans="1:6">
      <c r="A192" s="450" t="s">
        <v>72</v>
      </c>
      <c r="B192" s="81" t="str">
        <f>+'2_1'!$H$2</f>
        <v>Hijuela 1ra. Araujo</v>
      </c>
      <c r="C192" s="81"/>
      <c r="D192" s="81"/>
      <c r="E192" s="81"/>
      <c r="F192" s="452">
        <v>12</v>
      </c>
    </row>
    <row r="193" spans="1:6">
      <c r="A193" s="450"/>
      <c r="B193" s="81"/>
      <c r="C193" s="81"/>
      <c r="D193" s="81"/>
      <c r="E193" s="81"/>
      <c r="F193" s="451"/>
    </row>
    <row r="194" spans="1:6">
      <c r="A194" s="466" t="s">
        <v>140</v>
      </c>
      <c r="B194" s="458">
        <f>VLOOKUP(F192,'2_1'!$A$15:$B$37,2,0)</f>
        <v>1200</v>
      </c>
      <c r="C194" s="81"/>
      <c r="D194" s="139" t="s">
        <v>141</v>
      </c>
      <c r="E194" s="460">
        <f>DSUM('2_1'!A$12:J$37,'2_1'!$J$12,F191:F192)</f>
        <v>0.14372315253080117</v>
      </c>
      <c r="F194" s="451"/>
    </row>
    <row r="195" spans="1:6">
      <c r="A195" s="466" t="s">
        <v>142</v>
      </c>
      <c r="B195" s="461">
        <v>44</v>
      </c>
      <c r="C195" s="81"/>
      <c r="D195" s="139" t="s">
        <v>143</v>
      </c>
      <c r="E195" s="459" t="str">
        <f>+Hijuelas!$G$7</f>
        <v>POR FRACCIÓN</v>
      </c>
      <c r="F195" s="451"/>
    </row>
    <row r="196" spans="1:6">
      <c r="A196" s="466" t="s">
        <v>144</v>
      </c>
      <c r="B196" s="462">
        <f>DSUM('2_1'!$A$12:$H$37,'2_1'!$H$12,F191:F192)</f>
        <v>1.4941</v>
      </c>
      <c r="C196" s="81"/>
      <c r="D196" s="139" t="s">
        <v>145</v>
      </c>
      <c r="E196" s="458" t="str">
        <f>IF(VLOOKUP(F192,'2_1'!$A$15:$D$37,4,0)=1, "Definitivo 100%", "Eventual 80%")</f>
        <v>Definitivo 100%</v>
      </c>
      <c r="F196" s="583"/>
    </row>
    <row r="197" spans="1:6" ht="15.75">
      <c r="A197" s="450"/>
      <c r="B197" s="139" t="s">
        <v>146</v>
      </c>
      <c r="C197" s="145">
        <f>DMIN('2_1'!A$12:K$37,'2_1'!$K$12,F191:F192)</f>
        <v>42977.243803694924</v>
      </c>
      <c r="D197" s="189" t="str">
        <f t="shared" ref="D197:D198" si="30">IF(E197=1,"Domingo",IF(E197=2,"Lunes",IF(E197=3,"Martes",IF(E197=4,"Miercoles",IF(E197=5,"Jueves",IF(E197=6,"Viernes",IF(E197=7,"Sábado",0)))))))</f>
        <v>Miercoles</v>
      </c>
      <c r="E197" s="190">
        <f t="shared" ref="E197:E198" si="31">WEEKDAY(C197)</f>
        <v>4</v>
      </c>
      <c r="F197" s="453" t="s">
        <v>62</v>
      </c>
    </row>
    <row r="198" spans="1:6" ht="15.75">
      <c r="A198" s="450"/>
      <c r="B198" s="139" t="s">
        <v>147</v>
      </c>
      <c r="C198" s="145">
        <f>DMAX('2_1'!A$12:L$37,'2_1'!$L$12,F191:F192)</f>
        <v>42977.387526847459</v>
      </c>
      <c r="D198" s="189" t="str">
        <f t="shared" si="30"/>
        <v>Miercoles</v>
      </c>
      <c r="E198" s="190">
        <f t="shared" si="31"/>
        <v>4</v>
      </c>
      <c r="F198" s="453">
        <f t="shared" ref="F198" si="32">WEEKDAY(C198)</f>
        <v>4</v>
      </c>
    </row>
    <row r="199" spans="1:6">
      <c r="A199" s="467" t="str">
        <f>+'planilla caudales'!$J$14</f>
        <v>Caudal l/s</v>
      </c>
      <c r="B199" s="324" t="str">
        <f>+'planilla caudales'!$K$14</f>
        <v>Escala cm</v>
      </c>
      <c r="C199" s="81"/>
      <c r="D199" s="81"/>
      <c r="E199" s="81"/>
      <c r="F199" s="451"/>
    </row>
    <row r="200" spans="1:6">
      <c r="A200" s="605">
        <f>+'planilla caudales'!$J$16</f>
        <v>239.96144000000001</v>
      </c>
      <c r="B200" s="606">
        <f>+'planilla caudales'!$K$16</f>
        <v>27.409005355473788</v>
      </c>
      <c r="C200" s="81"/>
      <c r="D200" s="81"/>
      <c r="E200" s="81"/>
      <c r="F200" s="451"/>
    </row>
    <row r="201" spans="1:6">
      <c r="A201" s="674">
        <f>+Mensajes!$B$7</f>
        <v>0</v>
      </c>
      <c r="B201" s="675"/>
      <c r="C201" s="675"/>
      <c r="D201" s="675"/>
      <c r="E201" s="675"/>
      <c r="F201" s="676"/>
    </row>
    <row r="202" spans="1:6">
      <c r="A202" s="674">
        <f>+Mensajes!$B$12</f>
        <v>0</v>
      </c>
      <c r="B202" s="675"/>
      <c r="C202" s="675"/>
      <c r="D202" s="675"/>
      <c r="E202" s="675"/>
      <c r="F202" s="676"/>
    </row>
    <row r="203" spans="1:6" ht="13.5" thickBot="1">
      <c r="A203" s="468"/>
      <c r="B203" s="455"/>
      <c r="C203" s="455"/>
      <c r="D203" s="455"/>
      <c r="E203" s="454" t="str">
        <f>IF(DSUM('2_1'!$A$12:$Q$54,16,F191:F192)=COUNTIF('2_1'!$A$12:$A$54,F192),"","Regularice su Deuda")</f>
        <v>Regularice su Deuda</v>
      </c>
      <c r="F203" s="456"/>
    </row>
    <row r="204" spans="1:6" ht="13.5" thickBot="1"/>
    <row r="205" spans="1:6">
      <c r="A205" s="447"/>
      <c r="B205" s="448"/>
      <c r="C205" s="448"/>
      <c r="D205" s="448"/>
      <c r="E205" s="448"/>
      <c r="F205" s="449"/>
    </row>
    <row r="206" spans="1:6">
      <c r="A206" s="465" t="s">
        <v>64</v>
      </c>
      <c r="B206" s="81"/>
      <c r="C206" s="81"/>
      <c r="D206" s="81"/>
      <c r="E206" s="81"/>
      <c r="F206" s="451"/>
    </row>
    <row r="207" spans="1:6">
      <c r="A207" s="450"/>
      <c r="B207" s="81"/>
      <c r="C207" s="81"/>
      <c r="D207" s="81"/>
      <c r="E207" s="81"/>
      <c r="F207" s="451"/>
    </row>
    <row r="208" spans="1:6">
      <c r="A208" s="450" t="s">
        <v>139</v>
      </c>
      <c r="B208" s="81" t="str">
        <f>VLOOKUP(F209,'2_1'!$A$12:$G$37,7,0)</f>
        <v xml:space="preserve">FALGUEYRETTE, JOSE </v>
      </c>
      <c r="C208" s="81"/>
      <c r="D208" s="81"/>
      <c r="E208" s="81"/>
      <c r="F208" s="452" t="s">
        <v>102</v>
      </c>
    </row>
    <row r="209" spans="1:6">
      <c r="A209" s="450" t="s">
        <v>72</v>
      </c>
      <c r="B209" s="81" t="str">
        <f>+'2_1'!$H$2</f>
        <v>Hijuela 1ra. Araujo</v>
      </c>
      <c r="C209" s="81"/>
      <c r="D209" s="81"/>
      <c r="E209" s="81"/>
      <c r="F209" s="452">
        <v>13</v>
      </c>
    </row>
    <row r="210" spans="1:6">
      <c r="A210" s="450"/>
      <c r="B210" s="81"/>
      <c r="C210" s="81"/>
      <c r="D210" s="81"/>
      <c r="E210" s="81"/>
      <c r="F210" s="451"/>
    </row>
    <row r="211" spans="1:6">
      <c r="A211" s="466" t="s">
        <v>140</v>
      </c>
      <c r="B211" s="458">
        <f>VLOOKUP(F209,'2_1'!$A$15:$B$37,2,0)</f>
        <v>1200</v>
      </c>
      <c r="C211" s="81"/>
      <c r="D211" s="139" t="s">
        <v>141</v>
      </c>
      <c r="E211" s="460">
        <f>DSUM('2_1'!A$12:J$37,'2_1'!$J$12,F208:F209)</f>
        <v>4.2142502592693927E-2</v>
      </c>
      <c r="F211" s="451"/>
    </row>
    <row r="212" spans="1:6">
      <c r="A212" s="466" t="s">
        <v>142</v>
      </c>
      <c r="B212" s="461" t="s">
        <v>184</v>
      </c>
      <c r="C212" s="81"/>
      <c r="D212" s="139" t="s">
        <v>143</v>
      </c>
      <c r="E212" s="459" t="str">
        <f>+Hijuelas!$G$7</f>
        <v>POR FRACCIÓN</v>
      </c>
      <c r="F212" s="451"/>
    </row>
    <row r="213" spans="1:6">
      <c r="A213" s="466" t="s">
        <v>144</v>
      </c>
      <c r="B213" s="462">
        <f>DSUM('2_1'!$A$12:$H$37,'2_1'!$H$12,F208:F209)</f>
        <v>0.43809999999999999</v>
      </c>
      <c r="C213" s="81"/>
      <c r="D213" s="139" t="s">
        <v>145</v>
      </c>
      <c r="E213" s="458" t="str">
        <f>IF(VLOOKUP(F209,'2_1'!$A$15:$D$37,4,0)=1, "Definitivo 100%", "Eventual 80%")</f>
        <v>Definitivo 100%</v>
      </c>
      <c r="F213" s="583"/>
    </row>
    <row r="214" spans="1:6" ht="15.75">
      <c r="A214" s="450"/>
      <c r="B214" s="139" t="s">
        <v>146</v>
      </c>
      <c r="C214" s="145">
        <f>DMIN('2_1'!A$12:K$37,'2_1'!$K$12,F208:F209)</f>
        <v>42977.489107497393</v>
      </c>
      <c r="D214" s="189" t="str">
        <f t="shared" ref="D214:D215" si="33">IF(E214=1,"Domingo",IF(E214=2,"Lunes",IF(E214=3,"Martes",IF(E214=4,"Miercoles",IF(E214=5,"Jueves",IF(E214=6,"Viernes",IF(E214=7,"Sábado",0)))))))</f>
        <v>Miercoles</v>
      </c>
      <c r="E214" s="190">
        <f t="shared" ref="E214:E215" si="34">WEEKDAY(C214)</f>
        <v>4</v>
      </c>
      <c r="F214" s="453" t="s">
        <v>62</v>
      </c>
    </row>
    <row r="215" spans="1:6" ht="15.75">
      <c r="A215" s="450"/>
      <c r="B215" s="139" t="s">
        <v>147</v>
      </c>
      <c r="C215" s="145">
        <f>DMAX('2_1'!A$12:L$37,'2_1'!$L$12,F208:F209)</f>
        <v>42977.531249999985</v>
      </c>
      <c r="D215" s="189" t="str">
        <f t="shared" si="33"/>
        <v>Miercoles</v>
      </c>
      <c r="E215" s="190">
        <f t="shared" si="34"/>
        <v>4</v>
      </c>
      <c r="F215" s="453">
        <f t="shared" ref="F215" si="35">WEEKDAY(C215)</f>
        <v>4</v>
      </c>
    </row>
    <row r="216" spans="1:6">
      <c r="A216" s="467" t="str">
        <f>+'planilla caudales'!$J$14</f>
        <v>Caudal l/s</v>
      </c>
      <c r="B216" s="324" t="str">
        <f>+'planilla caudales'!$K$14</f>
        <v>Escala cm</v>
      </c>
      <c r="C216" s="81"/>
      <c r="D216" s="81"/>
      <c r="E216" s="81"/>
      <c r="F216" s="451"/>
    </row>
    <row r="217" spans="1:6">
      <c r="A217" s="605">
        <f>+'planilla caudales'!$J$16</f>
        <v>239.96144000000001</v>
      </c>
      <c r="B217" s="606">
        <f>+'planilla caudales'!$K$16</f>
        <v>27.409005355473788</v>
      </c>
      <c r="C217" s="81"/>
      <c r="D217" s="81"/>
      <c r="E217" s="81"/>
      <c r="F217" s="451"/>
    </row>
    <row r="218" spans="1:6">
      <c r="A218" s="674">
        <f>+Mensajes!$B$7</f>
        <v>0</v>
      </c>
      <c r="B218" s="675"/>
      <c r="C218" s="675"/>
      <c r="D218" s="675"/>
      <c r="E218" s="675"/>
      <c r="F218" s="676"/>
    </row>
    <row r="219" spans="1:6">
      <c r="A219" s="674">
        <f>+Mensajes!$B$12</f>
        <v>0</v>
      </c>
      <c r="B219" s="675"/>
      <c r="C219" s="675"/>
      <c r="D219" s="675"/>
      <c r="E219" s="675"/>
      <c r="F219" s="676"/>
    </row>
    <row r="220" spans="1:6" ht="13.5" thickBot="1">
      <c r="A220" s="468"/>
      <c r="B220" s="455"/>
      <c r="C220" s="455"/>
      <c r="D220" s="455"/>
      <c r="E220" s="454" t="str">
        <f>IF(DSUM('2_1'!$A$12:$Q$54,16,F208:F209)=COUNTIF('2_1'!$A$12:$A$54,F209),"","Regularice su Deuda")</f>
        <v>Regularice su Deuda</v>
      </c>
      <c r="F220" s="456"/>
    </row>
    <row r="221" spans="1:6" ht="13.5" thickBot="1"/>
    <row r="222" spans="1:6">
      <c r="A222" s="447"/>
      <c r="B222" s="448"/>
      <c r="C222" s="448"/>
      <c r="D222" s="448"/>
      <c r="E222" s="448"/>
      <c r="F222" s="449"/>
    </row>
    <row r="223" spans="1:6">
      <c r="A223" s="465" t="s">
        <v>64</v>
      </c>
      <c r="B223" s="81"/>
      <c r="C223" s="81"/>
      <c r="D223" s="81"/>
      <c r="E223" s="81"/>
      <c r="F223" s="451"/>
    </row>
    <row r="224" spans="1:6">
      <c r="A224" s="450"/>
      <c r="B224" s="81"/>
      <c r="C224" s="81"/>
      <c r="D224" s="81"/>
      <c r="E224" s="81"/>
      <c r="F224" s="451"/>
    </row>
    <row r="225" spans="1:6">
      <c r="A225" s="450" t="s">
        <v>139</v>
      </c>
      <c r="B225" s="81" t="str">
        <f>VLOOKUP(F226,'2_1'!$A$12:$G$37,7,0)</f>
        <v>ARAUJO, MARIA GRACIA</v>
      </c>
      <c r="C225" s="81"/>
      <c r="D225" s="81"/>
      <c r="E225" s="81"/>
      <c r="F225" s="452" t="s">
        <v>102</v>
      </c>
    </row>
    <row r="226" spans="1:6">
      <c r="A226" s="450" t="s">
        <v>72</v>
      </c>
      <c r="B226" s="81" t="str">
        <f>+'2_1'!$H$2</f>
        <v>Hijuela 1ra. Araujo</v>
      </c>
      <c r="C226" s="81"/>
      <c r="D226" s="81"/>
      <c r="E226" s="81"/>
      <c r="F226" s="452">
        <v>14</v>
      </c>
    </row>
    <row r="227" spans="1:6">
      <c r="A227" s="450"/>
      <c r="B227" s="81"/>
      <c r="C227" s="81"/>
      <c r="D227" s="81"/>
      <c r="E227" s="81"/>
      <c r="F227" s="451"/>
    </row>
    <row r="228" spans="1:6">
      <c r="A228" s="466" t="s">
        <v>140</v>
      </c>
      <c r="B228" s="458">
        <f>VLOOKUP(F226,'2_1'!$A$15:$B$37,2,0)</f>
        <v>1206</v>
      </c>
      <c r="C228" s="81"/>
      <c r="D228" s="139" t="s">
        <v>141</v>
      </c>
      <c r="E228" s="460">
        <f>DSUM('2_1'!A$12:J$37,'2_1'!$J$12,F225:F226)</f>
        <v>0</v>
      </c>
      <c r="F228" s="451"/>
    </row>
    <row r="229" spans="1:6">
      <c r="A229" s="466" t="s">
        <v>142</v>
      </c>
      <c r="B229" s="461" t="s">
        <v>185</v>
      </c>
      <c r="C229" s="81"/>
      <c r="D229" s="139" t="s">
        <v>143</v>
      </c>
      <c r="E229" s="459" t="str">
        <f>+Hijuelas!$G$7</f>
        <v>POR FRACCIÓN</v>
      </c>
      <c r="F229" s="451"/>
    </row>
    <row r="230" spans="1:6">
      <c r="A230" s="466" t="s">
        <v>144</v>
      </c>
      <c r="B230" s="462">
        <f>DSUM('2_1'!$A$12:$H$37,'2_1'!$H$12,F225:F226)</f>
        <v>0</v>
      </c>
      <c r="C230" s="81"/>
      <c r="D230" s="139" t="s">
        <v>145</v>
      </c>
      <c r="E230" s="458" t="str">
        <f>IF(VLOOKUP(F226,'2_1'!$A$15:$D$37,4,0)=1, "Definitivo 100%", "Eventual 80%")</f>
        <v>Definitivo 100%</v>
      </c>
      <c r="F230" s="583"/>
    </row>
    <row r="231" spans="1:6" ht="15.75">
      <c r="A231" s="450"/>
      <c r="B231" s="139" t="s">
        <v>146</v>
      </c>
      <c r="C231" s="145">
        <f>DMIN('2_1'!A$12:K$37,'2_1'!$K$12,F225:F226)</f>
        <v>42977.531249999985</v>
      </c>
      <c r="D231" s="189" t="str">
        <f t="shared" ref="D231:D232" si="36">IF(E231=1,"Domingo",IF(E231=2,"Lunes",IF(E231=3,"Martes",IF(E231=4,"Miercoles",IF(E231=5,"Jueves",IF(E231=6,"Viernes",IF(E231=7,"Sábado",0)))))))</f>
        <v>Miercoles</v>
      </c>
      <c r="E231" s="190">
        <f t="shared" ref="E231:E232" si="37">WEEKDAY(C231)</f>
        <v>4</v>
      </c>
      <c r="F231" s="453" t="s">
        <v>62</v>
      </c>
    </row>
    <row r="232" spans="1:6" ht="15.75">
      <c r="A232" s="450"/>
      <c r="B232" s="139" t="s">
        <v>147</v>
      </c>
      <c r="C232" s="145">
        <f>DMAX('2_1'!A$12:L$37,'2_1'!$L$12,F225:F226)</f>
        <v>42977.531249999985</v>
      </c>
      <c r="D232" s="189" t="str">
        <f t="shared" si="36"/>
        <v>Miercoles</v>
      </c>
      <c r="E232" s="190">
        <f t="shared" si="37"/>
        <v>4</v>
      </c>
      <c r="F232" s="453">
        <f t="shared" ref="F232" si="38">WEEKDAY(C232)</f>
        <v>4</v>
      </c>
    </row>
    <row r="233" spans="1:6">
      <c r="A233" s="467" t="str">
        <f>+'planilla caudales'!$J$14</f>
        <v>Caudal l/s</v>
      </c>
      <c r="B233" s="324" t="str">
        <f>+'planilla caudales'!$K$14</f>
        <v>Escala cm</v>
      </c>
      <c r="C233" s="81"/>
      <c r="D233" s="81"/>
      <c r="E233" s="81"/>
      <c r="F233" s="451"/>
    </row>
    <row r="234" spans="1:6">
      <c r="A234" s="605">
        <f>+'planilla caudales'!$J$16</f>
        <v>239.96144000000001</v>
      </c>
      <c r="B234" s="606">
        <f>+'planilla caudales'!$K$16</f>
        <v>27.409005355473788</v>
      </c>
      <c r="C234" s="81"/>
      <c r="D234" s="81"/>
      <c r="E234" s="81"/>
      <c r="F234" s="451"/>
    </row>
    <row r="235" spans="1:6">
      <c r="A235" s="674">
        <f>+Mensajes!$B$7</f>
        <v>0</v>
      </c>
      <c r="B235" s="675"/>
      <c r="C235" s="675"/>
      <c r="D235" s="675"/>
      <c r="E235" s="675"/>
      <c r="F235" s="676"/>
    </row>
    <row r="236" spans="1:6">
      <c r="A236" s="674">
        <f>+Mensajes!$B$12</f>
        <v>0</v>
      </c>
      <c r="B236" s="675"/>
      <c r="C236" s="675"/>
      <c r="D236" s="675"/>
      <c r="E236" s="675"/>
      <c r="F236" s="676"/>
    </row>
    <row r="237" spans="1:6" ht="13.5" thickBot="1">
      <c r="A237" s="468"/>
      <c r="B237" s="455"/>
      <c r="C237" s="455"/>
      <c r="D237" s="455"/>
      <c r="E237" s="454" t="str">
        <f>IF(DSUM('2_1'!$A$12:$Q$54,16,F225:F226)=COUNTIF('2_1'!$A$12:$A$54,F226),"","Regularice su Deuda")</f>
        <v>Regularice su Deuda</v>
      </c>
      <c r="F237" s="456"/>
    </row>
    <row r="238" spans="1:6" ht="13.5" thickBot="1"/>
    <row r="239" spans="1:6">
      <c r="A239" s="447"/>
      <c r="B239" s="448"/>
      <c r="C239" s="448"/>
      <c r="D239" s="448"/>
      <c r="E239" s="448"/>
      <c r="F239" s="449"/>
    </row>
    <row r="240" spans="1:6">
      <c r="A240" s="465" t="s">
        <v>64</v>
      </c>
      <c r="B240" s="81"/>
      <c r="C240" s="81"/>
      <c r="D240" s="81"/>
      <c r="E240" s="81"/>
      <c r="F240" s="451"/>
    </row>
    <row r="241" spans="1:6">
      <c r="A241" s="450"/>
      <c r="B241" s="81"/>
      <c r="C241" s="81"/>
      <c r="D241" s="81"/>
      <c r="E241" s="81"/>
      <c r="F241" s="451"/>
    </row>
    <row r="242" spans="1:6">
      <c r="A242" s="450" t="s">
        <v>139</v>
      </c>
      <c r="B242" s="81" t="e">
        <f>VLOOKUP(F243,'2_1'!$A$12:$G$37,7,0)</f>
        <v>#N/A</v>
      </c>
      <c r="C242" s="81"/>
      <c r="D242" s="81"/>
      <c r="E242" s="81"/>
      <c r="F242" s="452" t="s">
        <v>102</v>
      </c>
    </row>
    <row r="243" spans="1:6">
      <c r="A243" s="450" t="s">
        <v>72</v>
      </c>
      <c r="B243" s="81" t="str">
        <f>+'2_1'!$H$2</f>
        <v>Hijuela 1ra. Araujo</v>
      </c>
      <c r="C243" s="81"/>
      <c r="D243" s="81"/>
      <c r="E243" s="81"/>
      <c r="F243" s="452">
        <v>15</v>
      </c>
    </row>
    <row r="244" spans="1:6">
      <c r="A244" s="450"/>
      <c r="B244" s="81"/>
      <c r="C244" s="81"/>
      <c r="D244" s="81"/>
      <c r="E244" s="81"/>
      <c r="F244" s="451"/>
    </row>
    <row r="245" spans="1:6">
      <c r="A245" s="466" t="s">
        <v>140</v>
      </c>
      <c r="B245" s="458" t="e">
        <f>VLOOKUP(F243,'2_1'!$A$15:$B$37,2,0)</f>
        <v>#N/A</v>
      </c>
      <c r="C245" s="81"/>
      <c r="D245" s="139" t="s">
        <v>141</v>
      </c>
      <c r="E245" s="460">
        <f>DSUM('2_1'!A$12:J$37,'2_1'!$J$12,F242:F243)</f>
        <v>0</v>
      </c>
      <c r="F245" s="451"/>
    </row>
    <row r="246" spans="1:6">
      <c r="A246" s="466" t="s">
        <v>142</v>
      </c>
      <c r="B246" s="461" t="s">
        <v>186</v>
      </c>
      <c r="C246" s="81"/>
      <c r="D246" s="139" t="s">
        <v>143</v>
      </c>
      <c r="E246" s="459" t="str">
        <f>+Hijuelas!$G$7</f>
        <v>POR FRACCIÓN</v>
      </c>
      <c r="F246" s="451"/>
    </row>
    <row r="247" spans="1:6">
      <c r="A247" s="466" t="s">
        <v>144</v>
      </c>
      <c r="B247" s="462">
        <f>DSUM('2_1'!$A$12:$H$37,'2_1'!$H$12,F242:F243)</f>
        <v>0</v>
      </c>
      <c r="C247" s="81"/>
      <c r="D247" s="139" t="s">
        <v>145</v>
      </c>
      <c r="E247" s="458" t="e">
        <f>IF(VLOOKUP(F243,'2_1'!$A$15:$D$37,4,0)=1, "Definitivo 100%", "Eventual 80%")</f>
        <v>#N/A</v>
      </c>
      <c r="F247" s="583"/>
    </row>
    <row r="248" spans="1:6" ht="15.75">
      <c r="A248" s="450"/>
      <c r="B248" s="139" t="s">
        <v>146</v>
      </c>
      <c r="C248" s="145">
        <f>DMIN('2_1'!A$12:K$37,'2_1'!$K$12,F242:F243)</f>
        <v>0</v>
      </c>
      <c r="D248" s="189" t="str">
        <f t="shared" ref="D248:D249" si="39">IF(E248=1,"Domingo",IF(E248=2,"Lunes",IF(E248=3,"Martes",IF(E248=4,"Miercoles",IF(E248=5,"Jueves",IF(E248=6,"Viernes",IF(E248=7,"Sábado",0)))))))</f>
        <v>Sábado</v>
      </c>
      <c r="E248" s="190">
        <f t="shared" ref="E248:E249" si="40">WEEKDAY(C248)</f>
        <v>7</v>
      </c>
      <c r="F248" s="453" t="s">
        <v>62</v>
      </c>
    </row>
    <row r="249" spans="1:6" ht="15.75">
      <c r="A249" s="450"/>
      <c r="B249" s="139" t="s">
        <v>147</v>
      </c>
      <c r="C249" s="145">
        <f>DMAX('2_1'!A$12:L$37,'2_1'!$L$12,F242:F243)</f>
        <v>0</v>
      </c>
      <c r="D249" s="189" t="str">
        <f t="shared" si="39"/>
        <v>Sábado</v>
      </c>
      <c r="E249" s="190">
        <f t="shared" si="40"/>
        <v>7</v>
      </c>
      <c r="F249" s="453">
        <f t="shared" ref="F249" si="41">WEEKDAY(C249)</f>
        <v>7</v>
      </c>
    </row>
    <row r="250" spans="1:6">
      <c r="A250" s="467" t="str">
        <f>+'planilla caudales'!$J$14</f>
        <v>Caudal l/s</v>
      </c>
      <c r="B250" s="324" t="str">
        <f>+'planilla caudales'!$K$14</f>
        <v>Escala cm</v>
      </c>
      <c r="C250" s="81"/>
      <c r="D250" s="81"/>
      <c r="E250" s="81"/>
      <c r="F250" s="451"/>
    </row>
    <row r="251" spans="1:6">
      <c r="A251" s="605">
        <f>+'planilla caudales'!$J$16</f>
        <v>239.96144000000001</v>
      </c>
      <c r="B251" s="606">
        <f>+'planilla caudales'!$K$16</f>
        <v>27.409005355473788</v>
      </c>
      <c r="C251" s="81"/>
      <c r="D251" s="81"/>
      <c r="E251" s="81"/>
      <c r="F251" s="451"/>
    </row>
    <row r="252" spans="1:6">
      <c r="A252" s="674">
        <f>+Mensajes!$B$7</f>
        <v>0</v>
      </c>
      <c r="B252" s="675"/>
      <c r="C252" s="675"/>
      <c r="D252" s="675"/>
      <c r="E252" s="675"/>
      <c r="F252" s="676"/>
    </row>
    <row r="253" spans="1:6">
      <c r="A253" s="674">
        <f>+Mensajes!$B$12</f>
        <v>0</v>
      </c>
      <c r="B253" s="675"/>
      <c r="C253" s="675"/>
      <c r="D253" s="675"/>
      <c r="E253" s="675"/>
      <c r="F253" s="676"/>
    </row>
    <row r="254" spans="1:6" ht="13.5" thickBot="1">
      <c r="A254" s="468"/>
      <c r="B254" s="455"/>
      <c r="C254" s="455"/>
      <c r="D254" s="455"/>
      <c r="E254" s="454" t="str">
        <f>IF(DSUM('2_1'!$A$12:$Q$54,16,F242:F243)=COUNTIF('2_1'!$A$12:$A$54,F243),"","Regularice su Deuda")</f>
        <v/>
      </c>
      <c r="F254" s="456"/>
    </row>
  </sheetData>
  <mergeCells count="30">
    <mergeCell ref="A14:F14"/>
    <mergeCell ref="A15:F15"/>
    <mergeCell ref="A167:F167"/>
    <mergeCell ref="A168:F168"/>
    <mergeCell ref="A133:F133"/>
    <mergeCell ref="A134:F134"/>
    <mergeCell ref="A150:F150"/>
    <mergeCell ref="A151:F151"/>
    <mergeCell ref="A31:F31"/>
    <mergeCell ref="A32:F32"/>
    <mergeCell ref="A48:F48"/>
    <mergeCell ref="A49:F49"/>
    <mergeCell ref="A65:F65"/>
    <mergeCell ref="A116:F116"/>
    <mergeCell ref="A117:F117"/>
    <mergeCell ref="A252:F252"/>
    <mergeCell ref="A253:F253"/>
    <mergeCell ref="A66:F66"/>
    <mergeCell ref="A82:F82"/>
    <mergeCell ref="A83:F83"/>
    <mergeCell ref="A99:F99"/>
    <mergeCell ref="A100:F100"/>
    <mergeCell ref="A236:F236"/>
    <mergeCell ref="A218:F218"/>
    <mergeCell ref="A219:F219"/>
    <mergeCell ref="A184:F184"/>
    <mergeCell ref="A185:F185"/>
    <mergeCell ref="A201:F201"/>
    <mergeCell ref="A202:F202"/>
    <mergeCell ref="A235:F235"/>
  </mergeCells>
  <phoneticPr fontId="0" type="noConversion"/>
  <pageMargins left="0.98425196850393704" right="0.19685039370078741" top="0.23622047244094491" bottom="0.15748031496062992" header="0.23622047244094491" footer="0"/>
  <pageSetup paperSize="281" scale="82" orientation="portrait" r:id="rId1"/>
  <headerFooter alignWithMargins="0"/>
  <rowBreaks count="2" manualBreakCount="2">
    <brk id="85" max="5" man="1"/>
    <brk id="170" max="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8"/>
  <dimension ref="A1:U33"/>
  <sheetViews>
    <sheetView view="pageBreakPreview" zoomScale="75" zoomScaleNormal="75" zoomScaleSheetLayoutView="100" workbookViewId="0" xr3:uid="{65FA3815-DCC1-5481-872F-D2879ED395ED}">
      <selection activeCell="M1" sqref="M1:M1048576"/>
    </sheetView>
  </sheetViews>
  <sheetFormatPr defaultColWidth="11.42578125" defaultRowHeight="12.75"/>
  <cols>
    <col min="1" max="1" width="7.140625" customWidth="1"/>
    <col min="2" max="2" width="7.42578125" customWidth="1"/>
    <col min="3" max="3" width="7.5703125" customWidth="1"/>
    <col min="4" max="4" width="4" bestFit="1" customWidth="1"/>
    <col min="5" max="5" width="10.42578125" customWidth="1"/>
    <col min="6" max="6" width="10" customWidth="1"/>
    <col min="7" max="7" width="31" bestFit="1" customWidth="1"/>
    <col min="8" max="8" width="13.140625" customWidth="1"/>
    <col min="9" max="9" width="7.42578125" bestFit="1" customWidth="1"/>
    <col min="10" max="10" width="8.5703125" bestFit="1" customWidth="1"/>
    <col min="11" max="11" width="15.28515625" bestFit="1" customWidth="1"/>
    <col min="12" max="12" width="15.5703125" customWidth="1"/>
    <col min="13" max="13" width="29.85546875" customWidth="1"/>
    <col min="14" max="14" width="30.5703125" customWidth="1"/>
    <col min="15" max="15" width="22.85546875" customWidth="1"/>
    <col min="16" max="16" width="7" bestFit="1" customWidth="1"/>
    <col min="17" max="17" width="7.28515625" bestFit="1" customWidth="1"/>
    <col min="18" max="18" width="6.5703125" bestFit="1" customWidth="1"/>
    <col min="19" max="19" width="9" bestFit="1" customWidth="1"/>
    <col min="20" max="20" width="20" bestFit="1" customWidth="1"/>
    <col min="21" max="21" width="10.140625" bestFit="1" customWidth="1"/>
    <col min="22" max="22" width="12.2851562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2" spans="1:21">
      <c r="A2" s="137"/>
      <c r="B2" s="137"/>
      <c r="C2" s="144" t="s">
        <v>187</v>
      </c>
      <c r="D2" s="144"/>
      <c r="E2" s="137"/>
      <c r="F2" s="137"/>
      <c r="G2" s="137"/>
      <c r="H2" s="137" t="s">
        <v>188</v>
      </c>
      <c r="I2" s="137"/>
      <c r="J2" s="137"/>
      <c r="K2" s="137"/>
      <c r="L2" s="137"/>
      <c r="M2" s="137"/>
      <c r="N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</row>
    <row r="5" spans="1:21">
      <c r="A5" s="669" t="s">
        <v>92</v>
      </c>
      <c r="B5" s="670"/>
      <c r="C5" s="662">
        <f>+Hijuelas!D13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378"/>
      <c r="K5" s="137"/>
      <c r="L5" s="137"/>
      <c r="M5" s="137"/>
      <c r="N5" s="137"/>
    </row>
    <row r="6" spans="1:21" ht="13.5" thickBot="1">
      <c r="A6" s="671" t="s">
        <v>94</v>
      </c>
      <c r="B6" s="672"/>
      <c r="C6" s="665">
        <f>+L21</f>
        <v>42973.697829173441</v>
      </c>
      <c r="D6" s="666"/>
      <c r="E6" s="667"/>
      <c r="F6" s="344"/>
      <c r="G6" s="344"/>
      <c r="H6" s="347" t="s">
        <v>95</v>
      </c>
      <c r="I6" s="354">
        <v>8.3333333333333329E-2</v>
      </c>
      <c r="J6" s="378"/>
      <c r="K6" s="137"/>
      <c r="L6" s="578"/>
      <c r="M6" s="578"/>
      <c r="N6" s="137"/>
    </row>
    <row r="7" spans="1:21" ht="13.5" thickBot="1">
      <c r="A7" s="137"/>
      <c r="B7" s="137"/>
      <c r="C7" s="137"/>
      <c r="D7" s="137"/>
      <c r="E7" s="137"/>
      <c r="F7" s="137" t="s">
        <v>189</v>
      </c>
      <c r="G7" s="137"/>
      <c r="H7" s="348" t="s">
        <v>96</v>
      </c>
      <c r="I7" s="349">
        <f>+I22</f>
        <v>0.125</v>
      </c>
      <c r="J7" s="378"/>
      <c r="K7" s="137"/>
      <c r="L7" s="137"/>
      <c r="M7" s="137"/>
      <c r="N7" s="137"/>
    </row>
    <row r="8" spans="1:21">
      <c r="A8" s="137"/>
      <c r="B8" s="137"/>
      <c r="C8" s="137"/>
      <c r="D8" s="137"/>
      <c r="E8" s="137"/>
      <c r="F8" s="556">
        <f>+C6-C5</f>
        <v>0.15616250677703647</v>
      </c>
      <c r="G8" s="137"/>
      <c r="H8" s="137"/>
      <c r="I8" s="137"/>
      <c r="J8" s="137"/>
      <c r="K8" s="137"/>
      <c r="L8" s="137"/>
      <c r="M8" s="137"/>
      <c r="N8" s="137"/>
    </row>
    <row r="9" spans="1:21">
      <c r="A9" s="668" t="s">
        <v>97</v>
      </c>
      <c r="B9" s="668"/>
      <c r="C9" s="556">
        <f>+I5-I6-I7</f>
        <v>3.78125</v>
      </c>
      <c r="D9" s="556"/>
      <c r="E9" s="555" t="s">
        <v>98</v>
      </c>
      <c r="F9" s="350">
        <f>+C9*60</f>
        <v>226.875</v>
      </c>
      <c r="G9" s="555" t="s">
        <v>99</v>
      </c>
      <c r="H9" s="351">
        <f>+H22</f>
        <v>149.9759</v>
      </c>
      <c r="I9" s="555" t="s">
        <v>100</v>
      </c>
      <c r="J9" s="556">
        <f>+F9/H9</f>
        <v>1.5127430473829462</v>
      </c>
      <c r="K9" s="137"/>
      <c r="L9" s="137"/>
      <c r="M9" s="137"/>
      <c r="N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</row>
    <row r="12" spans="1:21" s="403" customFormat="1" ht="24.75" thickBot="1">
      <c r="A12" s="433" t="s">
        <v>102</v>
      </c>
      <c r="B12" s="430" t="s">
        <v>103</v>
      </c>
      <c r="C12" s="430" t="s">
        <v>104</v>
      </c>
      <c r="D12" s="430" t="s">
        <v>105</v>
      </c>
      <c r="E12" s="430" t="s">
        <v>106</v>
      </c>
      <c r="F12" s="103" t="str">
        <f t="shared" ref="F12:F21" si="0">IF(Q12=0,"NO",IF(Q12=1,"SI",IF(Q12=3,"cede turno","CONDICIONAL")))</f>
        <v>CONDICIONAL</v>
      </c>
      <c r="G12" s="430" t="s">
        <v>108</v>
      </c>
      <c r="H12" s="430" t="s">
        <v>154</v>
      </c>
      <c r="I12" s="430" t="s">
        <v>190</v>
      </c>
      <c r="J12" s="430" t="s">
        <v>110</v>
      </c>
      <c r="K12" s="430" t="s">
        <v>156</v>
      </c>
      <c r="L12" s="430" t="s">
        <v>157</v>
      </c>
      <c r="M12" s="554" t="s">
        <v>113</v>
      </c>
      <c r="N12" s="430" t="s">
        <v>114</v>
      </c>
      <c r="O12" s="336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336" t="s">
        <v>121</v>
      </c>
      <c r="U12" s="337" t="s">
        <v>122</v>
      </c>
    </row>
    <row r="13" spans="1:21" ht="30" customHeight="1" thickTop="1">
      <c r="A13" s="404">
        <v>1</v>
      </c>
      <c r="B13" s="65">
        <v>1216</v>
      </c>
      <c r="C13" s="65">
        <v>24</v>
      </c>
      <c r="D13" s="65">
        <v>2</v>
      </c>
      <c r="E13" s="230">
        <v>40.0105</v>
      </c>
      <c r="F13" s="103" t="str">
        <f t="shared" si="0"/>
        <v>SI</v>
      </c>
      <c r="G13" s="65" t="s">
        <v>191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32.008400000000002</v>
      </c>
      <c r="I13" s="607">
        <v>2.0833333333333332E-2</v>
      </c>
      <c r="J13" s="607">
        <f>+$J$9/60*H13</f>
        <v>0.80700807596420499</v>
      </c>
      <c r="K13" s="406">
        <f t="shared" ref="K13:K19" si="1">+L14</f>
        <v>42976.703408590707</v>
      </c>
      <c r="L13" s="406">
        <f t="shared" ref="L13:L19" si="2">+K13+J13+I13</f>
        <v>42977.531250000007</v>
      </c>
      <c r="M13" s="174"/>
      <c r="N13" s="65"/>
      <c r="O13" s="52"/>
      <c r="P13" s="52" t="str">
        <f>+CONCATENATE(B13,C13)</f>
        <v>121624</v>
      </c>
      <c r="Q13" s="150">
        <f>VLOOKUP(P13,deuda!A$1:H$720,4,0)</f>
        <v>1</v>
      </c>
      <c r="R13" s="150">
        <f>VLOOKUP(P13,deuda!A$1:H$720,5,0)</f>
        <v>0</v>
      </c>
      <c r="S13" s="150" t="str">
        <f>IF(VLOOKUP(P13,deuda!A$1:H$720,6,0)=0,"",VLOOKUP(P13,deuda!A$1:H$720,6,0))</f>
        <v/>
      </c>
      <c r="T13" s="151" t="str">
        <f>IF((VLOOKUP(P13,deuda!A$1:H$720,7,0))=0,"",VLOOKUP(P13,deuda!A$1:H$720,7,0))</f>
        <v/>
      </c>
      <c r="U13" s="152" t="str">
        <f>IF((VLOOKUP(P13,deuda!A$1:H$720,8,0))=0,"",VLOOKUP(P13,deuda!A$1:H$720,8,0))</f>
        <v/>
      </c>
    </row>
    <row r="14" spans="1:21" ht="30" customHeight="1">
      <c r="A14" s="219">
        <v>2</v>
      </c>
      <c r="B14" s="62">
        <v>1216</v>
      </c>
      <c r="C14" s="62">
        <v>23</v>
      </c>
      <c r="D14" s="62">
        <v>1</v>
      </c>
      <c r="E14" s="405">
        <v>30</v>
      </c>
      <c r="F14" s="103" t="str">
        <f t="shared" si="0"/>
        <v>SI</v>
      </c>
      <c r="G14" s="62" t="s">
        <v>192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30</v>
      </c>
      <c r="I14" s="608">
        <v>1.3888888888888888E-2</v>
      </c>
      <c r="J14" s="607">
        <f t="shared" ref="J14:J21" si="3">+$J$9/60*H14</f>
        <v>0.75637152369147309</v>
      </c>
      <c r="K14" s="406">
        <f t="shared" si="1"/>
        <v>42975.933148178126</v>
      </c>
      <c r="L14" s="406">
        <f t="shared" si="2"/>
        <v>42976.703408590707</v>
      </c>
      <c r="M14" s="174"/>
      <c r="N14" s="62"/>
      <c r="O14" s="5"/>
      <c r="P14" s="52" t="str">
        <f t="shared" ref="P14:P21" si="4">+CONCATENATE(B14,C14)</f>
        <v>121623</v>
      </c>
      <c r="Q14" s="150">
        <f>VLOOKUP(P14,deuda!A$1:H$720,4,0)</f>
        <v>1</v>
      </c>
      <c r="R14" s="150">
        <f>VLOOKUP(P14,deuda!A$1:H$720,5,0)</f>
        <v>0</v>
      </c>
      <c r="S14" s="150" t="str">
        <f>IF(VLOOKUP(P14,deuda!A$1:H$720,6,0)=0,"",VLOOKUP(P14,deuda!A$1:H$720,6,0))</f>
        <v/>
      </c>
      <c r="T14" s="151" t="str">
        <f>IF((VLOOKUP(P14,deuda!A$1:H$720,7,0))=0,"",VLOOKUP(P14,deuda!A$1:H$720,7,0))</f>
        <v/>
      </c>
      <c r="U14" s="152" t="str">
        <f>IF((VLOOKUP(P14,deuda!A$1:H$720,8,0))=0,"",VLOOKUP(P14,deuda!A$1:H$720,8,0))</f>
        <v/>
      </c>
    </row>
    <row r="15" spans="1:21" ht="30" customHeight="1">
      <c r="A15" s="219">
        <v>3</v>
      </c>
      <c r="B15" s="62">
        <v>1216</v>
      </c>
      <c r="C15" s="62">
        <v>25</v>
      </c>
      <c r="D15" s="62">
        <v>1</v>
      </c>
      <c r="E15" s="148">
        <v>12.247</v>
      </c>
      <c r="F15" s="103" t="str">
        <f t="shared" si="0"/>
        <v>SI</v>
      </c>
      <c r="G15" s="62" t="s">
        <v>193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12.247</v>
      </c>
      <c r="I15" s="608">
        <v>0</v>
      </c>
      <c r="J15" s="607">
        <f t="shared" si="3"/>
        <v>0.30877606835498234</v>
      </c>
      <c r="K15" s="406">
        <f t="shared" si="1"/>
        <v>42975.624372109771</v>
      </c>
      <c r="L15" s="406">
        <f t="shared" si="2"/>
        <v>42975.933148178126</v>
      </c>
      <c r="M15" s="174"/>
      <c r="N15" s="62"/>
      <c r="O15" s="5"/>
      <c r="P15" s="52" t="str">
        <f t="shared" si="4"/>
        <v>121625</v>
      </c>
      <c r="Q15" s="150">
        <f>VLOOKUP(P15,deuda!A$1:H$720,4,0)</f>
        <v>1</v>
      </c>
      <c r="R15" s="150">
        <f>VLOOKUP(P15,deuda!A$1:H$720,5,0)</f>
        <v>2</v>
      </c>
      <c r="S15" s="150">
        <f>IF(VLOOKUP(P15,deuda!A$1:H$720,6,0)=0,"",VLOOKUP(P15,deuda!A$1:H$720,6,0))</f>
        <v>5640.47</v>
      </c>
      <c r="T15" s="151" t="str">
        <f>IF((VLOOKUP(P15,deuda!A$1:H$720,7,0))=0,"",VLOOKUP(P15,deuda!A$1:H$720,7,0))</f>
        <v/>
      </c>
      <c r="U15" s="152" t="str">
        <f>IF((VLOOKUP(P15,deuda!A$1:H$720,8,0))=0,"",VLOOKUP(P15,deuda!A$1:H$720,8,0))</f>
        <v/>
      </c>
    </row>
    <row r="16" spans="1:21" ht="30" customHeight="1">
      <c r="A16" s="219">
        <v>3</v>
      </c>
      <c r="B16" s="62">
        <v>1216</v>
      </c>
      <c r="C16" s="62">
        <v>27</v>
      </c>
      <c r="D16" s="62">
        <v>1</v>
      </c>
      <c r="E16" s="148">
        <v>16.096800000000002</v>
      </c>
      <c r="F16" s="103" t="str">
        <f t="shared" si="0"/>
        <v>SI</v>
      </c>
      <c r="G16" s="62" t="s">
        <v>193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16.096800000000002</v>
      </c>
      <c r="I16" s="608">
        <v>1.3888888888888888E-2</v>
      </c>
      <c r="J16" s="607">
        <f t="shared" si="3"/>
        <v>0.40583870475189687</v>
      </c>
      <c r="K16" s="406">
        <f t="shared" si="1"/>
        <v>42975.204644516125</v>
      </c>
      <c r="L16" s="406">
        <f t="shared" si="2"/>
        <v>42975.624372109771</v>
      </c>
      <c r="M16" s="125"/>
      <c r="N16" s="62"/>
      <c r="O16" s="5"/>
      <c r="P16" s="52" t="str">
        <f t="shared" si="4"/>
        <v>121627</v>
      </c>
      <c r="Q16" s="150">
        <f>VLOOKUP(P16,deuda!A$1:H$720,4,0)</f>
        <v>1</v>
      </c>
      <c r="R16" s="150">
        <f>VLOOKUP(P16,deuda!A$1:H$720,5,0)</f>
        <v>2</v>
      </c>
      <c r="S16" s="150">
        <f>IF(VLOOKUP(P16,deuda!A$1:H$720,6,0)=0,"",VLOOKUP(P16,deuda!A$1:H$720,6,0))</f>
        <v>7361.48</v>
      </c>
      <c r="T16" s="151" t="str">
        <f>IF((VLOOKUP(P16,deuda!A$1:H$720,7,0))=0,"",VLOOKUP(P16,deuda!A$1:H$720,7,0))</f>
        <v/>
      </c>
      <c r="U16" s="152" t="str">
        <f>IF((VLOOKUP(P16,deuda!A$1:H$720,8,0))=0,"",VLOOKUP(P16,deuda!A$1:H$720,8,0))</f>
        <v/>
      </c>
    </row>
    <row r="17" spans="1:21" ht="30" customHeight="1">
      <c r="A17" s="219">
        <v>4</v>
      </c>
      <c r="B17" s="62">
        <v>1216</v>
      </c>
      <c r="C17" s="62">
        <v>22</v>
      </c>
      <c r="D17" s="62">
        <v>1</v>
      </c>
      <c r="E17" s="148">
        <v>10.5525</v>
      </c>
      <c r="F17" s="103" t="str">
        <f t="shared" si="0"/>
        <v>SI</v>
      </c>
      <c r="G17" s="62" t="s">
        <v>194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10.5525</v>
      </c>
      <c r="I17" s="608">
        <v>0</v>
      </c>
      <c r="J17" s="607">
        <f t="shared" si="3"/>
        <v>0.26605368345847569</v>
      </c>
      <c r="K17" s="406">
        <f t="shared" si="1"/>
        <v>42974.938590832666</v>
      </c>
      <c r="L17" s="406">
        <f t="shared" si="2"/>
        <v>42975.204644516125</v>
      </c>
      <c r="M17" s="125"/>
      <c r="N17" s="62"/>
      <c r="O17" s="5"/>
      <c r="P17" s="52" t="str">
        <f t="shared" si="4"/>
        <v>121622</v>
      </c>
      <c r="Q17" s="150">
        <f>VLOOKUP(P17,deuda!A$1:H$720,4,0)</f>
        <v>1</v>
      </c>
      <c r="R17" s="150">
        <f>VLOOKUP(P17,deuda!A$1:H$720,5,0)</f>
        <v>2</v>
      </c>
      <c r="S17" s="150">
        <f>IF(VLOOKUP(P17,deuda!A$1:H$720,6,0)=0,"",VLOOKUP(P17,deuda!A$1:H$720,6,0))</f>
        <v>4780.05</v>
      </c>
      <c r="T17" s="151" t="str">
        <f>IF((VLOOKUP(P17,deuda!A$1:H$720,7,0))=0,"",VLOOKUP(P17,deuda!A$1:H$720,7,0))</f>
        <v/>
      </c>
      <c r="U17" s="152" t="str">
        <f>IF((VLOOKUP(P17,deuda!A$1:H$720,8,0))=0,"",VLOOKUP(P17,deuda!A$1:H$720,8,0))</f>
        <v/>
      </c>
    </row>
    <row r="18" spans="1:21" ht="30" customHeight="1">
      <c r="A18" s="219">
        <v>4</v>
      </c>
      <c r="B18" s="62">
        <v>1216</v>
      </c>
      <c r="C18" s="62">
        <v>26</v>
      </c>
      <c r="D18" s="62">
        <v>1</v>
      </c>
      <c r="E18" s="148">
        <v>5.1977000000000002</v>
      </c>
      <c r="F18" s="103" t="str">
        <f t="shared" si="0"/>
        <v>SI</v>
      </c>
      <c r="G18" s="62" t="s">
        <v>194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5.1977000000000002</v>
      </c>
      <c r="I18" s="608">
        <v>2.0833333333333332E-2</v>
      </c>
      <c r="J18" s="607">
        <f t="shared" si="3"/>
        <v>0.13104640895637232</v>
      </c>
      <c r="K18" s="406">
        <f t="shared" si="1"/>
        <v>42974.786711090375</v>
      </c>
      <c r="L18" s="406">
        <f t="shared" si="2"/>
        <v>42974.938590832666</v>
      </c>
      <c r="M18" s="125"/>
      <c r="N18" s="62"/>
      <c r="O18" s="5"/>
      <c r="P18" s="52" t="str">
        <f t="shared" si="4"/>
        <v>121626</v>
      </c>
      <c r="Q18" s="150">
        <f>VLOOKUP(P18,deuda!A$1:H$720,4,0)</f>
        <v>1</v>
      </c>
      <c r="R18" s="150">
        <f>VLOOKUP(P18,deuda!A$1:H$720,5,0)</f>
        <v>2</v>
      </c>
      <c r="S18" s="150">
        <f>IF(VLOOKUP(P18,deuda!A$1:H$720,6,0)=0,"",VLOOKUP(P18,deuda!A$1:H$720,6,0))</f>
        <v>2628.83</v>
      </c>
      <c r="T18" s="151" t="str">
        <f>IF((VLOOKUP(P18,deuda!A$1:H$720,7,0))=0,"",VLOOKUP(P18,deuda!A$1:H$720,7,0))</f>
        <v/>
      </c>
      <c r="U18" s="152" t="str">
        <f>IF((VLOOKUP(P18,deuda!A$1:H$720,8,0))=0,"",VLOOKUP(P18,deuda!A$1:H$720,8,0))</f>
        <v/>
      </c>
    </row>
    <row r="19" spans="1:21" ht="30" customHeight="1">
      <c r="A19" s="219">
        <v>5</v>
      </c>
      <c r="B19" s="62">
        <v>1216</v>
      </c>
      <c r="C19" s="62">
        <v>19</v>
      </c>
      <c r="D19" s="62">
        <v>1</v>
      </c>
      <c r="E19" s="148">
        <v>42.637500000000003</v>
      </c>
      <c r="F19" s="103" t="str">
        <f t="shared" si="0"/>
        <v>SI</v>
      </c>
      <c r="G19" s="62" t="s">
        <v>195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42.637500000000003</v>
      </c>
      <c r="I19" s="608">
        <v>1.3888888888888888E-2</v>
      </c>
      <c r="J19" s="607">
        <f t="shared" si="3"/>
        <v>1.0749930280465061</v>
      </c>
      <c r="K19" s="406">
        <f t="shared" si="1"/>
        <v>42973.697829173441</v>
      </c>
      <c r="L19" s="406">
        <f t="shared" si="2"/>
        <v>42974.786711090375</v>
      </c>
      <c r="M19" s="125"/>
      <c r="N19" s="62"/>
      <c r="O19" s="5"/>
      <c r="P19" s="52" t="str">
        <f t="shared" si="4"/>
        <v>121619</v>
      </c>
      <c r="Q19" s="150">
        <f>VLOOKUP(P19,deuda!A$1:H$720,4,0)</f>
        <v>1</v>
      </c>
      <c r="R19" s="150">
        <f>VLOOKUP(P19,deuda!A$1:H$720,5,0)</f>
        <v>2</v>
      </c>
      <c r="S19" s="150">
        <f>IF(VLOOKUP(P19,deuda!A$1:H$720,6,0)=0,"",VLOOKUP(P19,deuda!A$1:H$720,6,0))</f>
        <v>18264.05</v>
      </c>
      <c r="T19" s="151" t="str">
        <f>IF((VLOOKUP(P19,deuda!A$1:H$720,7,0))=0,"",VLOOKUP(P19,deuda!A$1:H$720,7,0))</f>
        <v/>
      </c>
      <c r="U19" s="152" t="str">
        <f>IF((VLOOKUP(P19,deuda!A$1:H$720,8,0))=0,"",VLOOKUP(P19,deuda!A$1:H$720,8,0))</f>
        <v/>
      </c>
    </row>
    <row r="20" spans="1:21" ht="30" customHeight="1" thickBot="1">
      <c r="A20" s="221">
        <v>6</v>
      </c>
      <c r="B20" s="407">
        <v>1216</v>
      </c>
      <c r="C20" s="407">
        <v>38</v>
      </c>
      <c r="D20" s="407">
        <v>1</v>
      </c>
      <c r="E20" s="408">
        <v>2.7639999999999998</v>
      </c>
      <c r="F20" s="103" t="str">
        <f>IF(Q20=0,"NO",IF(Q20=1,"SI",IF(Q20=3,"cede turno","CONDICIONAL")))</f>
        <v>NO</v>
      </c>
      <c r="G20" s="407" t="s">
        <v>196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0</v>
      </c>
      <c r="I20" s="609">
        <v>0</v>
      </c>
      <c r="J20" s="607">
        <f>+$J$9/60*H20</f>
        <v>0</v>
      </c>
      <c r="K20" s="406">
        <f>+L21</f>
        <v>42973.697829173441</v>
      </c>
      <c r="L20" s="406">
        <f>+K20+J20+I20</f>
        <v>42973.697829173441</v>
      </c>
      <c r="M20" s="125"/>
      <c r="N20" s="407"/>
      <c r="O20" s="29"/>
      <c r="P20" s="52" t="str">
        <f>+CONCATENATE(B20,C20)</f>
        <v>121638</v>
      </c>
      <c r="Q20" s="150">
        <f>VLOOKUP(P20,deuda!A$1:H$720,4,0)</f>
        <v>0</v>
      </c>
      <c r="R20" s="150">
        <f>VLOOKUP(P20,deuda!A$1:H$720,5,0)</f>
        <v>3</v>
      </c>
      <c r="S20" s="150">
        <f>IF(VLOOKUP(P20,deuda!A$1:H$720,6,0)=0,"",VLOOKUP(P20,deuda!A$1:H$720,6,0))</f>
        <v>2009.12</v>
      </c>
      <c r="T20" s="151" t="str">
        <f>IF((VLOOKUP(P20,deuda!A$1:H$720,7,0))=0,"",VLOOKUP(P20,deuda!A$1:H$720,7,0))</f>
        <v/>
      </c>
      <c r="U20" s="152" t="str">
        <f>IF((VLOOKUP(P20,deuda!A$1:H$720,8,0))=0,"",VLOOKUP(P20,deuda!A$1:H$720,8,0))</f>
        <v/>
      </c>
    </row>
    <row r="21" spans="1:21" ht="30" customHeight="1">
      <c r="A21" s="219">
        <v>7</v>
      </c>
      <c r="B21" s="62">
        <v>1216</v>
      </c>
      <c r="C21" s="62">
        <v>17</v>
      </c>
      <c r="D21" s="62">
        <v>1</v>
      </c>
      <c r="E21" s="405">
        <v>1.236</v>
      </c>
      <c r="F21" s="103" t="str">
        <f t="shared" si="0"/>
        <v>SI</v>
      </c>
      <c r="G21" s="62" t="s">
        <v>196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1.236</v>
      </c>
      <c r="I21" s="608">
        <v>4.1666666666666664E-2</v>
      </c>
      <c r="J21" s="607">
        <f t="shared" si="3"/>
        <v>3.1162506776088689E-2</v>
      </c>
      <c r="K21" s="406">
        <f>+C5+I6+I21</f>
        <v>42973.666666666664</v>
      </c>
      <c r="L21" s="406">
        <f>+K21+J21</f>
        <v>42973.697829173441</v>
      </c>
      <c r="M21" s="125"/>
      <c r="N21" s="62"/>
      <c r="O21" s="5"/>
      <c r="P21" s="52" t="str">
        <f t="shared" si="4"/>
        <v>121617</v>
      </c>
      <c r="Q21" s="150">
        <f>VLOOKUP(P21,deuda!A$1:H$720,4,0)</f>
        <v>1</v>
      </c>
      <c r="R21" s="150">
        <f>VLOOKUP(P21,deuda!A$1:H$720,5,0)</f>
        <v>0</v>
      </c>
      <c r="S21" s="150" t="str">
        <f>IF(VLOOKUP(P21,deuda!A$1:H$720,6,0)=0,"",VLOOKUP(P21,deuda!A$1:H$720,6,0))</f>
        <v/>
      </c>
      <c r="T21" s="151" t="str">
        <f>IF((VLOOKUP(P21,deuda!A$1:H$720,7,0))=0,"",VLOOKUP(P21,deuda!A$1:H$720,7,0))</f>
        <v/>
      </c>
      <c r="U21" s="152" t="str">
        <f>IF((VLOOKUP(P21,deuda!A$1:H$720,8,0))=0,"",VLOOKUP(P21,deuda!A$1:H$720,8,0))</f>
        <v/>
      </c>
    </row>
    <row r="22" spans="1:21">
      <c r="A22" s="81"/>
      <c r="B22" s="81"/>
      <c r="C22" s="81"/>
      <c r="D22" s="81"/>
      <c r="E22" s="409">
        <f>SUM(E13:E21)</f>
        <v>160.74200000000002</v>
      </c>
      <c r="F22" s="409"/>
      <c r="G22" s="410"/>
      <c r="H22" s="411">
        <f>SUM(H13:H21)</f>
        <v>149.9759</v>
      </c>
      <c r="I22" s="607">
        <f>SUM(I13:I21)</f>
        <v>0.125</v>
      </c>
      <c r="J22" s="412">
        <f>SUM(J13:J21)</f>
        <v>3.7812500000000004</v>
      </c>
      <c r="K22" s="610">
        <f>+SUM(J13:J21)</f>
        <v>3.7812500000000004</v>
      </c>
      <c r="L22" s="81"/>
      <c r="M22" s="125"/>
      <c r="N22" s="81"/>
      <c r="O22" s="10"/>
      <c r="P22" s="10"/>
    </row>
    <row r="23" spans="1:21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25"/>
      <c r="N23" s="137"/>
    </row>
    <row r="24" spans="1:21">
      <c r="M24" s="125"/>
    </row>
    <row r="25" spans="1:21">
      <c r="M25" s="125"/>
    </row>
    <row r="26" spans="1:21">
      <c r="M26" s="125"/>
    </row>
    <row r="27" spans="1:21">
      <c r="M27" s="125"/>
    </row>
    <row r="28" spans="1:21">
      <c r="M28" s="125"/>
    </row>
    <row r="29" spans="1:21">
      <c r="M29" s="125"/>
    </row>
    <row r="30" spans="1:21">
      <c r="M30" s="125"/>
    </row>
    <row r="31" spans="1:21">
      <c r="M31" s="125"/>
    </row>
    <row r="32" spans="1:21">
      <c r="M32" s="125"/>
    </row>
    <row r="33" spans="13:13">
      <c r="M33" s="10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1">
    <dataValidation allowBlank="1" showInputMessage="1" showErrorMessage="1" errorTitle="ATENCIÓN" error="NO PUEDEN INGRESARSE VALORES" promptTitle="RECORDAR" prompt="NO OLVIDE VOLVER A PEGAR LA FORMULA PARA QUE LA PLANILLA LEA AUTOMATICAMENTE LOS DATOS " sqref="Q13:Q21" xr:uid="{00000000-0002-0000-0A00-000000000000}"/>
  </dataValidations>
  <pageMargins left="0.25" right="0.25" top="0.75" bottom="0.75" header="0.3" footer="0.3"/>
  <pageSetup paperSize="281" scale="80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8"/>
  <dimension ref="A1:H132"/>
  <sheetViews>
    <sheetView view="pageBreakPreview" topLeftCell="A64" zoomScale="75" zoomScaleNormal="100" workbookViewId="0" xr3:uid="{FF0BDA26-1AD6-5648-BD9A-E01AA4DDCA7C}">
      <selection activeCell="J19" sqref="J19"/>
    </sheetView>
  </sheetViews>
  <sheetFormatPr defaultColWidth="11.42578125" defaultRowHeight="12.75"/>
  <cols>
    <col min="1" max="1" width="11.5703125" bestFit="1" customWidth="1"/>
    <col min="2" max="2" width="11.7109375" bestFit="1" customWidth="1"/>
    <col min="3" max="3" width="21.85546875" bestFit="1" customWidth="1"/>
    <col min="5" max="5" width="12" customWidth="1"/>
    <col min="6" max="6" width="11.7109375" bestFit="1" customWidth="1"/>
    <col min="8" max="8" width="11.5703125" bestFit="1" customWidth="1"/>
  </cols>
  <sheetData>
    <row r="1" spans="1:8">
      <c r="A1" s="447"/>
      <c r="B1" s="448"/>
      <c r="C1" s="448"/>
      <c r="D1" s="448"/>
      <c r="E1" s="448"/>
      <c r="F1" s="449"/>
      <c r="G1" s="81"/>
    </row>
    <row r="2" spans="1:8">
      <c r="A2" s="465" t="s">
        <v>64</v>
      </c>
      <c r="B2" s="81"/>
      <c r="C2" s="81"/>
      <c r="D2" s="81"/>
      <c r="E2" s="81"/>
      <c r="F2" s="451"/>
      <c r="G2" s="81"/>
    </row>
    <row r="3" spans="1:8">
      <c r="A3" s="450"/>
      <c r="B3" s="81"/>
      <c r="C3" s="81"/>
      <c r="D3" s="81"/>
      <c r="E3" s="81"/>
      <c r="F3" s="451"/>
      <c r="G3" s="81"/>
    </row>
    <row r="4" spans="1:8">
      <c r="A4" s="450" t="s">
        <v>139</v>
      </c>
      <c r="B4" s="81" t="str">
        <f>VLOOKUP(F5,'3_1'!$A$13:$H$31,7,0)</f>
        <v>FERNANDEZ, RODOLFO ANDRES</v>
      </c>
      <c r="C4" s="81"/>
      <c r="D4" s="81"/>
      <c r="E4" s="81"/>
      <c r="F4" s="452" t="s">
        <v>102</v>
      </c>
      <c r="G4" s="81"/>
    </row>
    <row r="5" spans="1:8">
      <c r="A5" s="450" t="s">
        <v>72</v>
      </c>
      <c r="B5" s="81" t="str">
        <f>+'3_1'!$H$2</f>
        <v>Hijuela Adriano Araujo ( SUR )</v>
      </c>
      <c r="C5" s="81"/>
      <c r="D5" s="81"/>
      <c r="E5" s="81"/>
      <c r="F5" s="452">
        <v>1</v>
      </c>
      <c r="G5" s="81"/>
    </row>
    <row r="6" spans="1:8">
      <c r="A6" s="450"/>
      <c r="B6" s="81"/>
      <c r="C6" s="81"/>
      <c r="D6" s="81"/>
      <c r="E6" s="81"/>
      <c r="F6" s="451"/>
      <c r="G6" s="81"/>
    </row>
    <row r="7" spans="1:8">
      <c r="A7" s="466" t="s">
        <v>140</v>
      </c>
      <c r="B7" s="458">
        <f>VLOOKUP(F5,'3_1'!$A$13:$B$31,2,0)</f>
        <v>1216</v>
      </c>
      <c r="C7" s="81"/>
      <c r="D7" s="139" t="s">
        <v>141</v>
      </c>
      <c r="E7" s="457">
        <f>DSUM('3_1'!A$12:K$31,'3_1'!$J$12,F4:F5)</f>
        <v>0.80700807596420499</v>
      </c>
      <c r="F7" s="451"/>
      <c r="G7" s="81"/>
    </row>
    <row r="8" spans="1:8">
      <c r="A8" s="466" t="s">
        <v>142</v>
      </c>
      <c r="B8" s="461">
        <v>24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8">
      <c r="A9" s="466" t="s">
        <v>144</v>
      </c>
      <c r="B9" s="462">
        <f>DSUM('3_1'!$A$12:$I$31,'3_1'!$H$12,F4:F5)</f>
        <v>32.008400000000002</v>
      </c>
      <c r="C9" s="81"/>
      <c r="D9" s="139" t="s">
        <v>145</v>
      </c>
      <c r="E9" s="458" t="str">
        <f>IF(VLOOKUP(F5,'3_1'!$A$13:$D$50,4,0)=1, "Definitivo 100%", "Eventual 80%")</f>
        <v>Eventual 80%</v>
      </c>
      <c r="F9" s="583"/>
      <c r="G9" s="81"/>
    </row>
    <row r="10" spans="1:8" ht="15.75">
      <c r="A10" s="450"/>
      <c r="B10" s="139" t="s">
        <v>146</v>
      </c>
      <c r="C10" s="145">
        <f>DMIN('3_1'!A$12:L$31,'3_1'!$K$12,F4:F5)</f>
        <v>42976.703408590707</v>
      </c>
      <c r="D10" s="189" t="str">
        <f>IF(E10=1,"Domingo",IF(E10=2,"Lunes",IF(E10=3,"Martes",IF(E10=4,"Miercoles",IF(E10=5,"Jueves",IF(E10=6,"Viernes",IF(E10=7,"Sábado",0)))))))</f>
        <v>Martes</v>
      </c>
      <c r="E10" s="190">
        <f>WEEKDAY(C10)</f>
        <v>3</v>
      </c>
      <c r="F10" s="453"/>
      <c r="G10" s="81"/>
    </row>
    <row r="11" spans="1:8" ht="15.75">
      <c r="A11" s="450"/>
      <c r="B11" s="139" t="s">
        <v>147</v>
      </c>
      <c r="C11" s="145">
        <f>DMAX('3_1'!A$12:N$31,'3_1'!$L$12,F4:F5)</f>
        <v>42977.531250000007</v>
      </c>
      <c r="D11" s="189" t="str">
        <f>IF(E11=1,"Domingo",IF(E11=2,"Lunes",IF(E11=3,"Martes",IF(E11=4,"Miercoles",IF(E11=5,"Jueves",IF(E11=6,"Viernes",IF(E11=7,"Sábado",0)))))))</f>
        <v>Miercoles</v>
      </c>
      <c r="E11" s="190">
        <f>WEEKDAY(C11)</f>
        <v>4</v>
      </c>
      <c r="F11" s="453"/>
      <c r="G11" s="81"/>
    </row>
    <row r="12" spans="1:8">
      <c r="A12" s="323" t="str">
        <f>+'planilla caudales'!$J$14</f>
        <v>Caudal l/s</v>
      </c>
      <c r="B12" s="324" t="str">
        <f>+'planilla caudales'!$K$14</f>
        <v>Escala cm</v>
      </c>
      <c r="C12" s="81"/>
      <c r="D12" s="81"/>
      <c r="E12" s="584"/>
      <c r="F12" s="583"/>
      <c r="G12" s="81"/>
    </row>
    <row r="13" spans="1:8">
      <c r="A13" s="606">
        <f>+'planilla caudales'!$J$16</f>
        <v>239.96144000000001</v>
      </c>
      <c r="B13" s="606">
        <f>+'planilla caudales'!$K$16</f>
        <v>27.409005355473788</v>
      </c>
      <c r="C13" s="81"/>
      <c r="D13" s="81"/>
      <c r="E13" s="81"/>
      <c r="F13" s="451"/>
      <c r="G13" s="81"/>
    </row>
    <row r="14" spans="1:8">
      <c r="A14" s="611"/>
      <c r="B14" s="611"/>
      <c r="C14" s="81"/>
      <c r="D14" s="81"/>
      <c r="E14" s="81"/>
      <c r="F14" s="451"/>
      <c r="G14" s="81"/>
    </row>
    <row r="15" spans="1:8" ht="3.75" customHeight="1">
      <c r="A15" s="611"/>
      <c r="B15" s="611"/>
      <c r="C15" s="81"/>
      <c r="D15" s="81"/>
      <c r="E15" s="81"/>
      <c r="F15" s="451"/>
      <c r="G15" s="81"/>
    </row>
    <row r="16" spans="1:8" ht="22.5" customHeight="1">
      <c r="A16" s="674">
        <f>+Mensajes!$B$7</f>
        <v>0</v>
      </c>
      <c r="B16" s="675"/>
      <c r="C16" s="675"/>
      <c r="D16" s="675"/>
      <c r="E16" s="675"/>
      <c r="F16" s="676"/>
      <c r="G16" s="81"/>
      <c r="H16">
        <f>6*17</f>
        <v>102</v>
      </c>
    </row>
    <row r="17" spans="1:7">
      <c r="A17" s="674">
        <f>+Mensajes!$B$12</f>
        <v>0</v>
      </c>
      <c r="B17" s="675"/>
      <c r="C17" s="675"/>
      <c r="D17" s="675"/>
      <c r="E17" s="675"/>
      <c r="F17" s="676"/>
      <c r="G17" s="81"/>
    </row>
    <row r="18" spans="1:7" ht="13.5" thickBot="1">
      <c r="A18" s="468"/>
      <c r="B18" s="455"/>
      <c r="C18" s="455"/>
      <c r="D18" s="455"/>
      <c r="E18" s="454" t="str">
        <f>IF(DSUM('3_1'!$A$12:$Q$88,16,F4:F5)=COUNTIF('3_1'!$A$13:$A$88,F5),"","Regularice su Deuda")</f>
        <v>Regularice su Deuda</v>
      </c>
      <c r="F18" s="469"/>
      <c r="G18" s="81"/>
    </row>
    <row r="19" spans="1:7" ht="13.5" thickBot="1"/>
    <row r="20" spans="1:7">
      <c r="A20" s="447"/>
      <c r="B20" s="448"/>
      <c r="C20" s="448"/>
      <c r="D20" s="448"/>
      <c r="E20" s="448"/>
      <c r="F20" s="449"/>
    </row>
    <row r="21" spans="1:7">
      <c r="A21" s="465" t="s">
        <v>64</v>
      </c>
      <c r="B21" s="81"/>
      <c r="C21" s="81"/>
      <c r="D21" s="81"/>
      <c r="E21" s="81"/>
      <c r="F21" s="451"/>
    </row>
    <row r="22" spans="1:7">
      <c r="A22" s="450"/>
      <c r="B22" s="81"/>
      <c r="C22" s="81"/>
      <c r="D22" s="81"/>
      <c r="E22" s="81"/>
      <c r="F22" s="451"/>
    </row>
    <row r="23" spans="1:7">
      <c r="A23" s="450" t="s">
        <v>139</v>
      </c>
      <c r="B23" s="81" t="str">
        <f>VLOOKUP(F24,'3_1'!$A$13:$H$31,7,0)</f>
        <v>AMADEO MARAÑON</v>
      </c>
      <c r="C23" s="81"/>
      <c r="D23" s="81"/>
      <c r="E23" s="81"/>
      <c r="F23" s="452" t="s">
        <v>102</v>
      </c>
    </row>
    <row r="24" spans="1:7">
      <c r="A24" s="450" t="s">
        <v>72</v>
      </c>
      <c r="B24" s="81" t="str">
        <f>+'3_1'!$H$2</f>
        <v>Hijuela Adriano Araujo ( SUR )</v>
      </c>
      <c r="C24" s="81"/>
      <c r="D24" s="81"/>
      <c r="E24" s="81"/>
      <c r="F24" s="452">
        <v>2</v>
      </c>
    </row>
    <row r="25" spans="1:7">
      <c r="A25" s="450"/>
      <c r="B25" s="81">
        <v>23</v>
      </c>
      <c r="C25" s="81"/>
      <c r="D25" s="81"/>
      <c r="E25" s="81"/>
      <c r="F25" s="451"/>
    </row>
    <row r="26" spans="1:7">
      <c r="A26" s="466" t="s">
        <v>140</v>
      </c>
      <c r="B26" s="458">
        <f>VLOOKUP(F24,'3_1'!$A$13:$B$31,2,0)</f>
        <v>1216</v>
      </c>
      <c r="C26" s="81"/>
      <c r="D26" s="139" t="s">
        <v>141</v>
      </c>
      <c r="E26" s="457">
        <f>DSUM('3_1'!A$12:K$31,'3_1'!$J$12,F23:F24)</f>
        <v>0.75637152369147309</v>
      </c>
      <c r="F26" s="451"/>
    </row>
    <row r="27" spans="1:7">
      <c r="A27" s="466" t="s">
        <v>142</v>
      </c>
      <c r="B27" s="461">
        <v>25</v>
      </c>
      <c r="C27" s="81"/>
      <c r="D27" s="139" t="s">
        <v>143</v>
      </c>
      <c r="E27" s="459" t="str">
        <f>+Hijuelas!$G$7</f>
        <v>POR FRACCIÓN</v>
      </c>
      <c r="F27" s="451"/>
    </row>
    <row r="28" spans="1:7">
      <c r="A28" s="466" t="s">
        <v>144</v>
      </c>
      <c r="B28" s="462">
        <f>DSUM('3_1'!$A$12:$I$31,'3_1'!$H$12,F23:F24)</f>
        <v>30</v>
      </c>
      <c r="C28" s="81"/>
      <c r="D28" s="139" t="s">
        <v>145</v>
      </c>
      <c r="E28" s="458" t="str">
        <f>IF(VLOOKUP(F24,'3_1'!$A$13:$D$50,4,0)=1, "Definitivo 100%", "Eventual 80%")</f>
        <v>Definitivo 100%</v>
      </c>
      <c r="F28" s="583"/>
    </row>
    <row r="29" spans="1:7" ht="15.75">
      <c r="A29" s="450"/>
      <c r="B29" s="139" t="s">
        <v>146</v>
      </c>
      <c r="C29" s="145">
        <f>DMIN('3_1'!A$12:L$31,'3_1'!$K$12,F23:F24)</f>
        <v>42975.933148178126</v>
      </c>
      <c r="D29" s="189" t="str">
        <f>IF(E29=1,"Domingo",IF(E29=2,"Lunes",IF(E29=3,"Martes",IF(E29=4,"Miercoles",IF(E29=5,"Jueves",IF(E29=6,"Viernes",IF(E29=7,"Sábado",0)))))))</f>
        <v>Lunes</v>
      </c>
      <c r="E29" s="190">
        <f>WEEKDAY(C29)</f>
        <v>2</v>
      </c>
      <c r="F29" s="453"/>
    </row>
    <row r="30" spans="1:7" ht="15.75">
      <c r="A30" s="450"/>
      <c r="B30" s="139" t="s">
        <v>147</v>
      </c>
      <c r="C30" s="145">
        <f>DMAX('3_1'!A$12:N$31,'3_1'!$L$12,F23:F24)</f>
        <v>42976.703408590707</v>
      </c>
      <c r="D30" s="189" t="str">
        <f>IF(E30=1,"Domingo",IF(E30=2,"Lunes",IF(E30=3,"Martes",IF(E30=4,"Miercoles",IF(E30=5,"Jueves",IF(E30=6,"Viernes",IF(E30=7,"Sábado",0)))))))</f>
        <v>Martes</v>
      </c>
      <c r="E30" s="190">
        <f>WEEKDAY(C30)</f>
        <v>3</v>
      </c>
      <c r="F30" s="453"/>
    </row>
    <row r="31" spans="1:7">
      <c r="A31" s="323" t="str">
        <f>+'planilla caudales'!$J$14</f>
        <v>Caudal l/s</v>
      </c>
      <c r="B31" s="324" t="str">
        <f>+'planilla caudales'!$K$14</f>
        <v>Escala cm</v>
      </c>
      <c r="C31" s="81"/>
      <c r="D31" s="81"/>
      <c r="E31" s="584"/>
      <c r="F31" s="583"/>
    </row>
    <row r="32" spans="1:7">
      <c r="A32" s="606">
        <f>+'planilla caudales'!$J$16</f>
        <v>239.96144000000001</v>
      </c>
      <c r="B32" s="606">
        <f>+'planilla caudales'!$K$16</f>
        <v>27.409005355473788</v>
      </c>
      <c r="C32" s="81"/>
      <c r="D32" s="81"/>
      <c r="E32" s="81"/>
      <c r="F32" s="451"/>
    </row>
    <row r="33" spans="1:6">
      <c r="A33" s="611"/>
      <c r="B33" s="611"/>
      <c r="C33" s="81"/>
      <c r="D33" s="81"/>
      <c r="E33" s="81"/>
      <c r="F33" s="451"/>
    </row>
    <row r="34" spans="1:6">
      <c r="A34" s="611"/>
      <c r="B34" s="611"/>
      <c r="C34" s="81"/>
      <c r="D34" s="81"/>
      <c r="E34" s="81"/>
      <c r="F34" s="451"/>
    </row>
    <row r="35" spans="1:6">
      <c r="A35" s="674">
        <f>+Mensajes!$B$7</f>
        <v>0</v>
      </c>
      <c r="B35" s="675"/>
      <c r="C35" s="675"/>
      <c r="D35" s="675"/>
      <c r="E35" s="675"/>
      <c r="F35" s="676"/>
    </row>
    <row r="36" spans="1:6">
      <c r="A36" s="674">
        <f>+Mensajes!$B$12</f>
        <v>0</v>
      </c>
      <c r="B36" s="675"/>
      <c r="C36" s="675"/>
      <c r="D36" s="675"/>
      <c r="E36" s="675"/>
      <c r="F36" s="676"/>
    </row>
    <row r="37" spans="1:6" ht="13.5" thickBot="1">
      <c r="A37" s="468"/>
      <c r="B37" s="455"/>
      <c r="C37" s="455"/>
      <c r="D37" s="455"/>
      <c r="E37" s="454" t="str">
        <f>IF(DSUM('3_1'!$A$12:$Q$88,16,F23:F24)=COUNTIF('3_1'!$A$13:$A$88,F24),"","Regularice su Deuda")</f>
        <v>Regularice su Deuda</v>
      </c>
      <c r="F37" s="469"/>
    </row>
    <row r="38" spans="1:6" ht="13.5" thickBot="1"/>
    <row r="39" spans="1:6">
      <c r="A39" s="447"/>
      <c r="B39" s="448"/>
      <c r="C39" s="448"/>
      <c r="D39" s="448"/>
      <c r="E39" s="448"/>
      <c r="F39" s="449"/>
    </row>
    <row r="40" spans="1:6">
      <c r="A40" s="465" t="s">
        <v>64</v>
      </c>
      <c r="B40" s="81"/>
      <c r="C40" s="81"/>
      <c r="D40" s="81"/>
      <c r="E40" s="81"/>
      <c r="F40" s="451"/>
    </row>
    <row r="41" spans="1:6">
      <c r="A41" s="450"/>
      <c r="B41" s="81"/>
      <c r="C41" s="81"/>
      <c r="D41" s="81"/>
      <c r="E41" s="81"/>
      <c r="F41" s="451"/>
    </row>
    <row r="42" spans="1:6">
      <c r="A42" s="450" t="s">
        <v>139</v>
      </c>
      <c r="B42" s="81" t="s">
        <v>197</v>
      </c>
      <c r="C42" s="81"/>
      <c r="D42" s="81"/>
      <c r="E42" s="81"/>
      <c r="F42" s="452" t="s">
        <v>102</v>
      </c>
    </row>
    <row r="43" spans="1:6">
      <c r="A43" s="450" t="s">
        <v>72</v>
      </c>
      <c r="B43" s="81" t="str">
        <f>+'3_1'!$H$2</f>
        <v>Hijuela Adriano Araujo ( SUR )</v>
      </c>
      <c r="C43" s="81"/>
      <c r="D43" s="81"/>
      <c r="E43" s="81"/>
      <c r="F43" s="452">
        <v>3</v>
      </c>
    </row>
    <row r="44" spans="1:6">
      <c r="A44" s="450"/>
      <c r="B44" s="81"/>
      <c r="C44" s="81"/>
      <c r="D44" s="81"/>
      <c r="E44" s="81"/>
      <c r="F44" s="451"/>
    </row>
    <row r="45" spans="1:6">
      <c r="A45" s="466" t="s">
        <v>140</v>
      </c>
      <c r="B45" s="458">
        <f>VLOOKUP(F43,'3_1'!$A$13:$B$31,2,0)</f>
        <v>1216</v>
      </c>
      <c r="C45" s="81"/>
      <c r="D45" s="139" t="s">
        <v>141</v>
      </c>
      <c r="E45" s="457">
        <v>1.1125</v>
      </c>
      <c r="F45" s="451"/>
    </row>
    <row r="46" spans="1:6">
      <c r="A46" s="466" t="s">
        <v>142</v>
      </c>
      <c r="B46" s="461">
        <v>26</v>
      </c>
      <c r="C46" s="81"/>
      <c r="D46" s="139" t="s">
        <v>143</v>
      </c>
      <c r="E46" s="459" t="str">
        <f>+Hijuelas!$G$7</f>
        <v>POR FRACCIÓN</v>
      </c>
      <c r="F46" s="451"/>
    </row>
    <row r="47" spans="1:6">
      <c r="A47" s="466" t="s">
        <v>144</v>
      </c>
      <c r="B47" s="462">
        <f>DSUM('3_1'!$A$12:$I$31,'3_1'!$H$12,F42:F43)</f>
        <v>28.343800000000002</v>
      </c>
      <c r="C47" s="81"/>
      <c r="D47" s="139" t="s">
        <v>145</v>
      </c>
      <c r="E47" s="458" t="str">
        <f>IF(VLOOKUP(F43,'3_1'!$A$13:$D$50,4,0)=1, "Definitivo 100%", "Eventual 80%")</f>
        <v>Definitivo 100%</v>
      </c>
      <c r="F47" s="583"/>
    </row>
    <row r="48" spans="1:6" ht="15.75">
      <c r="A48" s="450"/>
      <c r="B48" s="139" t="s">
        <v>146</v>
      </c>
      <c r="C48" s="145">
        <f>DMIN('3_1'!A$12:L$31,'3_1'!$K$12,F42:F43)</f>
        <v>42975.204644516125</v>
      </c>
      <c r="D48" s="189" t="str">
        <f>IF(E48=1,"Domingo",IF(E48=2,"Lunes",IF(E48=3,"Martes",IF(E48=4,"Miercoles",IF(E48=5,"Jueves",IF(E48=6,"Viernes",IF(E48=7,"Sábado",0)))))))</f>
        <v>Lunes</v>
      </c>
      <c r="E48" s="190">
        <f>WEEKDAY(C48)</f>
        <v>2</v>
      </c>
      <c r="F48" s="453"/>
    </row>
    <row r="49" spans="1:6" ht="15.75">
      <c r="A49" s="450"/>
      <c r="B49" s="139" t="s">
        <v>147</v>
      </c>
      <c r="C49" s="145">
        <f>DMAX('3_1'!A$12:N$31,'3_1'!$L$12,F42:F43)</f>
        <v>42975.933148178126</v>
      </c>
      <c r="D49" s="189" t="str">
        <f>IF(E49=1,"Domingo",IF(E49=2,"Lunes",IF(E49=3,"Martes",IF(E49=4,"Miercoles",IF(E49=5,"Jueves",IF(E49=6,"Viernes",IF(E49=7,"Sábado",0)))))))</f>
        <v>Lunes</v>
      </c>
      <c r="E49" s="190">
        <f>WEEKDAY(C49)</f>
        <v>2</v>
      </c>
      <c r="F49" s="453"/>
    </row>
    <row r="50" spans="1:6">
      <c r="A50" s="323" t="str">
        <f>+'planilla caudales'!$J$14</f>
        <v>Caudal l/s</v>
      </c>
      <c r="B50" s="324" t="str">
        <f>+'planilla caudales'!$K$14</f>
        <v>Escala cm</v>
      </c>
      <c r="C50" s="81"/>
      <c r="D50" s="81"/>
      <c r="E50" s="584"/>
      <c r="F50" s="583"/>
    </row>
    <row r="51" spans="1:6">
      <c r="A51" s="606">
        <f>+'planilla caudales'!$J$16</f>
        <v>239.96144000000001</v>
      </c>
      <c r="B51" s="606">
        <f>+'planilla caudales'!$K$16</f>
        <v>27.409005355473788</v>
      </c>
      <c r="C51" s="81"/>
      <c r="D51" s="81"/>
      <c r="E51" s="81"/>
      <c r="F51" s="451"/>
    </row>
    <row r="52" spans="1:6">
      <c r="A52" s="611"/>
      <c r="B52" s="611"/>
      <c r="C52" s="81"/>
      <c r="D52" s="81"/>
      <c r="E52" s="81"/>
      <c r="F52" s="451"/>
    </row>
    <row r="53" spans="1:6">
      <c r="A53" s="611"/>
      <c r="B53" s="611"/>
      <c r="C53" s="81"/>
      <c r="D53" s="81"/>
      <c r="E53" s="81"/>
      <c r="F53" s="451"/>
    </row>
    <row r="54" spans="1:6">
      <c r="A54" s="674">
        <f>+Mensajes!$B$7</f>
        <v>0</v>
      </c>
      <c r="B54" s="675"/>
      <c r="C54" s="675"/>
      <c r="D54" s="675"/>
      <c r="E54" s="675"/>
      <c r="F54" s="676"/>
    </row>
    <row r="55" spans="1:6">
      <c r="A55" s="674">
        <f>+Mensajes!$B$12</f>
        <v>0</v>
      </c>
      <c r="B55" s="675"/>
      <c r="C55" s="675"/>
      <c r="D55" s="675"/>
      <c r="E55" s="675"/>
      <c r="F55" s="676"/>
    </row>
    <row r="56" spans="1:6" ht="13.5" thickBot="1">
      <c r="A56" s="468"/>
      <c r="B56" s="455"/>
      <c r="C56" s="455"/>
      <c r="D56" s="455"/>
      <c r="E56" s="454" t="str">
        <f>IF(DSUM('3_1'!$A$12:$Q$88,16,F42:F43)=COUNTIF('3_1'!$A$13:$A$88,F43),"","Regularice su Deuda")</f>
        <v>Regularice su Deuda</v>
      </c>
      <c r="F56" s="469"/>
    </row>
    <row r="57" spans="1:6" ht="13.5" thickBot="1"/>
    <row r="58" spans="1:6">
      <c r="A58" s="447"/>
      <c r="B58" s="448"/>
      <c r="C58" s="448"/>
      <c r="D58" s="448"/>
      <c r="E58" s="448"/>
      <c r="F58" s="449"/>
    </row>
    <row r="59" spans="1:6">
      <c r="A59" s="465" t="s">
        <v>64</v>
      </c>
      <c r="B59" s="81" t="s">
        <v>198</v>
      </c>
      <c r="C59" s="81"/>
      <c r="D59" s="81"/>
      <c r="E59" s="81"/>
      <c r="F59" s="451"/>
    </row>
    <row r="60" spans="1:6">
      <c r="A60" s="450"/>
      <c r="B60" s="81"/>
      <c r="C60" s="81"/>
      <c r="D60" s="81"/>
      <c r="E60" s="81"/>
      <c r="F60" s="451"/>
    </row>
    <row r="61" spans="1:6">
      <c r="A61" s="450" t="s">
        <v>139</v>
      </c>
      <c r="B61" s="81" t="str">
        <f>VLOOKUP(F62,'3_1'!$A$13:$H$31,7,0)</f>
        <v>GIMENEZ, RAFAEL</v>
      </c>
      <c r="C61" s="81"/>
      <c r="D61" s="81"/>
      <c r="E61" s="81"/>
      <c r="F61" s="452" t="s">
        <v>102</v>
      </c>
    </row>
    <row r="62" spans="1:6">
      <c r="A62" s="450" t="s">
        <v>72</v>
      </c>
      <c r="B62" s="81" t="str">
        <f>+'3_1'!$H$2</f>
        <v>Hijuela Adriano Araujo ( SUR )</v>
      </c>
      <c r="C62" s="81"/>
      <c r="D62" s="81"/>
      <c r="E62" s="81"/>
      <c r="F62" s="452">
        <v>4</v>
      </c>
    </row>
    <row r="63" spans="1:6">
      <c r="A63" s="450"/>
      <c r="B63" s="81"/>
      <c r="C63" s="81"/>
      <c r="D63" s="81"/>
      <c r="E63" s="81"/>
      <c r="F63" s="451"/>
    </row>
    <row r="64" spans="1:6">
      <c r="A64" s="466" t="s">
        <v>140</v>
      </c>
      <c r="B64" s="458">
        <f>VLOOKUP(F62,'3_1'!$A$13:$B$31,2,0)</f>
        <v>1216</v>
      </c>
      <c r="C64" s="81"/>
      <c r="D64" s="139" t="s">
        <v>141</v>
      </c>
      <c r="E64" s="457">
        <f>DSUM('3_1'!A$12:K$31,'3_1'!$J$12,F61:F62)</f>
        <v>0.397100092414848</v>
      </c>
      <c r="F64" s="451"/>
    </row>
    <row r="65" spans="1:6">
      <c r="A65" s="466" t="s">
        <v>142</v>
      </c>
      <c r="B65" s="461">
        <v>27</v>
      </c>
      <c r="C65" s="81"/>
      <c r="D65" s="139" t="s">
        <v>143</v>
      </c>
      <c r="E65" s="459" t="str">
        <f>+Hijuelas!$G$7</f>
        <v>POR FRACCIÓN</v>
      </c>
      <c r="F65" s="451"/>
    </row>
    <row r="66" spans="1:6">
      <c r="A66" s="466" t="s">
        <v>144</v>
      </c>
      <c r="B66" s="462">
        <f>DSUM('3_1'!$A$12:$I$31,'3_1'!$H$12,F61:F62)</f>
        <v>15.7502</v>
      </c>
      <c r="C66" s="81"/>
      <c r="D66" s="139" t="s">
        <v>145</v>
      </c>
      <c r="E66" s="458" t="str">
        <f>IF(VLOOKUP(F62,'3_1'!$A$13:$D$50,4,0)=1, "Definitivo 100%", "Eventual 80%")</f>
        <v>Definitivo 100%</v>
      </c>
      <c r="F66" s="583"/>
    </row>
    <row r="67" spans="1:6" ht="15.75">
      <c r="A67" s="450"/>
      <c r="B67" s="139" t="s">
        <v>146</v>
      </c>
      <c r="C67" s="145">
        <f>DMIN('3_1'!A$12:L$31,'3_1'!$K$12,F61:F62)</f>
        <v>42974.786711090375</v>
      </c>
      <c r="D67" s="189" t="str">
        <f>IF(E67=1,"Domingo",IF(E67=2,"Lunes",IF(E67=3,"Martes",IF(E67=4,"Miercoles",IF(E67=5,"Jueves",IF(E67=6,"Viernes",IF(E67=7,"Sábado",0)))))))</f>
        <v>Domingo</v>
      </c>
      <c r="E67" s="190">
        <f>WEEKDAY(C67)</f>
        <v>1</v>
      </c>
      <c r="F67" s="453"/>
    </row>
    <row r="68" spans="1:6" ht="15.75">
      <c r="A68" s="450"/>
      <c r="B68" s="139" t="s">
        <v>147</v>
      </c>
      <c r="C68" s="145">
        <f>DMAX('3_1'!A$12:N$31,'3_1'!$L$12,F61:F62)</f>
        <v>42975.204644516125</v>
      </c>
      <c r="D68" s="189" t="str">
        <f>IF(E68=1,"Domingo",IF(E68=2,"Lunes",IF(E68=3,"Martes",IF(E68=4,"Miercoles",IF(E68=5,"Jueves",IF(E68=6,"Viernes",IF(E68=7,"Sábado",0)))))))</f>
        <v>Lunes</v>
      </c>
      <c r="E68" s="190">
        <f>WEEKDAY(C68)</f>
        <v>2</v>
      </c>
      <c r="F68" s="453"/>
    </row>
    <row r="69" spans="1:6">
      <c r="A69" s="323" t="str">
        <f>+'planilla caudales'!$J$14</f>
        <v>Caudal l/s</v>
      </c>
      <c r="B69" s="324" t="str">
        <f>+'planilla caudales'!$K$14</f>
        <v>Escala cm</v>
      </c>
      <c r="C69" s="81"/>
      <c r="D69" s="81"/>
      <c r="E69" s="584"/>
      <c r="F69" s="583"/>
    </row>
    <row r="70" spans="1:6">
      <c r="A70" s="606">
        <f>+'planilla caudales'!$J$16</f>
        <v>239.96144000000001</v>
      </c>
      <c r="B70" s="606">
        <f>+'planilla caudales'!$K$16</f>
        <v>27.409005355473788</v>
      </c>
      <c r="C70" s="81"/>
      <c r="D70" s="81"/>
      <c r="E70" s="81"/>
      <c r="F70" s="451"/>
    </row>
    <row r="71" spans="1:6">
      <c r="A71" s="611"/>
      <c r="B71" s="611"/>
      <c r="C71" s="81"/>
      <c r="D71" s="81"/>
      <c r="E71" s="81"/>
      <c r="F71" s="451"/>
    </row>
    <row r="72" spans="1:6">
      <c r="A72" s="611"/>
      <c r="B72" s="611"/>
      <c r="C72" s="81"/>
      <c r="D72" s="81"/>
      <c r="E72" s="81"/>
      <c r="F72" s="451"/>
    </row>
    <row r="73" spans="1:6">
      <c r="A73" s="674">
        <f>+Mensajes!$B$7</f>
        <v>0</v>
      </c>
      <c r="B73" s="675"/>
      <c r="C73" s="675"/>
      <c r="D73" s="675"/>
      <c r="E73" s="675"/>
      <c r="F73" s="676"/>
    </row>
    <row r="74" spans="1:6">
      <c r="A74" s="674">
        <f>+Mensajes!$B$12</f>
        <v>0</v>
      </c>
      <c r="B74" s="675"/>
      <c r="C74" s="675"/>
      <c r="D74" s="675"/>
      <c r="E74" s="675"/>
      <c r="F74" s="676"/>
    </row>
    <row r="75" spans="1:6" ht="13.5" thickBot="1">
      <c r="A75" s="468"/>
      <c r="B75" s="455"/>
      <c r="C75" s="455"/>
      <c r="D75" s="455"/>
      <c r="E75" s="454" t="str">
        <f>IF(DSUM('3_1'!$A$12:$Q$88,16,F61:F62)=COUNTIF('3_1'!$A$13:$A$88,F62),"","Regularice su Deuda")</f>
        <v>Regularice su Deuda</v>
      </c>
      <c r="F75" s="469"/>
    </row>
    <row r="76" spans="1:6" ht="13.5" thickBot="1">
      <c r="B76">
        <v>19</v>
      </c>
    </row>
    <row r="77" spans="1:6">
      <c r="A77" s="447"/>
      <c r="B77" s="448"/>
      <c r="C77" s="448"/>
      <c r="D77" s="448"/>
      <c r="E77" s="448"/>
      <c r="F77" s="449"/>
    </row>
    <row r="78" spans="1:6">
      <c r="A78" s="465" t="s">
        <v>64</v>
      </c>
      <c r="B78" s="81"/>
      <c r="C78" s="81"/>
      <c r="D78" s="81"/>
      <c r="E78" s="81"/>
      <c r="F78" s="451"/>
    </row>
    <row r="79" spans="1:6">
      <c r="A79" s="450"/>
      <c r="B79" s="81"/>
      <c r="C79" s="81"/>
      <c r="D79" s="81"/>
      <c r="E79" s="81"/>
      <c r="F79" s="451"/>
    </row>
    <row r="80" spans="1:6">
      <c r="A80" s="450" t="s">
        <v>139</v>
      </c>
      <c r="B80" s="81" t="str">
        <f>VLOOKUP(F81,'3_1'!$A$13:$H$31,7,0)</f>
        <v>ELASKAR, CAMILO</v>
      </c>
      <c r="C80" s="81"/>
      <c r="D80" s="81"/>
      <c r="E80" s="81"/>
      <c r="F80" s="452" t="s">
        <v>102</v>
      </c>
    </row>
    <row r="81" spans="1:6">
      <c r="A81" s="450" t="s">
        <v>72</v>
      </c>
      <c r="B81" s="81" t="str">
        <f>+'3_1'!$H$2</f>
        <v>Hijuela Adriano Araujo ( SUR )</v>
      </c>
      <c r="C81" s="81"/>
      <c r="D81" s="81"/>
      <c r="E81" s="81"/>
      <c r="F81" s="452">
        <v>5</v>
      </c>
    </row>
    <row r="82" spans="1:6">
      <c r="A82" s="450"/>
      <c r="B82" s="81"/>
      <c r="C82" s="81"/>
      <c r="D82" s="81"/>
      <c r="E82" s="81"/>
      <c r="F82" s="451"/>
    </row>
    <row r="83" spans="1:6">
      <c r="A83" s="466" t="s">
        <v>140</v>
      </c>
      <c r="B83" s="458">
        <f>VLOOKUP(F81,'3_1'!$A$13:$B$31,2,0)</f>
        <v>1216</v>
      </c>
      <c r="C83" s="81"/>
      <c r="D83" s="139" t="s">
        <v>141</v>
      </c>
      <c r="E83" s="457">
        <f>DSUM('3_1'!A$12:K$31,'3_1'!$J$12,F80:F81)</f>
        <v>1.0749930280465061</v>
      </c>
      <c r="F83" s="451"/>
    </row>
    <row r="84" spans="1:6">
      <c r="A84" s="466" t="s">
        <v>142</v>
      </c>
      <c r="B84" s="461">
        <v>28</v>
      </c>
      <c r="C84" s="81"/>
      <c r="D84" s="139" t="s">
        <v>143</v>
      </c>
      <c r="E84" s="459" t="str">
        <f>+Hijuelas!$G$7</f>
        <v>POR FRACCIÓN</v>
      </c>
      <c r="F84" s="451"/>
    </row>
    <row r="85" spans="1:6">
      <c r="A85" s="466" t="s">
        <v>144</v>
      </c>
      <c r="B85" s="462">
        <f>DSUM('3_1'!$A$12:$I$31,'3_1'!$H$12,F80:F81)</f>
        <v>42.637500000000003</v>
      </c>
      <c r="C85" s="81"/>
      <c r="D85" s="139" t="s">
        <v>145</v>
      </c>
      <c r="E85" s="458" t="str">
        <f>IF(VLOOKUP(F81,'3_1'!$A$13:$D$50,4,0)=1, "Definitivo 100%", "Eventual 80%")</f>
        <v>Definitivo 100%</v>
      </c>
      <c r="F85" s="583"/>
    </row>
    <row r="86" spans="1:6" ht="15.75">
      <c r="A86" s="450"/>
      <c r="B86" s="139" t="s">
        <v>146</v>
      </c>
      <c r="C86" s="145">
        <f>DMIN('3_1'!A$12:L$31,'3_1'!$K$12,F80:F81)</f>
        <v>42973.697829173441</v>
      </c>
      <c r="D86" s="189" t="str">
        <f>IF(E86=1,"Domingo",IF(E86=2,"Lunes",IF(E86=3,"Martes",IF(E86=4,"Miercoles",IF(E86=5,"Jueves",IF(E86=6,"Viernes",IF(E86=7,"Sábado",0)))))))</f>
        <v>Sábado</v>
      </c>
      <c r="E86" s="190">
        <f>WEEKDAY(C86)</f>
        <v>7</v>
      </c>
      <c r="F86" s="453"/>
    </row>
    <row r="87" spans="1:6" ht="15.75">
      <c r="A87" s="450"/>
      <c r="B87" s="139" t="s">
        <v>147</v>
      </c>
      <c r="C87" s="145">
        <f>DMAX('3_1'!A$12:N$31,'3_1'!$L$12,F80:F81)</f>
        <v>42974.786711090375</v>
      </c>
      <c r="D87" s="189" t="str">
        <f>IF(E87=1,"Domingo",IF(E87=2,"Lunes",IF(E87=3,"Martes",IF(E87=4,"Miercoles",IF(E87=5,"Jueves",IF(E87=6,"Viernes",IF(E87=7,"Sábado",0)))))))</f>
        <v>Domingo</v>
      </c>
      <c r="E87" s="190">
        <f>WEEKDAY(C87)</f>
        <v>1</v>
      </c>
      <c r="F87" s="453"/>
    </row>
    <row r="88" spans="1:6">
      <c r="A88" s="323" t="str">
        <f>+'planilla caudales'!$J$14</f>
        <v>Caudal l/s</v>
      </c>
      <c r="B88" s="324" t="str">
        <f>+'planilla caudales'!$K$14</f>
        <v>Escala cm</v>
      </c>
      <c r="C88" s="81"/>
      <c r="D88" s="81"/>
      <c r="E88" s="584"/>
      <c r="F88" s="583"/>
    </row>
    <row r="89" spans="1:6">
      <c r="A89" s="606">
        <f>+'planilla caudales'!$J$16</f>
        <v>239.96144000000001</v>
      </c>
      <c r="B89" s="606">
        <f>+'planilla caudales'!$K$16</f>
        <v>27.409005355473788</v>
      </c>
      <c r="C89" s="81"/>
      <c r="D89" s="81"/>
      <c r="E89" s="81"/>
      <c r="F89" s="451"/>
    </row>
    <row r="90" spans="1:6">
      <c r="A90" s="611"/>
      <c r="B90" s="611"/>
      <c r="C90" s="81"/>
      <c r="D90" s="81"/>
      <c r="E90" s="81"/>
      <c r="F90" s="451"/>
    </row>
    <row r="91" spans="1:6">
      <c r="A91" s="611"/>
      <c r="B91" s="611"/>
      <c r="C91" s="81"/>
      <c r="D91" s="81"/>
      <c r="E91" s="81"/>
      <c r="F91" s="451"/>
    </row>
    <row r="92" spans="1:6">
      <c r="A92" s="674">
        <f>+Mensajes!$B$7</f>
        <v>0</v>
      </c>
      <c r="B92" s="675"/>
      <c r="C92" s="675"/>
      <c r="D92" s="675"/>
      <c r="E92" s="675"/>
      <c r="F92" s="676"/>
    </row>
    <row r="93" spans="1:6">
      <c r="A93" s="674">
        <f>+Mensajes!$B$12</f>
        <v>0</v>
      </c>
      <c r="B93" s="675"/>
      <c r="C93" s="675"/>
      <c r="D93" s="675"/>
      <c r="E93" s="675"/>
      <c r="F93" s="676"/>
    </row>
    <row r="94" spans="1:6" ht="13.5" thickBot="1">
      <c r="A94" s="468"/>
      <c r="B94" s="455"/>
      <c r="C94" s="455"/>
      <c r="D94" s="455"/>
      <c r="E94" s="454" t="str">
        <f>IF(DSUM('3_1'!$A$12:$Q$88,16,F80:F81)=COUNTIF('3_1'!$A$13:$A$88,F81),"","Regularice su Deuda")</f>
        <v>Regularice su Deuda</v>
      </c>
      <c r="F94" s="469"/>
    </row>
    <row r="95" spans="1:6" ht="13.5" thickBot="1"/>
    <row r="96" spans="1:6">
      <c r="A96" s="447"/>
      <c r="B96" s="448"/>
      <c r="C96" s="448"/>
      <c r="D96" s="448"/>
      <c r="E96" s="448"/>
      <c r="F96" s="449"/>
    </row>
    <row r="97" spans="1:6">
      <c r="A97" s="465" t="s">
        <v>64</v>
      </c>
      <c r="B97" s="81"/>
      <c r="C97" s="81"/>
      <c r="D97" s="81"/>
      <c r="E97" s="81"/>
      <c r="F97" s="451"/>
    </row>
    <row r="98" spans="1:6">
      <c r="A98" s="450"/>
      <c r="B98" s="81"/>
      <c r="C98" s="81"/>
      <c r="D98" s="81"/>
      <c r="E98" s="81"/>
      <c r="F98" s="451"/>
    </row>
    <row r="99" spans="1:6">
      <c r="A99" s="450" t="s">
        <v>139</v>
      </c>
      <c r="B99" s="81" t="str">
        <f>VLOOKUP(F100,'3_1'!$A$13:$H$31,7,0)</f>
        <v>AMICO, SEBASTIAN JUA</v>
      </c>
      <c r="C99" s="81"/>
      <c r="D99" s="81"/>
      <c r="E99" s="81"/>
      <c r="F99" s="452" t="s">
        <v>102</v>
      </c>
    </row>
    <row r="100" spans="1:6">
      <c r="A100" s="450" t="s">
        <v>72</v>
      </c>
      <c r="B100" s="81" t="str">
        <f>+'3_1'!$H$2</f>
        <v>Hijuela Adriano Araujo ( SUR )</v>
      </c>
      <c r="C100" s="81"/>
      <c r="D100" s="81"/>
      <c r="E100" s="81"/>
      <c r="F100" s="452">
        <v>6</v>
      </c>
    </row>
    <row r="101" spans="1:6">
      <c r="A101" s="450"/>
      <c r="B101" s="81"/>
      <c r="C101" s="81"/>
      <c r="D101" s="81"/>
      <c r="E101" s="81"/>
      <c r="F101" s="451"/>
    </row>
    <row r="102" spans="1:6">
      <c r="A102" s="466" t="s">
        <v>140</v>
      </c>
      <c r="B102" s="458">
        <f>VLOOKUP(F100,'3_1'!$A$13:$B$31,2,0)</f>
        <v>1216</v>
      </c>
      <c r="C102" s="81"/>
      <c r="D102" s="139" t="s">
        <v>141</v>
      </c>
      <c r="E102" s="457">
        <f>DSUM('3_1'!A$12:K$31,'3_1'!$J$12,F99:F100)</f>
        <v>0</v>
      </c>
      <c r="F102" s="451"/>
    </row>
    <row r="103" spans="1:6">
      <c r="A103" s="466" t="s">
        <v>142</v>
      </c>
      <c r="B103" s="461">
        <v>29</v>
      </c>
      <c r="C103" s="81"/>
      <c r="D103" s="139" t="s">
        <v>143</v>
      </c>
      <c r="E103" s="459" t="str">
        <f>+Hijuelas!$G$7</f>
        <v>POR FRACCIÓN</v>
      </c>
      <c r="F103" s="451"/>
    </row>
    <row r="104" spans="1:6">
      <c r="A104" s="466" t="s">
        <v>144</v>
      </c>
      <c r="B104" s="462">
        <f>DSUM('3_1'!$A$12:$I$31,'3_1'!$H$12,F99:F100)</f>
        <v>0</v>
      </c>
      <c r="C104" s="81"/>
      <c r="D104" s="139" t="s">
        <v>145</v>
      </c>
      <c r="E104" s="458" t="str">
        <f>IF(VLOOKUP(F100,'3_1'!$A$13:$D$50,4,0)=1, "Definitivo 100%", "Eventual 80%")</f>
        <v>Definitivo 100%</v>
      </c>
      <c r="F104" s="583"/>
    </row>
    <row r="105" spans="1:6" ht="15.75">
      <c r="A105" s="450"/>
      <c r="B105" s="139" t="s">
        <v>146</v>
      </c>
      <c r="C105" s="145">
        <f>DMIN('3_1'!A$12:L$31,'3_1'!$K$12,F99:F100)</f>
        <v>42973.697829173441</v>
      </c>
      <c r="D105" s="189" t="str">
        <f>IF(E105=1,"Domingo",IF(E105=2,"Lunes",IF(E105=3,"Martes",IF(E105=4,"Miercoles",IF(E105=5,"Jueves",IF(E105=6,"Viernes",IF(E105=7,"Sábado",0)))))))</f>
        <v>Sábado</v>
      </c>
      <c r="E105" s="190">
        <f>WEEKDAY(C105)</f>
        <v>7</v>
      </c>
      <c r="F105" s="453"/>
    </row>
    <row r="106" spans="1:6" ht="15.75">
      <c r="A106" s="450"/>
      <c r="B106" s="139" t="s">
        <v>147</v>
      </c>
      <c r="C106" s="145">
        <f>DMAX('3_1'!A$12:N$31,'3_1'!$L$12,F99:F100)</f>
        <v>42973.697829173441</v>
      </c>
      <c r="D106" s="189" t="str">
        <f>IF(E106=1,"Domingo",IF(E106=2,"Lunes",IF(E106=3,"Martes",IF(E106=4,"Miercoles",IF(E106=5,"Jueves",IF(E106=6,"Viernes",IF(E106=7,"Sábado",0)))))))</f>
        <v>Sábado</v>
      </c>
      <c r="E106" s="190">
        <f>WEEKDAY(C106)</f>
        <v>7</v>
      </c>
      <c r="F106" s="453"/>
    </row>
    <row r="107" spans="1:6">
      <c r="A107" s="323" t="str">
        <f>+'planilla caudales'!$J$14</f>
        <v>Caudal l/s</v>
      </c>
      <c r="B107" s="324" t="str">
        <f>+'planilla caudales'!$K$14</f>
        <v>Escala cm</v>
      </c>
      <c r="C107" s="81"/>
      <c r="D107" s="81"/>
      <c r="E107" s="584"/>
      <c r="F107" s="583"/>
    </row>
    <row r="108" spans="1:6">
      <c r="A108" s="606">
        <f>+'planilla caudales'!$J$16</f>
        <v>239.96144000000001</v>
      </c>
      <c r="B108" s="606">
        <f>+'planilla caudales'!$K$16</f>
        <v>27.409005355473788</v>
      </c>
      <c r="C108" s="81"/>
      <c r="D108" s="81"/>
      <c r="E108" s="81"/>
      <c r="F108" s="451"/>
    </row>
    <row r="109" spans="1:6">
      <c r="A109" s="611"/>
      <c r="B109" s="611"/>
      <c r="C109" s="81"/>
      <c r="D109" s="81"/>
      <c r="E109" s="81"/>
      <c r="F109" s="451"/>
    </row>
    <row r="110" spans="1:6">
      <c r="A110" s="611"/>
      <c r="B110" s="611">
        <v>17</v>
      </c>
      <c r="C110" s="81"/>
      <c r="D110" s="81"/>
      <c r="E110" s="81"/>
      <c r="F110" s="451"/>
    </row>
    <row r="111" spans="1:6">
      <c r="A111" s="674">
        <f>+Mensajes!$B$7</f>
        <v>0</v>
      </c>
      <c r="B111" s="675"/>
      <c r="C111" s="675"/>
      <c r="D111" s="675"/>
      <c r="E111" s="675"/>
      <c r="F111" s="676"/>
    </row>
    <row r="112" spans="1:6">
      <c r="A112" s="674">
        <f>+Mensajes!$B$12</f>
        <v>0</v>
      </c>
      <c r="B112" s="675"/>
      <c r="C112" s="675"/>
      <c r="D112" s="675"/>
      <c r="E112" s="675"/>
      <c r="F112" s="676"/>
    </row>
    <row r="113" spans="1:6" ht="13.5" thickBot="1">
      <c r="A113" s="468"/>
      <c r="B113" s="455"/>
      <c r="C113" s="455"/>
      <c r="D113" s="455"/>
      <c r="E113" s="454" t="str">
        <f>IF(DSUM('3_1'!$A$12:$Q$88,16,F99:F100)=COUNTIF('3_1'!$A$13:$A$88,F100),"","Regularice su Deuda")</f>
        <v>Regularice su Deuda</v>
      </c>
      <c r="F113" s="469"/>
    </row>
    <row r="114" spans="1:6" ht="13.5" thickBot="1"/>
    <row r="115" spans="1:6">
      <c r="A115" s="447"/>
      <c r="B115" s="448"/>
      <c r="C115" s="448"/>
      <c r="D115" s="448"/>
      <c r="E115" s="448"/>
      <c r="F115" s="449"/>
    </row>
    <row r="116" spans="1:6">
      <c r="A116" s="465" t="s">
        <v>64</v>
      </c>
      <c r="B116" s="81"/>
      <c r="C116" s="81"/>
      <c r="D116" s="81"/>
      <c r="E116" s="81"/>
      <c r="F116" s="451"/>
    </row>
    <row r="117" spans="1:6">
      <c r="A117" s="450"/>
      <c r="B117" s="81"/>
      <c r="C117" s="81"/>
      <c r="D117" s="81"/>
      <c r="E117" s="81"/>
      <c r="F117" s="451"/>
    </row>
    <row r="118" spans="1:6">
      <c r="A118" s="450" t="s">
        <v>139</v>
      </c>
      <c r="B118" s="81" t="str">
        <f>VLOOKUP(F119,'3_1'!$A$13:$H$31,7,0)</f>
        <v>AMICO, SEBASTIAN JUA</v>
      </c>
      <c r="C118" s="81"/>
      <c r="D118" s="81"/>
      <c r="E118" s="81"/>
      <c r="F118" s="452" t="s">
        <v>102</v>
      </c>
    </row>
    <row r="119" spans="1:6">
      <c r="A119" s="450" t="s">
        <v>72</v>
      </c>
      <c r="B119" s="81" t="str">
        <f>+'3_1'!$H$2</f>
        <v>Hijuela Adriano Araujo ( SUR )</v>
      </c>
      <c r="C119" s="81"/>
      <c r="D119" s="81"/>
      <c r="E119" s="81"/>
      <c r="F119" s="452">
        <v>7</v>
      </c>
    </row>
    <row r="120" spans="1:6">
      <c r="A120" s="450"/>
      <c r="B120" s="81"/>
      <c r="C120" s="81"/>
      <c r="D120" s="81"/>
      <c r="E120" s="81"/>
      <c r="F120" s="451"/>
    </row>
    <row r="121" spans="1:6">
      <c r="A121" s="466" t="s">
        <v>140</v>
      </c>
      <c r="B121" s="458">
        <f>VLOOKUP(F119,'3_1'!$A$13:$B$31,2,0)</f>
        <v>1216</v>
      </c>
      <c r="C121" s="81"/>
      <c r="D121" s="139" t="s">
        <v>141</v>
      </c>
      <c r="E121" s="457">
        <f>DSUM('3_1'!A$12:K$31,'3_1'!$J$12,F118:F119)</f>
        <v>3.1162506776088689E-2</v>
      </c>
      <c r="F121" s="451"/>
    </row>
    <row r="122" spans="1:6">
      <c r="A122" s="466" t="s">
        <v>142</v>
      </c>
      <c r="B122" s="461">
        <v>30</v>
      </c>
      <c r="C122" s="81"/>
      <c r="D122" s="139" t="s">
        <v>143</v>
      </c>
      <c r="E122" s="459" t="str">
        <f>+Hijuelas!$G$7</f>
        <v>POR FRACCIÓN</v>
      </c>
      <c r="F122" s="451"/>
    </row>
    <row r="123" spans="1:6">
      <c r="A123" s="466" t="s">
        <v>144</v>
      </c>
      <c r="B123" s="462">
        <f>DSUM('3_1'!$A$12:$I$31,'3_1'!$H$12,F118:F119)</f>
        <v>1.236</v>
      </c>
      <c r="C123" s="81"/>
      <c r="D123" s="139" t="s">
        <v>145</v>
      </c>
      <c r="E123" s="458" t="str">
        <f>IF(VLOOKUP(F119,'3_1'!$A$13:$D$50,4,0)=1, "Definitivo 100%", "Eventual 80%")</f>
        <v>Definitivo 100%</v>
      </c>
      <c r="F123" s="583"/>
    </row>
    <row r="124" spans="1:6" ht="15.75">
      <c r="A124" s="450"/>
      <c r="B124" s="139" t="s">
        <v>146</v>
      </c>
      <c r="C124" s="145">
        <f>DMIN('3_1'!A$12:L$31,'3_1'!$K$12,F118:F119)</f>
        <v>42973.666666666664</v>
      </c>
      <c r="D124" s="189" t="str">
        <f>IF(E124=1,"Domingo",IF(E124=2,"Lunes",IF(E124=3,"Martes",IF(E124=4,"Miercoles",IF(E124=5,"Jueves",IF(E124=6,"Viernes",IF(E124=7,"Sábado",0)))))))</f>
        <v>Sábado</v>
      </c>
      <c r="E124" s="190">
        <f>WEEKDAY(C124)</f>
        <v>7</v>
      </c>
      <c r="F124" s="453"/>
    </row>
    <row r="125" spans="1:6" ht="15.75">
      <c r="A125" s="450"/>
      <c r="B125" s="139" t="s">
        <v>147</v>
      </c>
      <c r="C125" s="145">
        <f>DMAX('3_1'!A$12:N$31,'3_1'!$L$12,F118:F119)</f>
        <v>42973.697829173441</v>
      </c>
      <c r="D125" s="189" t="str">
        <f>IF(E125=1,"Domingo",IF(E125=2,"Lunes",IF(E125=3,"Martes",IF(E125=4,"Miercoles",IF(E125=5,"Jueves",IF(E125=6,"Viernes",IF(E125=7,"Sábado",0)))))))</f>
        <v>Sábado</v>
      </c>
      <c r="E125" s="190">
        <f>WEEKDAY(C125)</f>
        <v>7</v>
      </c>
      <c r="F125" s="453"/>
    </row>
    <row r="126" spans="1:6">
      <c r="A126" s="323" t="str">
        <f>+'planilla caudales'!$J$14</f>
        <v>Caudal l/s</v>
      </c>
      <c r="B126" s="324" t="str">
        <f>+'planilla caudales'!$K$14</f>
        <v>Escala cm</v>
      </c>
      <c r="C126" s="81"/>
      <c r="D126" s="81"/>
      <c r="E126" s="584"/>
      <c r="F126" s="583"/>
    </row>
    <row r="127" spans="1:6">
      <c r="A127" s="606">
        <f>+'planilla caudales'!$J$16</f>
        <v>239.96144000000001</v>
      </c>
      <c r="B127" s="606">
        <f>+'planilla caudales'!$K$16</f>
        <v>27.409005355473788</v>
      </c>
      <c r="C127" s="81"/>
      <c r="D127" s="81"/>
      <c r="E127" s="81"/>
      <c r="F127" s="451"/>
    </row>
    <row r="128" spans="1:6">
      <c r="A128" s="611"/>
      <c r="B128" s="611"/>
      <c r="C128" s="81"/>
      <c r="D128" s="81"/>
      <c r="E128" s="81"/>
      <c r="F128" s="451"/>
    </row>
    <row r="129" spans="1:6">
      <c r="A129" s="611"/>
      <c r="B129" s="611">
        <v>18</v>
      </c>
      <c r="C129" s="81"/>
      <c r="D129" s="81"/>
      <c r="E129" s="81"/>
      <c r="F129" s="451"/>
    </row>
    <row r="130" spans="1:6">
      <c r="A130" s="674">
        <f>+Mensajes!$B$7</f>
        <v>0</v>
      </c>
      <c r="B130" s="675"/>
      <c r="C130" s="675"/>
      <c r="D130" s="675"/>
      <c r="E130" s="675"/>
      <c r="F130" s="676"/>
    </row>
    <row r="131" spans="1:6">
      <c r="A131" s="674">
        <f>+Mensajes!$B$12</f>
        <v>0</v>
      </c>
      <c r="B131" s="675"/>
      <c r="C131" s="675"/>
      <c r="D131" s="675"/>
      <c r="E131" s="675"/>
      <c r="F131" s="676"/>
    </row>
    <row r="132" spans="1:6" ht="13.5" thickBot="1">
      <c r="A132" s="468"/>
      <c r="B132" s="455"/>
      <c r="C132" s="455"/>
      <c r="D132" s="455"/>
      <c r="E132" s="454" t="str">
        <f>IF(DSUM('3_1'!$A$12:$Q$88,16,F118:F119)=COUNTIF('3_1'!$A$13:$A$88,F119),"","Regularice su Deuda")</f>
        <v>Regularice su Deuda</v>
      </c>
      <c r="F132" s="469"/>
    </row>
  </sheetData>
  <mergeCells count="14">
    <mergeCell ref="A73:F73"/>
    <mergeCell ref="A74:F74"/>
    <mergeCell ref="A16:F16"/>
    <mergeCell ref="A17:F17"/>
    <mergeCell ref="A35:F35"/>
    <mergeCell ref="A36:F36"/>
    <mergeCell ref="A54:F54"/>
    <mergeCell ref="A55:F55"/>
    <mergeCell ref="A130:F130"/>
    <mergeCell ref="A131:F131"/>
    <mergeCell ref="A92:F92"/>
    <mergeCell ref="A93:F93"/>
    <mergeCell ref="A111:F111"/>
    <mergeCell ref="A112:F112"/>
  </mergeCells>
  <phoneticPr fontId="0" type="noConversion"/>
  <pageMargins left="0.23622047244094491" right="0.23622047244094491" top="0.74803149606299213" bottom="0.74803149606299213" header="0.31496062992125984" footer="0.31496062992125984"/>
  <pageSetup paperSize="281" orientation="portrait" r:id="rId1"/>
  <headerFooter alignWithMargins="0"/>
  <rowBreaks count="1" manualBreakCount="1">
    <brk id="76" max="5" man="1"/>
  </rowBreaks>
  <colBreaks count="1" manualBreakCount="1">
    <brk id="7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9"/>
  <dimension ref="A1:U33"/>
  <sheetViews>
    <sheetView view="pageBreakPreview" zoomScale="75" zoomScaleNormal="75" zoomScaleSheetLayoutView="75" workbookViewId="0" xr3:uid="{C67EF94B-0B3B-5838-830C-E3A509766221}">
      <selection activeCell="N14" sqref="N14"/>
    </sheetView>
  </sheetViews>
  <sheetFormatPr defaultColWidth="11.42578125" defaultRowHeight="12.75"/>
  <cols>
    <col min="1" max="1" width="9.140625" bestFit="1" customWidth="1"/>
    <col min="2" max="2" width="5.42578125" customWidth="1"/>
    <col min="3" max="3" width="6.85546875" customWidth="1"/>
    <col min="4" max="4" width="4.7109375" bestFit="1" customWidth="1"/>
    <col min="5" max="5" width="10.42578125" customWidth="1"/>
    <col min="6" max="6" width="11.85546875" customWidth="1"/>
    <col min="7" max="7" width="28" bestFit="1" customWidth="1"/>
    <col min="8" max="8" width="14.140625" bestFit="1" customWidth="1"/>
    <col min="9" max="9" width="8.42578125" customWidth="1"/>
    <col min="10" max="10" width="7.5703125" bestFit="1" customWidth="1"/>
    <col min="11" max="11" width="15.85546875" customWidth="1"/>
    <col min="12" max="12" width="15.28515625" bestFit="1" customWidth="1"/>
    <col min="13" max="13" width="26.42578125" customWidth="1"/>
    <col min="14" max="14" width="29" customWidth="1"/>
    <col min="15" max="15" width="19.7109375" bestFit="1" customWidth="1"/>
    <col min="16" max="16" width="7.7109375" bestFit="1" customWidth="1"/>
    <col min="17" max="17" width="9.28515625" bestFit="1" customWidth="1"/>
    <col min="18" max="18" width="8.28515625" bestFit="1" customWidth="1"/>
    <col min="19" max="19" width="11.7109375" bestFit="1" customWidth="1"/>
    <col min="20" max="20" width="15.42578125" customWidth="1"/>
    <col min="21" max="21" width="12.5703125" bestFit="1" customWidth="1"/>
  </cols>
  <sheetData>
    <row r="1" spans="1:21">
      <c r="A1" s="81"/>
      <c r="B1" s="81"/>
      <c r="C1" s="81"/>
      <c r="D1" s="81"/>
      <c r="E1" s="206"/>
      <c r="F1" s="206"/>
      <c r="G1" s="81"/>
      <c r="H1" s="81"/>
      <c r="I1" s="612"/>
      <c r="J1" s="415"/>
      <c r="K1" s="416"/>
      <c r="L1" s="81"/>
      <c r="M1" s="137"/>
      <c r="N1" s="81"/>
    </row>
    <row r="2" spans="1:21">
      <c r="A2" s="137"/>
      <c r="B2" s="137"/>
      <c r="C2" s="144" t="s">
        <v>187</v>
      </c>
      <c r="D2" s="144"/>
      <c r="E2" s="137"/>
      <c r="F2" s="137"/>
      <c r="G2" s="137"/>
      <c r="H2" s="137" t="s">
        <v>199</v>
      </c>
      <c r="I2" s="137"/>
      <c r="J2" s="137"/>
      <c r="K2" s="137"/>
      <c r="L2" s="137"/>
      <c r="M2" s="137"/>
      <c r="N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</row>
    <row r="5" spans="1:21">
      <c r="A5" s="669" t="s">
        <v>92</v>
      </c>
      <c r="B5" s="670"/>
      <c r="C5" s="662">
        <f>+'6_1'!C6:D6</f>
        <v>42975.965548768494</v>
      </c>
      <c r="D5" s="663"/>
      <c r="E5" s="664"/>
      <c r="F5" s="344"/>
      <c r="G5" s="344"/>
      <c r="H5" s="345" t="s">
        <v>93</v>
      </c>
      <c r="I5" s="346">
        <f>+I24+H24</f>
        <v>1.5657012314894074</v>
      </c>
      <c r="J5" s="137"/>
      <c r="K5" s="137"/>
      <c r="L5" s="137"/>
      <c r="M5" s="137"/>
      <c r="N5" s="137"/>
    </row>
    <row r="6" spans="1:21" ht="13.5" thickBot="1">
      <c r="A6" s="671" t="s">
        <v>94</v>
      </c>
      <c r="B6" s="672"/>
      <c r="C6" s="665">
        <f>+L13</f>
        <v>42977.53125</v>
      </c>
      <c r="D6" s="666"/>
      <c r="E6" s="667"/>
      <c r="F6" s="344"/>
      <c r="G6" s="344"/>
      <c r="H6" s="347" t="s">
        <v>95</v>
      </c>
      <c r="I6" s="354">
        <v>0</v>
      </c>
      <c r="J6" s="344"/>
      <c r="K6" s="137"/>
      <c r="L6" s="578"/>
      <c r="M6" s="578"/>
      <c r="N6" s="137"/>
    </row>
    <row r="7" spans="1:21" ht="13.5" thickBot="1">
      <c r="A7" s="137"/>
      <c r="B7" s="137"/>
      <c r="C7" s="137"/>
      <c r="D7" s="137"/>
      <c r="E7" s="137"/>
      <c r="F7" s="137"/>
      <c r="G7" s="137"/>
      <c r="H7" s="348" t="s">
        <v>96</v>
      </c>
      <c r="I7" s="349">
        <f>+I20</f>
        <v>2.0833333333333332E-2</v>
      </c>
      <c r="J7" s="137"/>
      <c r="K7" s="137"/>
      <c r="L7" s="137"/>
      <c r="M7" s="137"/>
      <c r="N7" s="137"/>
    </row>
    <row r="8" spans="1:21">
      <c r="A8" s="137"/>
      <c r="B8" s="137"/>
      <c r="C8" s="137"/>
      <c r="D8" s="137"/>
      <c r="E8" s="137"/>
      <c r="F8" s="137"/>
      <c r="G8" s="556">
        <f>+C6-C5</f>
        <v>1.5657012315059546</v>
      </c>
      <c r="H8" s="137"/>
      <c r="I8" s="137"/>
      <c r="J8" s="137"/>
      <c r="K8" s="137"/>
      <c r="L8" s="137"/>
      <c r="M8" s="137"/>
      <c r="N8" s="137"/>
    </row>
    <row r="9" spans="1:21">
      <c r="A9" s="668" t="s">
        <v>97</v>
      </c>
      <c r="B9" s="668"/>
      <c r="C9" s="556">
        <f>+I5-I6-I7</f>
        <v>1.5448678981560742</v>
      </c>
      <c r="D9" s="556"/>
      <c r="E9" s="555" t="s">
        <v>98</v>
      </c>
      <c r="F9" s="350">
        <f>+C9*60</f>
        <v>92.692073889364451</v>
      </c>
      <c r="G9" s="555" t="s">
        <v>99</v>
      </c>
      <c r="H9" s="351">
        <f>+H20</f>
        <v>22.334</v>
      </c>
      <c r="I9" s="555" t="s">
        <v>100</v>
      </c>
      <c r="J9" s="556">
        <f>+F9/H9</f>
        <v>4.1502674795990169</v>
      </c>
      <c r="K9" s="137"/>
      <c r="L9" s="137"/>
      <c r="M9" s="137"/>
      <c r="N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</row>
    <row r="12" spans="1:21" ht="24.75" thickBot="1">
      <c r="A12" s="418" t="s">
        <v>102</v>
      </c>
      <c r="B12" s="419" t="s">
        <v>103</v>
      </c>
      <c r="C12" s="419" t="s">
        <v>104</v>
      </c>
      <c r="D12" s="419" t="s">
        <v>105</v>
      </c>
      <c r="E12" s="419" t="s">
        <v>106</v>
      </c>
      <c r="F12" s="419" t="s">
        <v>153</v>
      </c>
      <c r="G12" s="419" t="s">
        <v>108</v>
      </c>
      <c r="H12" s="419" t="s">
        <v>154</v>
      </c>
      <c r="I12" s="419" t="s">
        <v>200</v>
      </c>
      <c r="J12" s="419" t="s">
        <v>201</v>
      </c>
      <c r="K12" s="419" t="s">
        <v>156</v>
      </c>
      <c r="L12" s="419" t="s">
        <v>157</v>
      </c>
      <c r="M12" s="554" t="s">
        <v>113</v>
      </c>
      <c r="N12" s="419" t="s">
        <v>114</v>
      </c>
      <c r="O12" s="413" t="s">
        <v>116</v>
      </c>
      <c r="P12" s="413" t="s">
        <v>117</v>
      </c>
      <c r="Q12" s="413" t="s">
        <v>118</v>
      </c>
      <c r="R12" s="413" t="s">
        <v>119</v>
      </c>
      <c r="S12" s="413" t="s">
        <v>120</v>
      </c>
      <c r="T12" s="413" t="s">
        <v>121</v>
      </c>
      <c r="U12" s="414" t="s">
        <v>122</v>
      </c>
    </row>
    <row r="13" spans="1:21" ht="30" customHeight="1" thickTop="1">
      <c r="A13" s="404">
        <v>1</v>
      </c>
      <c r="B13" s="230">
        <v>1200</v>
      </c>
      <c r="C13" s="230">
        <v>29</v>
      </c>
      <c r="D13" s="230">
        <v>1</v>
      </c>
      <c r="E13" s="417">
        <v>5.5785999999999998</v>
      </c>
      <c r="F13" s="103" t="str">
        <f t="shared" ref="F13:F19" si="0">IF(Q13=0,"NO",IF(Q13=1,"SI",IF(Q13=3,"cede turno","CONDICIONAL")))</f>
        <v>SI</v>
      </c>
      <c r="G13" s="65" t="s">
        <v>202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5.5785999999999998</v>
      </c>
      <c r="I13" s="610">
        <v>6.9444444444444441E-3</v>
      </c>
      <c r="J13" s="610">
        <f t="shared" ref="J13:J19" si="1">+$J$9/60*H13</f>
        <v>0.38587803602818455</v>
      </c>
      <c r="K13" s="220">
        <f t="shared" ref="K13:K17" si="2">+L14</f>
        <v>42977.145371963969</v>
      </c>
      <c r="L13" s="220">
        <f t="shared" ref="L13:L17" si="3">+K13+J13</f>
        <v>42977.53125</v>
      </c>
      <c r="M13" s="174"/>
      <c r="N13" s="65"/>
      <c r="O13" s="52"/>
      <c r="P13" s="52" t="str">
        <f>+CONCATENATE(B13,C13)</f>
        <v>120029</v>
      </c>
      <c r="Q13" s="150">
        <f>VLOOKUP(P13,deuda!A$1:H$550,4,0)</f>
        <v>1</v>
      </c>
      <c r="R13" s="150">
        <f>VLOOKUP(P13,deuda!A$1:H$550,5,0)</f>
        <v>0</v>
      </c>
      <c r="S13" s="150" t="str">
        <f>IF(VLOOKUP(P13,deuda!A$1:H$550,6,0)=0,"",VLOOKUP(P13,deuda!A$1:H$550,6,0))</f>
        <v/>
      </c>
      <c r="T13" s="151" t="str">
        <f>IF((VLOOKUP(P13,deuda!A$1:H$550,7,0))=0,"",VLOOKUP(P13,deuda!A$1:H$550,7,0))</f>
        <v/>
      </c>
      <c r="U13" s="152" t="str">
        <f>IF((VLOOKUP(P13,deuda!A$1:H$550,8,0))=0,"",VLOOKUP(P13,deuda!A$1:H$550,8,0))</f>
        <v/>
      </c>
    </row>
    <row r="14" spans="1:21" ht="30" customHeight="1">
      <c r="A14" s="219">
        <v>1</v>
      </c>
      <c r="B14" s="148">
        <v>1200</v>
      </c>
      <c r="C14" s="148">
        <v>34</v>
      </c>
      <c r="D14" s="148">
        <v>1</v>
      </c>
      <c r="E14" s="148">
        <v>0.1087</v>
      </c>
      <c r="F14" s="103" t="str">
        <f t="shared" si="0"/>
        <v>SI</v>
      </c>
      <c r="G14" s="62" t="s">
        <v>203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0.1087</v>
      </c>
      <c r="I14" s="613">
        <v>1.3888888888888888E-2</v>
      </c>
      <c r="J14" s="610">
        <f t="shared" si="1"/>
        <v>7.5189012505402185E-3</v>
      </c>
      <c r="K14" s="220">
        <f t="shared" si="2"/>
        <v>42977.137853062719</v>
      </c>
      <c r="L14" s="220">
        <f t="shared" si="3"/>
        <v>42977.145371963969</v>
      </c>
      <c r="M14" s="174"/>
      <c r="N14" s="62"/>
      <c r="O14" s="5"/>
      <c r="P14" s="52" t="str">
        <f t="shared" ref="P14:P19" si="4">+CONCATENATE(B14,C14)</f>
        <v>120034</v>
      </c>
      <c r="Q14" s="150">
        <f>VLOOKUP(P14,deuda!A$1:H$550,4,0)</f>
        <v>1</v>
      </c>
      <c r="R14" s="150">
        <f>VLOOKUP(P14,deuda!A$1:H$550,5,0)</f>
        <v>0</v>
      </c>
      <c r="S14" s="150" t="str">
        <f>IF(VLOOKUP(P14,deuda!A$1:H$550,6,0)=0,"",VLOOKUP(P14,deuda!A$1:H$550,6,0))</f>
        <v/>
      </c>
      <c r="T14" s="151" t="str">
        <f>IF((VLOOKUP(P14,deuda!A$1:H$550,7,0))=0,"",VLOOKUP(P14,deuda!A$1:H$550,7,0))</f>
        <v/>
      </c>
      <c r="U14" s="152" t="str">
        <f>IF((VLOOKUP(P14,deuda!A$1:H$550,8,0))=0,"",VLOOKUP(P14,deuda!A$1:H$550,8,0))</f>
        <v/>
      </c>
    </row>
    <row r="15" spans="1:21" ht="30" customHeight="1">
      <c r="A15" s="219">
        <v>2</v>
      </c>
      <c r="B15" s="148">
        <v>1200</v>
      </c>
      <c r="C15" s="148">
        <v>30</v>
      </c>
      <c r="D15" s="148">
        <v>1</v>
      </c>
      <c r="E15" s="405">
        <v>3.9742999999999999</v>
      </c>
      <c r="F15" s="103" t="str">
        <f t="shared" si="0"/>
        <v>SI</v>
      </c>
      <c r="G15" s="62" t="s">
        <v>204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3.9742999999999999</v>
      </c>
      <c r="I15" s="613">
        <v>0</v>
      </c>
      <c r="J15" s="610">
        <f t="shared" si="1"/>
        <v>0.27490680073617285</v>
      </c>
      <c r="K15" s="220">
        <f t="shared" si="2"/>
        <v>42976.862946261979</v>
      </c>
      <c r="L15" s="220">
        <f t="shared" si="3"/>
        <v>42977.137853062719</v>
      </c>
      <c r="M15" s="174"/>
      <c r="N15" s="62"/>
      <c r="O15" s="5"/>
      <c r="P15" s="52" t="str">
        <f t="shared" si="4"/>
        <v>120030</v>
      </c>
      <c r="Q15" s="150">
        <f>VLOOKUP(P15,deuda!A$1:H$550,4,0)</f>
        <v>1</v>
      </c>
      <c r="R15" s="150">
        <f>VLOOKUP(P15,deuda!A$1:H$550,5,0)</f>
        <v>1</v>
      </c>
      <c r="S15" s="150">
        <f>IF(VLOOKUP(P15,deuda!A$1:H$550,6,0)=0,"",VLOOKUP(P15,deuda!A$1:H$550,6,0))</f>
        <v>882.65</v>
      </c>
      <c r="T15" s="151" t="str">
        <f>IF((VLOOKUP(P15,deuda!A$1:H$550,7,0))=0,"",VLOOKUP(P15,deuda!A$1:H$550,7,0))</f>
        <v/>
      </c>
      <c r="U15" s="152" t="str">
        <f>IF((VLOOKUP(P15,deuda!A$1:H$550,8,0))=0,"",VLOOKUP(P15,deuda!A$1:H$550,8,0))</f>
        <v/>
      </c>
    </row>
    <row r="16" spans="1:21" ht="30" customHeight="1">
      <c r="A16" s="219">
        <v>2</v>
      </c>
      <c r="B16" s="148">
        <v>1200</v>
      </c>
      <c r="C16" s="148">
        <v>40</v>
      </c>
      <c r="D16" s="148">
        <v>1</v>
      </c>
      <c r="E16" s="405">
        <v>0.92049999999999998</v>
      </c>
      <c r="F16" s="103" t="str">
        <f>IF(Q16=0,"NO",IF(Q16=1,"SI",IF(Q16=3,"cede turno","CONDICIONAL")))</f>
        <v>SI</v>
      </c>
      <c r="G16" s="62" t="s">
        <v>205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0.92049999999999998</v>
      </c>
      <c r="I16" s="613">
        <v>0</v>
      </c>
      <c r="J16" s="610">
        <f t="shared" si="1"/>
        <v>6.3672020249514918E-2</v>
      </c>
      <c r="K16" s="220">
        <f t="shared" si="2"/>
        <v>42976.799274241726</v>
      </c>
      <c r="L16" s="220">
        <f t="shared" si="3"/>
        <v>42976.862946261979</v>
      </c>
      <c r="M16" s="125"/>
      <c r="N16" s="62"/>
      <c r="O16" s="5"/>
      <c r="P16" s="52" t="str">
        <f>+CONCATENATE(B16,C16)</f>
        <v>120040</v>
      </c>
      <c r="Q16" s="150">
        <f>VLOOKUP(P16,deuda!A$1:H$550,4,0)</f>
        <v>1</v>
      </c>
      <c r="R16" s="150">
        <f>VLOOKUP(P16,deuda!A$1:H$550,5,0)</f>
        <v>1</v>
      </c>
      <c r="S16" s="150">
        <f>IF(VLOOKUP(P16,deuda!A$1:H$550,6,0)=0,"",VLOOKUP(P16,deuda!A$1:H$550,6,0))</f>
        <v>238.07</v>
      </c>
      <c r="T16" s="151" t="str">
        <f>IF((VLOOKUP(P16,deuda!A$1:H$550,7,0))=0,"",VLOOKUP(P16,deuda!A$1:H$550,7,0))</f>
        <v/>
      </c>
      <c r="U16" s="152" t="str">
        <f>IF((VLOOKUP(P16,deuda!A$1:H$550,8,0))=0,"",VLOOKUP(P16,deuda!A$1:H$550,8,0))</f>
        <v/>
      </c>
    </row>
    <row r="17" spans="1:21" ht="30" customHeight="1">
      <c r="A17" s="219">
        <v>3</v>
      </c>
      <c r="B17" s="148">
        <v>1200</v>
      </c>
      <c r="C17" s="148">
        <v>31</v>
      </c>
      <c r="D17" s="148">
        <v>1</v>
      </c>
      <c r="E17" s="148">
        <v>3.9742999999999999</v>
      </c>
      <c r="F17" s="103" t="str">
        <f t="shared" si="0"/>
        <v>SI</v>
      </c>
      <c r="G17" s="62" t="s">
        <v>206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3.9742999999999999</v>
      </c>
      <c r="I17" s="613">
        <v>0</v>
      </c>
      <c r="J17" s="610">
        <f t="shared" si="1"/>
        <v>0.27490680073617285</v>
      </c>
      <c r="K17" s="220">
        <f t="shared" si="2"/>
        <v>42976.524367440987</v>
      </c>
      <c r="L17" s="220">
        <f t="shared" si="3"/>
        <v>42976.799274241726</v>
      </c>
      <c r="M17" s="125"/>
      <c r="N17" s="62"/>
      <c r="O17" s="5"/>
      <c r="P17" s="52" t="str">
        <f t="shared" si="4"/>
        <v>120031</v>
      </c>
      <c r="Q17" s="150">
        <f>VLOOKUP(P17,deuda!A$1:H$550,4,0)</f>
        <v>1</v>
      </c>
      <c r="R17" s="150">
        <f>VLOOKUP(P17,deuda!A$1:H$550,5,0)</f>
        <v>1</v>
      </c>
      <c r="S17" s="150">
        <f>IF(VLOOKUP(P17,deuda!A$1:H$550,6,0)=0,"",VLOOKUP(P17,deuda!A$1:H$550,6,0))</f>
        <v>1432.62</v>
      </c>
      <c r="T17" s="151" t="str">
        <f>IF((VLOOKUP(P17,deuda!A$1:H$550,7,0))=0,"",VLOOKUP(P17,deuda!A$1:H$550,7,0))</f>
        <v/>
      </c>
      <c r="U17" s="152" t="str">
        <f>IF((VLOOKUP(P17,deuda!A$1:H$550,8,0))=0,"",VLOOKUP(P17,deuda!A$1:H$550,8,0))</f>
        <v/>
      </c>
    </row>
    <row r="18" spans="1:21" ht="30" customHeight="1">
      <c r="A18" s="219">
        <v>4</v>
      </c>
      <c r="B18" s="148">
        <v>1200</v>
      </c>
      <c r="C18" s="148">
        <v>70</v>
      </c>
      <c r="D18" s="148">
        <v>1</v>
      </c>
      <c r="E18" s="405">
        <v>4.6398000000000001</v>
      </c>
      <c r="F18" s="103" t="str">
        <f t="shared" si="0"/>
        <v>SI</v>
      </c>
      <c r="G18" s="62" t="s">
        <v>207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4.6398000000000001</v>
      </c>
      <c r="I18" s="613">
        <v>0</v>
      </c>
      <c r="J18" s="610">
        <f t="shared" si="1"/>
        <v>0.32094018419739195</v>
      </c>
      <c r="K18" s="220">
        <f>+L19</f>
        <v>42976.203427256791</v>
      </c>
      <c r="L18" s="220">
        <f>+K18+J18</f>
        <v>42976.524367440987</v>
      </c>
      <c r="M18" s="125"/>
      <c r="N18" s="62"/>
      <c r="O18" s="5"/>
      <c r="P18" s="52" t="str">
        <f t="shared" si="4"/>
        <v>120070</v>
      </c>
      <c r="Q18" s="150">
        <f>VLOOKUP(P18,deuda!A$1:H$550,4,0)</f>
        <v>1</v>
      </c>
      <c r="R18" s="150">
        <f>VLOOKUP(P18,deuda!A$1:H$550,5,0)</f>
        <v>0</v>
      </c>
      <c r="S18" s="150">
        <f>IF(VLOOKUP(P18,deuda!A$1:H$550,6,0)=0,"",VLOOKUP(P18,deuda!A$1:H$550,6,0))</f>
        <v>9.7100000000000009</v>
      </c>
      <c r="T18" s="151" t="str">
        <f>IF((VLOOKUP(P18,deuda!A$1:H$550,7,0))=0,"",VLOOKUP(P18,deuda!A$1:H$550,7,0))</f>
        <v/>
      </c>
      <c r="U18" s="152" t="str">
        <f>IF((VLOOKUP(P18,deuda!A$1:H$550,8,0))=0,"",VLOOKUP(P18,deuda!A$1:H$550,8,0))</f>
        <v/>
      </c>
    </row>
    <row r="19" spans="1:21" ht="30" customHeight="1" thickBot="1">
      <c r="A19" s="221">
        <v>5</v>
      </c>
      <c r="B19" s="209">
        <v>1200</v>
      </c>
      <c r="C19" s="209">
        <v>35</v>
      </c>
      <c r="D19" s="209">
        <v>1</v>
      </c>
      <c r="E19" s="408">
        <v>3.1377999999999999</v>
      </c>
      <c r="F19" s="103" t="str">
        <f t="shared" si="0"/>
        <v>SI</v>
      </c>
      <c r="G19" s="407" t="s">
        <v>208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3.1377999999999999</v>
      </c>
      <c r="I19" s="614">
        <v>0</v>
      </c>
      <c r="J19" s="610">
        <f t="shared" si="1"/>
        <v>0.21704515495809656</v>
      </c>
      <c r="K19" s="220">
        <f>+C5+I7</f>
        <v>42975.98638210183</v>
      </c>
      <c r="L19" s="220">
        <f>+K19+J19</f>
        <v>42976.203427256791</v>
      </c>
      <c r="M19" s="125"/>
      <c r="N19" s="407"/>
      <c r="O19" s="29"/>
      <c r="P19" s="52" t="str">
        <f t="shared" si="4"/>
        <v>120035</v>
      </c>
      <c r="Q19" s="150">
        <f>VLOOKUP(P19,deuda!A$1:H$550,4,0)</f>
        <v>1</v>
      </c>
      <c r="R19" s="150">
        <f>VLOOKUP(P19,deuda!A$1:H$550,5,0)</f>
        <v>0</v>
      </c>
      <c r="S19" s="150">
        <f>IF(VLOOKUP(P19,deuda!A$1:H$550,6,0)=0,"",VLOOKUP(P19,deuda!A$1:H$550,6,0))</f>
        <v>8.68</v>
      </c>
      <c r="T19" s="151" t="str">
        <f>IF((VLOOKUP(P19,deuda!A$1:H$550,7,0))=0,"",VLOOKUP(P19,deuda!A$1:H$550,7,0))</f>
        <v/>
      </c>
      <c r="U19" s="152" t="str">
        <f>IF((VLOOKUP(P19,deuda!A$1:H$550,8,0))=0,"",VLOOKUP(P19,deuda!A$1:H$550,8,0))</f>
        <v/>
      </c>
    </row>
    <row r="20" spans="1:21">
      <c r="A20" s="81"/>
      <c r="B20" s="81"/>
      <c r="C20" s="81"/>
      <c r="D20" s="81"/>
      <c r="E20" s="206">
        <f>SUM(E13:E19)</f>
        <v>22.334</v>
      </c>
      <c r="F20" s="206">
        <f>SUM(F13:F19)</f>
        <v>0</v>
      </c>
      <c r="G20" s="81"/>
      <c r="H20" s="481">
        <f>SUM(H13:H19)</f>
        <v>22.334</v>
      </c>
      <c r="I20" s="615">
        <f>SUM(I13:I19)</f>
        <v>2.0833333333333332E-2</v>
      </c>
      <c r="J20" s="610">
        <f>SUM(J13:J19)</f>
        <v>1.5448678981560739</v>
      </c>
      <c r="K20" s="220"/>
      <c r="L20" s="220"/>
      <c r="M20" s="125"/>
      <c r="N20" s="81"/>
      <c r="Q20" t="str">
        <f>+CONCATENATE(B20,C20)</f>
        <v/>
      </c>
    </row>
    <row r="21" spans="1:21" ht="13.5" thickBot="1">
      <c r="A21" s="81"/>
      <c r="B21" s="81"/>
      <c r="C21" s="81"/>
      <c r="D21" s="81"/>
      <c r="E21" s="206"/>
      <c r="F21" s="206"/>
      <c r="G21" s="81"/>
      <c r="H21" s="81"/>
      <c r="I21" s="612"/>
      <c r="J21" s="616"/>
      <c r="K21" s="617"/>
      <c r="L21" s="81"/>
      <c r="M21" s="125"/>
      <c r="N21" s="81"/>
    </row>
    <row r="22" spans="1:21">
      <c r="A22" s="10"/>
      <c r="B22" s="10"/>
      <c r="C22" s="10"/>
      <c r="D22" s="10"/>
      <c r="E22" s="13"/>
      <c r="F22" s="34"/>
      <c r="G22" s="316" t="s">
        <v>209</v>
      </c>
      <c r="H22" s="317" t="s">
        <v>210</v>
      </c>
      <c r="I22" s="318" t="s">
        <v>211</v>
      </c>
      <c r="J22" s="38"/>
      <c r="K22" s="39" t="s">
        <v>212</v>
      </c>
      <c r="L22" s="10"/>
      <c r="M22" s="125"/>
      <c r="N22" s="10"/>
    </row>
    <row r="23" spans="1:21">
      <c r="F23" s="319" t="s">
        <v>213</v>
      </c>
      <c r="G23" s="9">
        <f>+H23+I23+K23</f>
        <v>96.728399999999993</v>
      </c>
      <c r="H23" s="9">
        <f>+'2_1'!H36</f>
        <v>15.626800000000001</v>
      </c>
      <c r="I23" s="315">
        <f>+H20</f>
        <v>22.334</v>
      </c>
      <c r="J23" s="314"/>
      <c r="K23" s="4">
        <f>+'6_1'!H30</f>
        <v>58.767600000000002</v>
      </c>
      <c r="L23">
        <f>+K23/2</f>
        <v>29.383800000000001</v>
      </c>
      <c r="M23" s="125"/>
    </row>
    <row r="24" spans="1:21">
      <c r="F24" s="319" t="s">
        <v>110</v>
      </c>
      <c r="G24" s="618">
        <f>+Hijuelas!G6</f>
        <v>3.9895833333333335</v>
      </c>
      <c r="H24" s="618">
        <f>+G26*H23/60</f>
        <v>0.64453067385931473</v>
      </c>
      <c r="I24" s="619">
        <f>+G26*I23/60</f>
        <v>0.92117055763009281</v>
      </c>
      <c r="K24" s="619">
        <f>+G26*K23/60</f>
        <v>2.4238821018439256</v>
      </c>
      <c r="M24" s="125"/>
    </row>
    <row r="25" spans="1:21">
      <c r="F25" s="319" t="s">
        <v>214</v>
      </c>
      <c r="G25" s="620">
        <f>+G24*60</f>
        <v>239.375</v>
      </c>
      <c r="H25" s="5"/>
      <c r="I25" s="28"/>
      <c r="M25" s="125"/>
    </row>
    <row r="26" spans="1:21" ht="13.5" thickBot="1">
      <c r="F26" s="320" t="s">
        <v>215</v>
      </c>
      <c r="G26" s="621">
        <f>+G25/G23</f>
        <v>2.4747127007166458</v>
      </c>
      <c r="H26" s="621">
        <f>+H24/H23</f>
        <v>4.1245211678610762E-2</v>
      </c>
      <c r="I26" s="622">
        <f>+I24/I23</f>
        <v>4.1245211678610762E-2</v>
      </c>
      <c r="M26" s="125"/>
    </row>
    <row r="27" spans="1:21">
      <c r="M27" s="125"/>
    </row>
    <row r="28" spans="1:21">
      <c r="M28" s="125"/>
    </row>
    <row r="29" spans="1:21">
      <c r="M29" s="125"/>
    </row>
    <row r="30" spans="1:21">
      <c r="M30" s="125"/>
    </row>
    <row r="31" spans="1:21">
      <c r="M31" s="125"/>
    </row>
    <row r="32" spans="1:21">
      <c r="M32" s="125"/>
    </row>
    <row r="33" spans="13:13">
      <c r="M33" s="10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1">
    <dataValidation type="list" allowBlank="1" showInputMessage="1" showErrorMessage="1" errorTitle="ATENCIÓN" error="NO PUEDEN INGRESARSE VALORES" promptTitle="RECORDAR" prompt="NO OLVIDE VOLVER A PEGAR LA FORMULA PARA QUE LA PLANILLA LEA AUTOMATICAMENTE LOS DATOS " sqref="Q13:Q19" xr:uid="{00000000-0002-0000-0C00-000000000000}">
      <formula1>"2, 3"</formula1>
    </dataValidation>
  </dataValidations>
  <pageMargins left="0.23622047244094491" right="0.23622047244094491" top="0.74803149606299213" bottom="0.74803149606299213" header="0.31496062992125984" footer="0.31496062992125984"/>
  <pageSetup paperSize="281" scale="80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9"/>
  <dimension ref="A1:G101"/>
  <sheetViews>
    <sheetView view="pageBreakPreview" topLeftCell="A70" zoomScale="75" zoomScaleNormal="100" workbookViewId="0" xr3:uid="{274F5AE0-5452-572F-8038-C13FFDA59D49}">
      <selection activeCell="I17" sqref="I17"/>
    </sheetView>
  </sheetViews>
  <sheetFormatPr defaultColWidth="11.42578125" defaultRowHeight="12.75"/>
  <cols>
    <col min="2" max="2" width="11.5703125" bestFit="1" customWidth="1"/>
    <col min="3" max="3" width="22.7109375" bestFit="1" customWidth="1"/>
    <col min="5" max="5" width="11.5703125" bestFit="1" customWidth="1"/>
    <col min="6" max="6" width="14.7109375" customWidth="1"/>
  </cols>
  <sheetData>
    <row r="1" spans="1:7">
      <c r="A1" s="448"/>
      <c r="B1" s="448"/>
      <c r="C1" s="448"/>
      <c r="D1" s="448"/>
      <c r="E1" s="448"/>
      <c r="F1" s="449"/>
      <c r="G1" s="81"/>
    </row>
    <row r="2" spans="1:7">
      <c r="A2" s="147" t="s">
        <v>64</v>
      </c>
      <c r="B2" s="81"/>
      <c r="C2" s="81"/>
      <c r="D2" s="81"/>
      <c r="E2" s="81"/>
      <c r="F2" s="451"/>
      <c r="G2" s="81"/>
    </row>
    <row r="3" spans="1:7">
      <c r="A3" s="81"/>
      <c r="B3" s="81"/>
      <c r="C3" s="81"/>
      <c r="D3" s="81"/>
      <c r="E3" s="81"/>
      <c r="F3" s="451"/>
      <c r="G3" s="81"/>
    </row>
    <row r="4" spans="1:7">
      <c r="A4" s="81" t="s">
        <v>139</v>
      </c>
      <c r="B4" s="81" t="str">
        <f>VLOOKUP(F5,'4_1'!$A$12:$H$28,7,0)</f>
        <v>PETRICH PEDRO</v>
      </c>
      <c r="C4" s="81"/>
      <c r="D4" s="81"/>
      <c r="E4" s="81"/>
      <c r="F4" s="452" t="s">
        <v>102</v>
      </c>
      <c r="G4" s="81"/>
    </row>
    <row r="5" spans="1:7">
      <c r="A5" s="81" t="s">
        <v>72</v>
      </c>
      <c r="B5" s="138" t="str">
        <f>+'4_1'!H2</f>
        <v>Hijuela Heras</v>
      </c>
      <c r="C5" s="81"/>
      <c r="D5" s="81"/>
      <c r="E5" s="81"/>
      <c r="F5" s="452">
        <v>1</v>
      </c>
      <c r="G5" s="81"/>
    </row>
    <row r="6" spans="1:7">
      <c r="A6" s="81"/>
      <c r="B6" s="138"/>
      <c r="C6" s="81"/>
      <c r="D6" s="81"/>
      <c r="E6" s="81"/>
      <c r="F6" s="451"/>
      <c r="G6" s="81"/>
    </row>
    <row r="7" spans="1:7">
      <c r="A7" s="139" t="s">
        <v>140</v>
      </c>
      <c r="B7" s="458">
        <f>VLOOKUP(F5,'4_1'!$A$11:$H$28,2,0)</f>
        <v>1200</v>
      </c>
      <c r="C7" s="81"/>
      <c r="D7" s="139" t="s">
        <v>141</v>
      </c>
      <c r="E7" s="457">
        <f>DSUM('4_1'!A$12:K$31,'4_1'!$J$12,F4:F5)</f>
        <v>0.39339693727872477</v>
      </c>
      <c r="F7" s="451"/>
      <c r="G7" s="81"/>
    </row>
    <row r="8" spans="1:7">
      <c r="A8" s="139" t="s">
        <v>142</v>
      </c>
      <c r="B8" s="461" t="s">
        <v>216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139" t="s">
        <v>144</v>
      </c>
      <c r="B9" s="462">
        <f>DSUM('4_1'!$A$12:$I$29,'4_1'!$H$12,F4:F5)</f>
        <v>5.6872999999999996</v>
      </c>
      <c r="C9" s="81"/>
      <c r="D9" s="139" t="s">
        <v>145</v>
      </c>
      <c r="E9" s="458" t="str">
        <f>IF(VLOOKUP(F5,'4_1'!$A$13:$D$50,4,0)=1, "Definitivo 100%", "Eventual 80%")</f>
        <v>Definitivo 100%</v>
      </c>
      <c r="F9" s="583"/>
      <c r="G9" s="81"/>
    </row>
    <row r="10" spans="1:7" ht="15.75">
      <c r="A10" s="81"/>
      <c r="B10" s="139" t="s">
        <v>146</v>
      </c>
      <c r="C10" s="145">
        <f>DMIN('4_1'!A$12:L$31,'3_1'!$K$12,F4:F5)</f>
        <v>42977.137853062719</v>
      </c>
      <c r="D10" s="189" t="str">
        <f>IF(E10=1,"Domingo",IF(E10=2,"Lunes",IF(E10=3,"Martes",IF(E10=4,"Miercoles",IF(E10=5,"Jueves",IF(E10=6,"Viernes",IF(E10=7,"Sábado",0)))))))</f>
        <v>Miercoles</v>
      </c>
      <c r="E10" s="190">
        <f>WEEKDAY(C10)</f>
        <v>4</v>
      </c>
      <c r="F10" s="453" t="s">
        <v>62</v>
      </c>
      <c r="G10" s="81"/>
    </row>
    <row r="11" spans="1:7" ht="15.75">
      <c r="A11" s="81"/>
      <c r="B11" s="139" t="s">
        <v>147</v>
      </c>
      <c r="C11" s="145">
        <f>DMAX('4_1'!A$12:N$31,'4_1'!$L$12,F4:F5)</f>
        <v>42977.53125</v>
      </c>
      <c r="D11" s="189" t="str">
        <f>IF(E11=1,"Domingo",IF(E11=2,"Lunes",IF(E11=3,"Martes",IF(E11=4,"Miercoles",IF(E11=5,"Jueves",IF(E11=6,"Viernes",IF(E11=7,"Sábado",0)))))))</f>
        <v>Miercoles</v>
      </c>
      <c r="E11" s="190">
        <f>WEEKDAY(C11)</f>
        <v>4</v>
      </c>
      <c r="F11" s="453">
        <f>WEEKDAY(C11)</f>
        <v>4</v>
      </c>
      <c r="G11" s="81"/>
    </row>
    <row r="12" spans="1:7">
      <c r="A12" s="323" t="str">
        <f>+'planilla caudales'!$J$14</f>
        <v>Caudal l/s</v>
      </c>
      <c r="B12" s="324" t="str">
        <f>+'planilla caudales'!$K$3</f>
        <v>Escala cm</v>
      </c>
      <c r="C12" s="81"/>
      <c r="D12" s="81"/>
      <c r="E12" s="584"/>
      <c r="F12" s="583"/>
      <c r="G12" s="81"/>
    </row>
    <row r="13" spans="1:7">
      <c r="A13" s="606">
        <f>+'planilla caudales'!$J$17</f>
        <v>82.748480000000001</v>
      </c>
      <c r="B13" s="606">
        <f>+'planilla caudales'!$K$17</f>
        <v>20.507202364594189</v>
      </c>
      <c r="C13" s="81"/>
      <c r="D13" s="81"/>
      <c r="E13" s="81"/>
      <c r="F13" s="451"/>
      <c r="G13" s="81">
        <f>17*6</f>
        <v>102</v>
      </c>
    </row>
    <row r="14" spans="1:7">
      <c r="A14" s="675">
        <f>+Mensajes!$B$7</f>
        <v>0</v>
      </c>
      <c r="B14" s="675"/>
      <c r="C14" s="675"/>
      <c r="D14" s="675"/>
      <c r="E14" s="675"/>
      <c r="F14" s="675"/>
      <c r="G14" s="81"/>
    </row>
    <row r="15" spans="1:7">
      <c r="A15" s="675">
        <f>+Mensajes!$B$12</f>
        <v>0</v>
      </c>
      <c r="B15" s="675"/>
      <c r="C15" s="675"/>
      <c r="D15" s="675"/>
      <c r="E15" s="675"/>
      <c r="F15" s="675"/>
      <c r="G15" s="81"/>
    </row>
    <row r="16" spans="1:7" ht="13.5" thickBot="1">
      <c r="B16" s="455"/>
      <c r="C16" s="455"/>
      <c r="D16" s="455"/>
      <c r="E16" s="454" t="str">
        <f>IF(DSUM('4_1'!$A$12:$Q$87,16,F4:F5)=COUNTIF('4_1'!$A$13:$A$87,F5),"","Regularice su Deuda")</f>
        <v>Regularice su Deuda</v>
      </c>
      <c r="F16" s="456"/>
      <c r="G16" s="81"/>
    </row>
    <row r="17" spans="1:6" ht="13.5" thickBot="1"/>
    <row r="18" spans="1:6">
      <c r="A18" s="448"/>
      <c r="B18" s="448"/>
      <c r="C18" s="448"/>
      <c r="D18" s="448"/>
      <c r="E18" s="448"/>
      <c r="F18" s="449"/>
    </row>
    <row r="19" spans="1:6">
      <c r="A19" s="147" t="s">
        <v>64</v>
      </c>
      <c r="B19" s="81"/>
      <c r="C19" s="81"/>
      <c r="D19" s="81"/>
      <c r="E19" s="81"/>
      <c r="F19" s="451"/>
    </row>
    <row r="20" spans="1:6">
      <c r="A20" s="81"/>
      <c r="B20" s="81"/>
      <c r="C20" s="81"/>
      <c r="D20" s="81"/>
      <c r="E20" s="81"/>
      <c r="F20" s="451"/>
    </row>
    <row r="21" spans="1:6">
      <c r="A21" s="81" t="s">
        <v>139</v>
      </c>
      <c r="B21" s="81" t="str">
        <f>VLOOKUP(F22,'4_1'!$A$12:$H$28,7,0)</f>
        <v>PETRICH, DINCO NICOLAS</v>
      </c>
      <c r="C21" s="81"/>
      <c r="D21" s="81"/>
      <c r="E21" s="81"/>
      <c r="F21" s="452" t="s">
        <v>102</v>
      </c>
    </row>
    <row r="22" spans="1:6">
      <c r="A22" s="81" t="s">
        <v>72</v>
      </c>
      <c r="B22" s="138">
        <f>+'4_1'!H19</f>
        <v>3.1377999999999999</v>
      </c>
      <c r="C22" s="81"/>
      <c r="D22" s="81"/>
      <c r="E22" s="81"/>
      <c r="F22" s="452">
        <v>2</v>
      </c>
    </row>
    <row r="23" spans="1:6">
      <c r="A23" s="81"/>
      <c r="B23" s="138"/>
      <c r="C23" s="81"/>
      <c r="D23" s="81"/>
      <c r="E23" s="81"/>
      <c r="F23" s="451"/>
    </row>
    <row r="24" spans="1:6">
      <c r="A24" s="139" t="s">
        <v>140</v>
      </c>
      <c r="B24" s="458">
        <f>VLOOKUP(F22,'4_1'!$A$11:$H$28,2,0)</f>
        <v>1200</v>
      </c>
      <c r="C24" s="81"/>
      <c r="D24" s="139" t="s">
        <v>141</v>
      </c>
      <c r="E24" s="457">
        <f>DSUM('4_1'!A$12:K$31,'4_1'!$J$12,F21:F22)</f>
        <v>0.33857882098568776</v>
      </c>
      <c r="F24" s="451"/>
    </row>
    <row r="25" spans="1:6">
      <c r="A25" s="139" t="s">
        <v>142</v>
      </c>
      <c r="B25" s="461" t="s">
        <v>217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139" t="s">
        <v>144</v>
      </c>
      <c r="B26" s="462">
        <f>DSUM('4_1'!$A$12:$I$29,'4_1'!$H$12,F21:F22)</f>
        <v>4.8948</v>
      </c>
      <c r="C26" s="81"/>
      <c r="D26" s="139" t="s">
        <v>145</v>
      </c>
      <c r="E26" s="458" t="str">
        <f>IF(VLOOKUP(F22,'4_1'!$A$13:$D$50,4,0)=1, "Definitivo 100%", "Eventual 80%")</f>
        <v>Definitivo 100%</v>
      </c>
      <c r="F26" s="583"/>
    </row>
    <row r="27" spans="1:6" ht="15.75">
      <c r="A27" s="81"/>
      <c r="B27" s="139" t="s">
        <v>146</v>
      </c>
      <c r="C27" s="145">
        <f>DMIN('4_1'!A$12:L$31,'3_1'!$K$12,F21:F22)</f>
        <v>42976.799274241726</v>
      </c>
      <c r="D27" s="189" t="str">
        <f>IF(E27=1,"Domingo",IF(E27=2,"Lunes",IF(E27=3,"Martes",IF(E27=4,"Miercoles",IF(E27=5,"Jueves",IF(E27=6,"Viernes",IF(E27=7,"Sábado",0)))))))</f>
        <v>Martes</v>
      </c>
      <c r="E27" s="190">
        <f>WEEKDAY(C27)</f>
        <v>3</v>
      </c>
      <c r="F27" s="453" t="s">
        <v>62</v>
      </c>
    </row>
    <row r="28" spans="1:6" ht="15.75">
      <c r="A28" s="81"/>
      <c r="B28" s="139" t="s">
        <v>147</v>
      </c>
      <c r="C28" s="145">
        <f>DMAX('4_1'!A$12:N$31,'4_1'!$L$12,F21:F22)</f>
        <v>42977.137853062719</v>
      </c>
      <c r="D28" s="189" t="str">
        <f>IF(E28=1,"Domingo",IF(E28=2,"Lunes",IF(E28=3,"Martes",IF(E28=4,"Miercoles",IF(E28=5,"Jueves",IF(E28=6,"Viernes",IF(E28=7,"Sábado",0)))))))</f>
        <v>Miercoles</v>
      </c>
      <c r="E28" s="190">
        <f>WEEKDAY(C28)</f>
        <v>4</v>
      </c>
      <c r="F28" s="453">
        <f>WEEKDAY(C28)</f>
        <v>4</v>
      </c>
    </row>
    <row r="29" spans="1:6">
      <c r="A29" s="323" t="str">
        <f>+'planilla caudales'!$J$14</f>
        <v>Caudal l/s</v>
      </c>
      <c r="B29" s="324" t="str">
        <f>+'planilla caudales'!$K$3</f>
        <v>Escala cm</v>
      </c>
      <c r="C29" s="81"/>
      <c r="D29" s="81"/>
      <c r="E29" s="584"/>
      <c r="F29" s="583"/>
    </row>
    <row r="30" spans="1:6">
      <c r="A30" s="606">
        <f>+'planilla caudales'!$J$17</f>
        <v>82.748480000000001</v>
      </c>
      <c r="B30" s="606">
        <f>+'planilla caudales'!$K$17</f>
        <v>20.507202364594189</v>
      </c>
      <c r="C30" s="81"/>
      <c r="D30" s="81"/>
      <c r="E30" s="81"/>
      <c r="F30" s="451"/>
    </row>
    <row r="31" spans="1:6">
      <c r="A31" s="675">
        <f>+Mensajes!$B$7</f>
        <v>0</v>
      </c>
      <c r="B31" s="675"/>
      <c r="C31" s="675"/>
      <c r="D31" s="675"/>
      <c r="E31" s="675"/>
      <c r="F31" s="675"/>
    </row>
    <row r="32" spans="1:6">
      <c r="A32" s="675">
        <f>+Mensajes!$B$12</f>
        <v>0</v>
      </c>
      <c r="B32" s="675"/>
      <c r="C32" s="675"/>
      <c r="D32" s="675"/>
      <c r="E32" s="675"/>
      <c r="F32" s="675"/>
    </row>
    <row r="33" spans="1:6" ht="13.5" thickBot="1">
      <c r="B33" s="455"/>
      <c r="C33" s="455"/>
      <c r="D33" s="455"/>
      <c r="E33" s="454" t="str">
        <f>IF(DSUM('4_1'!$A$12:$Q$87,16,F21:F22)=COUNTIF('4_1'!$A$13:$A$87,F22),"","Regularice su Deuda")</f>
        <v>Regularice su Deuda</v>
      </c>
      <c r="F33" s="456"/>
    </row>
    <row r="34" spans="1:6" ht="13.5" thickBot="1"/>
    <row r="35" spans="1:6">
      <c r="A35" s="448"/>
      <c r="B35" s="448"/>
      <c r="C35" s="448"/>
      <c r="D35" s="448"/>
      <c r="E35" s="448"/>
      <c r="F35" s="449"/>
    </row>
    <row r="36" spans="1:6">
      <c r="A36" s="147" t="s">
        <v>64</v>
      </c>
      <c r="B36" s="81"/>
      <c r="C36" s="81"/>
      <c r="D36" s="81"/>
      <c r="E36" s="81"/>
      <c r="F36" s="451"/>
    </row>
    <row r="37" spans="1:6">
      <c r="A37" s="81"/>
      <c r="B37" s="81"/>
      <c r="C37" s="81"/>
      <c r="D37" s="81"/>
      <c r="E37" s="81"/>
      <c r="F37" s="451"/>
    </row>
    <row r="38" spans="1:6">
      <c r="A38" s="81" t="s">
        <v>139</v>
      </c>
      <c r="B38" s="81" t="str">
        <f>VLOOKUP(F39,'4_1'!$A$12:$H$28,7,0)</f>
        <v>PETRICH, ANTONIO JUAN</v>
      </c>
      <c r="C38" s="81"/>
      <c r="D38" s="81"/>
      <c r="E38" s="81"/>
      <c r="F38" s="452" t="s">
        <v>102</v>
      </c>
    </row>
    <row r="39" spans="1:6">
      <c r="A39" s="81" t="s">
        <v>72</v>
      </c>
      <c r="B39" s="138">
        <f>+'4_1'!H36</f>
        <v>0</v>
      </c>
      <c r="C39" s="81"/>
      <c r="D39" s="81"/>
      <c r="E39" s="81"/>
      <c r="F39" s="452">
        <v>3</v>
      </c>
    </row>
    <row r="40" spans="1:6">
      <c r="A40" s="81"/>
      <c r="B40" s="138"/>
      <c r="C40" s="81"/>
      <c r="D40" s="81"/>
      <c r="E40" s="81"/>
      <c r="F40" s="451"/>
    </row>
    <row r="41" spans="1:6">
      <c r="A41" s="139" t="s">
        <v>140</v>
      </c>
      <c r="B41" s="458">
        <f>VLOOKUP(F39,'4_1'!$A$11:$H$28,2,0)</f>
        <v>1200</v>
      </c>
      <c r="C41" s="81"/>
      <c r="D41" s="139" t="s">
        <v>141</v>
      </c>
      <c r="E41" s="457">
        <f>DSUM('4_1'!A$12:K$31,'4_1'!$J$12,F38:F39)</f>
        <v>0.27490680073617285</v>
      </c>
      <c r="F41" s="451"/>
    </row>
    <row r="42" spans="1:6">
      <c r="A42" s="139" t="s">
        <v>142</v>
      </c>
      <c r="B42" s="461">
        <v>31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139" t="s">
        <v>144</v>
      </c>
      <c r="B43" s="462">
        <f>DSUM('4_1'!$A$12:$I$29,'4_1'!$H$12,F38:F39)</f>
        <v>3.9742999999999999</v>
      </c>
      <c r="C43" s="81"/>
      <c r="D43" s="139" t="s">
        <v>145</v>
      </c>
      <c r="E43" s="458" t="str">
        <f>IF(VLOOKUP(F39,'4_1'!$A$13:$D$50,4,0)=1, "Definitivo 100%", "Eventual 80%")</f>
        <v>Definitivo 100%</v>
      </c>
      <c r="F43" s="583"/>
    </row>
    <row r="44" spans="1:6" ht="15.75">
      <c r="A44" s="81"/>
      <c r="B44" s="139" t="s">
        <v>146</v>
      </c>
      <c r="C44" s="145">
        <f>DMIN('4_1'!A$12:L$31,'3_1'!$K$12,F38:F39)</f>
        <v>42976.524367440987</v>
      </c>
      <c r="D44" s="189" t="str">
        <f>IF(E44=1,"Domingo",IF(E44=2,"Lunes",IF(E44=3,"Martes",IF(E44=4,"Miercoles",IF(E44=5,"Jueves",IF(E44=6,"Viernes",IF(E44=7,"Sábado",0)))))))</f>
        <v>Martes</v>
      </c>
      <c r="E44" s="190">
        <f>WEEKDAY(C44)</f>
        <v>3</v>
      </c>
      <c r="F44" s="453" t="s">
        <v>62</v>
      </c>
    </row>
    <row r="45" spans="1:6" ht="15.75">
      <c r="A45" s="81"/>
      <c r="B45" s="139" t="s">
        <v>147</v>
      </c>
      <c r="C45" s="145">
        <f>DMAX('4_1'!A$12:N$31,'4_1'!$L$12,F38:F39)</f>
        <v>42976.799274241726</v>
      </c>
      <c r="D45" s="189" t="str">
        <f>IF(E45=1,"Domingo",IF(E45=2,"Lunes",IF(E45=3,"Martes",IF(E45=4,"Miercoles",IF(E45=5,"Jueves",IF(E45=6,"Viernes",IF(E45=7,"Sábado",0)))))))</f>
        <v>Martes</v>
      </c>
      <c r="E45" s="190">
        <f>WEEKDAY(C45)</f>
        <v>3</v>
      </c>
      <c r="F45" s="453">
        <f>WEEKDAY(C45)</f>
        <v>3</v>
      </c>
    </row>
    <row r="46" spans="1:6">
      <c r="A46" s="323" t="str">
        <f>+'planilla caudales'!$J$14</f>
        <v>Caudal l/s</v>
      </c>
      <c r="B46" s="324" t="str">
        <f>+'planilla caudales'!$K$3</f>
        <v>Escala cm</v>
      </c>
      <c r="C46" s="81"/>
      <c r="D46" s="81"/>
      <c r="E46" s="584"/>
      <c r="F46" s="583"/>
    </row>
    <row r="47" spans="1:6">
      <c r="A47" s="606">
        <f>+'planilla caudales'!$J$17</f>
        <v>82.748480000000001</v>
      </c>
      <c r="B47" s="606">
        <f>+'planilla caudales'!$K$17</f>
        <v>20.507202364594189</v>
      </c>
      <c r="C47" s="81"/>
      <c r="D47" s="81"/>
      <c r="E47" s="81"/>
      <c r="F47" s="451"/>
    </row>
    <row r="48" spans="1:6">
      <c r="A48" s="675">
        <f>+Mensajes!$B$7</f>
        <v>0</v>
      </c>
      <c r="B48" s="675"/>
      <c r="C48" s="675"/>
      <c r="D48" s="675"/>
      <c r="E48" s="675"/>
      <c r="F48" s="675"/>
    </row>
    <row r="49" spans="1:6">
      <c r="A49" s="675">
        <f>+Mensajes!$B$12</f>
        <v>0</v>
      </c>
      <c r="B49" s="675"/>
      <c r="C49" s="675"/>
      <c r="D49" s="675"/>
      <c r="E49" s="675"/>
      <c r="F49" s="675"/>
    </row>
    <row r="50" spans="1:6" ht="13.5" thickBot="1">
      <c r="B50" s="455"/>
      <c r="C50" s="455"/>
      <c r="D50" s="455"/>
      <c r="E50" s="454" t="str">
        <f>IF(DSUM('4_1'!$A$12:$Q$87,16,F38:F39)=COUNTIF('4_1'!$A$13:$A$87,F39),"","Regularice su Deuda")</f>
        <v>Regularice su Deuda</v>
      </c>
      <c r="F50" s="456"/>
    </row>
    <row r="51" spans="1:6" ht="13.5" thickBot="1"/>
    <row r="52" spans="1:6">
      <c r="A52" s="448"/>
      <c r="B52" s="448"/>
      <c r="C52" s="448"/>
      <c r="D52" s="448"/>
      <c r="E52" s="448"/>
      <c r="F52" s="449"/>
    </row>
    <row r="53" spans="1:6">
      <c r="A53" s="147" t="s">
        <v>64</v>
      </c>
      <c r="B53" s="81"/>
      <c r="C53" s="81"/>
      <c r="D53" s="81"/>
      <c r="E53" s="81"/>
      <c r="F53" s="451"/>
    </row>
    <row r="54" spans="1:6">
      <c r="A54" s="81"/>
      <c r="B54" s="81"/>
      <c r="C54" s="81"/>
      <c r="D54" s="81"/>
      <c r="E54" s="81"/>
      <c r="F54" s="451"/>
    </row>
    <row r="55" spans="1:6">
      <c r="A55" s="81" t="s">
        <v>139</v>
      </c>
      <c r="B55" s="81" t="str">
        <f>VLOOKUP(F56,'4_1'!$A$12:$H$28,7,0)</f>
        <v xml:space="preserve">FALGUEYRETY, MARIO </v>
      </c>
      <c r="C55" s="81"/>
      <c r="D55" s="81"/>
      <c r="E55" s="81"/>
      <c r="F55" s="452" t="s">
        <v>102</v>
      </c>
    </row>
    <row r="56" spans="1:6">
      <c r="A56" s="81" t="s">
        <v>72</v>
      </c>
      <c r="B56" s="138">
        <f>+'4_1'!H53</f>
        <v>0</v>
      </c>
      <c r="C56" s="81"/>
      <c r="D56" s="81"/>
      <c r="E56" s="81"/>
      <c r="F56" s="452">
        <v>4</v>
      </c>
    </row>
    <row r="57" spans="1:6">
      <c r="A57" s="81"/>
      <c r="B57" s="138"/>
      <c r="C57" s="81"/>
      <c r="D57" s="81"/>
      <c r="E57" s="81"/>
      <c r="F57" s="451"/>
    </row>
    <row r="58" spans="1:6">
      <c r="A58" s="139" t="s">
        <v>140</v>
      </c>
      <c r="B58" s="458">
        <f>VLOOKUP(F56,'4_1'!$A$11:$H$28,2,0)</f>
        <v>1200</v>
      </c>
      <c r="C58" s="81"/>
      <c r="D58" s="139" t="s">
        <v>141</v>
      </c>
      <c r="E58" s="457">
        <f>DSUM('4_1'!A$12:K$31,'4_1'!$J$12,F55:F56)</f>
        <v>0.32094018419739195</v>
      </c>
      <c r="F58" s="451"/>
    </row>
    <row r="59" spans="1:6">
      <c r="A59" s="139" t="s">
        <v>142</v>
      </c>
      <c r="B59" s="461">
        <v>70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139" t="s">
        <v>144</v>
      </c>
      <c r="B60" s="462">
        <f>DSUM('4_1'!$A$12:$I$29,'4_1'!$H$12,F55:F56)</f>
        <v>4.6398000000000001</v>
      </c>
      <c r="C60" s="81"/>
      <c r="D60" s="139" t="s">
        <v>145</v>
      </c>
      <c r="E60" s="458" t="str">
        <f>IF(VLOOKUP(F56,'4_1'!$A$13:$D$50,4,0)=1, "Definitivo 100%", "Eventual 80%")</f>
        <v>Definitivo 100%</v>
      </c>
      <c r="F60" s="583"/>
    </row>
    <row r="61" spans="1:6" ht="15.75">
      <c r="A61" s="81"/>
      <c r="B61" s="139" t="s">
        <v>146</v>
      </c>
      <c r="C61" s="145">
        <f>DMIN('4_1'!A$12:L$31,'3_1'!$K$12,F55:F56)</f>
        <v>42976.203427256791</v>
      </c>
      <c r="D61" s="189" t="str">
        <f>IF(E61=1,"Domingo",IF(E61=2,"Lunes",IF(E61=3,"Martes",IF(E61=4,"Miercoles",IF(E61=5,"Jueves",IF(E61=6,"Viernes",IF(E61=7,"Sábado",0)))))))</f>
        <v>Martes</v>
      </c>
      <c r="E61" s="190">
        <f>WEEKDAY(C61)</f>
        <v>3</v>
      </c>
      <c r="F61" s="453" t="s">
        <v>62</v>
      </c>
    </row>
    <row r="62" spans="1:6" ht="15.75">
      <c r="A62" s="81"/>
      <c r="B62" s="139" t="s">
        <v>147</v>
      </c>
      <c r="C62" s="145">
        <f>DMAX('4_1'!A$12:N$31,'4_1'!$L$12,F55:F56)</f>
        <v>42976.524367440987</v>
      </c>
      <c r="D62" s="189" t="str">
        <f>IF(E62=1,"Domingo",IF(E62=2,"Lunes",IF(E62=3,"Martes",IF(E62=4,"Miercoles",IF(E62=5,"Jueves",IF(E62=6,"Viernes",IF(E62=7,"Sábado",0)))))))</f>
        <v>Martes</v>
      </c>
      <c r="E62" s="190">
        <f>WEEKDAY(C62)</f>
        <v>3</v>
      </c>
      <c r="F62" s="453">
        <f>WEEKDAY(C62)</f>
        <v>3</v>
      </c>
    </row>
    <row r="63" spans="1:6">
      <c r="A63" s="323" t="str">
        <f>+'planilla caudales'!$J$14</f>
        <v>Caudal l/s</v>
      </c>
      <c r="B63" s="324" t="str">
        <f>+'planilla caudales'!$K$3</f>
        <v>Escala cm</v>
      </c>
      <c r="C63" s="81"/>
      <c r="D63" s="81"/>
      <c r="E63" s="584"/>
      <c r="F63" s="583"/>
    </row>
    <row r="64" spans="1:6">
      <c r="A64" s="606">
        <f>+'planilla caudales'!$J$17</f>
        <v>82.748480000000001</v>
      </c>
      <c r="B64" s="606">
        <f>+'planilla caudales'!$K$17</f>
        <v>20.507202364594189</v>
      </c>
      <c r="C64" s="81"/>
      <c r="D64" s="81"/>
      <c r="E64" s="81"/>
      <c r="F64" s="451"/>
    </row>
    <row r="65" spans="1:6">
      <c r="A65" s="675">
        <f>+Mensajes!$B$7</f>
        <v>0</v>
      </c>
      <c r="B65" s="675"/>
      <c r="C65" s="675"/>
      <c r="D65" s="675"/>
      <c r="E65" s="675"/>
      <c r="F65" s="675"/>
    </row>
    <row r="66" spans="1:6">
      <c r="A66" s="675">
        <f>+Mensajes!$B$12</f>
        <v>0</v>
      </c>
      <c r="B66" s="675"/>
      <c r="C66" s="675"/>
      <c r="D66" s="675"/>
      <c r="E66" s="675"/>
      <c r="F66" s="675"/>
    </row>
    <row r="67" spans="1:6" ht="13.5" thickBot="1">
      <c r="B67" s="455"/>
      <c r="C67" s="455"/>
      <c r="D67" s="455"/>
      <c r="E67" s="454" t="str">
        <f>IF(DSUM('4_1'!$A$12:$Q$87,16,F55:F56)=COUNTIF('4_1'!$A$13:$A$87,F56),"","Regularice su Deuda")</f>
        <v>Regularice su Deuda</v>
      </c>
      <c r="F67" s="456"/>
    </row>
    <row r="68" spans="1:6" ht="13.5" thickBot="1"/>
    <row r="69" spans="1:6">
      <c r="A69" s="448"/>
      <c r="B69" s="448"/>
      <c r="C69" s="448"/>
      <c r="D69" s="448"/>
      <c r="E69" s="448"/>
      <c r="F69" s="449"/>
    </row>
    <row r="70" spans="1:6">
      <c r="A70" s="147" t="s">
        <v>64</v>
      </c>
      <c r="B70" s="81"/>
      <c r="C70" s="81"/>
      <c r="D70" s="81"/>
      <c r="E70" s="81"/>
      <c r="F70" s="451"/>
    </row>
    <row r="71" spans="1:6">
      <c r="A71" s="81"/>
      <c r="B71" s="81"/>
      <c r="C71" s="81"/>
      <c r="D71" s="81"/>
      <c r="E71" s="81"/>
      <c r="F71" s="451"/>
    </row>
    <row r="72" spans="1:6">
      <c r="A72" s="81" t="s">
        <v>139</v>
      </c>
      <c r="B72" s="81" t="str">
        <f>VLOOKUP(F73,'4_1'!$A$12:$H$28,7,0)</f>
        <v>LUCERO, PEDRO LORE</v>
      </c>
      <c r="C72" s="81"/>
      <c r="D72" s="81"/>
      <c r="E72" s="81"/>
      <c r="F72" s="452" t="s">
        <v>102</v>
      </c>
    </row>
    <row r="73" spans="1:6">
      <c r="A73" s="81" t="s">
        <v>72</v>
      </c>
      <c r="B73" s="138">
        <f>+'4_1'!H70</f>
        <v>0</v>
      </c>
      <c r="C73" s="81"/>
      <c r="D73" s="81"/>
      <c r="E73" s="81"/>
      <c r="F73" s="452">
        <v>5</v>
      </c>
    </row>
    <row r="74" spans="1:6">
      <c r="A74" s="81"/>
      <c r="B74" s="138"/>
      <c r="C74" s="81"/>
      <c r="D74" s="81"/>
      <c r="E74" s="81"/>
      <c r="F74" s="451"/>
    </row>
    <row r="75" spans="1:6">
      <c r="A75" s="139" t="s">
        <v>140</v>
      </c>
      <c r="B75" s="458">
        <f>VLOOKUP(F73,'4_1'!$A$11:$H$28,2,0)</f>
        <v>1200</v>
      </c>
      <c r="C75" s="81"/>
      <c r="D75" s="139" t="s">
        <v>141</v>
      </c>
      <c r="E75" s="457">
        <f>DSUM('4_1'!A$12:K$31,'4_1'!$J$12,F72:F73)</f>
        <v>0.21704515495809656</v>
      </c>
      <c r="F75" s="451"/>
    </row>
    <row r="76" spans="1:6">
      <c r="A76" s="139" t="s">
        <v>142</v>
      </c>
      <c r="B76" s="461">
        <v>35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139" t="s">
        <v>144</v>
      </c>
      <c r="B77" s="462">
        <f>DSUM('4_1'!$A$12:$I$29,'4_1'!$H$12,F72:F73)</f>
        <v>3.1377999999999999</v>
      </c>
      <c r="C77" s="81"/>
      <c r="D77" s="139" t="s">
        <v>145</v>
      </c>
      <c r="E77" s="458" t="str">
        <f>IF(VLOOKUP(F73,'4_1'!$A$13:$D$50,4,0)=1, "Definitivo 100%", "Eventual 80%")</f>
        <v>Definitivo 100%</v>
      </c>
      <c r="F77" s="583"/>
    </row>
    <row r="78" spans="1:6" ht="15.75">
      <c r="A78" s="81"/>
      <c r="B78" s="139" t="s">
        <v>146</v>
      </c>
      <c r="C78" s="145">
        <f>DMIN('4_1'!A$12:L$31,'3_1'!$K$12,F72:F73)</f>
        <v>42975.98638210183</v>
      </c>
      <c r="D78" s="189" t="str">
        <f>IF(E78=1,"Domingo",IF(E78=2,"Lunes",IF(E78=3,"Martes",IF(E78=4,"Miercoles",IF(E78=5,"Jueves",IF(E78=6,"Viernes",IF(E78=7,"Sábado",0)))))))</f>
        <v>Lunes</v>
      </c>
      <c r="E78" s="190">
        <f>WEEKDAY(C78)</f>
        <v>2</v>
      </c>
      <c r="F78" s="453" t="s">
        <v>62</v>
      </c>
    </row>
    <row r="79" spans="1:6" ht="15.75">
      <c r="A79" s="81"/>
      <c r="B79" s="139" t="s">
        <v>147</v>
      </c>
      <c r="C79" s="145">
        <f>DMAX('4_1'!A$12:N$31,'4_1'!$L$12,F72:F73)</f>
        <v>42976.203427256791</v>
      </c>
      <c r="D79" s="189" t="str">
        <f>IF(E79=1,"Domingo",IF(E79=2,"Lunes",IF(E79=3,"Martes",IF(E79=4,"Miercoles",IF(E79=5,"Jueves",IF(E79=6,"Viernes",IF(E79=7,"Sábado",0)))))))</f>
        <v>Martes</v>
      </c>
      <c r="E79" s="190">
        <f>WEEKDAY(C79)</f>
        <v>3</v>
      </c>
      <c r="F79" s="453">
        <f>WEEKDAY(C79)</f>
        <v>3</v>
      </c>
    </row>
    <row r="80" spans="1:6">
      <c r="A80" s="323" t="str">
        <f>+'planilla caudales'!$J$14</f>
        <v>Caudal l/s</v>
      </c>
      <c r="B80" s="324" t="str">
        <f>+'planilla caudales'!$K$3</f>
        <v>Escala cm</v>
      </c>
      <c r="C80" s="81"/>
      <c r="D80" s="81"/>
      <c r="E80" s="584"/>
      <c r="F80" s="583"/>
    </row>
    <row r="81" spans="1:6">
      <c r="A81" s="606">
        <f>+'planilla caudales'!$J$17</f>
        <v>82.748480000000001</v>
      </c>
      <c r="B81" s="606">
        <f>+'planilla caudales'!$K$17</f>
        <v>20.507202364594189</v>
      </c>
      <c r="C81" s="81"/>
      <c r="D81" s="81"/>
      <c r="E81" s="81"/>
      <c r="F81" s="451"/>
    </row>
    <row r="82" spans="1:6">
      <c r="A82" s="675">
        <f>+Mensajes!$B$7</f>
        <v>0</v>
      </c>
      <c r="B82" s="675"/>
      <c r="C82" s="675"/>
      <c r="D82" s="675"/>
      <c r="E82" s="675"/>
      <c r="F82" s="675"/>
    </row>
    <row r="83" spans="1:6">
      <c r="A83" s="675">
        <f>+Mensajes!$B$12</f>
        <v>0</v>
      </c>
      <c r="B83" s="675"/>
      <c r="C83" s="675"/>
      <c r="D83" s="675"/>
      <c r="E83" s="675"/>
      <c r="F83" s="675"/>
    </row>
    <row r="84" spans="1:6" ht="13.5" thickBot="1">
      <c r="B84" s="455"/>
      <c r="C84" s="455"/>
      <c r="D84" s="455"/>
      <c r="E84" s="454" t="str">
        <f>IF(DSUM('4_1'!$A$12:$Q$87,16,F72:F73)=COUNTIF('4_1'!$A$13:$A$87,F73),"","Regularice su Deuda")</f>
        <v>Regularice su Deuda</v>
      </c>
      <c r="F84" s="456"/>
    </row>
    <row r="85" spans="1:6" ht="13.5" thickBot="1"/>
    <row r="86" spans="1:6">
      <c r="A86" s="448"/>
      <c r="B86" s="448"/>
      <c r="C86" s="448"/>
      <c r="D86" s="448"/>
      <c r="E86" s="448"/>
      <c r="F86" s="449"/>
    </row>
    <row r="87" spans="1:6">
      <c r="A87" s="147" t="s">
        <v>64</v>
      </c>
      <c r="B87" s="81"/>
      <c r="C87" s="81"/>
      <c r="D87" s="81"/>
      <c r="E87" s="81"/>
      <c r="F87" s="451"/>
    </row>
    <row r="88" spans="1:6">
      <c r="A88" s="81"/>
      <c r="B88" s="81"/>
      <c r="C88" s="81"/>
      <c r="D88" s="81"/>
      <c r="E88" s="81"/>
      <c r="F88" s="451"/>
    </row>
    <row r="89" spans="1:6">
      <c r="A89" s="81" t="s">
        <v>139</v>
      </c>
      <c r="B89" s="81" t="e">
        <f>VLOOKUP(F90,'4_1'!$A$12:$H$28,7,0)</f>
        <v>#N/A</v>
      </c>
      <c r="C89" s="81"/>
      <c r="D89" s="81"/>
      <c r="E89" s="81"/>
      <c r="F89" s="452" t="s">
        <v>102</v>
      </c>
    </row>
    <row r="90" spans="1:6">
      <c r="A90" s="81" t="s">
        <v>72</v>
      </c>
      <c r="B90" s="138">
        <f>+'4_1'!H87</f>
        <v>0</v>
      </c>
      <c r="C90" s="81"/>
      <c r="D90" s="81"/>
      <c r="E90" s="81"/>
      <c r="F90" s="452">
        <v>6</v>
      </c>
    </row>
    <row r="91" spans="1:6">
      <c r="A91" s="81"/>
      <c r="B91" s="138"/>
      <c r="C91" s="81"/>
      <c r="D91" s="81"/>
      <c r="E91" s="81"/>
      <c r="F91" s="451"/>
    </row>
    <row r="92" spans="1:6">
      <c r="A92" s="139" t="s">
        <v>140</v>
      </c>
      <c r="B92" s="458" t="e">
        <f>VLOOKUP(F90,'4_1'!$A$11:$H$28,2,0)</f>
        <v>#N/A</v>
      </c>
      <c r="C92" s="81"/>
      <c r="D92" s="139" t="s">
        <v>141</v>
      </c>
      <c r="E92" s="457">
        <f>DSUM('4_1'!A$12:K$31,'4_1'!$J$12,F89:F90)</f>
        <v>0</v>
      </c>
      <c r="F92" s="451"/>
    </row>
    <row r="93" spans="1:6">
      <c r="A93" s="139" t="s">
        <v>142</v>
      </c>
      <c r="B93" s="461">
        <v>35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139" t="s">
        <v>144</v>
      </c>
      <c r="B94" s="462">
        <f>DSUM('4_1'!$A$12:$I$29,'4_1'!$H$12,F89:F90)</f>
        <v>0</v>
      </c>
      <c r="C94" s="81"/>
      <c r="D94" s="139" t="s">
        <v>145</v>
      </c>
      <c r="E94" s="458" t="e">
        <f>IF(VLOOKUP(F90,'4_1'!$A$13:$D$50,4,0)=1, "Definitivo 100%", "Eventual 80%")</f>
        <v>#N/A</v>
      </c>
      <c r="F94" s="583"/>
    </row>
    <row r="95" spans="1:6" ht="15.75">
      <c r="A95" s="81"/>
      <c r="B95" s="139" t="s">
        <v>146</v>
      </c>
      <c r="C95" s="145">
        <f>DMIN('4_1'!A$12:L$31,'3_1'!$K$12,F89:F90)</f>
        <v>0</v>
      </c>
      <c r="D95" s="189" t="str">
        <f>IF(E95=1,"Domingo",IF(E95=2,"Lunes",IF(E95=3,"Martes",IF(E95=4,"Miercoles",IF(E95=5,"Jueves",IF(E95=6,"Viernes",IF(E95=7,"Sábado",0)))))))</f>
        <v>Sábado</v>
      </c>
      <c r="E95" s="190">
        <f>WEEKDAY(C95)</f>
        <v>7</v>
      </c>
      <c r="F95" s="453" t="s">
        <v>62</v>
      </c>
    </row>
    <row r="96" spans="1:6" ht="15.75">
      <c r="A96" s="81"/>
      <c r="B96" s="139" t="s">
        <v>147</v>
      </c>
      <c r="C96" s="145">
        <f>DMAX('4_1'!A$12:N$31,'4_1'!$L$12,F89:F90)</f>
        <v>0</v>
      </c>
      <c r="D96" s="189" t="str">
        <f>IF(E96=1,"Domingo",IF(E96=2,"Lunes",IF(E96=3,"Martes",IF(E96=4,"Miercoles",IF(E96=5,"Jueves",IF(E96=6,"Viernes",IF(E96=7,"Sábado",0)))))))</f>
        <v>Sábado</v>
      </c>
      <c r="E96" s="190">
        <f>WEEKDAY(C96)</f>
        <v>7</v>
      </c>
      <c r="F96" s="453">
        <f>WEEKDAY(C96)</f>
        <v>7</v>
      </c>
    </row>
    <row r="97" spans="1:6">
      <c r="A97" s="323" t="str">
        <f>+'planilla caudales'!$J$14</f>
        <v>Caudal l/s</v>
      </c>
      <c r="B97" s="324" t="str">
        <f>+'planilla caudales'!$K$3</f>
        <v>Escala cm</v>
      </c>
      <c r="C97" s="81"/>
      <c r="D97" s="81"/>
      <c r="E97" s="584"/>
      <c r="F97" s="583"/>
    </row>
    <row r="98" spans="1:6">
      <c r="A98" s="606">
        <f>+'planilla caudales'!$J$17</f>
        <v>82.748480000000001</v>
      </c>
      <c r="B98" s="606">
        <f>+'planilla caudales'!$K$17</f>
        <v>20.507202364594189</v>
      </c>
      <c r="C98" s="81"/>
      <c r="D98" s="81"/>
      <c r="E98" s="81"/>
      <c r="F98" s="451"/>
    </row>
    <row r="99" spans="1:6">
      <c r="A99" s="675">
        <f>+Mensajes!$B$7</f>
        <v>0</v>
      </c>
      <c r="B99" s="675"/>
      <c r="C99" s="675"/>
      <c r="D99" s="675"/>
      <c r="E99" s="675"/>
      <c r="F99" s="675"/>
    </row>
    <row r="100" spans="1:6">
      <c r="A100" s="675">
        <f>+Mensajes!$B$12</f>
        <v>0</v>
      </c>
      <c r="B100" s="675"/>
      <c r="C100" s="675"/>
      <c r="D100" s="675"/>
      <c r="E100" s="675"/>
      <c r="F100" s="675"/>
    </row>
    <row r="101" spans="1:6" ht="13.5" thickBot="1">
      <c r="B101" s="455"/>
      <c r="C101" s="455"/>
      <c r="D101" s="455"/>
      <c r="E101" s="454" t="str">
        <f>IF(DSUM('4_1'!$A$12:$Q$87,16,F89:F90)=COUNTIF('4_1'!$A$13:$A$87,F90),"","Regularice su Deuda")</f>
        <v/>
      </c>
      <c r="F101" s="456"/>
    </row>
  </sheetData>
  <mergeCells count="12">
    <mergeCell ref="A31:F31"/>
    <mergeCell ref="A32:F32"/>
    <mergeCell ref="A14:F14"/>
    <mergeCell ref="A15:F15"/>
    <mergeCell ref="A82:F82"/>
    <mergeCell ref="A83:F83"/>
    <mergeCell ref="A99:F99"/>
    <mergeCell ref="A100:F100"/>
    <mergeCell ref="A48:F48"/>
    <mergeCell ref="A49:F49"/>
    <mergeCell ref="A65:F65"/>
    <mergeCell ref="A66:F66"/>
  </mergeCells>
  <phoneticPr fontId="0" type="noConversion"/>
  <pageMargins left="0.25" right="0.25" top="0.75" bottom="0.75" header="0.3" footer="0.3"/>
  <pageSetup paperSize="281" scale="90" orientation="portrait" r:id="rId1"/>
  <headerFooter alignWithMargins="0"/>
  <rowBreaks count="1" manualBreakCount="1">
    <brk id="68" max="5" man="1"/>
  </rowBreaks>
  <colBreaks count="1" manualBreakCount="1">
    <brk id="7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0"/>
  <dimension ref="A1:U33"/>
  <sheetViews>
    <sheetView view="pageBreakPreview" zoomScale="75" zoomScaleNormal="85" workbookViewId="0" xr3:uid="{33642244-9AC9-5136-AF77-195C889548CE}">
      <selection activeCell="C7" sqref="C7"/>
    </sheetView>
  </sheetViews>
  <sheetFormatPr defaultColWidth="11.42578125" defaultRowHeight="12.75"/>
  <cols>
    <col min="1" max="1" width="7.42578125" customWidth="1"/>
    <col min="2" max="2" width="5.28515625" bestFit="1" customWidth="1"/>
    <col min="3" max="3" width="6.5703125" customWidth="1"/>
    <col min="4" max="4" width="3.5703125" bestFit="1" customWidth="1"/>
    <col min="5" max="5" width="10.7109375" bestFit="1" customWidth="1"/>
    <col min="6" max="6" width="10.42578125" customWidth="1"/>
    <col min="7" max="7" width="28.140625" customWidth="1"/>
    <col min="8" max="8" width="12.5703125" customWidth="1"/>
    <col min="9" max="9" width="9.42578125" customWidth="1"/>
    <col min="10" max="10" width="7.5703125" customWidth="1"/>
    <col min="11" max="12" width="17.5703125" bestFit="1" customWidth="1"/>
    <col min="13" max="13" width="24.7109375" customWidth="1"/>
    <col min="14" max="14" width="27.140625" customWidth="1"/>
    <col min="15" max="15" width="16.7109375" customWidth="1"/>
    <col min="16" max="16" width="7.140625" bestFit="1" customWidth="1"/>
    <col min="17" max="17" width="8.28515625" bestFit="1" customWidth="1"/>
    <col min="18" max="18" width="7.5703125" bestFit="1" customWidth="1"/>
    <col min="19" max="19" width="8.28515625" bestFit="1" customWidth="1"/>
    <col min="20" max="20" width="20.140625" bestFit="1" customWidth="1"/>
    <col min="21" max="21" width="10.7109375" bestFit="1" customWidth="1"/>
    <col min="22" max="22" width="12.570312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</row>
    <row r="2" spans="1:21">
      <c r="A2" s="137"/>
      <c r="B2" s="137"/>
      <c r="C2" s="144" t="s">
        <v>187</v>
      </c>
      <c r="D2" s="144"/>
      <c r="E2" s="137"/>
      <c r="F2" s="137"/>
      <c r="G2" s="137"/>
      <c r="H2" s="137" t="s">
        <v>218</v>
      </c>
      <c r="I2" s="137"/>
      <c r="J2" s="137"/>
      <c r="K2" s="137"/>
      <c r="L2" s="137"/>
      <c r="M2" s="137"/>
      <c r="N2" s="137"/>
      <c r="O2" s="137"/>
      <c r="P2" s="137"/>
      <c r="Q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</row>
    <row r="5" spans="1:21">
      <c r="A5" s="669" t="s">
        <v>92</v>
      </c>
      <c r="B5" s="670"/>
      <c r="C5" s="662">
        <f>+Hijuelas!D15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378"/>
      <c r="K5" s="137"/>
      <c r="L5" s="137"/>
      <c r="M5" s="137"/>
      <c r="N5" s="137"/>
      <c r="O5" s="137"/>
      <c r="P5" s="137"/>
      <c r="Q5" s="137"/>
    </row>
    <row r="6" spans="1:21" ht="13.5" thickBot="1">
      <c r="A6" s="671" t="s">
        <v>94</v>
      </c>
      <c r="B6" s="672"/>
      <c r="C6" s="665">
        <f>+L13</f>
        <v>42977.53125</v>
      </c>
      <c r="D6" s="666"/>
      <c r="E6" s="667"/>
      <c r="F6" s="344"/>
      <c r="G6" s="344"/>
      <c r="H6" s="347" t="s">
        <v>95</v>
      </c>
      <c r="I6" s="354">
        <v>8.3333333333333329E-2</v>
      </c>
      <c r="J6" s="378"/>
      <c r="K6" s="344"/>
      <c r="L6" s="137"/>
      <c r="M6" s="578"/>
      <c r="N6" s="578"/>
      <c r="O6" s="137"/>
      <c r="P6" s="137"/>
      <c r="Q6" s="137"/>
    </row>
    <row r="7" spans="1:21" ht="13.5" thickBot="1">
      <c r="A7" s="137"/>
      <c r="B7" s="137"/>
      <c r="C7" s="137"/>
      <c r="D7" s="137"/>
      <c r="E7" s="137"/>
      <c r="F7" s="137"/>
      <c r="G7" s="556">
        <f>+C6-C5</f>
        <v>3.9895833333357587</v>
      </c>
      <c r="H7" s="348" t="s">
        <v>96</v>
      </c>
      <c r="I7" s="349">
        <f>+I22</f>
        <v>9.0277777777777762E-2</v>
      </c>
      <c r="J7" s="378"/>
      <c r="K7" s="137"/>
      <c r="L7" s="137"/>
      <c r="M7" s="137"/>
      <c r="N7" s="137"/>
      <c r="O7" s="137"/>
      <c r="P7" s="137"/>
      <c r="Q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</row>
    <row r="9" spans="1:21">
      <c r="A9" s="668" t="s">
        <v>97</v>
      </c>
      <c r="B9" s="668"/>
      <c r="C9" s="556">
        <f>I5-(I6+I7)</f>
        <v>3.8159722222222223</v>
      </c>
      <c r="D9" s="556"/>
      <c r="E9" s="555" t="s">
        <v>98</v>
      </c>
      <c r="F9" s="350">
        <f>+C9*60</f>
        <v>228.95833333333334</v>
      </c>
      <c r="G9" s="555" t="s">
        <v>99</v>
      </c>
      <c r="H9" s="351">
        <f>+H22</f>
        <v>72.928200000000004</v>
      </c>
      <c r="I9" s="555" t="s">
        <v>100</v>
      </c>
      <c r="J9" s="556">
        <f>IF(H9=0,0,F9/H9)</f>
        <v>3.1395034202590129</v>
      </c>
      <c r="L9" s="137"/>
      <c r="M9" s="137"/>
      <c r="N9" s="137"/>
      <c r="O9" s="137"/>
      <c r="P9" s="137"/>
      <c r="Q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</row>
    <row r="12" spans="1:21" s="403" customFormat="1" ht="24.75" thickBot="1">
      <c r="A12" s="381" t="s">
        <v>102</v>
      </c>
      <c r="B12" s="379" t="s">
        <v>103</v>
      </c>
      <c r="C12" s="379" t="s">
        <v>104</v>
      </c>
      <c r="D12" s="379" t="s">
        <v>105</v>
      </c>
      <c r="E12" s="379" t="s">
        <v>106</v>
      </c>
      <c r="F12" s="379" t="s">
        <v>153</v>
      </c>
      <c r="G12" s="379" t="s">
        <v>108</v>
      </c>
      <c r="H12" s="379" t="s">
        <v>154</v>
      </c>
      <c r="I12" s="379" t="s">
        <v>190</v>
      </c>
      <c r="J12" s="379" t="s">
        <v>110</v>
      </c>
      <c r="K12" s="379" t="s">
        <v>156</v>
      </c>
      <c r="L12" s="379" t="s">
        <v>157</v>
      </c>
      <c r="M12" s="554" t="s">
        <v>113</v>
      </c>
      <c r="N12" s="422" t="s">
        <v>114</v>
      </c>
      <c r="O12" s="425" t="s">
        <v>116</v>
      </c>
      <c r="P12" s="423" t="s">
        <v>117</v>
      </c>
      <c r="Q12" s="424" t="s">
        <v>118</v>
      </c>
      <c r="R12" s="424" t="s">
        <v>119</v>
      </c>
      <c r="S12" s="424" t="s">
        <v>120</v>
      </c>
      <c r="T12" s="424" t="s">
        <v>121</v>
      </c>
      <c r="U12" s="424" t="s">
        <v>122</v>
      </c>
    </row>
    <row r="13" spans="1:21" ht="30" customHeight="1" thickTop="1">
      <c r="A13" s="51">
        <v>1</v>
      </c>
      <c r="B13" s="52">
        <v>1206</v>
      </c>
      <c r="C13" s="52">
        <v>1</v>
      </c>
      <c r="D13" s="150">
        <v>1</v>
      </c>
      <c r="E13" s="356">
        <v>5.6289999999999996</v>
      </c>
      <c r="F13" s="103" t="str">
        <f>IF(Q13=0,"NO",IF(Q13=1,"SI",IF(Q13=3,"cede turno","CONDICIONAL")))</f>
        <v>SI</v>
      </c>
      <c r="G13" s="52" t="s">
        <v>219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5.6289999999999996</v>
      </c>
      <c r="I13" s="591">
        <v>0</v>
      </c>
      <c r="J13" s="580">
        <f t="shared" ref="J13:J21" si="0">+$J$9/60*H13</f>
        <v>0.29453774587729969</v>
      </c>
      <c r="K13" s="125">
        <f t="shared" ref="K13:K19" si="1">+L14</f>
        <v>42977.236712254125</v>
      </c>
      <c r="L13" s="125">
        <f t="shared" ref="L13:L19" si="2">+K13+J13+I13</f>
        <v>42977.53125</v>
      </c>
      <c r="M13" s="174"/>
      <c r="N13" s="420"/>
      <c r="O13" s="5"/>
      <c r="P13" s="213" t="str">
        <f>+CONCATENATE(B13,C13)</f>
        <v>12061</v>
      </c>
      <c r="Q13" s="150">
        <f>VLOOKUP(P13,deuda!A$1:H$720,4,0)</f>
        <v>1</v>
      </c>
      <c r="R13" s="150">
        <f>VLOOKUP(P13,deuda!A$1:H$720,5,0)</f>
        <v>0</v>
      </c>
      <c r="S13" s="6" t="str">
        <f>IF(VLOOKUP(P13,deuda!A$1:H$720,6,0)=0,"",VLOOKUP(P13,deuda!A$1:H$720,6,0))</f>
        <v/>
      </c>
      <c r="T13" s="151" t="str">
        <f>IF((VLOOKUP(P13,deuda!A$1:H$720,7,0))=0,"",VLOOKUP(P13,deuda!A$1:H$720,7,0))</f>
        <v/>
      </c>
      <c r="U13" s="152" t="str">
        <f>IF((VLOOKUP(P13,deuda!A$1:H$720,8,0))=0,"",VLOOKUP(P13,deuda!A$1:H$720,8,0))</f>
        <v/>
      </c>
    </row>
    <row r="14" spans="1:21" ht="30" customHeight="1">
      <c r="A14" s="35">
        <v>1</v>
      </c>
      <c r="B14" s="5">
        <v>1206</v>
      </c>
      <c r="C14" s="5">
        <v>14</v>
      </c>
      <c r="D14" s="6">
        <v>1</v>
      </c>
      <c r="E14" s="355">
        <v>13.757899999999999</v>
      </c>
      <c r="F14" s="103" t="str">
        <f t="shared" ref="F14:F21" si="3">IF(Q14=0,"NO",IF(Q14=1,"SI",IF(Q14=3,"cede turno","CONDICIONAL")))</f>
        <v>SI</v>
      </c>
      <c r="G14" s="5" t="s">
        <v>220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13.757899999999999</v>
      </c>
      <c r="I14" s="602">
        <v>1.3888888888888888E-2</v>
      </c>
      <c r="J14" s="580">
        <f t="shared" si="0"/>
        <v>0.71988290175969116</v>
      </c>
      <c r="K14" s="125">
        <f t="shared" si="1"/>
        <v>42976.502940463477</v>
      </c>
      <c r="L14" s="125">
        <f t="shared" si="2"/>
        <v>42977.236712254125</v>
      </c>
      <c r="M14" s="174"/>
      <c r="N14" s="7"/>
      <c r="O14" s="5"/>
      <c r="P14" s="213" t="str">
        <f t="shared" ref="P14:P21" si="4">+CONCATENATE(B14,C14)</f>
        <v>120614</v>
      </c>
      <c r="Q14" s="150">
        <f>VLOOKUP(P14,deuda!A$1:H$720,4,0)</f>
        <v>1</v>
      </c>
      <c r="R14" s="150">
        <f>VLOOKUP(P14,deuda!A$1:H$720,5,0)</f>
        <v>0</v>
      </c>
      <c r="S14" s="6" t="str">
        <f>IF(VLOOKUP(P14,deuda!A$1:H$720,6,0)=0,"",VLOOKUP(P14,deuda!A$1:H$720,6,0))</f>
        <v/>
      </c>
      <c r="T14" s="151" t="str">
        <f>IF((VLOOKUP(P14,deuda!A$1:H$720,7,0))=0,"",VLOOKUP(P14,deuda!A$1:H$720,7,0))</f>
        <v/>
      </c>
      <c r="U14" s="152" t="str">
        <f>IF((VLOOKUP(P14,deuda!A$1:H$720,8,0))=0,"",VLOOKUP(P14,deuda!A$1:H$720,8,0))</f>
        <v/>
      </c>
    </row>
    <row r="15" spans="1:21" ht="30" customHeight="1">
      <c r="A15" s="35">
        <v>1</v>
      </c>
      <c r="B15" s="5">
        <v>1216</v>
      </c>
      <c r="C15" s="5">
        <v>18</v>
      </c>
      <c r="D15" s="6">
        <v>1</v>
      </c>
      <c r="E15" s="355">
        <v>2</v>
      </c>
      <c r="F15" s="103" t="str">
        <f t="shared" si="3"/>
        <v>SI</v>
      </c>
      <c r="G15" s="5" t="s">
        <v>221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2</v>
      </c>
      <c r="I15" s="602">
        <v>0</v>
      </c>
      <c r="J15" s="580">
        <f t="shared" si="0"/>
        <v>0.10465011400863376</v>
      </c>
      <c r="K15" s="125">
        <f t="shared" si="1"/>
        <v>42976.398290349469</v>
      </c>
      <c r="L15" s="125">
        <f t="shared" si="2"/>
        <v>42976.502940463477</v>
      </c>
      <c r="M15" s="174"/>
      <c r="N15" s="7"/>
      <c r="O15" s="5"/>
      <c r="P15" s="213" t="str">
        <f t="shared" si="4"/>
        <v>121618</v>
      </c>
      <c r="Q15" s="150">
        <f>VLOOKUP(P15,deuda!A$1:H$720,4,0)</f>
        <v>1</v>
      </c>
      <c r="R15" s="150">
        <f>VLOOKUP(P15,deuda!A$1:H$720,5,0)</f>
        <v>0</v>
      </c>
      <c r="S15" s="6" t="str">
        <f>IF(VLOOKUP(P15,deuda!A$1:H$720,6,0)=0,"",VLOOKUP(P15,deuda!A$1:H$720,6,0))</f>
        <v/>
      </c>
      <c r="T15" s="151" t="str">
        <f>IF((VLOOKUP(P15,deuda!A$1:H$720,7,0))=0,"",VLOOKUP(P15,deuda!A$1:H$720,7,0))</f>
        <v/>
      </c>
      <c r="U15" s="152" t="str">
        <f>IF((VLOOKUP(P15,deuda!A$1:H$720,8,0))=0,"",VLOOKUP(P15,deuda!A$1:H$720,8,0))</f>
        <v/>
      </c>
    </row>
    <row r="16" spans="1:21" ht="30" customHeight="1">
      <c r="A16" s="35">
        <v>2</v>
      </c>
      <c r="B16" s="5">
        <v>1206</v>
      </c>
      <c r="C16" s="5">
        <v>2</v>
      </c>
      <c r="D16" s="6">
        <v>1</v>
      </c>
      <c r="E16" s="355">
        <v>1.3224</v>
      </c>
      <c r="F16" s="103" t="str">
        <f t="shared" si="3"/>
        <v>SI</v>
      </c>
      <c r="G16" s="5" t="s">
        <v>222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1.3224</v>
      </c>
      <c r="I16" s="602">
        <v>0</v>
      </c>
      <c r="J16" s="580">
        <f t="shared" si="0"/>
        <v>6.9194655382508644E-2</v>
      </c>
      <c r="K16" s="125">
        <f t="shared" si="1"/>
        <v>42976.329095694084</v>
      </c>
      <c r="L16" s="125">
        <f t="shared" si="2"/>
        <v>42976.398290349469</v>
      </c>
      <c r="M16" s="125"/>
      <c r="N16" s="7"/>
      <c r="O16" s="5"/>
      <c r="P16" s="213" t="str">
        <f t="shared" si="4"/>
        <v>12062</v>
      </c>
      <c r="Q16" s="150">
        <f>VLOOKUP(P16,deuda!A$1:H$720,4,0)</f>
        <v>1</v>
      </c>
      <c r="R16" s="150">
        <f>VLOOKUP(P16,deuda!A$1:H$720,5,0)</f>
        <v>2</v>
      </c>
      <c r="S16" s="6">
        <f>IF(VLOOKUP(P16,deuda!A$1:H$720,6,0)=0,"",VLOOKUP(P16,deuda!A$1:H$720,6,0))</f>
        <v>907.84</v>
      </c>
      <c r="T16" s="151" t="str">
        <f>IF((VLOOKUP(P16,deuda!A$1:H$720,7,0))=0,"",VLOOKUP(P16,deuda!A$1:H$720,7,0))</f>
        <v/>
      </c>
      <c r="U16" s="152" t="str">
        <f>IF((VLOOKUP(P16,deuda!A$1:H$720,8,0))=0,"",VLOOKUP(P16,deuda!A$1:H$720,8,0))</f>
        <v/>
      </c>
    </row>
    <row r="17" spans="1:21" ht="30" customHeight="1">
      <c r="A17" s="35">
        <v>3</v>
      </c>
      <c r="B17" s="5">
        <v>1206</v>
      </c>
      <c r="C17" s="5">
        <v>3</v>
      </c>
      <c r="D17" s="6">
        <v>1</v>
      </c>
      <c r="E17" s="355">
        <v>1.2784</v>
      </c>
      <c r="F17" s="103" t="str">
        <f t="shared" si="3"/>
        <v>NO</v>
      </c>
      <c r="G17" s="5" t="s">
        <v>223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0</v>
      </c>
      <c r="I17" s="602">
        <v>0</v>
      </c>
      <c r="J17" s="580">
        <f t="shared" si="0"/>
        <v>0</v>
      </c>
      <c r="K17" s="125">
        <f t="shared" si="1"/>
        <v>42976.329095694084</v>
      </c>
      <c r="L17" s="125">
        <f t="shared" si="2"/>
        <v>42976.329095694084</v>
      </c>
      <c r="M17" s="125"/>
      <c r="N17" s="7"/>
      <c r="O17" s="5"/>
      <c r="P17" s="213" t="str">
        <f t="shared" si="4"/>
        <v>12063</v>
      </c>
      <c r="Q17" s="150">
        <f>VLOOKUP(P17,deuda!A$1:H$720,4,0)</f>
        <v>0</v>
      </c>
      <c r="R17" s="150">
        <f>VLOOKUP(P17,deuda!A$1:H$720,5,0)</f>
        <v>53</v>
      </c>
      <c r="S17" s="6">
        <f>IF(VLOOKUP(P17,deuda!A$1:H$720,6,0)=0,"",VLOOKUP(P17,deuda!A$1:H$720,6,0))</f>
        <v>23516</v>
      </c>
      <c r="T17" s="151" t="str">
        <f>IF((VLOOKUP(P17,deuda!A$1:H$720,7,0))=0,"",VLOOKUP(P17,deuda!A$1:H$720,7,0))</f>
        <v/>
      </c>
      <c r="U17" s="152" t="str">
        <f>IF((VLOOKUP(P17,deuda!A$1:H$720,8,0))=0,"",VLOOKUP(P17,deuda!A$1:H$720,8,0))</f>
        <v/>
      </c>
    </row>
    <row r="18" spans="1:21" ht="30" customHeight="1">
      <c r="A18" s="35">
        <v>4</v>
      </c>
      <c r="B18" s="5">
        <v>1206</v>
      </c>
      <c r="C18" s="5">
        <v>7</v>
      </c>
      <c r="D18" s="6">
        <v>1</v>
      </c>
      <c r="E18" s="355">
        <v>1.0356000000000001</v>
      </c>
      <c r="F18" s="103" t="str">
        <f t="shared" si="3"/>
        <v>SI</v>
      </c>
      <c r="G18" s="5" t="s">
        <v>224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1.0356000000000001</v>
      </c>
      <c r="I18" s="602">
        <v>6.9444444444444441E-3</v>
      </c>
      <c r="J18" s="580">
        <f t="shared" si="0"/>
        <v>5.4187829033670566E-2</v>
      </c>
      <c r="K18" s="125">
        <f t="shared" si="1"/>
        <v>42976.267963420607</v>
      </c>
      <c r="L18" s="125">
        <f t="shared" si="2"/>
        <v>42976.329095694084</v>
      </c>
      <c r="M18" s="125"/>
      <c r="N18" s="7"/>
      <c r="O18" s="5"/>
      <c r="P18" s="213" t="str">
        <f t="shared" si="4"/>
        <v>12067</v>
      </c>
      <c r="Q18" s="150">
        <f>VLOOKUP(P18,deuda!A$1:H$720,4,0)</f>
        <v>1</v>
      </c>
      <c r="R18" s="150">
        <f>VLOOKUP(P18,deuda!A$1:H$720,5,0)</f>
        <v>0</v>
      </c>
      <c r="S18" s="6" t="str">
        <f>IF(VLOOKUP(P18,deuda!A$1:H$720,6,0)=0,"",VLOOKUP(P18,deuda!A$1:H$720,6,0))</f>
        <v/>
      </c>
      <c r="T18" s="151" t="str">
        <f>IF((VLOOKUP(P18,deuda!A$1:H$720,7,0))=0,"",VLOOKUP(P18,deuda!A$1:H$720,7,0))</f>
        <v/>
      </c>
      <c r="U18" s="152" t="str">
        <f>IF((VLOOKUP(P18,deuda!A$1:H$720,8,0))=0,"",VLOOKUP(P18,deuda!A$1:H$720,8,0))</f>
        <v/>
      </c>
    </row>
    <row r="19" spans="1:21" ht="30" customHeight="1">
      <c r="A19" s="35">
        <v>5</v>
      </c>
      <c r="B19" s="5">
        <v>1206</v>
      </c>
      <c r="C19" s="5">
        <v>4</v>
      </c>
      <c r="D19" s="6">
        <v>1</v>
      </c>
      <c r="E19" s="355">
        <v>3.8041999999999998</v>
      </c>
      <c r="F19" s="103" t="str">
        <f t="shared" si="3"/>
        <v>SI</v>
      </c>
      <c r="G19" s="5" t="s">
        <v>225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3.8041999999999998</v>
      </c>
      <c r="I19" s="602">
        <v>2.0833333333333332E-2</v>
      </c>
      <c r="J19" s="580">
        <f t="shared" si="0"/>
        <v>0.19905498185582227</v>
      </c>
      <c r="K19" s="125">
        <f t="shared" si="1"/>
        <v>42976.048075105413</v>
      </c>
      <c r="L19" s="125">
        <f t="shared" si="2"/>
        <v>42976.267963420607</v>
      </c>
      <c r="M19" s="125"/>
      <c r="N19" s="7"/>
      <c r="O19" s="5"/>
      <c r="P19" s="213" t="str">
        <f t="shared" si="4"/>
        <v>12064</v>
      </c>
      <c r="Q19" s="150">
        <f>VLOOKUP(P19,deuda!A$1:H$720,4,0)</f>
        <v>1</v>
      </c>
      <c r="R19" s="150">
        <f>VLOOKUP(P19,deuda!A$1:H$720,5,0)</f>
        <v>2</v>
      </c>
      <c r="S19" s="6">
        <f>IF(VLOOKUP(P19,deuda!A$1:H$720,6,0)=0,"",VLOOKUP(P19,deuda!A$1:H$720,6,0))</f>
        <v>1747.49</v>
      </c>
      <c r="T19" s="151" t="str">
        <f>IF((VLOOKUP(P19,deuda!A$1:H$720,7,0))=0,"",VLOOKUP(P19,deuda!A$1:H$720,7,0))</f>
        <v/>
      </c>
      <c r="U19" s="152" t="str">
        <f>IF((VLOOKUP(P19,deuda!A$1:H$720,8,0))=0,"",VLOOKUP(P19,deuda!A$1:H$720,8,0))</f>
        <v/>
      </c>
    </row>
    <row r="20" spans="1:21" ht="30" customHeight="1">
      <c r="A20" s="35">
        <v>6</v>
      </c>
      <c r="B20" s="5">
        <v>1206</v>
      </c>
      <c r="C20" s="5">
        <v>13</v>
      </c>
      <c r="D20" s="6">
        <v>1</v>
      </c>
      <c r="E20" s="355">
        <v>8.3008000000000006</v>
      </c>
      <c r="F20" s="103" t="str">
        <f t="shared" si="3"/>
        <v>NO</v>
      </c>
      <c r="G20" s="5" t="s">
        <v>226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0</v>
      </c>
      <c r="I20" s="602">
        <v>6.9444444444444441E-3</v>
      </c>
      <c r="J20" s="580">
        <f t="shared" si="0"/>
        <v>0</v>
      </c>
      <c r="K20" s="125">
        <f>+L21</f>
        <v>42976.041130660968</v>
      </c>
      <c r="L20" s="125">
        <f>+K20+J20+I20</f>
        <v>42976.048075105413</v>
      </c>
      <c r="M20" s="125"/>
      <c r="N20" s="7"/>
      <c r="O20" s="5"/>
      <c r="P20" s="213" t="str">
        <f t="shared" si="4"/>
        <v>120613</v>
      </c>
      <c r="Q20" s="150">
        <f>VLOOKUP(P20,deuda!A$1:H$720,4,0)</f>
        <v>0</v>
      </c>
      <c r="R20" s="150">
        <f>VLOOKUP(P20,deuda!A$1:H$720,5,0)</f>
        <v>3</v>
      </c>
      <c r="S20" s="6">
        <f>IF(VLOOKUP(P20,deuda!A$1:H$720,6,0)=0,"",VLOOKUP(P20,deuda!A$1:H$720,6,0))</f>
        <v>5882.35</v>
      </c>
      <c r="T20" s="151" t="str">
        <f>IF((VLOOKUP(P20,deuda!A$1:H$720,7,0))=0,"",VLOOKUP(P20,deuda!A$1:H$720,7,0))</f>
        <v/>
      </c>
      <c r="U20" s="152" t="str">
        <f>IF((VLOOKUP(P20,deuda!A$1:H$720,8,0))=0,"",VLOOKUP(P20,deuda!A$1:H$720,8,0))</f>
        <v/>
      </c>
    </row>
    <row r="21" spans="1:21" ht="30" customHeight="1" thickBot="1">
      <c r="A21" s="36">
        <v>7</v>
      </c>
      <c r="B21" s="29">
        <v>1206</v>
      </c>
      <c r="C21" s="29">
        <v>12</v>
      </c>
      <c r="D21" s="33">
        <v>1</v>
      </c>
      <c r="E21" s="42">
        <v>45.379100000000001</v>
      </c>
      <c r="F21" s="103" t="str">
        <f t="shared" si="3"/>
        <v>SI</v>
      </c>
      <c r="G21" s="29" t="s">
        <v>227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45.379100000000001</v>
      </c>
      <c r="I21" s="623">
        <v>4.1666666666666664E-2</v>
      </c>
      <c r="J21" s="580">
        <f t="shared" si="0"/>
        <v>2.3744639943045964</v>
      </c>
      <c r="K21" s="125">
        <f>+C5+I6</f>
        <v>42973.625</v>
      </c>
      <c r="L21" s="125">
        <f>+K21+J21+I21</f>
        <v>42976.041130660968</v>
      </c>
      <c r="M21" s="125"/>
      <c r="N21" s="421"/>
      <c r="O21" s="29"/>
      <c r="P21" s="213" t="str">
        <f t="shared" si="4"/>
        <v>120612</v>
      </c>
      <c r="Q21" s="150">
        <f>VLOOKUP(P21,deuda!A$1:H$720,4,0)</f>
        <v>1</v>
      </c>
      <c r="R21" s="150">
        <f>VLOOKUP(P21,deuda!A$1:H$720,5,0)</f>
        <v>1</v>
      </c>
      <c r="S21" s="6">
        <f>IF(VLOOKUP(P21,deuda!A$1:H$720,6,0)=0,"",VLOOKUP(P21,deuda!A$1:H$720,6,0))</f>
        <v>10460.11</v>
      </c>
      <c r="T21" s="151" t="str">
        <f>IF((VLOOKUP(P21,deuda!A$1:H$720,7,0))=0,"",VLOOKUP(P21,deuda!A$1:H$720,7,0))</f>
        <v/>
      </c>
      <c r="U21" s="152" t="str">
        <f>IF((VLOOKUP(P21,deuda!A$1:H$720,8,0))=0,"",VLOOKUP(P21,deuda!A$1:H$720,8,0))</f>
        <v/>
      </c>
    </row>
    <row r="22" spans="1:21" ht="13.5" thickBot="1">
      <c r="A22" s="13"/>
      <c r="B22" s="10"/>
      <c r="C22" s="10"/>
      <c r="D22" s="10"/>
      <c r="E22" s="383">
        <f>SUM(E13:E21)</f>
        <v>82.507400000000004</v>
      </c>
      <c r="F22" s="383">
        <f>SUM(F13:F21)</f>
        <v>0</v>
      </c>
      <c r="G22" s="74"/>
      <c r="H22" s="377">
        <f>SUM(H13:H21)</f>
        <v>72.928200000000004</v>
      </c>
      <c r="I22" s="623">
        <f>SUM(I13:I21)</f>
        <v>9.0277777777777762E-2</v>
      </c>
      <c r="J22" s="384">
        <f>SUM(J13:J21)</f>
        <v>3.8159722222222223</v>
      </c>
      <c r="K22" s="105"/>
      <c r="L22" s="39"/>
      <c r="M22" s="125"/>
      <c r="N22" s="10"/>
      <c r="O22" s="10"/>
      <c r="P22" s="10"/>
      <c r="Q22" s="150" t="e">
        <f>VLOOKUP(P22,deuda!A$1:H$720,4,0)</f>
        <v>#N/A</v>
      </c>
      <c r="R22" s="150" t="e">
        <f>VLOOKUP(P22,deuda!A$1:H$720,5,0)</f>
        <v>#N/A</v>
      </c>
      <c r="S22" s="6" t="e">
        <f>IF(VLOOKUP(P22,deuda!A$1:H$720,6,0)=0,"",VLOOKUP(P22,deuda!A$1:H$720,6,0))</f>
        <v>#N/A</v>
      </c>
      <c r="T22" s="151" t="e">
        <f>IF((VLOOKUP(P22,deuda!A$1:H$720,7,0))=0,"",VLOOKUP(P22,deuda!A$1:H$720,7,0))</f>
        <v>#N/A</v>
      </c>
      <c r="U22" s="152" t="e">
        <f>IF((VLOOKUP(P22,deuda!A$1:H$720,8,0))=0,"",VLOOKUP(P22,deuda!A$1:H$720,8,0))</f>
        <v>#N/A</v>
      </c>
    </row>
    <row r="23" spans="1:21">
      <c r="I23" s="15"/>
      <c r="J23" s="15"/>
      <c r="K23" s="14"/>
      <c r="L23" s="3"/>
      <c r="M23" s="125"/>
    </row>
    <row r="24" spans="1:21">
      <c r="K24" s="14"/>
      <c r="L24" s="3"/>
      <c r="M24" s="125"/>
    </row>
    <row r="25" spans="1:21">
      <c r="K25" s="14"/>
      <c r="L25" s="3"/>
      <c r="M25" s="125"/>
    </row>
    <row r="26" spans="1:21">
      <c r="K26" s="14"/>
      <c r="L26" s="3"/>
      <c r="M26" s="125"/>
    </row>
    <row r="27" spans="1:21">
      <c r="K27" s="14"/>
      <c r="L27" s="3"/>
      <c r="M27" s="125"/>
    </row>
    <row r="28" spans="1:21">
      <c r="K28" s="14"/>
      <c r="L28" s="3"/>
      <c r="M28" s="125"/>
    </row>
    <row r="29" spans="1:21">
      <c r="K29" s="14"/>
      <c r="L29" s="3"/>
      <c r="M29" s="125"/>
    </row>
    <row r="30" spans="1:21">
      <c r="K30" s="14"/>
      <c r="L30" s="3"/>
      <c r="M30" s="125"/>
    </row>
    <row r="31" spans="1:21">
      <c r="M31" s="125"/>
    </row>
    <row r="32" spans="1:21">
      <c r="M32" s="125"/>
    </row>
    <row r="33" spans="13:13">
      <c r="M33" s="10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1">
    <dataValidation allowBlank="1" showInputMessage="1" showErrorMessage="1" errorTitle="ATENCIÓN" error="NO PUEDEN INGRESARSE VALORES" promptTitle="RECORDAR" prompt="NO OLVIDE VOLVER A PEGAR LA FORMULA PARA QUE LA PLANILLA LEA AUTOMATICAMENTE LOS DATOS " sqref="Q13:Q22" xr:uid="{00000000-0002-0000-0E00-000000000000}"/>
  </dataValidations>
  <pageMargins left="0.25" right="0.25" top="0.75" bottom="0.75" header="0.3" footer="0.3"/>
  <pageSetup paperSize="281" scale="85" orientation="landscape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30"/>
  <dimension ref="A1:K135"/>
  <sheetViews>
    <sheetView view="pageBreakPreview" topLeftCell="A31" zoomScale="75" zoomScaleNormal="100" workbookViewId="0" xr3:uid="{D624DF06-3800-545C-AC8D-BADC89115800}">
      <selection activeCell="K17" sqref="K17"/>
    </sheetView>
  </sheetViews>
  <sheetFormatPr defaultColWidth="11.42578125" defaultRowHeight="12.75"/>
  <cols>
    <col min="2" max="2" width="11.5703125" bestFit="1" customWidth="1"/>
    <col min="3" max="3" width="22.28515625" bestFit="1" customWidth="1"/>
    <col min="5" max="6" width="11.5703125" bestFit="1" customWidth="1"/>
  </cols>
  <sheetData>
    <row r="1" spans="1:8">
      <c r="A1" s="447"/>
      <c r="B1" s="448"/>
      <c r="C1" s="448"/>
      <c r="D1" s="448"/>
      <c r="E1" s="448"/>
      <c r="F1" s="449"/>
      <c r="G1" s="81"/>
    </row>
    <row r="2" spans="1:8">
      <c r="A2" s="465" t="s">
        <v>64</v>
      </c>
      <c r="B2" s="81"/>
      <c r="C2" s="81"/>
      <c r="D2" s="81"/>
      <c r="E2" s="81"/>
      <c r="F2" s="451"/>
      <c r="G2" s="81"/>
    </row>
    <row r="3" spans="1:8">
      <c r="A3" s="450"/>
      <c r="B3" s="81"/>
      <c r="C3" s="81"/>
      <c r="D3" s="81"/>
      <c r="E3" s="81"/>
      <c r="F3" s="451"/>
      <c r="G3" s="81"/>
    </row>
    <row r="4" spans="1:8">
      <c r="A4" s="450" t="s">
        <v>139</v>
      </c>
      <c r="B4" s="81" t="str">
        <f>VLOOKUP(F5,'5_1'!$A$13:$H$31,7,0)</f>
        <v>PASTOR, GABRIEL</v>
      </c>
      <c r="C4" s="81"/>
      <c r="D4" s="81"/>
      <c r="E4" s="81"/>
      <c r="F4" s="452" t="s">
        <v>102</v>
      </c>
      <c r="G4" s="81"/>
    </row>
    <row r="5" spans="1:8">
      <c r="A5" s="450" t="s">
        <v>72</v>
      </c>
      <c r="B5" s="81" t="str">
        <f>+'5_1'!$H$2</f>
        <v>Hijuela 1ª Araujo - Ramo 1 ( Cubells )</v>
      </c>
      <c r="C5" s="81"/>
      <c r="D5" s="81"/>
      <c r="E5" s="81"/>
      <c r="F5" s="452">
        <v>1</v>
      </c>
      <c r="G5" s="81"/>
    </row>
    <row r="6" spans="1:8">
      <c r="A6" s="450"/>
      <c r="B6" s="81"/>
      <c r="C6" s="81"/>
      <c r="D6" s="81"/>
      <c r="E6" s="81"/>
      <c r="F6" s="451"/>
      <c r="G6" s="81"/>
    </row>
    <row r="7" spans="1:8">
      <c r="A7" s="466" t="s">
        <v>140</v>
      </c>
      <c r="B7" s="458">
        <f>VLOOKUP(F5,'5_1'!$A$13:$B$31,2,0)</f>
        <v>1206</v>
      </c>
      <c r="C7" s="81"/>
      <c r="D7" s="139" t="s">
        <v>141</v>
      </c>
      <c r="E7" s="460">
        <f>DSUM('5_1'!A$12:L$31,'5_1'!$J$12,F4:F5)</f>
        <v>1.1190707616456246</v>
      </c>
      <c r="F7" s="451"/>
      <c r="G7" s="81"/>
    </row>
    <row r="8" spans="1:8">
      <c r="A8" s="466" t="s">
        <v>142</v>
      </c>
      <c r="B8" s="461" t="s">
        <v>228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8">
      <c r="A9" s="466" t="s">
        <v>144</v>
      </c>
      <c r="B9" s="462">
        <f>DSUM('5_1'!$A$12:$I$31,'5_1'!$H$12,F4:F5)</f>
        <v>21.386899999999997</v>
      </c>
      <c r="C9" s="81"/>
      <c r="D9" s="139" t="s">
        <v>145</v>
      </c>
      <c r="E9" s="458" t="str">
        <f>IF(VLOOKUP(F5,'5_1'!$A$13:$D$49,4,0)=1, "Definitivo 100%", "Eventual 80%")</f>
        <v>Definitivo 100%</v>
      </c>
      <c r="F9" s="583"/>
      <c r="G9" s="81"/>
    </row>
    <row r="10" spans="1:8" ht="15.75">
      <c r="A10" s="450"/>
      <c r="B10" s="139" t="s">
        <v>146</v>
      </c>
      <c r="C10" s="145">
        <f>DMIN('5_1'!A$12:N$31,'5_1'!$K$12,F4:F5)</f>
        <v>42976.398290349469</v>
      </c>
      <c r="D10" s="189" t="str">
        <f>IF(E10=1,"Domingo",IF(E10=2,"Lunes",IF(E10=3,"Martes",IF(E10=4,"Miercoles",IF(E10=5,"Jueves",IF(E10=6,"Viernes",IF(E10=7,"Sábado",0)))))))</f>
        <v>Martes</v>
      </c>
      <c r="E10" s="190">
        <f>WEEKDAY(C10)</f>
        <v>3</v>
      </c>
      <c r="F10" s="453" t="s">
        <v>62</v>
      </c>
      <c r="G10" s="81"/>
    </row>
    <row r="11" spans="1:8" ht="15.75">
      <c r="A11" s="450"/>
      <c r="B11" s="139" t="s">
        <v>147</v>
      </c>
      <c r="C11" s="145">
        <f>DMAX('5_1'!A$12:O$31,'5_1'!$L$12,F4:F5)</f>
        <v>42977.53125</v>
      </c>
      <c r="D11" s="189" t="str">
        <f>IF(E11=1,"Domingo",IF(E11=2,"Lunes",IF(E11=3,"Martes",IF(E11=4,"Miercoles",IF(E11=5,"Jueves",IF(E11=6,"Viernes",IF(E11=7,"Sábado",0)))))))</f>
        <v>Miercoles</v>
      </c>
      <c r="E11" s="190">
        <f>WEEKDAY(C11)</f>
        <v>4</v>
      </c>
      <c r="F11" s="453">
        <f>WEEKDAY(C11)</f>
        <v>4</v>
      </c>
      <c r="G11" s="81"/>
    </row>
    <row r="12" spans="1:8">
      <c r="A12" s="467" t="str">
        <f>+'planilla caudales'!$J$14</f>
        <v>Caudal l/s</v>
      </c>
      <c r="B12" s="324" t="str">
        <f>+'planilla caudales'!$K$14</f>
        <v>Escala cm</v>
      </c>
      <c r="C12" s="81"/>
      <c r="D12" s="81"/>
      <c r="E12" s="584"/>
      <c r="F12" s="583"/>
      <c r="G12" s="81"/>
    </row>
    <row r="13" spans="1:8">
      <c r="A13" s="605">
        <f>+'planilla caudales'!$J$18</f>
        <v>116.68512000000001</v>
      </c>
      <c r="B13" s="325">
        <f>+'planilla caudales'!$K$18</f>
        <v>23.141109083972978</v>
      </c>
      <c r="C13" s="81"/>
      <c r="D13" s="81"/>
      <c r="E13" s="81"/>
      <c r="F13" s="451"/>
      <c r="G13" s="81"/>
      <c r="H13">
        <f>8*17</f>
        <v>136</v>
      </c>
    </row>
    <row r="14" spans="1:8">
      <c r="A14" s="674">
        <f>+Mensajes!$B$7</f>
        <v>0</v>
      </c>
      <c r="B14" s="675"/>
      <c r="C14" s="675"/>
      <c r="D14" s="675"/>
      <c r="E14" s="675"/>
      <c r="F14" s="676"/>
      <c r="G14" s="81"/>
    </row>
    <row r="15" spans="1:8">
      <c r="A15" s="674">
        <f>+Mensajes!$B$12</f>
        <v>0</v>
      </c>
      <c r="B15" s="675"/>
      <c r="C15" s="675"/>
      <c r="D15" s="675"/>
      <c r="E15" s="675"/>
      <c r="F15" s="676"/>
      <c r="G15" s="81"/>
    </row>
    <row r="16" spans="1:8" ht="13.5" thickBot="1">
      <c r="A16" s="468"/>
      <c r="B16" s="455"/>
      <c r="C16" s="455"/>
      <c r="D16" s="455"/>
      <c r="E16" s="454" t="str">
        <f>IF(DSUM('5_1'!$A$12:$S$88,17,F4:F5)=COUNTIF('5_1'!$A$13:$A$88,F5),"","Regularice su Deuda")</f>
        <v/>
      </c>
      <c r="F16" s="456"/>
      <c r="G16" s="81"/>
    </row>
    <row r="17" spans="1:11" ht="13.5" thickBot="1">
      <c r="K17" t="s">
        <v>229</v>
      </c>
    </row>
    <row r="18" spans="1:11">
      <c r="A18" s="447"/>
      <c r="B18" s="448"/>
      <c r="C18" s="448"/>
      <c r="D18" s="448"/>
      <c r="E18" s="448"/>
      <c r="F18" s="449"/>
    </row>
    <row r="19" spans="1:11">
      <c r="A19" s="465" t="s">
        <v>64</v>
      </c>
      <c r="B19" s="81"/>
      <c r="C19" s="81"/>
      <c r="D19" s="81"/>
      <c r="E19" s="81"/>
      <c r="F19" s="451"/>
    </row>
    <row r="20" spans="1:11">
      <c r="A20" s="450"/>
      <c r="B20" s="81"/>
      <c r="C20" s="81"/>
      <c r="D20" s="81"/>
      <c r="E20" s="81"/>
      <c r="F20" s="451"/>
    </row>
    <row r="21" spans="1:11">
      <c r="A21" s="450" t="s">
        <v>139</v>
      </c>
      <c r="B21" s="81" t="str">
        <f>VLOOKUP(F22,'5_1'!$A$13:$H$31,7,0)</f>
        <v>ARAUJO, MARIO</v>
      </c>
      <c r="C21" s="81"/>
      <c r="D21" s="81"/>
      <c r="E21" s="81"/>
      <c r="F21" s="452" t="s">
        <v>102</v>
      </c>
    </row>
    <row r="22" spans="1:11">
      <c r="A22" s="450" t="s">
        <v>72</v>
      </c>
      <c r="B22" s="81" t="str">
        <f>+'5_1'!$H$2</f>
        <v>Hijuela 1ª Araujo - Ramo 1 ( Cubells )</v>
      </c>
      <c r="C22" s="81"/>
      <c r="D22" s="81"/>
      <c r="E22" s="81"/>
      <c r="F22" s="452">
        <v>2</v>
      </c>
    </row>
    <row r="23" spans="1:11">
      <c r="A23" s="450"/>
      <c r="B23" s="81"/>
      <c r="C23" s="81"/>
      <c r="D23" s="81"/>
      <c r="E23" s="81"/>
      <c r="F23" s="451"/>
    </row>
    <row r="24" spans="1:11">
      <c r="A24" s="466" t="s">
        <v>140</v>
      </c>
      <c r="B24" s="458">
        <f>VLOOKUP(F22,'5_1'!$A$13:$B$31,2,0)</f>
        <v>1206</v>
      </c>
      <c r="C24" s="81"/>
      <c r="D24" s="139" t="s">
        <v>141</v>
      </c>
      <c r="E24" s="460">
        <f>DSUM('5_1'!A$12:L$31,'5_1'!$J$12,F21:F22)</f>
        <v>6.9194655382508644E-2</v>
      </c>
      <c r="F24" s="451"/>
    </row>
    <row r="25" spans="1:11">
      <c r="A25" s="466" t="s">
        <v>142</v>
      </c>
      <c r="B25" s="461">
        <v>2</v>
      </c>
      <c r="C25" s="81"/>
      <c r="D25" s="139" t="s">
        <v>143</v>
      </c>
      <c r="E25" s="459" t="str">
        <f>+Hijuelas!$G$7</f>
        <v>POR FRACCIÓN</v>
      </c>
      <c r="F25" s="451"/>
    </row>
    <row r="26" spans="1:11">
      <c r="A26" s="466" t="s">
        <v>144</v>
      </c>
      <c r="B26" s="462">
        <f>DSUM('5_1'!$A$12:$I$31,'5_1'!$H$12,F21:F22)</f>
        <v>1.3224</v>
      </c>
      <c r="C26" s="81"/>
      <c r="D26" s="139" t="s">
        <v>145</v>
      </c>
      <c r="E26" s="458" t="str">
        <f>IF(VLOOKUP(F22,'5_1'!$A$13:$D$49,4,0)=1, "Definitivo 100%", "Eventual 80%")</f>
        <v>Definitivo 100%</v>
      </c>
      <c r="F26" s="583"/>
    </row>
    <row r="27" spans="1:11" ht="15.75">
      <c r="A27" s="450"/>
      <c r="B27" s="139" t="s">
        <v>146</v>
      </c>
      <c r="C27" s="145">
        <f>DMIN('5_1'!A$12:N$31,'5_1'!$K$12,F21:F22)</f>
        <v>42976.329095694084</v>
      </c>
      <c r="D27" s="189" t="str">
        <f>IF(E27=1,"Domingo",IF(E27=2,"Lunes",IF(E27=3,"Martes",IF(E27=4,"Miercoles",IF(E27=5,"Jueves",IF(E27=6,"Viernes",IF(E27=7,"Sábado",0)))))))</f>
        <v>Martes</v>
      </c>
      <c r="E27" s="190">
        <f>WEEKDAY(C27)</f>
        <v>3</v>
      </c>
      <c r="F27" s="453" t="s">
        <v>62</v>
      </c>
    </row>
    <row r="28" spans="1:11" ht="15.75">
      <c r="A28" s="450"/>
      <c r="B28" s="139" t="s">
        <v>147</v>
      </c>
      <c r="C28" s="145">
        <f>DMAX('5_1'!A$12:O$31,'5_1'!$L$12,F21:F22)</f>
        <v>42976.398290349469</v>
      </c>
      <c r="D28" s="189" t="str">
        <f>IF(E28=1,"Domingo",IF(E28=2,"Lunes",IF(E28=3,"Martes",IF(E28=4,"Miercoles",IF(E28=5,"Jueves",IF(E28=6,"Viernes",IF(E28=7,"Sábado",0)))))))</f>
        <v>Martes</v>
      </c>
      <c r="E28" s="190">
        <f>WEEKDAY(C28)</f>
        <v>3</v>
      </c>
      <c r="F28" s="453">
        <f>WEEKDAY(C28)</f>
        <v>3</v>
      </c>
    </row>
    <row r="29" spans="1:11">
      <c r="A29" s="467" t="str">
        <f>+'planilla caudales'!$J$14</f>
        <v>Caudal l/s</v>
      </c>
      <c r="B29" s="324" t="str">
        <f>+'planilla caudales'!$K$14</f>
        <v>Escala cm</v>
      </c>
      <c r="C29" s="81"/>
      <c r="D29" s="81"/>
      <c r="E29" s="584"/>
      <c r="F29" s="583"/>
    </row>
    <row r="30" spans="1:11">
      <c r="A30" s="605">
        <f>+'planilla caudales'!$J$18</f>
        <v>116.68512000000001</v>
      </c>
      <c r="B30" s="325">
        <f>+'planilla caudales'!$K$18</f>
        <v>23.141109083972978</v>
      </c>
      <c r="C30" s="81"/>
      <c r="D30" s="81"/>
      <c r="E30" s="81"/>
      <c r="F30" s="451"/>
    </row>
    <row r="31" spans="1:11">
      <c r="A31" s="674">
        <f>+Mensajes!$B$7</f>
        <v>0</v>
      </c>
      <c r="B31" s="675"/>
      <c r="C31" s="675"/>
      <c r="D31" s="675"/>
      <c r="E31" s="675"/>
      <c r="F31" s="676"/>
    </row>
    <row r="32" spans="1:11">
      <c r="A32" s="674">
        <f>+Mensajes!$B$12</f>
        <v>0</v>
      </c>
      <c r="B32" s="675"/>
      <c r="C32" s="675"/>
      <c r="D32" s="675"/>
      <c r="E32" s="675"/>
      <c r="F32" s="676"/>
    </row>
    <row r="33" spans="1:6" ht="13.5" thickBot="1">
      <c r="A33" s="468"/>
      <c r="B33" s="455"/>
      <c r="C33" s="455"/>
      <c r="D33" s="455"/>
      <c r="E33" s="454" t="str">
        <f>IF(DSUM('5_1'!$A$12:$S$88,17,F21:F22)=COUNTIF('5_1'!$A$13:$A$88,F22),"","Regularice su Deuda")</f>
        <v/>
      </c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VLOOKUP(F39,'5_1'!$A$13:$H$31,7,0)</f>
        <v>ARAUJO, MARCELINA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+'5_1'!$H$2</f>
        <v>Hijuela 1ª Araujo - Ramo 1 ( Cubells )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VLOOKUP(F39,'5_1'!$A$13:$B$31,2,0)</f>
        <v>1206</v>
      </c>
      <c r="C41" s="81"/>
      <c r="D41" s="139" t="s">
        <v>141</v>
      </c>
      <c r="E41" s="460">
        <f>DSUM('5_1'!A$12:L$31,'5_1'!$J$12,F38:F39)</f>
        <v>0</v>
      </c>
      <c r="F41" s="451"/>
    </row>
    <row r="42" spans="1:6">
      <c r="A42" s="466" t="s">
        <v>142</v>
      </c>
      <c r="B42" s="461">
        <v>3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DSUM('5_1'!$A$12:$I$31,'5_1'!$H$12,F38:F39)</f>
        <v>0</v>
      </c>
      <c r="C43" s="81"/>
      <c r="D43" s="139" t="s">
        <v>145</v>
      </c>
      <c r="E43" s="458" t="str">
        <f>IF(VLOOKUP(F39,'5_1'!$A$13:$D$49,4,0)=1, "Definitivo 100%", "Eventual 80%")</f>
        <v>Definitivo 100%</v>
      </c>
      <c r="F43" s="583"/>
    </row>
    <row r="44" spans="1:6" ht="15.75">
      <c r="A44" s="450"/>
      <c r="B44" s="139" t="s">
        <v>146</v>
      </c>
      <c r="C44" s="145">
        <f>DMIN('5_1'!A$12:N$31,'5_1'!$K$12,F38:F39)</f>
        <v>42976.329095694084</v>
      </c>
      <c r="D44" s="189" t="str">
        <f>IF(E44=1,"Domingo",IF(E44=2,"Lunes",IF(E44=3,"Martes",IF(E44=4,"Miercoles",IF(E44=5,"Jueves",IF(E44=6,"Viernes",IF(E44=7,"Sábado",0)))))))</f>
        <v>Martes</v>
      </c>
      <c r="E44" s="190">
        <f>WEEKDAY(C44)</f>
        <v>3</v>
      </c>
      <c r="F44" s="453" t="s">
        <v>62</v>
      </c>
    </row>
    <row r="45" spans="1:6" ht="15.75">
      <c r="A45" s="450"/>
      <c r="B45" s="139" t="s">
        <v>147</v>
      </c>
      <c r="C45" s="145">
        <f>DMAX('5_1'!A$12:O$31,'5_1'!$L$12,F38:F39)</f>
        <v>42976.329095694084</v>
      </c>
      <c r="D45" s="189" t="str">
        <f>IF(E45=1,"Domingo",IF(E45=2,"Lunes",IF(E45=3,"Martes",IF(E45=4,"Miercoles",IF(E45=5,"Jueves",IF(E45=6,"Viernes",IF(E45=7,"Sábado",0)))))))</f>
        <v>Martes</v>
      </c>
      <c r="E45" s="190">
        <f>WEEKDAY(C45)</f>
        <v>3</v>
      </c>
      <c r="F45" s="453">
        <f>WEEKDAY(C45)</f>
        <v>3</v>
      </c>
    </row>
    <row r="46" spans="1:6">
      <c r="A46" s="467" t="str">
        <f>+'planilla caudales'!$J$14</f>
        <v>Caudal l/s</v>
      </c>
      <c r="B46" s="324" t="str">
        <f>+'planilla caudales'!$K$14</f>
        <v>Escala cm</v>
      </c>
      <c r="C46" s="81"/>
      <c r="D46" s="81"/>
      <c r="E46" s="584"/>
      <c r="F46" s="583"/>
    </row>
    <row r="47" spans="1:6">
      <c r="A47" s="605">
        <f>+'planilla caudales'!$J$18</f>
        <v>116.68512000000001</v>
      </c>
      <c r="B47" s="325">
        <f>+'planilla caudales'!$K$18</f>
        <v>23.141109083972978</v>
      </c>
      <c r="C47" s="81"/>
      <c r="D47" s="81"/>
      <c r="E47" s="81"/>
      <c r="F47" s="451"/>
    </row>
    <row r="48" spans="1:6">
      <c r="A48" s="674">
        <f>+Mensajes!$B$7</f>
        <v>0</v>
      </c>
      <c r="B48" s="675"/>
      <c r="C48" s="675"/>
      <c r="D48" s="675"/>
      <c r="E48" s="675"/>
      <c r="F48" s="676"/>
    </row>
    <row r="49" spans="1:6">
      <c r="A49" s="674">
        <f>+Mensajes!$B$12</f>
        <v>0</v>
      </c>
      <c r="B49" s="675"/>
      <c r="C49" s="675"/>
      <c r="D49" s="675"/>
      <c r="E49" s="675"/>
      <c r="F49" s="676"/>
    </row>
    <row r="50" spans="1:6" ht="13.5" thickBot="1">
      <c r="A50" s="468"/>
      <c r="B50" s="455"/>
      <c r="C50" s="455"/>
      <c r="D50" s="455"/>
      <c r="E50" s="454" t="str">
        <f>IF(DSUM('5_1'!$A$12:$S$88,17,F38:F39)=COUNTIF('5_1'!$A$13:$A$88,F39),"","Regularice su Deuda")</f>
        <v>Regularice su Deuda</v>
      </c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VLOOKUP(F56,'5_1'!$A$13:$H$31,7,0)</f>
        <v>ARAUJO, ABERTANO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+'5_1'!$H$2</f>
        <v>Hijuela 1ª Araujo - Ramo 1 ( Cubells )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VLOOKUP(F56,'5_1'!$A$13:$B$31,2,0)</f>
        <v>1206</v>
      </c>
      <c r="C58" s="81"/>
      <c r="D58" s="139" t="s">
        <v>141</v>
      </c>
      <c r="E58" s="460">
        <f>DSUM('5_1'!A$12:L$31,'5_1'!$J$12,F55:F56)</f>
        <v>5.4187829033670566E-2</v>
      </c>
      <c r="F58" s="451"/>
    </row>
    <row r="59" spans="1:6">
      <c r="A59" s="466" t="s">
        <v>142</v>
      </c>
      <c r="B59" s="461">
        <v>7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DSUM('5_1'!$A$12:$I$31,'5_1'!$H$12,F55:F56)</f>
        <v>1.0356000000000001</v>
      </c>
      <c r="C60" s="81"/>
      <c r="D60" s="139" t="s">
        <v>145</v>
      </c>
      <c r="E60" s="458" t="str">
        <f>IF(VLOOKUP(F56,'5_1'!$A$13:$D$49,4,0)=1, "Definitivo 100%", "Eventual 80%")</f>
        <v>Definitivo 100%</v>
      </c>
      <c r="F60" s="583"/>
    </row>
    <row r="61" spans="1:6" ht="15.75">
      <c r="A61" s="450"/>
      <c r="B61" s="139" t="s">
        <v>146</v>
      </c>
      <c r="C61" s="145">
        <f>DMIN('5_1'!A$12:N$31,'5_1'!$K$12,F55:F56)</f>
        <v>42976.267963420607</v>
      </c>
      <c r="D61" s="189" t="str">
        <f>IF(E61=1,"Domingo",IF(E61=2,"Lunes",IF(E61=3,"Martes",IF(E61=4,"Miercoles",IF(E61=5,"Jueves",IF(E61=6,"Viernes",IF(E61=7,"Sábado",0)))))))</f>
        <v>Martes</v>
      </c>
      <c r="E61" s="190">
        <f>WEEKDAY(C61)</f>
        <v>3</v>
      </c>
      <c r="F61" s="453" t="s">
        <v>62</v>
      </c>
    </row>
    <row r="62" spans="1:6" ht="15.75">
      <c r="A62" s="450"/>
      <c r="B62" s="139" t="s">
        <v>147</v>
      </c>
      <c r="C62" s="145">
        <f>DMAX('5_1'!A$12:O$31,'5_1'!$L$12,F55:F56)</f>
        <v>42976.329095694084</v>
      </c>
      <c r="D62" s="189" t="str">
        <f>IF(E62=1,"Domingo",IF(E62=2,"Lunes",IF(E62=3,"Martes",IF(E62=4,"Miercoles",IF(E62=5,"Jueves",IF(E62=6,"Viernes",IF(E62=7,"Sábado",0)))))))</f>
        <v>Martes</v>
      </c>
      <c r="E62" s="190">
        <f>WEEKDAY(C62)</f>
        <v>3</v>
      </c>
      <c r="F62" s="453">
        <f>WEEKDAY(C62)</f>
        <v>3</v>
      </c>
    </row>
    <row r="63" spans="1:6">
      <c r="A63" s="467" t="str">
        <f>+'planilla caudales'!$J$14</f>
        <v>Caudal l/s</v>
      </c>
      <c r="B63" s="324" t="str">
        <f>+'planilla caudales'!$K$14</f>
        <v>Escala cm</v>
      </c>
      <c r="C63" s="81"/>
      <c r="D63" s="81"/>
      <c r="E63" s="584"/>
      <c r="F63" s="583"/>
    </row>
    <row r="64" spans="1:6">
      <c r="A64" s="605">
        <f>+'planilla caudales'!$J$18</f>
        <v>116.68512000000001</v>
      </c>
      <c r="B64" s="325">
        <f>+'planilla caudales'!$K$18</f>
        <v>23.141109083972978</v>
      </c>
      <c r="C64" s="81"/>
      <c r="D64" s="81"/>
      <c r="E64" s="81"/>
      <c r="F64" s="451"/>
    </row>
    <row r="65" spans="1:6">
      <c r="A65" s="674">
        <f>+Mensajes!$B$7</f>
        <v>0</v>
      </c>
      <c r="B65" s="675"/>
      <c r="C65" s="675"/>
      <c r="D65" s="675"/>
      <c r="E65" s="675"/>
      <c r="F65" s="676"/>
    </row>
    <row r="66" spans="1:6">
      <c r="A66" s="674">
        <f>+Mensajes!$B$12</f>
        <v>0</v>
      </c>
      <c r="B66" s="675"/>
      <c r="C66" s="675"/>
      <c r="D66" s="675"/>
      <c r="E66" s="675"/>
      <c r="F66" s="676"/>
    </row>
    <row r="67" spans="1:6" ht="13.5" thickBot="1">
      <c r="A67" s="468"/>
      <c r="B67" s="455"/>
      <c r="C67" s="455"/>
      <c r="D67" s="455"/>
      <c r="E67" s="454" t="str">
        <f>IF(DSUM('5_1'!$A$12:$S$88,17,F55:F56)=COUNTIF('5_1'!$A$13:$A$88,F56),"","Regularice su Deuda")</f>
        <v/>
      </c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VLOOKUP(F73,'5_1'!$A$13:$H$31,7,0)</f>
        <v>SACCONE, LUIS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+'5_1'!$H$2</f>
        <v>Hijuela 1ª Araujo - Ramo 1 ( Cubells )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VLOOKUP(F73,'5_1'!$A$13:$B$31,2,0)</f>
        <v>1206</v>
      </c>
      <c r="C75" s="81"/>
      <c r="D75" s="139" t="s">
        <v>141</v>
      </c>
      <c r="E75" s="460">
        <f>DSUM('5_1'!A$12:L$31,'5_1'!$J$12,F72:F73)</f>
        <v>0.19905498185582227</v>
      </c>
      <c r="F75" s="451"/>
    </row>
    <row r="76" spans="1:6">
      <c r="A76" s="466" t="s">
        <v>142</v>
      </c>
      <c r="B76" s="461">
        <v>4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DSUM('5_1'!$A$12:$I$31,'5_1'!$H$12,F72:F73)</f>
        <v>3.8041999999999998</v>
      </c>
      <c r="C77" s="81"/>
      <c r="D77" s="139" t="s">
        <v>145</v>
      </c>
      <c r="E77" s="458" t="str">
        <f>IF(VLOOKUP(F73,'5_1'!$A$13:$D$49,4,0)=1, "Definitivo 100%", "Eventual 80%")</f>
        <v>Definitivo 100%</v>
      </c>
      <c r="F77" s="583"/>
    </row>
    <row r="78" spans="1:6" ht="15.75">
      <c r="A78" s="450"/>
      <c r="B78" s="139" t="s">
        <v>146</v>
      </c>
      <c r="C78" s="145">
        <f>DMIN('5_1'!A$12:N$31,'5_1'!$K$12,F72:F73)</f>
        <v>42976.048075105413</v>
      </c>
      <c r="D78" s="189" t="str">
        <f>IF(E78=1,"Domingo",IF(E78=2,"Lunes",IF(E78=3,"Martes",IF(E78=4,"Miercoles",IF(E78=5,"Jueves",IF(E78=6,"Viernes",IF(E78=7,"Sábado",0)))))))</f>
        <v>Martes</v>
      </c>
      <c r="E78" s="190">
        <f>WEEKDAY(C78)</f>
        <v>3</v>
      </c>
      <c r="F78" s="453" t="s">
        <v>62</v>
      </c>
    </row>
    <row r="79" spans="1:6" ht="15.75">
      <c r="A79" s="450"/>
      <c r="B79" s="139" t="s">
        <v>147</v>
      </c>
      <c r="C79" s="145">
        <f>DMAX('5_1'!A$12:O$31,'5_1'!$L$12,F72:F73)</f>
        <v>42976.267963420607</v>
      </c>
      <c r="D79" s="189" t="str">
        <f>IF(E79=1,"Domingo",IF(E79=2,"Lunes",IF(E79=3,"Martes",IF(E79=4,"Miercoles",IF(E79=5,"Jueves",IF(E79=6,"Viernes",IF(E79=7,"Sábado",0)))))))</f>
        <v>Martes</v>
      </c>
      <c r="E79" s="190">
        <f>WEEKDAY(C79)</f>
        <v>3</v>
      </c>
      <c r="F79" s="453">
        <f>WEEKDAY(C79)</f>
        <v>3</v>
      </c>
    </row>
    <row r="80" spans="1:6">
      <c r="A80" s="467" t="str">
        <f>+'planilla caudales'!$J$14</f>
        <v>Caudal l/s</v>
      </c>
      <c r="B80" s="324" t="str">
        <f>+'planilla caudales'!$K$14</f>
        <v>Escala cm</v>
      </c>
      <c r="C80" s="81"/>
      <c r="D80" s="81"/>
      <c r="E80" s="584"/>
      <c r="F80" s="583"/>
    </row>
    <row r="81" spans="1:6">
      <c r="A81" s="605">
        <f>+'planilla caudales'!$J$18</f>
        <v>116.68512000000001</v>
      </c>
      <c r="B81" s="325">
        <f>+'planilla caudales'!$K$18</f>
        <v>23.141109083972978</v>
      </c>
      <c r="C81" s="81"/>
      <c r="D81" s="81"/>
      <c r="E81" s="81"/>
      <c r="F81" s="451"/>
    </row>
    <row r="82" spans="1:6">
      <c r="A82" s="674">
        <f>+Mensajes!$B$7</f>
        <v>0</v>
      </c>
      <c r="B82" s="675"/>
      <c r="C82" s="675"/>
      <c r="D82" s="675"/>
      <c r="E82" s="675"/>
      <c r="F82" s="676"/>
    </row>
    <row r="83" spans="1:6">
      <c r="A83" s="674">
        <f>+Mensajes!$B$12</f>
        <v>0</v>
      </c>
      <c r="B83" s="675"/>
      <c r="C83" s="675"/>
      <c r="D83" s="675"/>
      <c r="E83" s="675"/>
      <c r="F83" s="676"/>
    </row>
    <row r="84" spans="1:6" ht="13.5" thickBot="1">
      <c r="A84" s="468"/>
      <c r="B84" s="455"/>
      <c r="C84" s="455"/>
      <c r="D84" s="455"/>
      <c r="E84" s="454" t="str">
        <f>IF(DSUM('5_1'!$A$12:$S$88,17,F72:F73)=COUNTIF('5_1'!$A$13:$A$88,F73),"","Regularice su Deuda")</f>
        <v/>
      </c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VLOOKUP(F90,'5_1'!$A$13:$H$31,7,0)</f>
        <v>FALGUEYRETTE, JOSE MARIO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+'5_1'!$H$2</f>
        <v>Hijuela 1ª Araujo - Ramo 1 ( Cubells )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VLOOKUP(F90,'5_1'!$A$13:$B$31,2,0)</f>
        <v>1206</v>
      </c>
      <c r="C92" s="81"/>
      <c r="D92" s="139" t="s">
        <v>141</v>
      </c>
      <c r="E92" s="460">
        <f>DSUM('5_1'!A$12:L$31,'5_1'!$J$12,F89:F90)</f>
        <v>0</v>
      </c>
      <c r="F92" s="451"/>
    </row>
    <row r="93" spans="1:6">
      <c r="A93" s="466" t="s">
        <v>142</v>
      </c>
      <c r="B93" s="461">
        <v>13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DSUM('5_1'!$A$12:$I$31,'5_1'!$H$12,F89:F90)</f>
        <v>0</v>
      </c>
      <c r="C94" s="81"/>
      <c r="D94" s="139" t="s">
        <v>145</v>
      </c>
      <c r="E94" s="458" t="str">
        <f>IF(VLOOKUP(F90,'5_1'!$A$13:$D$49,4,0)=1, "Definitivo 100%", "Eventual 80%")</f>
        <v>Definitivo 100%</v>
      </c>
      <c r="F94" s="583"/>
    </row>
    <row r="95" spans="1:6" ht="15.75">
      <c r="A95" s="450"/>
      <c r="B95" s="139" t="s">
        <v>146</v>
      </c>
      <c r="C95" s="145">
        <f>DMIN('5_1'!A$12:N$31,'5_1'!$K$12,F89:F90)</f>
        <v>42976.041130660968</v>
      </c>
      <c r="D95" s="189" t="str">
        <f>IF(E95=1,"Domingo",IF(E95=2,"Lunes",IF(E95=3,"Martes",IF(E95=4,"Miercoles",IF(E95=5,"Jueves",IF(E95=6,"Viernes",IF(E95=7,"Sábado",0)))))))</f>
        <v>Martes</v>
      </c>
      <c r="E95" s="190">
        <f>WEEKDAY(C95)</f>
        <v>3</v>
      </c>
      <c r="F95" s="453" t="s">
        <v>62</v>
      </c>
    </row>
    <row r="96" spans="1:6" ht="15.75">
      <c r="A96" s="450"/>
      <c r="B96" s="139" t="s">
        <v>147</v>
      </c>
      <c r="C96" s="145">
        <f>DMAX('5_1'!A$12:O$31,'5_1'!$L$12,F89:F90)</f>
        <v>42976.048075105413</v>
      </c>
      <c r="D96" s="189" t="str">
        <f>IF(E96=1,"Domingo",IF(E96=2,"Lunes",IF(E96=3,"Martes",IF(E96=4,"Miercoles",IF(E96=5,"Jueves",IF(E96=6,"Viernes",IF(E96=7,"Sábado",0)))))))</f>
        <v>Martes</v>
      </c>
      <c r="E96" s="190">
        <f>WEEKDAY(C96)</f>
        <v>3</v>
      </c>
      <c r="F96" s="453">
        <f>WEEKDAY(C96)</f>
        <v>3</v>
      </c>
    </row>
    <row r="97" spans="1:6">
      <c r="A97" s="467" t="str">
        <f>+'planilla caudales'!$J$14</f>
        <v>Caudal l/s</v>
      </c>
      <c r="B97" s="324" t="str">
        <f>+'planilla caudales'!$K$14</f>
        <v>Escala cm</v>
      </c>
      <c r="C97" s="81"/>
      <c r="D97" s="81"/>
      <c r="E97" s="584"/>
      <c r="F97" s="583"/>
    </row>
    <row r="98" spans="1:6">
      <c r="A98" s="605">
        <f>+'planilla caudales'!$J$18</f>
        <v>116.68512000000001</v>
      </c>
      <c r="B98" s="325">
        <f>+'planilla caudales'!$K$18</f>
        <v>23.141109083972978</v>
      </c>
      <c r="C98" s="81"/>
      <c r="D98" s="81"/>
      <c r="E98" s="81"/>
      <c r="F98" s="451"/>
    </row>
    <row r="99" spans="1:6">
      <c r="A99" s="674">
        <f>+Mensajes!$B$7</f>
        <v>0</v>
      </c>
      <c r="B99" s="675"/>
      <c r="C99" s="675"/>
      <c r="D99" s="675"/>
      <c r="E99" s="675"/>
      <c r="F99" s="676"/>
    </row>
    <row r="100" spans="1:6">
      <c r="A100" s="674">
        <f>+Mensajes!$B$12</f>
        <v>0</v>
      </c>
      <c r="B100" s="675"/>
      <c r="C100" s="675"/>
      <c r="D100" s="675"/>
      <c r="E100" s="675"/>
      <c r="F100" s="676"/>
    </row>
    <row r="101" spans="1:6" ht="13.5" thickBot="1">
      <c r="A101" s="468"/>
      <c r="B101" s="455"/>
      <c r="C101" s="455"/>
      <c r="D101" s="455"/>
      <c r="E101" s="454" t="str">
        <f>IF(DSUM('5_1'!$A$12:$S$88,17,F89:F90)=COUNTIF('5_1'!$A$13:$A$88,F90),"","Regularice su Deuda")</f>
        <v>Regularice su Deuda</v>
      </c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VLOOKUP(F107,'5_1'!$A$13:$H$31,7,0)</f>
        <v>GIUSEPPONI BGAS.Y VDOS.HNOS.S.R.L.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+'5_1'!$H$2</f>
        <v>Hijuela 1ª Araujo - Ramo 1 ( Cubells )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66" t="s">
        <v>140</v>
      </c>
      <c r="B109" s="458">
        <f>VLOOKUP(F107,'5_1'!$A$13:$B$31,2,0)</f>
        <v>1206</v>
      </c>
      <c r="C109" s="81"/>
      <c r="D109" s="139" t="s">
        <v>141</v>
      </c>
      <c r="E109" s="460">
        <f>DSUM('5_1'!A$12:L$31,'5_1'!$J$12,F106:F107)</f>
        <v>2.3744639943045964</v>
      </c>
      <c r="F109" s="451"/>
    </row>
    <row r="110" spans="1:6">
      <c r="A110" s="466" t="s">
        <v>142</v>
      </c>
      <c r="B110" s="461">
        <v>12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66" t="s">
        <v>144</v>
      </c>
      <c r="B111" s="462">
        <f>DSUM('5_1'!$A$12:$I$31,'5_1'!$H$12,F106:F107)</f>
        <v>45.379100000000001</v>
      </c>
      <c r="C111" s="81"/>
      <c r="D111" s="139" t="s">
        <v>145</v>
      </c>
      <c r="E111" s="458" t="str">
        <f>IF(VLOOKUP(F107,'5_1'!$A$13:$D$49,4,0)=1, "Definitivo 100%", "Eventual 80%")</f>
        <v>Definitivo 100%</v>
      </c>
      <c r="F111" s="583"/>
    </row>
    <row r="112" spans="1:6" ht="15.75">
      <c r="A112" s="450"/>
      <c r="B112" s="139" t="s">
        <v>146</v>
      </c>
      <c r="C112" s="145">
        <f>DMIN('5_1'!A$12:N$31,'5_1'!$K$12,F106:F107)</f>
        <v>42973.625</v>
      </c>
      <c r="D112" s="189" t="str">
        <f>IF(E112=1,"Domingo",IF(E112=2,"Lunes",IF(E112=3,"Martes",IF(E112=4,"Miercoles",IF(E112=5,"Jueves",IF(E112=6,"Viernes",IF(E112=7,"Sábado",0)))))))</f>
        <v>Sábado</v>
      </c>
      <c r="E112" s="190">
        <f>WEEKDAY(C112)</f>
        <v>7</v>
      </c>
      <c r="F112" s="453" t="s">
        <v>62</v>
      </c>
    </row>
    <row r="113" spans="1:6" ht="15.75">
      <c r="A113" s="450"/>
      <c r="B113" s="139" t="s">
        <v>147</v>
      </c>
      <c r="C113" s="145">
        <f>DMAX('5_1'!A$12:O$31,'5_1'!$L$12,F106:F107)</f>
        <v>42976.041130660968</v>
      </c>
      <c r="D113" s="189" t="str">
        <f>IF(E113=1,"Domingo",IF(E113=2,"Lunes",IF(E113=3,"Martes",IF(E113=4,"Miercoles",IF(E113=5,"Jueves",IF(E113=6,"Viernes",IF(E113=7,"Sábado",0)))))))</f>
        <v>Martes</v>
      </c>
      <c r="E113" s="190">
        <f>WEEKDAY(C113)</f>
        <v>3</v>
      </c>
      <c r="F113" s="453">
        <f>WEEKDAY(C113)</f>
        <v>3</v>
      </c>
    </row>
    <row r="114" spans="1:6">
      <c r="A114" s="467" t="str">
        <f>+'planilla caudales'!$J$14</f>
        <v>Caudal l/s</v>
      </c>
      <c r="B114" s="324" t="str">
        <f>+'planilla caudales'!$K$14</f>
        <v>Escala cm</v>
      </c>
      <c r="C114" s="81"/>
      <c r="D114" s="81"/>
      <c r="E114" s="584"/>
      <c r="F114" s="583"/>
    </row>
    <row r="115" spans="1:6">
      <c r="A115" s="605">
        <f>+'planilla caudales'!$J$18</f>
        <v>116.68512000000001</v>
      </c>
      <c r="B115" s="325">
        <f>+'planilla caudales'!$K$18</f>
        <v>23.141109083972978</v>
      </c>
      <c r="C115" s="81"/>
      <c r="D115" s="81"/>
      <c r="E115" s="81"/>
      <c r="F115" s="451"/>
    </row>
    <row r="116" spans="1:6">
      <c r="A116" s="674">
        <f>+Mensajes!$B$7</f>
        <v>0</v>
      </c>
      <c r="B116" s="675"/>
      <c r="C116" s="675"/>
      <c r="D116" s="675"/>
      <c r="E116" s="675"/>
      <c r="F116" s="676"/>
    </row>
    <row r="117" spans="1:6">
      <c r="A117" s="674">
        <f>+Mensajes!$B$12</f>
        <v>0</v>
      </c>
      <c r="B117" s="675"/>
      <c r="C117" s="675"/>
      <c r="D117" s="675"/>
      <c r="E117" s="675"/>
      <c r="F117" s="676"/>
    </row>
    <row r="118" spans="1:6" ht="13.5" thickBot="1">
      <c r="A118" s="468"/>
      <c r="B118" s="455"/>
      <c r="C118" s="455"/>
      <c r="D118" s="455"/>
      <c r="E118" s="454" t="str">
        <f>IF(DSUM('5_1'!$A$12:$S$88,17,F106:F107)=COUNTIF('5_1'!$A$13:$A$88,F107),"","Regularice su Deuda")</f>
        <v/>
      </c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e">
        <f>VLOOKUP(F124,'5_1'!$A$13:$H$31,7,0)</f>
        <v>#N/A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+'5_1'!$H$2</f>
        <v>Hijuela 1ª Araujo - Ramo 1 ( Cubells )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66" t="s">
        <v>140</v>
      </c>
      <c r="B126" s="458" t="e">
        <f>VLOOKUP(F124,'5_1'!$A$13:$B$31,2,0)</f>
        <v>#N/A</v>
      </c>
      <c r="C126" s="81"/>
      <c r="D126" s="139" t="s">
        <v>141</v>
      </c>
      <c r="E126" s="460">
        <f>DSUM('5_1'!A$12:L$31,'5_1'!$J$12,F123:F124)</f>
        <v>0</v>
      </c>
      <c r="F126" s="451"/>
    </row>
    <row r="127" spans="1:6">
      <c r="A127" s="466" t="s">
        <v>142</v>
      </c>
      <c r="B127" s="461">
        <v>12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66" t="s">
        <v>144</v>
      </c>
      <c r="B128" s="462">
        <f>DSUM('5_1'!$A$12:$I$31,'5_1'!$H$12,F123:F124)</f>
        <v>0</v>
      </c>
      <c r="C128" s="81"/>
      <c r="D128" s="139" t="s">
        <v>145</v>
      </c>
      <c r="E128" s="458" t="e">
        <f>IF(VLOOKUP(F124,'5_1'!$A$13:$D$49,4,0)=1, "Definitivo 100%", "Eventual 80%")</f>
        <v>#N/A</v>
      </c>
      <c r="F128" s="583"/>
    </row>
    <row r="129" spans="1:6" ht="15.75">
      <c r="A129" s="450"/>
      <c r="B129" s="139" t="s">
        <v>146</v>
      </c>
      <c r="C129" s="145">
        <f>DMIN('5_1'!A$12:N$31,'5_1'!$K$12,F123:F124)</f>
        <v>0</v>
      </c>
      <c r="D129" s="189" t="str">
        <f>IF(E129=1,"Domingo",IF(E129=2,"Lunes",IF(E129=3,"Martes",IF(E129=4,"Miercoles",IF(E129=5,"Jueves",IF(E129=6,"Viernes",IF(E129=7,"Sábado",0)))))))</f>
        <v>Sábado</v>
      </c>
      <c r="E129" s="190">
        <f>WEEKDAY(C129)</f>
        <v>7</v>
      </c>
      <c r="F129" s="453" t="s">
        <v>62</v>
      </c>
    </row>
    <row r="130" spans="1:6" ht="15.75">
      <c r="A130" s="450"/>
      <c r="B130" s="139" t="s">
        <v>147</v>
      </c>
      <c r="C130" s="145">
        <f>DMAX('5_1'!A$12:O$31,'5_1'!$L$12,F123:F124)</f>
        <v>0</v>
      </c>
      <c r="D130" s="189" t="str">
        <f>IF(E130=1,"Domingo",IF(E130=2,"Lunes",IF(E130=3,"Martes",IF(E130=4,"Miercoles",IF(E130=5,"Jueves",IF(E130=6,"Viernes",IF(E130=7,"Sábado",0)))))))</f>
        <v>Sábado</v>
      </c>
      <c r="E130" s="190">
        <f>WEEKDAY(C130)</f>
        <v>7</v>
      </c>
      <c r="F130" s="453">
        <f>WEEKDAY(C130)</f>
        <v>7</v>
      </c>
    </row>
    <row r="131" spans="1:6">
      <c r="A131" s="467" t="str">
        <f>+'planilla caudales'!$J$14</f>
        <v>Caudal l/s</v>
      </c>
      <c r="B131" s="324" t="str">
        <f>+'planilla caudales'!$K$14</f>
        <v>Escala cm</v>
      </c>
      <c r="C131" s="81"/>
      <c r="D131" s="81"/>
      <c r="E131" s="584"/>
      <c r="F131" s="583"/>
    </row>
    <row r="132" spans="1:6">
      <c r="A132" s="605">
        <f>+'planilla caudales'!$J$18</f>
        <v>116.68512000000001</v>
      </c>
      <c r="B132" s="325">
        <f>+'planilla caudales'!$K$18</f>
        <v>23.141109083972978</v>
      </c>
      <c r="C132" s="81"/>
      <c r="D132" s="81"/>
      <c r="E132" s="81"/>
      <c r="F132" s="451"/>
    </row>
    <row r="133" spans="1:6">
      <c r="A133" s="674">
        <f>+Mensajes!$B$7</f>
        <v>0</v>
      </c>
      <c r="B133" s="675"/>
      <c r="C133" s="675"/>
      <c r="D133" s="675"/>
      <c r="E133" s="675"/>
      <c r="F133" s="676"/>
    </row>
    <row r="134" spans="1:6">
      <c r="A134" s="674">
        <f>+Mensajes!$B$12</f>
        <v>0</v>
      </c>
      <c r="B134" s="675"/>
      <c r="C134" s="675"/>
      <c r="D134" s="675"/>
      <c r="E134" s="675"/>
      <c r="F134" s="676"/>
    </row>
    <row r="135" spans="1:6" ht="13.5" thickBot="1">
      <c r="A135" s="468"/>
      <c r="B135" s="455"/>
      <c r="C135" s="455"/>
      <c r="D135" s="455"/>
      <c r="E135" s="454" t="str">
        <f>IF(DSUM('5_1'!$A$12:$S$88,17,F123:F124)=COUNTIF('5_1'!$A$13:$A$88,F124),"","Regularice su Deuda")</f>
        <v/>
      </c>
      <c r="F135" s="456"/>
    </row>
  </sheetData>
  <mergeCells count="16">
    <mergeCell ref="A48:F48"/>
    <mergeCell ref="A49:F49"/>
    <mergeCell ref="A65:F65"/>
    <mergeCell ref="A66:F66"/>
    <mergeCell ref="A14:F14"/>
    <mergeCell ref="A15:F15"/>
    <mergeCell ref="A31:F31"/>
    <mergeCell ref="A32:F32"/>
    <mergeCell ref="A116:F116"/>
    <mergeCell ref="A117:F117"/>
    <mergeCell ref="A133:F133"/>
    <mergeCell ref="A134:F134"/>
    <mergeCell ref="A82:F82"/>
    <mergeCell ref="A83:F83"/>
    <mergeCell ref="A99:F99"/>
    <mergeCell ref="A100:F100"/>
  </mergeCells>
  <phoneticPr fontId="0" type="noConversion"/>
  <pageMargins left="0.25" right="0.25" top="0.75" bottom="0.75" header="0.3" footer="0.3"/>
  <pageSetup paperSize="281" scale="85" orientation="portrait" r:id="rId1"/>
  <headerFooter alignWithMargins="0"/>
  <rowBreaks count="1" manualBreakCount="1">
    <brk id="68" max="5" man="1"/>
  </rowBreaks>
  <colBreaks count="1" manualBreakCount="1">
    <brk id="7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V38"/>
  <sheetViews>
    <sheetView view="pageBreakPreview" zoomScale="75" zoomScaleNormal="75" zoomScaleSheetLayoutView="100" workbookViewId="0" xr3:uid="{11A3ACCB-1F19-5AC9-A611-4158731A345D}">
      <selection activeCell="M1" sqref="M1:M1048576"/>
    </sheetView>
  </sheetViews>
  <sheetFormatPr defaultColWidth="11.42578125" defaultRowHeight="12.75"/>
  <cols>
    <col min="1" max="1" width="7.85546875" customWidth="1"/>
    <col min="2" max="2" width="5.5703125" customWidth="1"/>
    <col min="3" max="3" width="7.28515625" customWidth="1"/>
    <col min="4" max="4" width="9.42578125" customWidth="1"/>
    <col min="5" max="5" width="12.28515625" bestFit="1" customWidth="1"/>
    <col min="6" max="6" width="12" customWidth="1"/>
    <col min="7" max="7" width="28" bestFit="1" customWidth="1"/>
    <col min="8" max="8" width="13.5703125" customWidth="1"/>
    <col min="9" max="9" width="14.28515625" bestFit="1" customWidth="1"/>
    <col min="10" max="10" width="8.85546875" customWidth="1"/>
    <col min="11" max="11" width="18" bestFit="1" customWidth="1"/>
    <col min="12" max="12" width="15.28515625" bestFit="1" customWidth="1"/>
    <col min="13" max="13" width="25.42578125" customWidth="1"/>
    <col min="14" max="14" width="28.5703125" customWidth="1"/>
    <col min="15" max="15" width="22.140625" customWidth="1"/>
    <col min="16" max="16" width="7" bestFit="1" customWidth="1"/>
    <col min="17" max="17" width="9.28515625" bestFit="1" customWidth="1"/>
    <col min="18" max="18" width="8.28515625" bestFit="1" customWidth="1"/>
    <col min="19" max="19" width="9.28515625" bestFit="1" customWidth="1"/>
    <col min="20" max="20" width="20" bestFit="1" customWidth="1"/>
    <col min="21" max="21" width="12.140625" bestFit="1" customWidth="1"/>
    <col min="22" max="22" width="12.5703125" bestFit="1" customWidth="1"/>
    <col min="23" max="23" width="12.28515625" bestFit="1" customWidth="1"/>
    <col min="24" max="24" width="14.28515625" bestFit="1" customWidth="1"/>
  </cols>
  <sheetData>
    <row r="1" spans="1:22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</row>
    <row r="2" spans="1:22">
      <c r="A2" s="137"/>
      <c r="B2" s="137"/>
      <c r="C2" s="144" t="s">
        <v>187</v>
      </c>
      <c r="D2" s="137"/>
      <c r="E2" s="137"/>
      <c r="F2" s="137"/>
      <c r="G2" s="137"/>
      <c r="H2" s="137" t="s">
        <v>230</v>
      </c>
      <c r="I2" s="137"/>
      <c r="J2" s="137"/>
      <c r="K2" s="137"/>
      <c r="L2" s="137"/>
      <c r="M2" s="137"/>
      <c r="N2" s="137"/>
      <c r="O2" s="137"/>
      <c r="P2" s="137"/>
      <c r="Q2" s="137"/>
    </row>
    <row r="3" spans="1:2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</row>
    <row r="4" spans="1:22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</row>
    <row r="5" spans="1:22">
      <c r="A5" s="669" t="s">
        <v>92</v>
      </c>
      <c r="B5" s="670"/>
      <c r="C5" s="677">
        <f>+Hijuelas!D16</f>
        <v>42973.541666666664</v>
      </c>
      <c r="D5" s="678"/>
      <c r="E5" s="382"/>
      <c r="F5" s="344"/>
      <c r="G5" s="344"/>
      <c r="H5" s="345" t="s">
        <v>93</v>
      </c>
      <c r="I5" s="346">
        <f>+'4_1'!K24</f>
        <v>2.4238821018439256</v>
      </c>
      <c r="J5" s="378"/>
      <c r="K5" s="137"/>
      <c r="L5" s="137"/>
      <c r="M5" s="137"/>
      <c r="N5" s="137"/>
      <c r="O5" s="137"/>
      <c r="P5" s="137"/>
      <c r="Q5" s="137"/>
    </row>
    <row r="6" spans="1:22" ht="13.5" thickBot="1">
      <c r="A6" s="671" t="s">
        <v>94</v>
      </c>
      <c r="B6" s="672"/>
      <c r="C6" s="679">
        <f>+L13</f>
        <v>42975.965548768494</v>
      </c>
      <c r="D6" s="680"/>
      <c r="E6" s="382"/>
      <c r="F6" s="344"/>
      <c r="G6" s="344"/>
      <c r="H6" s="347" t="s">
        <v>95</v>
      </c>
      <c r="I6" s="354">
        <v>8.3333333333333329E-2</v>
      </c>
      <c r="J6" s="378"/>
      <c r="K6" s="344"/>
      <c r="L6" s="137"/>
      <c r="M6" s="578"/>
      <c r="N6" s="578"/>
      <c r="O6" s="578"/>
      <c r="P6" s="137"/>
      <c r="Q6" s="137"/>
    </row>
    <row r="7" spans="1:22" ht="13.5" thickBot="1">
      <c r="A7" s="137"/>
      <c r="B7" s="137"/>
      <c r="C7" s="137"/>
      <c r="D7" s="525"/>
      <c r="E7" s="137"/>
      <c r="F7" s="523">
        <f>+C6-C5</f>
        <v>2.423882101829804</v>
      </c>
      <c r="G7" s="137"/>
      <c r="H7" s="348" t="s">
        <v>96</v>
      </c>
      <c r="I7" s="349">
        <v>0.10416666666666667</v>
      </c>
      <c r="J7" s="378"/>
      <c r="K7" s="137"/>
      <c r="L7" s="137"/>
      <c r="M7" s="137"/>
      <c r="N7" s="137"/>
      <c r="O7" s="137"/>
      <c r="P7" s="137"/>
      <c r="Q7" s="137"/>
    </row>
    <row r="8" spans="1:22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</row>
    <row r="9" spans="1:22">
      <c r="A9" s="668" t="s">
        <v>97</v>
      </c>
      <c r="B9" s="668"/>
      <c r="C9" s="523">
        <f>+I5-I6-I7</f>
        <v>2.2363821018439256</v>
      </c>
      <c r="D9" s="555" t="s">
        <v>98</v>
      </c>
      <c r="E9" s="555"/>
      <c r="F9" s="350">
        <f>+C9*60</f>
        <v>134.18292611063555</v>
      </c>
      <c r="G9" s="555" t="s">
        <v>99</v>
      </c>
      <c r="H9" s="351">
        <f>+H30</f>
        <v>58.767600000000002</v>
      </c>
      <c r="I9" s="555" t="s">
        <v>100</v>
      </c>
      <c r="J9" s="556">
        <f>+F9/H9</f>
        <v>2.2832806871581544</v>
      </c>
      <c r="L9" s="137"/>
      <c r="M9" s="137"/>
      <c r="N9" s="137"/>
      <c r="O9" s="137"/>
      <c r="P9" s="137"/>
      <c r="Q9" s="137"/>
    </row>
    <row r="10" spans="1:22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</row>
    <row r="11" spans="1:22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</row>
    <row r="12" spans="1:22" s="426" customFormat="1" ht="24.75" thickBot="1">
      <c r="A12" s="400" t="s">
        <v>102</v>
      </c>
      <c r="B12" s="372" t="s">
        <v>103</v>
      </c>
      <c r="C12" s="372" t="s">
        <v>104</v>
      </c>
      <c r="D12" s="372" t="s">
        <v>105</v>
      </c>
      <c r="E12" s="372" t="s">
        <v>106</v>
      </c>
      <c r="F12" s="373" t="s">
        <v>153</v>
      </c>
      <c r="G12" s="373" t="s">
        <v>108</v>
      </c>
      <c r="H12" s="373" t="s">
        <v>154</v>
      </c>
      <c r="I12" s="372" t="s">
        <v>231</v>
      </c>
      <c r="J12" s="372" t="s">
        <v>110</v>
      </c>
      <c r="K12" s="372" t="s">
        <v>156</v>
      </c>
      <c r="L12" s="373" t="s">
        <v>157</v>
      </c>
      <c r="M12" s="554" t="s">
        <v>113</v>
      </c>
      <c r="N12" s="372" t="s">
        <v>114</v>
      </c>
      <c r="O12" s="372" t="s">
        <v>116</v>
      </c>
      <c r="P12" s="372" t="s">
        <v>117</v>
      </c>
      <c r="Q12" s="372" t="s">
        <v>118</v>
      </c>
      <c r="R12" s="372" t="s">
        <v>119</v>
      </c>
      <c r="S12" s="372" t="s">
        <v>120</v>
      </c>
      <c r="T12" s="372" t="s">
        <v>121</v>
      </c>
      <c r="U12" s="394" t="s">
        <v>122</v>
      </c>
    </row>
    <row r="13" spans="1:22" ht="27.95" customHeight="1" thickTop="1">
      <c r="A13" s="51">
        <v>1</v>
      </c>
      <c r="B13" s="52">
        <v>1201</v>
      </c>
      <c r="C13" s="52">
        <v>24</v>
      </c>
      <c r="D13" s="150">
        <v>1</v>
      </c>
      <c r="E13" s="103">
        <v>2.4624999999999999</v>
      </c>
      <c r="F13" s="103" t="str">
        <f>IF(Q13=0,"NO",IF(Q13=1,"SI",IF(Q13=3,"cede turno","CONDICIONAL")))</f>
        <v>SI</v>
      </c>
      <c r="G13" s="52" t="s">
        <v>232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2.4624999999999999</v>
      </c>
      <c r="I13" s="580">
        <v>0</v>
      </c>
      <c r="J13" s="580">
        <f t="shared" ref="J13:J29" si="0">+$J$9/60*H13</f>
        <v>9.3709644868782568E-2</v>
      </c>
      <c r="K13" s="398">
        <f t="shared" ref="K13:K27" si="1">+L14</f>
        <v>42975.871839123625</v>
      </c>
      <c r="L13" s="398">
        <f t="shared" ref="L13:L27" si="2">+K13+J13</f>
        <v>42975.965548768494</v>
      </c>
      <c r="M13" s="174"/>
      <c r="N13" s="52"/>
      <c r="O13" s="52"/>
      <c r="P13" s="52" t="str">
        <f t="shared" ref="P13:P18" si="3">+CONCATENATE(B13,C13)</f>
        <v>120124</v>
      </c>
      <c r="Q13" s="150">
        <f>VLOOKUP(P13,deuda!A$1:H$606,4,0)</f>
        <v>1</v>
      </c>
      <c r="R13" s="150">
        <f>VLOOKUP(P13,deuda!A$1:H$606,5,0)</f>
        <v>0</v>
      </c>
      <c r="S13" s="150" t="str">
        <f>IF(VLOOKUP(P13,deuda!A$1:H$606,6,0)=0,"",VLOOKUP(P13,deuda!A$1:H$606,6,0))</f>
        <v/>
      </c>
      <c r="T13" s="151" t="str">
        <f>IF((VLOOKUP(P13,deuda!A$1:H$606,7,0))=0,"",VLOOKUP(P13,deuda!A$1:H$606,7,0))</f>
        <v/>
      </c>
      <c r="U13" s="152" t="str">
        <f>IF((VLOOKUP(P13,deuda!A$1:H$606,8,0))=0,"",VLOOKUP(P13,deuda!A$1:H$606,8,0))</f>
        <v/>
      </c>
      <c r="V13" s="124"/>
    </row>
    <row r="14" spans="1:22" ht="27.95" customHeight="1" thickBot="1">
      <c r="A14" s="36">
        <v>1</v>
      </c>
      <c r="B14" s="29">
        <v>1201</v>
      </c>
      <c r="C14" s="29">
        <v>6</v>
      </c>
      <c r="D14" s="33">
        <v>1</v>
      </c>
      <c r="E14" s="40">
        <v>12.5832</v>
      </c>
      <c r="F14" s="103" t="str">
        <f t="shared" ref="F14:F29" si="4">IF(Q14=0,"NO",IF(Q14=1,"SI",IF(Q14=3,"cede turno","CONDICIONAL")))</f>
        <v>SI</v>
      </c>
      <c r="G14" s="624" t="s">
        <v>233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12.5832</v>
      </c>
      <c r="I14" s="621">
        <v>0</v>
      </c>
      <c r="J14" s="580">
        <f t="shared" si="0"/>
        <v>0.47884962571080808</v>
      </c>
      <c r="K14" s="398">
        <f t="shared" si="1"/>
        <v>42975.392989497916</v>
      </c>
      <c r="L14" s="398">
        <f t="shared" si="2"/>
        <v>42975.871839123625</v>
      </c>
      <c r="M14" s="174"/>
      <c r="N14" s="29"/>
      <c r="O14" s="29"/>
      <c r="P14" s="52" t="str">
        <f t="shared" si="3"/>
        <v>12016</v>
      </c>
      <c r="Q14" s="150">
        <f>VLOOKUP(P14,deuda!A$1:H$606,4,0)</f>
        <v>1</v>
      </c>
      <c r="R14" s="150">
        <f>VLOOKUP(P14,deuda!A$1:H$606,5,0)</f>
        <v>0</v>
      </c>
      <c r="S14" s="150">
        <f>IF(VLOOKUP(P14,deuda!A$1:H$606,6,0)=0,"",VLOOKUP(P14,deuda!A$1:H$606,6,0))</f>
        <v>-15.67</v>
      </c>
      <c r="T14" s="151" t="str">
        <f>IF((VLOOKUP(P14,deuda!A$1:H$606,7,0))=0,"",VLOOKUP(P14,deuda!A$1:H$606,7,0))</f>
        <v/>
      </c>
      <c r="U14" s="152" t="str">
        <f>IF((VLOOKUP(P14,deuda!A$1:H$606,8,0))=0,"",VLOOKUP(P14,deuda!A$1:H$606,8,0))</f>
        <v/>
      </c>
      <c r="V14" s="124"/>
    </row>
    <row r="15" spans="1:22" ht="27.95" customHeight="1">
      <c r="A15" s="35">
        <v>1</v>
      </c>
      <c r="B15" s="5">
        <v>1201</v>
      </c>
      <c r="C15" s="5">
        <v>13</v>
      </c>
      <c r="D15" s="6">
        <v>1</v>
      </c>
      <c r="E15" s="9">
        <v>8</v>
      </c>
      <c r="F15" s="103" t="str">
        <f t="shared" si="4"/>
        <v>SI</v>
      </c>
      <c r="G15" s="5" t="s">
        <v>234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8</v>
      </c>
      <c r="I15" s="618">
        <v>0</v>
      </c>
      <c r="J15" s="580">
        <f t="shared" si="0"/>
        <v>0.30443742495442055</v>
      </c>
      <c r="K15" s="398">
        <f t="shared" si="1"/>
        <v>42975.088552072964</v>
      </c>
      <c r="L15" s="398">
        <f t="shared" si="2"/>
        <v>42975.392989497916</v>
      </c>
      <c r="M15" s="174"/>
      <c r="N15" s="5"/>
      <c r="O15" s="5"/>
      <c r="P15" s="52" t="str">
        <f t="shared" si="3"/>
        <v>120113</v>
      </c>
      <c r="Q15" s="150">
        <f>VLOOKUP(P15,deuda!A$1:H$606,4,0)</f>
        <v>1</v>
      </c>
      <c r="R15" s="150">
        <f>VLOOKUP(P15,deuda!A$1:H$606,5,0)</f>
        <v>0</v>
      </c>
      <c r="S15" s="150">
        <f>IF(VLOOKUP(P15,deuda!A$1:H$606,6,0)=0,"",VLOOKUP(P15,deuda!A$1:H$606,6,0))</f>
        <v>1306.6400000000001</v>
      </c>
      <c r="T15" s="151" t="str">
        <f>IF((VLOOKUP(P15,deuda!A$1:H$606,7,0))=0,"",VLOOKUP(P15,deuda!A$1:H$606,7,0))</f>
        <v/>
      </c>
      <c r="U15" s="152" t="str">
        <f>IF((VLOOKUP(P15,deuda!A$1:H$606,8,0))=0,"",VLOOKUP(P15,deuda!A$1:H$606,8,0))</f>
        <v/>
      </c>
      <c r="V15" s="124"/>
    </row>
    <row r="16" spans="1:22" ht="27.95" customHeight="1">
      <c r="A16" s="35">
        <v>2</v>
      </c>
      <c r="B16" s="5">
        <v>1201</v>
      </c>
      <c r="C16" s="5">
        <v>10</v>
      </c>
      <c r="D16" s="6">
        <v>1</v>
      </c>
      <c r="E16" s="9">
        <v>3.9325000000000001</v>
      </c>
      <c r="F16" s="103" t="str">
        <f t="shared" si="4"/>
        <v>SI</v>
      </c>
      <c r="G16" s="5" t="s">
        <v>235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3.9325000000000001</v>
      </c>
      <c r="I16" s="618">
        <v>0</v>
      </c>
      <c r="J16" s="580">
        <f t="shared" si="0"/>
        <v>0.14965002170415737</v>
      </c>
      <c r="K16" s="398">
        <f t="shared" si="1"/>
        <v>42974.938902051261</v>
      </c>
      <c r="L16" s="398">
        <f t="shared" si="2"/>
        <v>42975.088552072964</v>
      </c>
      <c r="M16" s="125"/>
      <c r="N16" s="5"/>
      <c r="O16" s="5"/>
      <c r="P16" s="52" t="str">
        <f t="shared" si="3"/>
        <v>120110</v>
      </c>
      <c r="Q16" s="150">
        <f>VLOOKUP(P16,deuda!A$1:H$606,4,0)</f>
        <v>1</v>
      </c>
      <c r="R16" s="150">
        <f>VLOOKUP(P16,deuda!A$1:H$606,5,0)</f>
        <v>2</v>
      </c>
      <c r="S16" s="150">
        <f>IF(VLOOKUP(P16,deuda!A$1:H$606,6,0)=0,"",VLOOKUP(P16,deuda!A$1:H$606,6,0))</f>
        <v>1768.36</v>
      </c>
      <c r="T16" s="151" t="str">
        <f>IF((VLOOKUP(P16,deuda!A$1:H$606,7,0))=0,"",VLOOKUP(P16,deuda!A$1:H$606,7,0))</f>
        <v/>
      </c>
      <c r="U16" s="152" t="str">
        <f>IF((VLOOKUP(P16,deuda!A$1:H$606,8,0))=0,"",VLOOKUP(P16,deuda!A$1:H$606,8,0))</f>
        <v/>
      </c>
      <c r="V16" s="124"/>
    </row>
    <row r="17" spans="1:22" ht="27.95" customHeight="1">
      <c r="A17" s="35">
        <v>3</v>
      </c>
      <c r="B17" s="5">
        <v>1201</v>
      </c>
      <c r="C17" s="5">
        <v>38</v>
      </c>
      <c r="D17" s="6">
        <v>1</v>
      </c>
      <c r="E17" s="6">
        <v>0.7742</v>
      </c>
      <c r="F17" s="103" t="str">
        <f t="shared" si="4"/>
        <v>NO</v>
      </c>
      <c r="G17" s="5" t="s">
        <v>236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0</v>
      </c>
      <c r="I17" s="618">
        <v>0</v>
      </c>
      <c r="J17" s="580">
        <f>+$J$9/60*H17</f>
        <v>0</v>
      </c>
      <c r="K17" s="398">
        <f t="shared" si="1"/>
        <v>42974.938902051261</v>
      </c>
      <c r="L17" s="398">
        <f t="shared" si="2"/>
        <v>42974.938902051261</v>
      </c>
      <c r="M17" s="125"/>
      <c r="N17" s="5"/>
      <c r="O17" s="5"/>
      <c r="P17" s="52" t="str">
        <f t="shared" si="3"/>
        <v>120138</v>
      </c>
      <c r="Q17" s="150">
        <f>VLOOKUP(P17,deuda!A$1:H$606,4,0)</f>
        <v>0</v>
      </c>
      <c r="R17" s="150">
        <f>VLOOKUP(P17,deuda!A$1:H$606,5,0)</f>
        <v>17</v>
      </c>
      <c r="S17" s="150">
        <f>IF(VLOOKUP(P17,deuda!A$1:H$606,6,0)=0,"",VLOOKUP(P17,deuda!A$1:H$606,6,0))</f>
        <v>4312.28</v>
      </c>
      <c r="T17" s="151" t="str">
        <f>IF((VLOOKUP(P17,deuda!A$1:H$606,7,0))=0,"",VLOOKUP(P17,deuda!A$1:H$606,7,0))</f>
        <v/>
      </c>
      <c r="U17" s="152" t="str">
        <f>IF((VLOOKUP(P17,deuda!A$1:H$606,8,0))=0,"",VLOOKUP(P17,deuda!A$1:H$606,8,0))</f>
        <v/>
      </c>
      <c r="V17" s="124"/>
    </row>
    <row r="18" spans="1:22" ht="27.95" customHeight="1">
      <c r="A18" s="35">
        <v>4</v>
      </c>
      <c r="B18" s="5">
        <v>1201</v>
      </c>
      <c r="C18" s="5">
        <v>42</v>
      </c>
      <c r="D18" s="6">
        <v>1</v>
      </c>
      <c r="E18" s="9">
        <v>7.2805999999999997</v>
      </c>
      <c r="F18" s="103" t="str">
        <f t="shared" si="4"/>
        <v>NO</v>
      </c>
      <c r="G18" s="5" t="s">
        <v>237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0</v>
      </c>
      <c r="I18" s="618">
        <v>0</v>
      </c>
      <c r="J18" s="580">
        <f t="shared" si="0"/>
        <v>0</v>
      </c>
      <c r="K18" s="398">
        <f t="shared" si="1"/>
        <v>42974.938902051261</v>
      </c>
      <c r="L18" s="398">
        <f t="shared" si="2"/>
        <v>42974.938902051261</v>
      </c>
      <c r="M18" s="125"/>
      <c r="N18" s="5"/>
      <c r="O18" s="5"/>
      <c r="P18" s="52" t="str">
        <f t="shared" si="3"/>
        <v>120142</v>
      </c>
      <c r="Q18" s="150">
        <f>VLOOKUP(P18,deuda!A$1:H$606,4,0)</f>
        <v>0</v>
      </c>
      <c r="R18" s="150">
        <f>VLOOKUP(P18,deuda!A$1:H$606,5,0)</f>
        <v>9</v>
      </c>
      <c r="S18" s="150">
        <f>IF(VLOOKUP(P18,deuda!A$1:H$606,6,0)=0,"",VLOOKUP(P18,deuda!A$1:H$606,6,0))</f>
        <v>3317.24</v>
      </c>
      <c r="T18" s="151" t="str">
        <f>IF((VLOOKUP(P18,deuda!A$1:H$606,7,0))=0,"",VLOOKUP(P18,deuda!A$1:H$606,7,0))</f>
        <v/>
      </c>
      <c r="U18" s="152" t="str">
        <f>IF((VLOOKUP(P18,deuda!A$1:H$606,8,0))=0,"",VLOOKUP(P18,deuda!A$1:H$606,8,0))</f>
        <v/>
      </c>
      <c r="V18" s="124"/>
    </row>
    <row r="19" spans="1:22" ht="27.95" customHeight="1">
      <c r="A19" s="35">
        <v>5</v>
      </c>
      <c r="B19" s="5">
        <v>1201</v>
      </c>
      <c r="C19" s="5">
        <v>37</v>
      </c>
      <c r="D19" s="6">
        <v>1</v>
      </c>
      <c r="E19" s="9">
        <v>2.4994000000000001</v>
      </c>
      <c r="F19" s="103" t="str">
        <f t="shared" si="4"/>
        <v>SI</v>
      </c>
      <c r="G19" s="5" t="s">
        <v>238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2.4994000000000001</v>
      </c>
      <c r="I19" s="618">
        <v>0</v>
      </c>
      <c r="J19" s="580">
        <f t="shared" si="0"/>
        <v>9.5113862491384843E-2</v>
      </c>
      <c r="K19" s="398">
        <f t="shared" si="1"/>
        <v>42974.843788188773</v>
      </c>
      <c r="L19" s="398">
        <f t="shared" si="2"/>
        <v>42974.938902051261</v>
      </c>
      <c r="M19" s="125"/>
      <c r="N19" s="5"/>
      <c r="O19" s="5"/>
      <c r="P19" s="52" t="str">
        <f t="shared" ref="P19:P29" si="5">+CONCATENATE(B19,C19)</f>
        <v>120137</v>
      </c>
      <c r="Q19" s="150">
        <f>VLOOKUP(P19,deuda!A$1:H$606,4,0)</f>
        <v>1</v>
      </c>
      <c r="R19" s="150">
        <f>VLOOKUP(P19,deuda!A$1:H$606,5,0)</f>
        <v>0</v>
      </c>
      <c r="S19" s="150" t="str">
        <f>IF(VLOOKUP(P19,deuda!A$1:H$606,6,0)=0,"",VLOOKUP(P19,deuda!A$1:H$606,6,0))</f>
        <v/>
      </c>
      <c r="T19" s="151" t="str">
        <f>IF((VLOOKUP(P19,deuda!A$1:H$606,7,0))=0,"",VLOOKUP(P19,deuda!A$1:H$606,7,0))</f>
        <v/>
      </c>
      <c r="U19" s="152" t="str">
        <f>IF((VLOOKUP(P19,deuda!A$1:H$606,8,0))=0,"",VLOOKUP(P19,deuda!A$1:H$606,8,0))</f>
        <v/>
      </c>
      <c r="V19" s="124"/>
    </row>
    <row r="20" spans="1:22" ht="27.95" customHeight="1">
      <c r="A20" s="35">
        <v>6</v>
      </c>
      <c r="B20" s="5">
        <v>1201</v>
      </c>
      <c r="C20" s="5">
        <v>34</v>
      </c>
      <c r="D20" s="6">
        <v>1</v>
      </c>
      <c r="E20" s="6">
        <v>0.31480000000000002</v>
      </c>
      <c r="F20" s="103" t="str">
        <f t="shared" si="4"/>
        <v>NO</v>
      </c>
      <c r="G20" s="5" t="s">
        <v>239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0</v>
      </c>
      <c r="I20" s="618">
        <v>0</v>
      </c>
      <c r="J20" s="580">
        <f t="shared" si="0"/>
        <v>0</v>
      </c>
      <c r="K20" s="398">
        <f t="shared" si="1"/>
        <v>42974.843788188773</v>
      </c>
      <c r="L20" s="398">
        <f t="shared" si="2"/>
        <v>42974.843788188773</v>
      </c>
      <c r="M20" s="125"/>
      <c r="N20" s="5"/>
      <c r="O20" s="5"/>
      <c r="P20" s="52" t="str">
        <f t="shared" si="5"/>
        <v>120134</v>
      </c>
      <c r="Q20" s="150">
        <f>VLOOKUP(P20,deuda!A$1:H$606,4,0)</f>
        <v>0</v>
      </c>
      <c r="R20" s="150">
        <f>VLOOKUP(P20,deuda!A$1:H$606,5,0)</f>
        <v>143</v>
      </c>
      <c r="S20" s="150">
        <f>IF(VLOOKUP(P20,deuda!A$1:H$606,6,0)=0,"",VLOOKUP(P20,deuda!A$1:H$606,6,0))</f>
        <v>35561.919999999998</v>
      </c>
      <c r="T20" s="151" t="str">
        <f>IF((VLOOKUP(P20,deuda!A$1:H$606,7,0))=0,"",VLOOKUP(P20,deuda!A$1:H$606,7,0))</f>
        <v/>
      </c>
      <c r="U20" s="152" t="str">
        <f>IF((VLOOKUP(P20,deuda!A$1:H$606,8,0))=0,"",VLOOKUP(P20,deuda!A$1:H$606,8,0))</f>
        <v/>
      </c>
      <c r="V20" s="124"/>
    </row>
    <row r="21" spans="1:22" ht="27.95" customHeight="1">
      <c r="A21" s="35">
        <v>7</v>
      </c>
      <c r="B21" s="5">
        <v>1201</v>
      </c>
      <c r="C21" s="5">
        <v>8</v>
      </c>
      <c r="D21" s="6">
        <v>1</v>
      </c>
      <c r="E21" s="6">
        <v>5.6665000000000001</v>
      </c>
      <c r="F21" s="103" t="str">
        <f t="shared" si="4"/>
        <v>SI</v>
      </c>
      <c r="G21" s="5" t="s">
        <v>240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5.6665000000000001</v>
      </c>
      <c r="I21" s="618">
        <v>0</v>
      </c>
      <c r="J21" s="580">
        <f t="shared" si="0"/>
        <v>0.21563683356302801</v>
      </c>
      <c r="K21" s="398">
        <f t="shared" si="1"/>
        <v>42974.628151355209</v>
      </c>
      <c r="L21" s="398">
        <f t="shared" si="2"/>
        <v>42974.843788188773</v>
      </c>
      <c r="M21" s="125"/>
      <c r="N21" s="5"/>
      <c r="O21" s="5"/>
      <c r="P21" s="52" t="str">
        <f t="shared" si="5"/>
        <v>12018</v>
      </c>
      <c r="Q21" s="150">
        <f>VLOOKUP(P21,deuda!A$1:H$606,4,0)</f>
        <v>1</v>
      </c>
      <c r="R21" s="150">
        <f>VLOOKUP(P21,deuda!A$1:H$606,5,0)</f>
        <v>0</v>
      </c>
      <c r="S21" s="150">
        <f>IF(VLOOKUP(P21,deuda!A$1:H$606,6,0)=0,"",VLOOKUP(P21,deuda!A$1:H$606,6,0))</f>
        <v>11.39</v>
      </c>
      <c r="T21" s="151" t="str">
        <f>IF((VLOOKUP(P21,deuda!A$1:H$606,7,0))=0,"",VLOOKUP(P21,deuda!A$1:H$606,7,0))</f>
        <v/>
      </c>
      <c r="U21" s="152" t="str">
        <f>IF((VLOOKUP(P21,deuda!A$1:H$606,8,0))=0,"",VLOOKUP(P21,deuda!A$1:H$606,8,0))</f>
        <v/>
      </c>
      <c r="V21" s="124"/>
    </row>
    <row r="22" spans="1:22" ht="27.95" customHeight="1">
      <c r="A22" s="35">
        <v>8</v>
      </c>
      <c r="B22" s="5">
        <v>1201</v>
      </c>
      <c r="C22" s="5">
        <v>20</v>
      </c>
      <c r="D22" s="6">
        <v>1</v>
      </c>
      <c r="E22" s="9">
        <v>2</v>
      </c>
      <c r="F22" s="103" t="str">
        <f t="shared" si="4"/>
        <v>SI</v>
      </c>
      <c r="G22" s="5" t="s">
        <v>241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2</v>
      </c>
      <c r="I22" s="618">
        <v>0</v>
      </c>
      <c r="J22" s="580">
        <f t="shared" si="0"/>
        <v>7.6109356238605139E-2</v>
      </c>
      <c r="K22" s="398">
        <f t="shared" si="1"/>
        <v>42974.55204199897</v>
      </c>
      <c r="L22" s="398">
        <f t="shared" si="2"/>
        <v>42974.628151355209</v>
      </c>
      <c r="M22" s="125"/>
      <c r="N22" s="5"/>
      <c r="O22" s="5"/>
      <c r="P22" s="52" t="str">
        <f t="shared" si="5"/>
        <v>120120</v>
      </c>
      <c r="Q22" s="150">
        <f>VLOOKUP(P22,deuda!A$1:H$606,4,0)</f>
        <v>1</v>
      </c>
      <c r="R22" s="150">
        <f>VLOOKUP(P22,deuda!A$1:H$606,5,0)</f>
        <v>1</v>
      </c>
      <c r="S22" s="150">
        <f>IF(VLOOKUP(P22,deuda!A$1:H$606,6,0)=0,"",VLOOKUP(P22,deuda!A$1:H$606,6,0))</f>
        <v>871.21</v>
      </c>
      <c r="T22" s="151" t="str">
        <f>IF((VLOOKUP(P22,deuda!A$1:H$606,7,0))=0,"",VLOOKUP(P22,deuda!A$1:H$606,7,0))</f>
        <v/>
      </c>
      <c r="U22" s="152" t="str">
        <f>IF((VLOOKUP(P22,deuda!A$1:H$606,8,0))=0,"",VLOOKUP(P22,deuda!A$1:H$606,8,0))</f>
        <v/>
      </c>
      <c r="V22" s="124"/>
    </row>
    <row r="23" spans="1:22" ht="27.95" customHeight="1">
      <c r="A23" s="35">
        <v>9</v>
      </c>
      <c r="B23" s="5">
        <v>1201</v>
      </c>
      <c r="C23" s="5">
        <v>40</v>
      </c>
      <c r="D23" s="6">
        <v>1</v>
      </c>
      <c r="E23" s="6">
        <v>4.0065</v>
      </c>
      <c r="F23" s="103" t="str">
        <f t="shared" si="4"/>
        <v>SI</v>
      </c>
      <c r="G23" s="5" t="s">
        <v>242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4.0065</v>
      </c>
      <c r="I23" s="618">
        <v>0</v>
      </c>
      <c r="J23" s="580">
        <f t="shared" si="0"/>
        <v>0.15246606788498573</v>
      </c>
      <c r="K23" s="398">
        <f t="shared" si="1"/>
        <v>42974.399575931086</v>
      </c>
      <c r="L23" s="398">
        <f t="shared" si="2"/>
        <v>42974.55204199897</v>
      </c>
      <c r="M23" s="125"/>
      <c r="N23" s="5"/>
      <c r="O23" s="5"/>
      <c r="P23" s="52" t="str">
        <f>+CONCATENATE(B23,C23)</f>
        <v>120140</v>
      </c>
      <c r="Q23" s="150">
        <f>VLOOKUP(P23,deuda!A$1:H$606,4,0)</f>
        <v>1</v>
      </c>
      <c r="R23" s="150">
        <f>VLOOKUP(P23,deuda!A$1:H$606,5,0)</f>
        <v>0</v>
      </c>
      <c r="S23" s="150" t="str">
        <f>IF(VLOOKUP(P23,deuda!A$1:H$606,6,0)=0,"",VLOOKUP(P23,deuda!A$1:H$606,6,0))</f>
        <v/>
      </c>
      <c r="T23" s="151" t="str">
        <f>IF((VLOOKUP(P23,deuda!A$1:H$606,7,0))=0,"",VLOOKUP(P23,deuda!A$1:H$606,7,0))</f>
        <v/>
      </c>
      <c r="U23" s="152" t="str">
        <f>IF((VLOOKUP(P23,deuda!A$1:H$606,8,0))=0,"",VLOOKUP(P23,deuda!A$1:H$606,8,0))</f>
        <v/>
      </c>
      <c r="V23" s="124"/>
    </row>
    <row r="24" spans="1:22" ht="27.95" customHeight="1">
      <c r="A24" s="35">
        <v>9</v>
      </c>
      <c r="B24" s="5">
        <v>1200</v>
      </c>
      <c r="C24" s="5">
        <v>65</v>
      </c>
      <c r="D24" s="6">
        <v>1</v>
      </c>
      <c r="E24" s="9">
        <v>1.5</v>
      </c>
      <c r="F24" s="103" t="str">
        <f t="shared" si="4"/>
        <v>SI</v>
      </c>
      <c r="G24" s="5" t="s">
        <v>242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1.5</v>
      </c>
      <c r="I24" s="618">
        <v>0</v>
      </c>
      <c r="J24" s="580">
        <f t="shared" si="0"/>
        <v>5.7082017178953851E-2</v>
      </c>
      <c r="K24" s="398">
        <f t="shared" si="1"/>
        <v>42974.342493913908</v>
      </c>
      <c r="L24" s="398">
        <f t="shared" si="2"/>
        <v>42974.399575931086</v>
      </c>
      <c r="M24" s="125"/>
      <c r="N24" s="5"/>
      <c r="O24" s="5"/>
      <c r="P24" s="52" t="str">
        <f>+CONCATENATE(B24,C24)</f>
        <v>120065</v>
      </c>
      <c r="Q24" s="150">
        <f>VLOOKUP(P24,deuda!A$1:H$606,4,0)</f>
        <v>1</v>
      </c>
      <c r="R24" s="150">
        <f>VLOOKUP(P24,deuda!A$1:H$606,5,0)</f>
        <v>0</v>
      </c>
      <c r="S24" s="150" t="str">
        <f>IF(VLOOKUP(P24,deuda!A$1:H$606,6,0)=0,"",VLOOKUP(P24,deuda!A$1:H$606,6,0))</f>
        <v/>
      </c>
      <c r="T24" s="151" t="str">
        <f>IF((VLOOKUP(P24,deuda!A$1:H$606,7,0))=0,"",VLOOKUP(P24,deuda!A$1:H$606,7,0))</f>
        <v/>
      </c>
      <c r="U24" s="152" t="str">
        <f>IF((VLOOKUP(P24,deuda!A$1:H$606,8,0))=0,"",VLOOKUP(P24,deuda!A$1:H$606,8,0))</f>
        <v/>
      </c>
      <c r="V24" s="124"/>
    </row>
    <row r="25" spans="1:22" ht="27.95" customHeight="1">
      <c r="A25" s="35">
        <v>10</v>
      </c>
      <c r="B25" s="5">
        <v>1201</v>
      </c>
      <c r="C25" s="5">
        <v>7</v>
      </c>
      <c r="D25" s="6">
        <v>1</v>
      </c>
      <c r="E25" s="9">
        <v>1.5</v>
      </c>
      <c r="F25" s="103" t="str">
        <f t="shared" si="4"/>
        <v>NO</v>
      </c>
      <c r="G25" s="5" t="s">
        <v>243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0</v>
      </c>
      <c r="I25" s="618">
        <v>0</v>
      </c>
      <c r="J25" s="580">
        <f t="shared" si="0"/>
        <v>0</v>
      </c>
      <c r="K25" s="398">
        <f t="shared" si="1"/>
        <v>42974.342493913908</v>
      </c>
      <c r="L25" s="398">
        <f t="shared" si="2"/>
        <v>42974.342493913908</v>
      </c>
      <c r="M25" s="125"/>
      <c r="N25" s="5"/>
      <c r="O25" s="5"/>
      <c r="P25" s="52" t="str">
        <f t="shared" si="5"/>
        <v>12017</v>
      </c>
      <c r="Q25" s="150">
        <f>VLOOKUP(P25,deuda!A$1:H$606,4,0)</f>
        <v>0</v>
      </c>
      <c r="R25" s="150">
        <f>VLOOKUP(P25,deuda!A$1:H$606,5,0)</f>
        <v>167</v>
      </c>
      <c r="S25" s="150">
        <f>IF(VLOOKUP(P25,deuda!A$1:H$606,6,0)=0,"",VLOOKUP(P25,deuda!A$1:H$606,6,0))</f>
        <v>52108.52</v>
      </c>
      <c r="T25" s="151" t="str">
        <f>IF((VLOOKUP(P25,deuda!A$1:H$606,7,0))=0,"",VLOOKUP(P25,deuda!A$1:H$606,7,0))</f>
        <v/>
      </c>
      <c r="U25" s="152" t="str">
        <f>IF((VLOOKUP(P25,deuda!A$1:H$606,8,0))=0,"",VLOOKUP(P25,deuda!A$1:H$606,8,0))</f>
        <v/>
      </c>
      <c r="V25" s="124"/>
    </row>
    <row r="26" spans="1:22" s="313" customFormat="1" ht="27.95" customHeight="1">
      <c r="A26" s="35">
        <v>11</v>
      </c>
      <c r="B26" s="5">
        <v>1201</v>
      </c>
      <c r="C26" s="5">
        <v>5</v>
      </c>
      <c r="D26" s="6">
        <v>1</v>
      </c>
      <c r="E26" s="6">
        <v>4.5831999999999997</v>
      </c>
      <c r="F26" s="103" t="str">
        <f t="shared" si="4"/>
        <v>SI</v>
      </c>
      <c r="G26" s="5" t="s">
        <v>244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4.5831999999999997</v>
      </c>
      <c r="I26" s="618">
        <v>1.7361111111111112E-2</v>
      </c>
      <c r="J26" s="580">
        <f t="shared" si="0"/>
        <v>0.17441220075638753</v>
      </c>
      <c r="K26" s="398">
        <f t="shared" si="1"/>
        <v>42974.168081713149</v>
      </c>
      <c r="L26" s="398">
        <f t="shared" si="2"/>
        <v>42974.342493913908</v>
      </c>
      <c r="M26" s="125"/>
      <c r="N26" s="312"/>
      <c r="O26" s="312"/>
      <c r="P26" s="52" t="str">
        <f t="shared" si="5"/>
        <v>12015</v>
      </c>
      <c r="Q26" s="150">
        <f>VLOOKUP(P26,deuda!A$1:H$606,4,0)</f>
        <v>1</v>
      </c>
      <c r="R26" s="150">
        <f>VLOOKUP(P26,deuda!A$1:H$606,5,0)</f>
        <v>0</v>
      </c>
      <c r="S26" s="150">
        <f>IF(VLOOKUP(P26,deuda!A$1:H$606,6,0)=0,"",VLOOKUP(P26,deuda!A$1:H$606,6,0))</f>
        <v>55.53</v>
      </c>
      <c r="T26" s="151" t="str">
        <f>IF((VLOOKUP(P26,deuda!A$1:H$606,7,0))=0,"",VLOOKUP(P26,deuda!A$1:H$606,7,0))</f>
        <v/>
      </c>
      <c r="U26" s="152" t="str">
        <f>IF((VLOOKUP(P26,deuda!A$1:H$606,8,0))=0,"",VLOOKUP(P26,deuda!A$1:H$606,8,0))</f>
        <v/>
      </c>
    </row>
    <row r="27" spans="1:22" s="78" customFormat="1" ht="27.95" customHeight="1">
      <c r="A27" s="75">
        <v>12</v>
      </c>
      <c r="B27" s="76">
        <v>1201</v>
      </c>
      <c r="C27" s="76">
        <v>39</v>
      </c>
      <c r="D27" s="210">
        <v>1</v>
      </c>
      <c r="E27" s="20">
        <v>3.6461000000000001</v>
      </c>
      <c r="F27" s="103" t="str">
        <f t="shared" si="4"/>
        <v>SI</v>
      </c>
      <c r="G27" s="76" t="s">
        <v>245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3.6461000000000001</v>
      </c>
      <c r="I27" s="625">
        <v>0</v>
      </c>
      <c r="J27" s="580">
        <f>+$J$9/60*H27</f>
        <v>0.13875116189078909</v>
      </c>
      <c r="K27" s="398">
        <f t="shared" si="1"/>
        <v>42974.029330551261</v>
      </c>
      <c r="L27" s="398">
        <f t="shared" si="2"/>
        <v>42974.168081713149</v>
      </c>
      <c r="M27" s="125"/>
      <c r="N27" s="76"/>
      <c r="O27" s="76"/>
      <c r="P27" s="539" t="str">
        <f>+CONCATENATE(B27,C27)</f>
        <v>120139</v>
      </c>
      <c r="Q27" s="150">
        <f>VLOOKUP(P27,deuda!A$1:H$606,4,0)</f>
        <v>1</v>
      </c>
      <c r="R27" s="150">
        <f>VLOOKUP(P27,deuda!A$1:H$606,5,0)</f>
        <v>1</v>
      </c>
      <c r="S27" s="150">
        <f>IF(VLOOKUP(P27,deuda!A$1:H$606,6,0)=0,"",VLOOKUP(P27,deuda!A$1:H$606,6,0))</f>
        <v>882.65</v>
      </c>
      <c r="T27" s="151" t="str">
        <f>IF((VLOOKUP(P27,deuda!A$1:H$606,7,0))=0,"",VLOOKUP(P27,deuda!A$1:H$606,7,0))</f>
        <v/>
      </c>
      <c r="U27" s="152" t="str">
        <f>IF((VLOOKUP(P27,deuda!A$1:H$606,8,0))=0,"",VLOOKUP(P27,deuda!A$1:H$606,8,0))</f>
        <v/>
      </c>
      <c r="V27" s="540"/>
    </row>
    <row r="28" spans="1:22" ht="27.95" customHeight="1">
      <c r="A28" s="35">
        <v>12</v>
      </c>
      <c r="B28" s="5">
        <v>1201</v>
      </c>
      <c r="C28" s="5">
        <v>30</v>
      </c>
      <c r="D28" s="6">
        <v>1</v>
      </c>
      <c r="E28" s="6">
        <v>6.8876999999999997</v>
      </c>
      <c r="F28" s="103" t="str">
        <f t="shared" si="4"/>
        <v>SI</v>
      </c>
      <c r="G28" s="5" t="s">
        <v>246</v>
      </c>
      <c r="H28" s="579">
        <f>IF(Hijuelas!$G$7="POR FRACCIÓN",IF(F28="NO",0,IF(F28="cede turno",0,IF(Hijuelas!$G$8="si",IF(D28=1,E28,E28*0.8),E28))),IF(F28="NO",0,IF(F28="cede turno",0,IF(Hijuelas!$G$8="si",IF(D28=1,ROUNDUP(E28,0),ROUNDUP(E28*0.8,0)),ROUNDUP(E28,0)))))</f>
        <v>6.8876999999999997</v>
      </c>
      <c r="I28" s="618">
        <v>6.9444444444444441E-3</v>
      </c>
      <c r="J28" s="580">
        <f t="shared" si="0"/>
        <v>0.26210920648232028</v>
      </c>
      <c r="K28" s="398">
        <f>+L29</f>
        <v>42973.76722134478</v>
      </c>
      <c r="L28" s="398">
        <f>+K28+J28</f>
        <v>42974.029330551261</v>
      </c>
      <c r="M28" s="125"/>
      <c r="N28" s="5"/>
      <c r="O28" s="5"/>
      <c r="P28" s="52" t="str">
        <f t="shared" si="5"/>
        <v>120130</v>
      </c>
      <c r="Q28" s="150">
        <f>VLOOKUP(P28,deuda!A$1:H$606,4,0)</f>
        <v>1</v>
      </c>
      <c r="R28" s="150">
        <f>VLOOKUP(P28,deuda!A$1:H$606,5,0)</f>
        <v>0</v>
      </c>
      <c r="S28" s="150">
        <f>IF(VLOOKUP(P28,deuda!A$1:H$606,6,0)=0,"",VLOOKUP(P28,deuda!A$1:H$606,6,0))</f>
        <v>991.25</v>
      </c>
      <c r="T28" s="151" t="str">
        <f>IF((VLOOKUP(P28,deuda!A$1:H$606,7,0))=0,"",VLOOKUP(P28,deuda!A$1:H$606,7,0))</f>
        <v/>
      </c>
      <c r="U28" s="152" t="str">
        <f>IF((VLOOKUP(P28,deuda!A$1:H$606,8,0))=0,"",VLOOKUP(P28,deuda!A$1:H$606,8,0))</f>
        <v/>
      </c>
      <c r="V28" s="124"/>
    </row>
    <row r="29" spans="1:22" s="313" customFormat="1" ht="27.95" customHeight="1">
      <c r="A29" s="35">
        <v>13</v>
      </c>
      <c r="B29" s="5">
        <v>1201</v>
      </c>
      <c r="C29" s="5">
        <v>16</v>
      </c>
      <c r="D29" s="6">
        <v>1</v>
      </c>
      <c r="E29" s="9">
        <v>1</v>
      </c>
      <c r="F29" s="103" t="str">
        <f t="shared" si="4"/>
        <v>SI</v>
      </c>
      <c r="G29" s="5" t="s">
        <v>247</v>
      </c>
      <c r="H29" s="579">
        <f>IF(Hijuelas!$G$7="POR FRACCIÓN",IF(F29="NO",0,IF(F29="cede turno",0,IF(Hijuelas!$G$8="si",IF(D29=1,E29,E29*0.8),E29))),IF(F29="NO",0,IF(F29="cede turno",0,IF(Hijuelas!$G$8="si",IF(D29=1,ROUNDUP(E29,0),ROUNDUP(E29*0.8,0)),ROUNDUP(E29,0)))))</f>
        <v>1</v>
      </c>
      <c r="I29" s="618">
        <v>0</v>
      </c>
      <c r="J29" s="580">
        <f t="shared" si="0"/>
        <v>3.8054678119302569E-2</v>
      </c>
      <c r="K29" s="398">
        <f>+C5+I6+I7</f>
        <v>42973.729166666664</v>
      </c>
      <c r="L29" s="398">
        <f>+K29+J29</f>
        <v>42973.76722134478</v>
      </c>
      <c r="M29" s="125"/>
      <c r="N29" s="312"/>
      <c r="O29" s="312"/>
      <c r="P29" s="52" t="str">
        <f t="shared" si="5"/>
        <v>120116</v>
      </c>
      <c r="Q29" s="150">
        <f>VLOOKUP(P29,deuda!A$1:H$606,4,0)</f>
        <v>1</v>
      </c>
      <c r="R29" s="150">
        <f>VLOOKUP(P29,deuda!A$1:H$606,5,0)</f>
        <v>0</v>
      </c>
      <c r="S29" s="150" t="str">
        <f>IF(VLOOKUP(P29,deuda!A$1:H$606,6,0)=0,"",VLOOKUP(P29,deuda!A$1:H$606,6,0))</f>
        <v/>
      </c>
      <c r="T29" s="151" t="str">
        <f>IF((VLOOKUP(P29,deuda!A$1:H$606,7,0))=0,"",VLOOKUP(P29,deuda!A$1:H$606,7,0))</f>
        <v/>
      </c>
      <c r="U29" s="152" t="str">
        <f>IF((VLOOKUP(P29,deuda!A$1:H$606,8,0))=0,"",VLOOKUP(P29,deuda!A$1:H$606,8,0))</f>
        <v/>
      </c>
    </row>
    <row r="30" spans="1:22" ht="15" customHeight="1" thickBot="1">
      <c r="A30" s="17"/>
      <c r="B30" s="10"/>
      <c r="C30" s="10"/>
      <c r="D30" s="18"/>
      <c r="E30" s="18">
        <f>SUM(E13:E29)</f>
        <v>68.637199999999993</v>
      </c>
      <c r="F30" s="18"/>
      <c r="G30" s="19"/>
      <c r="H30" s="579">
        <f>SUM(H13:H29)</f>
        <v>58.767600000000002</v>
      </c>
      <c r="I30" s="621">
        <f>SUM(I13:I29)</f>
        <v>2.4305555555555556E-2</v>
      </c>
      <c r="J30" s="591">
        <f>SUM(J13:J29)</f>
        <v>2.2363821018439261</v>
      </c>
      <c r="K30" s="4"/>
      <c r="L30" s="72"/>
      <c r="M30" s="125"/>
    </row>
    <row r="31" spans="1:22">
      <c r="H31" s="579"/>
      <c r="M31" s="125"/>
    </row>
    <row r="32" spans="1:22">
      <c r="H32" s="579"/>
      <c r="M32" s="125"/>
    </row>
    <row r="33" spans="8:13">
      <c r="H33" s="579"/>
      <c r="M33" s="10"/>
    </row>
    <row r="34" spans="8:13">
      <c r="H34" s="579"/>
    </row>
    <row r="35" spans="8:13">
      <c r="H35" s="579"/>
    </row>
    <row r="36" spans="8:13">
      <c r="H36" s="579"/>
    </row>
    <row r="37" spans="8:13">
      <c r="H37" s="579"/>
    </row>
    <row r="38" spans="8:13">
      <c r="H38" s="579"/>
    </row>
  </sheetData>
  <mergeCells count="5">
    <mergeCell ref="A9:B9"/>
    <mergeCell ref="A5:B5"/>
    <mergeCell ref="C5:D5"/>
    <mergeCell ref="A6:B6"/>
    <mergeCell ref="C6:D6"/>
  </mergeCells>
  <phoneticPr fontId="0" type="noConversion"/>
  <dataValidations disablePrompts="1" count="1">
    <dataValidation allowBlank="1" showInputMessage="1" showErrorMessage="1" errorTitle="ATENCIÓN" error="NO PUEDEN INGRESARSE VALORES" promptTitle="RECORDAR" prompt="NO OLVIDE VOLVER A PEGAR LA FORMULA PARA QUE LA PLANILLA LEA AUTOMATICAMENTE LOS DATOS " sqref="Q13:U29" xr:uid="{00000000-0002-0000-1000-000000000000}"/>
  </dataValidations>
  <pageMargins left="0.15748031496062992" right="0.15748031496062992" top="0.98425196850393704" bottom="0.98425196850393704" header="0" footer="0"/>
  <pageSetup paperSize="281" scale="79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1"/>
  <dimension ref="A1:H254"/>
  <sheetViews>
    <sheetView view="pageBreakPreview" topLeftCell="A235" zoomScale="75" zoomScaleNormal="100" zoomScaleSheetLayoutView="100" workbookViewId="0" xr3:uid="{F1CDC194-CB96-5A2D-8E84-222F42300CFA}">
      <selection activeCell="I23" sqref="I23"/>
    </sheetView>
  </sheetViews>
  <sheetFormatPr defaultColWidth="11.42578125" defaultRowHeight="12.75"/>
  <cols>
    <col min="2" max="2" width="11.5703125" bestFit="1" customWidth="1"/>
    <col min="3" max="3" width="20.85546875" bestFit="1" customWidth="1"/>
    <col min="5" max="5" width="11.5703125" bestFit="1" customWidth="1"/>
    <col min="6" max="6" width="14.140625" customWidth="1"/>
  </cols>
  <sheetData>
    <row r="1" spans="1:8">
      <c r="A1" s="447"/>
      <c r="B1" s="448"/>
      <c r="C1" s="448"/>
      <c r="D1" s="448"/>
      <c r="E1" s="448"/>
      <c r="F1" s="449"/>
      <c r="G1" s="81"/>
    </row>
    <row r="2" spans="1:8">
      <c r="A2" s="465" t="s">
        <v>64</v>
      </c>
      <c r="B2" s="81"/>
      <c r="C2" s="81"/>
      <c r="D2" s="81"/>
      <c r="E2" s="81"/>
      <c r="F2" s="451"/>
      <c r="G2" s="81"/>
    </row>
    <row r="3" spans="1:8">
      <c r="A3" s="450"/>
      <c r="B3" s="81"/>
      <c r="C3" s="81"/>
      <c r="D3" s="81"/>
      <c r="E3" s="81"/>
      <c r="F3" s="451"/>
      <c r="G3" s="81"/>
    </row>
    <row r="4" spans="1:8">
      <c r="A4" s="450" t="s">
        <v>139</v>
      </c>
      <c r="B4" s="81" t="str">
        <f>VLOOKUP(F5,'6_1'!$A$13:$H$32,7,0)</f>
        <v>DALVIT, ROBERTO ARMA</v>
      </c>
      <c r="C4" s="81"/>
      <c r="D4" s="81"/>
      <c r="E4" s="81"/>
      <c r="F4" s="452" t="s">
        <v>102</v>
      </c>
      <c r="G4" s="81"/>
    </row>
    <row r="5" spans="1:8">
      <c r="A5" s="450" t="s">
        <v>72</v>
      </c>
      <c r="B5" s="81" t="str">
        <f>+'6_1'!$H$2</f>
        <v>Hijuela 2ª Araujo</v>
      </c>
      <c r="C5" s="81"/>
      <c r="D5" s="81"/>
      <c r="E5" s="81"/>
      <c r="F5" s="452">
        <v>1</v>
      </c>
      <c r="G5" s="81"/>
    </row>
    <row r="6" spans="1:8">
      <c r="A6" s="450"/>
      <c r="B6" s="81"/>
      <c r="C6" s="81"/>
      <c r="D6" s="81"/>
      <c r="E6" s="81"/>
      <c r="F6" s="451"/>
      <c r="G6" s="81"/>
    </row>
    <row r="7" spans="1:8">
      <c r="A7" s="466" t="s">
        <v>140</v>
      </c>
      <c r="B7" s="458">
        <f>VLOOKUP(F5,'6_1'!$A$13:$B$32,2,0)</f>
        <v>1201</v>
      </c>
      <c r="C7" s="81"/>
      <c r="D7" s="139" t="s">
        <v>141</v>
      </c>
      <c r="E7" s="457">
        <f>DSUM('6_1'!A$12:L$32,'6_1'!$J$12,F4:F5)</f>
        <v>0.87699669553401116</v>
      </c>
      <c r="F7" s="451"/>
      <c r="G7" s="81"/>
    </row>
    <row r="8" spans="1:8">
      <c r="A8" s="466" t="s">
        <v>142</v>
      </c>
      <c r="B8" s="461" t="s">
        <v>248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8">
      <c r="A9" s="466" t="s">
        <v>144</v>
      </c>
      <c r="B9" s="462">
        <f>DSUM('6_1'!$A$12:$I$32,'6_1'!$H$12,F4:F5)</f>
        <v>23.0457</v>
      </c>
      <c r="C9" s="81"/>
      <c r="D9" s="139" t="s">
        <v>145</v>
      </c>
      <c r="E9" s="458" t="str">
        <f>IF(VLOOKUP(F5,'6_1'!$A$13:$D$47,4,0)=1, "Definitivo 100%", "Eventual 80%")</f>
        <v>Definitivo 100%</v>
      </c>
      <c r="F9" s="583"/>
      <c r="G9" s="81"/>
    </row>
    <row r="10" spans="1:8" ht="15.75">
      <c r="A10" s="450"/>
      <c r="B10" s="139" t="s">
        <v>146</v>
      </c>
      <c r="C10" s="145">
        <f>DMIN('6_1'!A$12:N$32,'6_1'!$K$12,F4:F5)</f>
        <v>42975.088552072964</v>
      </c>
      <c r="D10" s="189" t="str">
        <f>IF(E10=1,"Domingo",IF(E10=2,"Lunes",IF(E10=3,"Martes",IF(E10=4,"Miercoles",IF(E10=5,"Jueves",IF(E10=6,"Viernes",IF(E10=7,"Sábado",0)))))))</f>
        <v>Lunes</v>
      </c>
      <c r="E10" s="190">
        <f>WEEKDAY(C10)</f>
        <v>2</v>
      </c>
      <c r="F10" s="453" t="s">
        <v>62</v>
      </c>
      <c r="G10" s="81"/>
    </row>
    <row r="11" spans="1:8" ht="15.75">
      <c r="A11" s="450"/>
      <c r="B11" s="139" t="s">
        <v>147</v>
      </c>
      <c r="C11" s="145">
        <f>DMAX('6_1'!A$12:P$32,'6_1'!$L$12,F4:F5)</f>
        <v>42975.965548768494</v>
      </c>
      <c r="D11" s="189" t="str">
        <f>IF(E11=1,"Domingo",IF(E11=2,"Lunes",IF(E11=3,"Martes",IF(E11=4,"Miercoles",IF(E11=5,"Jueves",IF(E11=6,"Viernes",IF(E11=7,"Sábado",0)))))))</f>
        <v>Lunes</v>
      </c>
      <c r="E11" s="190">
        <f>WEEKDAY(C11)</f>
        <v>2</v>
      </c>
      <c r="F11" s="453">
        <f>WEEKDAY(C11)</f>
        <v>2</v>
      </c>
      <c r="G11" s="81"/>
    </row>
    <row r="12" spans="1:8">
      <c r="A12" s="450"/>
      <c r="B12" s="81"/>
      <c r="C12" s="81"/>
      <c r="D12" s="81"/>
      <c r="E12" s="584"/>
      <c r="F12" s="583"/>
      <c r="G12" s="81"/>
    </row>
    <row r="13" spans="1:8">
      <c r="A13" s="472">
        <f>+Mensajes!$B$7</f>
        <v>0</v>
      </c>
      <c r="B13" s="81"/>
      <c r="C13" s="81"/>
      <c r="D13" s="81"/>
      <c r="E13" s="81"/>
      <c r="F13" s="451"/>
      <c r="G13" s="81"/>
    </row>
    <row r="14" spans="1:8">
      <c r="A14" s="472">
        <f>+Mensajes!$B$12</f>
        <v>0</v>
      </c>
      <c r="B14" s="81"/>
      <c r="C14" s="81"/>
      <c r="D14" s="81"/>
      <c r="E14" s="81"/>
      <c r="F14" s="451"/>
      <c r="G14" s="81"/>
    </row>
    <row r="15" spans="1:8">
      <c r="A15" s="471"/>
      <c r="B15" s="81"/>
      <c r="C15" s="81"/>
      <c r="D15" s="81"/>
      <c r="E15" s="81"/>
      <c r="F15" s="451"/>
      <c r="G15" s="81"/>
      <c r="H15">
        <f>15*17</f>
        <v>255</v>
      </c>
    </row>
    <row r="16" spans="1:8" ht="13.5" thickBot="1">
      <c r="A16" s="474"/>
      <c r="B16" s="455"/>
      <c r="C16" s="455"/>
      <c r="D16" s="455"/>
      <c r="E16" s="473" t="str">
        <f>IF(DSUM('6_1'!$A$12:$Q$89,16,F4:F5)=COUNTIF('6_1'!$A$13:$A$89,F5),"","Regularice su Deuda")</f>
        <v>Regularice su Deuda</v>
      </c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VLOOKUP(F22,'6_1'!$A$13:$H$32,7,0)</f>
        <v>MARTIN, JOSE LUIS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+'6_1'!$H$2</f>
        <v>Hijuela 2ª Araujo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66" t="s">
        <v>140</v>
      </c>
      <c r="B24" s="458">
        <f>VLOOKUP(F22,'6_1'!$A$13:$B$32,2,0)</f>
        <v>1201</v>
      </c>
      <c r="C24" s="81"/>
      <c r="D24" s="139" t="s">
        <v>141</v>
      </c>
      <c r="E24" s="457">
        <f>DSUM('6_1'!A$12:L$32,'6_1'!$J$12,F21:F22)</f>
        <v>0.14965002170415737</v>
      </c>
      <c r="F24" s="451"/>
    </row>
    <row r="25" spans="1:6">
      <c r="A25" s="466" t="s">
        <v>142</v>
      </c>
      <c r="B25" s="461">
        <v>10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66" t="s">
        <v>144</v>
      </c>
      <c r="B26" s="462">
        <f>DSUM('6_1'!$A$12:$I$32,'6_1'!$H$12,F21:F22)</f>
        <v>3.9325000000000001</v>
      </c>
      <c r="C26" s="81"/>
      <c r="D26" s="139" t="s">
        <v>145</v>
      </c>
      <c r="E26" s="458" t="str">
        <f>IF(VLOOKUP(F22,'6_1'!$A$13:$D$47,4,0)=1, "Definitivo 100%", "Eventual 80%")</f>
        <v>Definitivo 100%</v>
      </c>
      <c r="F26" s="583"/>
    </row>
    <row r="27" spans="1:6" ht="15.75">
      <c r="A27" s="450"/>
      <c r="B27" s="139" t="s">
        <v>146</v>
      </c>
      <c r="C27" s="145">
        <f>DMIN('6_1'!A$12:N$32,'6_1'!$K$12,F21:F22)</f>
        <v>42974.938902051261</v>
      </c>
      <c r="D27" s="189" t="str">
        <f>IF(E27=1,"Domingo",IF(E27=2,"Lunes",IF(E27=3,"Martes",IF(E27=4,"Miercoles",IF(E27=5,"Jueves",IF(E27=6,"Viernes",IF(E27=7,"Sábado",0)))))))</f>
        <v>Domingo</v>
      </c>
      <c r="E27" s="190">
        <f>WEEKDAY(C27)</f>
        <v>1</v>
      </c>
      <c r="F27" s="453" t="s">
        <v>62</v>
      </c>
    </row>
    <row r="28" spans="1:6" ht="15.75">
      <c r="A28" s="450"/>
      <c r="B28" s="139" t="s">
        <v>147</v>
      </c>
      <c r="C28" s="145">
        <f>DMAX('6_1'!A$12:P$32,'6_1'!$L$12,F21:F22)</f>
        <v>42975.088552072964</v>
      </c>
      <c r="D28" s="189" t="str">
        <f>IF(E28=1,"Domingo",IF(E28=2,"Lunes",IF(E28=3,"Martes",IF(E28=4,"Miercoles",IF(E28=5,"Jueves",IF(E28=6,"Viernes",IF(E28=7,"Sábado",0)))))))</f>
        <v>Lunes</v>
      </c>
      <c r="E28" s="190">
        <f>WEEKDAY(C28)</f>
        <v>2</v>
      </c>
      <c r="F28" s="453">
        <f>WEEKDAY(C28)</f>
        <v>2</v>
      </c>
    </row>
    <row r="29" spans="1:6">
      <c r="A29" s="450"/>
      <c r="B29" s="81"/>
      <c r="C29" s="81"/>
      <c r="D29" s="81"/>
      <c r="E29" s="584"/>
      <c r="F29" s="583"/>
    </row>
    <row r="30" spans="1:6">
      <c r="A30" s="472">
        <f>+Mensajes!$B$7</f>
        <v>0</v>
      </c>
      <c r="B30" s="81"/>
      <c r="C30" s="81"/>
      <c r="D30" s="81"/>
      <c r="E30" s="81"/>
      <c r="F30" s="451"/>
    </row>
    <row r="31" spans="1:6">
      <c r="A31" s="472">
        <f>+Mensajes!$B$12</f>
        <v>0</v>
      </c>
      <c r="B31" s="81"/>
      <c r="C31" s="81"/>
      <c r="D31" s="81"/>
      <c r="E31" s="81"/>
      <c r="F31" s="451"/>
    </row>
    <row r="32" spans="1:6">
      <c r="A32" s="471"/>
      <c r="B32" s="81"/>
      <c r="C32" s="81"/>
      <c r="D32" s="81"/>
      <c r="E32" s="81"/>
      <c r="F32" s="451"/>
    </row>
    <row r="33" spans="1:6" ht="13.5" thickBot="1">
      <c r="A33" s="474"/>
      <c r="B33" s="455"/>
      <c r="C33" s="455"/>
      <c r="D33" s="455"/>
      <c r="E33" s="473" t="str">
        <f>IF(DSUM('6_1'!$A$12:$Q$89,16,F21:F22)=COUNTIF('6_1'!$A$13:$A$89,F22),"","Regularice su Deuda")</f>
        <v>Regularice su Deuda</v>
      </c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VLOOKUP(F39,'6_1'!$A$13:$H$32,7,0)</f>
        <v>CICHINELLI, ANGEL EDUA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+'6_1'!$H$2</f>
        <v>Hijuela 2ª Araujo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VLOOKUP(F39,'6_1'!$A$13:$B$32,2,0)</f>
        <v>1201</v>
      </c>
      <c r="C41" s="81"/>
      <c r="D41" s="139" t="s">
        <v>141</v>
      </c>
      <c r="E41" s="457">
        <f>DSUM('6_1'!A$12:L$32,'6_1'!$J$12,F38:F39)</f>
        <v>0</v>
      </c>
      <c r="F41" s="451"/>
    </row>
    <row r="42" spans="1:6">
      <c r="A42" s="466" t="s">
        <v>142</v>
      </c>
      <c r="B42" s="461">
        <v>38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DSUM('6_1'!$A$12:$I$32,'6_1'!$H$12,F38:F39)</f>
        <v>0</v>
      </c>
      <c r="C43" s="81"/>
      <c r="D43" s="139" t="s">
        <v>145</v>
      </c>
      <c r="E43" s="458" t="str">
        <f>IF(VLOOKUP(F39,'6_1'!$A$13:$D$47,4,0)=1, "Definitivo 100%", "Eventual 80%")</f>
        <v>Definitivo 100%</v>
      </c>
      <c r="F43" s="583"/>
    </row>
    <row r="44" spans="1:6" ht="15.75">
      <c r="A44" s="450"/>
      <c r="B44" s="139" t="s">
        <v>146</v>
      </c>
      <c r="C44" s="145">
        <f>DMIN('6_1'!A$12:N$32,'6_1'!$K$12,F38:F39)</f>
        <v>42974.938902051261</v>
      </c>
      <c r="D44" s="189" t="str">
        <f>IF(E44=1,"Domingo",IF(E44=2,"Lunes",IF(E44=3,"Martes",IF(E44=4,"Miercoles",IF(E44=5,"Jueves",IF(E44=6,"Viernes",IF(E44=7,"Sábado",0)))))))</f>
        <v>Domingo</v>
      </c>
      <c r="E44" s="190">
        <f>WEEKDAY(C44)</f>
        <v>1</v>
      </c>
      <c r="F44" s="453" t="s">
        <v>62</v>
      </c>
    </row>
    <row r="45" spans="1:6" ht="15.75">
      <c r="A45" s="450"/>
      <c r="B45" s="139" t="s">
        <v>147</v>
      </c>
      <c r="C45" s="145">
        <f>DMAX('6_1'!A$12:P$32,'6_1'!$L$12,F38:F39)</f>
        <v>42974.938902051261</v>
      </c>
      <c r="D45" s="189" t="str">
        <f>IF(E45=1,"Domingo",IF(E45=2,"Lunes",IF(E45=3,"Martes",IF(E45=4,"Miercoles",IF(E45=5,"Jueves",IF(E45=6,"Viernes",IF(E45=7,"Sábado",0)))))))</f>
        <v>Domingo</v>
      </c>
      <c r="E45" s="190">
        <f>WEEKDAY(C45)</f>
        <v>1</v>
      </c>
      <c r="F45" s="453">
        <f>WEEKDAY(C45)</f>
        <v>1</v>
      </c>
    </row>
    <row r="46" spans="1:6">
      <c r="A46" s="450"/>
      <c r="B46" s="81"/>
      <c r="C46" s="81"/>
      <c r="D46" s="81"/>
      <c r="E46" s="584"/>
      <c r="F46" s="583"/>
    </row>
    <row r="47" spans="1:6">
      <c r="A47" s="472">
        <f>+Mensajes!$B$7</f>
        <v>0</v>
      </c>
      <c r="B47" s="81"/>
      <c r="C47" s="81"/>
      <c r="D47" s="81"/>
      <c r="E47" s="81"/>
      <c r="F47" s="451"/>
    </row>
    <row r="48" spans="1:6">
      <c r="A48" s="472">
        <f>+Mensajes!$B$12</f>
        <v>0</v>
      </c>
      <c r="B48" s="81"/>
      <c r="C48" s="81"/>
      <c r="D48" s="81"/>
      <c r="E48" s="81"/>
      <c r="F48" s="451"/>
    </row>
    <row r="49" spans="1:6">
      <c r="A49" s="471"/>
      <c r="B49" s="81"/>
      <c r="C49" s="81"/>
      <c r="D49" s="81"/>
      <c r="E49" s="81"/>
      <c r="F49" s="451"/>
    </row>
    <row r="50" spans="1:6" ht="13.5" thickBot="1">
      <c r="A50" s="474"/>
      <c r="B50" s="455"/>
      <c r="C50" s="455"/>
      <c r="D50" s="455"/>
      <c r="E50" s="473" t="str">
        <f>IF(DSUM('6_1'!$A$12:$Q$89,16,F38:F39)=COUNTIF('6_1'!$A$13:$A$89,F39),"","Regularice su Deuda")</f>
        <v>Regularice su Deuda</v>
      </c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VLOOKUP(F56,'6_1'!$A$13:$H$32,7,0)</f>
        <v>MAMANI, LINO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+'6_1'!$H$2</f>
        <v>Hijuela 2ª Araujo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VLOOKUP(F56,'6_1'!$A$13:$B$32,2,0)</f>
        <v>1201</v>
      </c>
      <c r="C58" s="81"/>
      <c r="D58" s="139" t="s">
        <v>141</v>
      </c>
      <c r="E58" s="457">
        <f>DSUM('6_1'!A$12:L$32,'6_1'!$J$12,F55:F56)</f>
        <v>0</v>
      </c>
      <c r="F58" s="451"/>
    </row>
    <row r="59" spans="1:6">
      <c r="A59" s="466" t="s">
        <v>142</v>
      </c>
      <c r="B59" s="461">
        <v>42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DSUM('6_1'!$A$12:$I$32,'6_1'!$H$12,F55:F56)</f>
        <v>0</v>
      </c>
      <c r="C60" s="81"/>
      <c r="D60" s="139" t="s">
        <v>145</v>
      </c>
      <c r="E60" s="458" t="str">
        <f>IF(VLOOKUP(F56,'6_1'!$A$13:$D$47,4,0)=1, "Definitivo 100%", "Eventual 80%")</f>
        <v>Definitivo 100%</v>
      </c>
      <c r="F60" s="583"/>
    </row>
    <row r="61" spans="1:6" ht="15.75">
      <c r="A61" s="450"/>
      <c r="B61" s="139" t="s">
        <v>146</v>
      </c>
      <c r="C61" s="145">
        <f>DMIN('6_1'!A$12:N$32,'6_1'!$K$12,F55:F56)</f>
        <v>42974.938902051261</v>
      </c>
      <c r="D61" s="189" t="str">
        <f>IF(E61=1,"Domingo",IF(E61=2,"Lunes",IF(E61=3,"Martes",IF(E61=4,"Miercoles",IF(E61=5,"Jueves",IF(E61=6,"Viernes",IF(E61=7,"Sábado",0)))))))</f>
        <v>Domingo</v>
      </c>
      <c r="E61" s="190">
        <f>WEEKDAY(C61)</f>
        <v>1</v>
      </c>
      <c r="F61" s="453" t="s">
        <v>62</v>
      </c>
    </row>
    <row r="62" spans="1:6" ht="15.75">
      <c r="A62" s="450"/>
      <c r="B62" s="139" t="s">
        <v>147</v>
      </c>
      <c r="C62" s="145">
        <f>DMAX('6_1'!A$12:P$32,'6_1'!$L$12,F55:F56)</f>
        <v>42974.938902051261</v>
      </c>
      <c r="D62" s="189" t="str">
        <f>IF(E62=1,"Domingo",IF(E62=2,"Lunes",IF(E62=3,"Martes",IF(E62=4,"Miercoles",IF(E62=5,"Jueves",IF(E62=6,"Viernes",IF(E62=7,"Sábado",0)))))))</f>
        <v>Domingo</v>
      </c>
      <c r="E62" s="190">
        <f>WEEKDAY(C62)</f>
        <v>1</v>
      </c>
      <c r="F62" s="453">
        <f>WEEKDAY(C62)</f>
        <v>1</v>
      </c>
    </row>
    <row r="63" spans="1:6">
      <c r="A63" s="450"/>
      <c r="B63" s="81"/>
      <c r="C63" s="81"/>
      <c r="D63" s="81"/>
      <c r="E63" s="584"/>
      <c r="F63" s="583"/>
    </row>
    <row r="64" spans="1:6">
      <c r="A64" s="472">
        <f>+Mensajes!$B$7</f>
        <v>0</v>
      </c>
      <c r="B64" s="81"/>
      <c r="C64" s="81"/>
      <c r="D64" s="81"/>
      <c r="E64" s="81"/>
      <c r="F64" s="451"/>
    </row>
    <row r="65" spans="1:6">
      <c r="A65" s="472">
        <f>+Mensajes!$B$12</f>
        <v>0</v>
      </c>
      <c r="B65" s="81"/>
      <c r="C65" s="81"/>
      <c r="D65" s="81"/>
      <c r="E65" s="81"/>
      <c r="F65" s="451"/>
    </row>
    <row r="66" spans="1:6">
      <c r="A66" s="471"/>
      <c r="B66" s="81"/>
      <c r="C66" s="81"/>
      <c r="D66" s="81"/>
      <c r="E66" s="81"/>
      <c r="F66" s="451"/>
    </row>
    <row r="67" spans="1:6" ht="13.5" thickBot="1">
      <c r="A67" s="474"/>
      <c r="B67" s="455"/>
      <c r="C67" s="455"/>
      <c r="D67" s="455"/>
      <c r="E67" s="473" t="str">
        <f>IF(DSUM('6_1'!$A$12:$Q$89,16,F55:F56)=COUNTIF('6_1'!$A$13:$A$89,F56),"","Regularice su Deuda")</f>
        <v>Regularice su Deuda</v>
      </c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VLOOKUP(F73,'6_1'!$A$13:$H$32,7,0)</f>
        <v>VILLEGAS, RAMON LAZA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+'6_1'!$H$2</f>
        <v>Hijuela 2ª Araujo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VLOOKUP(F73,'6_1'!$A$13:$B$32,2,0)</f>
        <v>1201</v>
      </c>
      <c r="C75" s="81"/>
      <c r="D75" s="139" t="s">
        <v>141</v>
      </c>
      <c r="E75" s="457">
        <f>DSUM('6_1'!A$12:L$32,'6_1'!$J$12,F72:F73)</f>
        <v>9.5113862491384843E-2</v>
      </c>
      <c r="F75" s="451"/>
    </row>
    <row r="76" spans="1:6">
      <c r="A76" s="466" t="s">
        <v>142</v>
      </c>
      <c r="B76" s="461">
        <v>37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DSUM('6_1'!$A$12:$I$32,'6_1'!$H$12,F72:F73)</f>
        <v>2.4994000000000001</v>
      </c>
      <c r="C77" s="81"/>
      <c r="D77" s="139" t="s">
        <v>145</v>
      </c>
      <c r="E77" s="458" t="str">
        <f>IF(VLOOKUP(F73,'6_1'!$A$13:$D$47,4,0)=1, "Definitivo 100%", "Eventual 80%")</f>
        <v>Definitivo 100%</v>
      </c>
      <c r="F77" s="583"/>
    </row>
    <row r="78" spans="1:6" ht="15.75">
      <c r="A78" s="450"/>
      <c r="B78" s="139" t="s">
        <v>146</v>
      </c>
      <c r="C78" s="145">
        <f>DMIN('6_1'!A$12:N$32,'6_1'!$K$12,F72:F73)</f>
        <v>42974.843788188773</v>
      </c>
      <c r="D78" s="189" t="str">
        <f>IF(E78=1,"Domingo",IF(E78=2,"Lunes",IF(E78=3,"Martes",IF(E78=4,"Miercoles",IF(E78=5,"Jueves",IF(E78=6,"Viernes",IF(E78=7,"Sábado",0)))))))</f>
        <v>Domingo</v>
      </c>
      <c r="E78" s="190">
        <f>WEEKDAY(C78)</f>
        <v>1</v>
      </c>
      <c r="F78" s="453" t="s">
        <v>62</v>
      </c>
    </row>
    <row r="79" spans="1:6" ht="15.75">
      <c r="A79" s="450"/>
      <c r="B79" s="139" t="s">
        <v>147</v>
      </c>
      <c r="C79" s="145">
        <f>DMAX('6_1'!A$12:P$32,'6_1'!$L$12,F72:F73)</f>
        <v>42974.938902051261</v>
      </c>
      <c r="D79" s="189" t="str">
        <f>IF(E79=1,"Domingo",IF(E79=2,"Lunes",IF(E79=3,"Martes",IF(E79=4,"Miercoles",IF(E79=5,"Jueves",IF(E79=6,"Viernes",IF(E79=7,"Sábado",0)))))))</f>
        <v>Domingo</v>
      </c>
      <c r="E79" s="190">
        <f>WEEKDAY(C79)</f>
        <v>1</v>
      </c>
      <c r="F79" s="453">
        <f>WEEKDAY(C79)</f>
        <v>1</v>
      </c>
    </row>
    <row r="80" spans="1:6">
      <c r="A80" s="450"/>
      <c r="B80" s="81"/>
      <c r="C80" s="81"/>
      <c r="D80" s="81"/>
      <c r="E80" s="584"/>
      <c r="F80" s="583"/>
    </row>
    <row r="81" spans="1:6">
      <c r="A81" s="472">
        <f>+Mensajes!$B$7</f>
        <v>0</v>
      </c>
      <c r="B81" s="81"/>
      <c r="C81" s="81"/>
      <c r="D81" s="81"/>
      <c r="E81" s="81"/>
      <c r="F81" s="451"/>
    </row>
    <row r="82" spans="1:6">
      <c r="A82" s="472">
        <f>+Mensajes!$B$12</f>
        <v>0</v>
      </c>
      <c r="B82" s="81"/>
      <c r="C82" s="81"/>
      <c r="D82" s="81"/>
      <c r="E82" s="81"/>
      <c r="F82" s="451"/>
    </row>
    <row r="83" spans="1:6">
      <c r="A83" s="471"/>
      <c r="B83" s="81"/>
      <c r="C83" s="81"/>
      <c r="D83" s="81"/>
      <c r="E83" s="81"/>
      <c r="F83" s="451"/>
    </row>
    <row r="84" spans="1:6" ht="13.5" thickBot="1">
      <c r="A84" s="474"/>
      <c r="B84" s="455"/>
      <c r="C84" s="455"/>
      <c r="D84" s="455"/>
      <c r="E84" s="473" t="str">
        <f>IF(DSUM('6_1'!$A$12:$Q$89,16,F72:F73)=COUNTIF('6_1'!$A$13:$A$89,F73),"","Regularice su Deuda")</f>
        <v>Regularice su Deuda</v>
      </c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VLOOKUP(F90,'6_1'!$A$13:$H$32,7,0)</f>
        <v>VENIER, MARIO NICOLAS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+'6_1'!$H$2</f>
        <v>Hijuela 2ª Araujo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VLOOKUP(F90,'6_1'!$A$13:$B$32,2,0)</f>
        <v>1201</v>
      </c>
      <c r="C92" s="81"/>
      <c r="D92" s="139" t="s">
        <v>141</v>
      </c>
      <c r="E92" s="457">
        <f>DSUM('6_1'!A$12:L$32,'6_1'!$J$12,F89:F90)</f>
        <v>0</v>
      </c>
      <c r="F92" s="451"/>
    </row>
    <row r="93" spans="1:6">
      <c r="A93" s="466" t="s">
        <v>142</v>
      </c>
      <c r="B93" s="461">
        <v>34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DSUM('6_1'!$A$12:$I$32,'6_1'!$H$12,F89:F90)</f>
        <v>0</v>
      </c>
      <c r="C94" s="81"/>
      <c r="D94" s="139" t="s">
        <v>145</v>
      </c>
      <c r="E94" s="458" t="str">
        <f>IF(VLOOKUP(F90,'6_1'!$A$13:$D$47,4,0)=1, "Definitivo 100%", "Eventual 80%")</f>
        <v>Definitivo 100%</v>
      </c>
      <c r="F94" s="583"/>
    </row>
    <row r="95" spans="1:6" ht="15.75">
      <c r="A95" s="450"/>
      <c r="B95" s="139" t="s">
        <v>146</v>
      </c>
      <c r="C95" s="145">
        <f>DMIN('6_1'!A$12:N$32,'6_1'!$K$12,F89:F90)</f>
        <v>42974.843788188773</v>
      </c>
      <c r="D95" s="189" t="str">
        <f>IF(E95=1,"Domingo",IF(E95=2,"Lunes",IF(E95=3,"Martes",IF(E95=4,"Miercoles",IF(E95=5,"Jueves",IF(E95=6,"Viernes",IF(E95=7,"Sábado",0)))))))</f>
        <v>Domingo</v>
      </c>
      <c r="E95" s="190">
        <f>WEEKDAY(C95)</f>
        <v>1</v>
      </c>
      <c r="F95" s="453" t="s">
        <v>62</v>
      </c>
    </row>
    <row r="96" spans="1:6" ht="15.75">
      <c r="A96" s="450"/>
      <c r="B96" s="139" t="s">
        <v>147</v>
      </c>
      <c r="C96" s="145">
        <f>DMAX('6_1'!A$12:P$32,'6_1'!$L$12,F89:F90)</f>
        <v>42974.843788188773</v>
      </c>
      <c r="D96" s="189" t="str">
        <f>IF(E96=1,"Domingo",IF(E96=2,"Lunes",IF(E96=3,"Martes",IF(E96=4,"Miercoles",IF(E96=5,"Jueves",IF(E96=6,"Viernes",IF(E96=7,"Sábado",0)))))))</f>
        <v>Domingo</v>
      </c>
      <c r="E96" s="190">
        <f>WEEKDAY(C96)</f>
        <v>1</v>
      </c>
      <c r="F96" s="453">
        <f>WEEKDAY(C96)</f>
        <v>1</v>
      </c>
    </row>
    <row r="97" spans="1:6">
      <c r="A97" s="450"/>
      <c r="B97" s="81"/>
      <c r="C97" s="81"/>
      <c r="D97" s="81"/>
      <c r="E97" s="584"/>
      <c r="F97" s="583"/>
    </row>
    <row r="98" spans="1:6">
      <c r="A98" s="472">
        <f>+Mensajes!$B$7</f>
        <v>0</v>
      </c>
      <c r="B98" s="81"/>
      <c r="C98" s="81"/>
      <c r="D98" s="81"/>
      <c r="E98" s="81"/>
      <c r="F98" s="451"/>
    </row>
    <row r="99" spans="1:6">
      <c r="A99" s="472">
        <f>+Mensajes!$B$12</f>
        <v>0</v>
      </c>
      <c r="B99" s="81"/>
      <c r="C99" s="81"/>
      <c r="D99" s="81"/>
      <c r="E99" s="81"/>
      <c r="F99" s="451"/>
    </row>
    <row r="100" spans="1:6">
      <c r="A100" s="471"/>
      <c r="B100" s="81"/>
      <c r="C100" s="81"/>
      <c r="D100" s="81"/>
      <c r="E100" s="81"/>
      <c r="F100" s="451"/>
    </row>
    <row r="101" spans="1:6" ht="13.5" thickBot="1">
      <c r="A101" s="474"/>
      <c r="B101" s="455"/>
      <c r="C101" s="455"/>
      <c r="D101" s="455"/>
      <c r="E101" s="473" t="str">
        <f>IF(DSUM('6_1'!$A$12:$Q$89,16,F89:F90)=COUNTIF('6_1'!$A$13:$A$89,F90),"","Regularice su Deuda")</f>
        <v>Regularice su Deuda</v>
      </c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VLOOKUP(F107,'6_1'!$A$13:$H$32,7,0)</f>
        <v>GONZALEZ ROMERO, SA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+'6_1'!$H$2</f>
        <v>Hijuela 2ª Araujo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66" t="s">
        <v>140</v>
      </c>
      <c r="B109" s="458">
        <f>VLOOKUP(F107,'6_1'!$A$13:$B$32,2,0)</f>
        <v>1201</v>
      </c>
      <c r="C109" s="81"/>
      <c r="D109" s="139" t="s">
        <v>141</v>
      </c>
      <c r="E109" s="457">
        <f>DSUM('6_1'!A$12:L$32,'6_1'!$J$12,F106:F107)</f>
        <v>0.21563683356302801</v>
      </c>
      <c r="F109" s="451"/>
    </row>
    <row r="110" spans="1:6">
      <c r="A110" s="466" t="s">
        <v>142</v>
      </c>
      <c r="B110" s="461">
        <v>8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66" t="s">
        <v>144</v>
      </c>
      <c r="B111" s="462">
        <f>DSUM('6_1'!$A$12:$I$32,'6_1'!$H$12,F106:F107)</f>
        <v>5.6665000000000001</v>
      </c>
      <c r="C111" s="81"/>
      <c r="D111" s="139" t="s">
        <v>145</v>
      </c>
      <c r="E111" s="458" t="str">
        <f>IF(VLOOKUP(F107,'6_1'!$A$13:$D$47,4,0)=1, "Definitivo 100%", "Eventual 80%")</f>
        <v>Definitivo 100%</v>
      </c>
      <c r="F111" s="583"/>
    </row>
    <row r="112" spans="1:6" ht="15.75">
      <c r="A112" s="450"/>
      <c r="B112" s="139" t="s">
        <v>146</v>
      </c>
      <c r="C112" s="145">
        <f>DMIN('6_1'!A$12:N$32,'6_1'!$K$12,F106:F107)</f>
        <v>42974.628151355209</v>
      </c>
      <c r="D112" s="189" t="str">
        <f>IF(E112=1,"Domingo",IF(E112=2,"Lunes",IF(E112=3,"Martes",IF(E112=4,"Miercoles",IF(E112=5,"Jueves",IF(E112=6,"Viernes",IF(E112=7,"Sábado",0)))))))</f>
        <v>Domingo</v>
      </c>
      <c r="E112" s="190">
        <f>WEEKDAY(C112)</f>
        <v>1</v>
      </c>
      <c r="F112" s="453" t="s">
        <v>62</v>
      </c>
    </row>
    <row r="113" spans="1:6" ht="15.75">
      <c r="A113" s="450"/>
      <c r="B113" s="139" t="s">
        <v>147</v>
      </c>
      <c r="C113" s="145">
        <f>DMAX('6_1'!A$12:P$32,'6_1'!$L$12,F106:F107)</f>
        <v>42974.843788188773</v>
      </c>
      <c r="D113" s="189" t="str">
        <f>IF(E113=1,"Domingo",IF(E113=2,"Lunes",IF(E113=3,"Martes",IF(E113=4,"Miercoles",IF(E113=5,"Jueves",IF(E113=6,"Viernes",IF(E113=7,"Sábado",0)))))))</f>
        <v>Domingo</v>
      </c>
      <c r="E113" s="190">
        <f>WEEKDAY(C113)</f>
        <v>1</v>
      </c>
      <c r="F113" s="453">
        <f>WEEKDAY(C113)</f>
        <v>1</v>
      </c>
    </row>
    <row r="114" spans="1:6">
      <c r="A114" s="450"/>
      <c r="B114" s="81"/>
      <c r="C114" s="81"/>
      <c r="D114" s="81"/>
      <c r="E114" s="584"/>
      <c r="F114" s="583"/>
    </row>
    <row r="115" spans="1:6">
      <c r="A115" s="472">
        <f>+Mensajes!$B$7</f>
        <v>0</v>
      </c>
      <c r="B115" s="81"/>
      <c r="C115" s="81"/>
      <c r="D115" s="81"/>
      <c r="E115" s="81"/>
      <c r="F115" s="451"/>
    </row>
    <row r="116" spans="1:6">
      <c r="A116" s="472">
        <f>+Mensajes!$B$12</f>
        <v>0</v>
      </c>
      <c r="B116" s="81"/>
      <c r="C116" s="81"/>
      <c r="D116" s="81"/>
      <c r="E116" s="81"/>
      <c r="F116" s="451"/>
    </row>
    <row r="117" spans="1:6">
      <c r="A117" s="471"/>
      <c r="B117" s="81"/>
      <c r="C117" s="81"/>
      <c r="D117" s="81"/>
      <c r="E117" s="81"/>
      <c r="F117" s="451"/>
    </row>
    <row r="118" spans="1:6" ht="13.5" thickBot="1">
      <c r="A118" s="474"/>
      <c r="B118" s="455"/>
      <c r="C118" s="455"/>
      <c r="D118" s="455"/>
      <c r="E118" s="473" t="str">
        <f>IF(DSUM('6_1'!$A$12:$Q$89,16,F106:F107)=COUNTIF('6_1'!$A$13:$A$89,F107),"","Regularice su Deuda")</f>
        <v>Regularice su Deuda</v>
      </c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str">
        <f>VLOOKUP(F124,'6_1'!$A$13:$H$32,7,0)</f>
        <v>TALQUENCA, LILIANA NA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+'6_1'!$H$2</f>
        <v>Hijuela 2ª Araujo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66" t="s">
        <v>140</v>
      </c>
      <c r="B126" s="458">
        <f>VLOOKUP(F124,'6_1'!$A$13:$B$32,2,0)</f>
        <v>1201</v>
      </c>
      <c r="C126" s="81"/>
      <c r="D126" s="139" t="s">
        <v>141</v>
      </c>
      <c r="E126" s="457">
        <f>DSUM('6_1'!A$12:L$32,'6_1'!$J$12,F123:F124)</f>
        <v>7.6109356238605139E-2</v>
      </c>
      <c r="F126" s="451"/>
    </row>
    <row r="127" spans="1:6">
      <c r="A127" s="466" t="s">
        <v>142</v>
      </c>
      <c r="B127" s="461">
        <v>20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66" t="s">
        <v>144</v>
      </c>
      <c r="B128" s="462">
        <f>DSUM('6_1'!$A$12:$I$32,'6_1'!$H$12,F123:F124)</f>
        <v>2</v>
      </c>
      <c r="C128" s="81"/>
      <c r="D128" s="139" t="s">
        <v>145</v>
      </c>
      <c r="E128" s="458" t="str">
        <f>IF(VLOOKUP(F124,'6_1'!$A$13:$D$47,4,0)=1, "Definitivo 100%", "Eventual 80%")</f>
        <v>Definitivo 100%</v>
      </c>
      <c r="F128" s="583"/>
    </row>
    <row r="129" spans="1:6" ht="15.75">
      <c r="A129" s="450"/>
      <c r="B129" s="139" t="s">
        <v>146</v>
      </c>
      <c r="C129" s="145">
        <f>DMIN('6_1'!A$12:N$32,'6_1'!$K$12,F123:F124)</f>
        <v>42974.55204199897</v>
      </c>
      <c r="D129" s="189" t="str">
        <f>IF(E129=1,"Domingo",IF(E129=2,"Lunes",IF(E129=3,"Martes",IF(E129=4,"Miercoles",IF(E129=5,"Jueves",IF(E129=6,"Viernes",IF(E129=7,"Sábado",0)))))))</f>
        <v>Domingo</v>
      </c>
      <c r="E129" s="190">
        <f>WEEKDAY(C129)</f>
        <v>1</v>
      </c>
      <c r="F129" s="453" t="s">
        <v>62</v>
      </c>
    </row>
    <row r="130" spans="1:6" ht="15.75">
      <c r="A130" s="450"/>
      <c r="B130" s="139" t="s">
        <v>147</v>
      </c>
      <c r="C130" s="145">
        <f>DMAX('6_1'!A$12:P$32,'6_1'!$L$12,F123:F124)</f>
        <v>42974.628151355209</v>
      </c>
      <c r="D130" s="189" t="str">
        <f>IF(E130=1,"Domingo",IF(E130=2,"Lunes",IF(E130=3,"Martes",IF(E130=4,"Miercoles",IF(E130=5,"Jueves",IF(E130=6,"Viernes",IF(E130=7,"Sábado",0)))))))</f>
        <v>Domingo</v>
      </c>
      <c r="E130" s="190">
        <f>WEEKDAY(C130)</f>
        <v>1</v>
      </c>
      <c r="F130" s="453">
        <f>WEEKDAY(C130)</f>
        <v>1</v>
      </c>
    </row>
    <row r="131" spans="1:6">
      <c r="A131" s="450"/>
      <c r="B131" s="81"/>
      <c r="C131" s="81"/>
      <c r="D131" s="81"/>
      <c r="E131" s="584"/>
      <c r="F131" s="583"/>
    </row>
    <row r="132" spans="1:6">
      <c r="A132" s="472">
        <f>+Mensajes!$B$7</f>
        <v>0</v>
      </c>
      <c r="B132" s="81"/>
      <c r="C132" s="81"/>
      <c r="D132" s="81"/>
      <c r="E132" s="81"/>
      <c r="F132" s="451"/>
    </row>
    <row r="133" spans="1:6">
      <c r="A133" s="472">
        <f>+Mensajes!$B$12</f>
        <v>0</v>
      </c>
      <c r="B133" s="81"/>
      <c r="C133" s="81"/>
      <c r="D133" s="81"/>
      <c r="E133" s="81"/>
      <c r="F133" s="451"/>
    </row>
    <row r="134" spans="1:6">
      <c r="A134" s="471"/>
      <c r="B134" s="81"/>
      <c r="C134" s="81"/>
      <c r="D134" s="81"/>
      <c r="E134" s="81"/>
      <c r="F134" s="451"/>
    </row>
    <row r="135" spans="1:6" ht="13.5" thickBot="1">
      <c r="A135" s="474"/>
      <c r="B135" s="455"/>
      <c r="C135" s="455"/>
      <c r="D135" s="455"/>
      <c r="E135" s="473" t="str">
        <f>IF(DSUM('6_1'!$A$12:$Q$89,16,F123:F124)=COUNTIF('6_1'!$A$13:$A$89,F124),"","Regularice su Deuda")</f>
        <v>Regularice su Deuda</v>
      </c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50" t="s">
        <v>139</v>
      </c>
      <c r="B140" s="81" t="str">
        <f>VLOOKUP(F141,'6_1'!$A$13:$H$32,7,0)</f>
        <v>ANGELERI, ANTONIO MIG</v>
      </c>
      <c r="C140" s="81"/>
      <c r="D140" s="81"/>
      <c r="E140" s="81"/>
      <c r="F140" s="452" t="s">
        <v>102</v>
      </c>
    </row>
    <row r="141" spans="1:6">
      <c r="A141" s="450" t="s">
        <v>72</v>
      </c>
      <c r="B141" s="81" t="str">
        <f>+'6_1'!$H$2</f>
        <v>Hijuela 2ª Araujo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66" t="s">
        <v>140</v>
      </c>
      <c r="B143" s="458">
        <f>VLOOKUP(F141,'6_1'!$A$13:$B$32,2,0)</f>
        <v>1201</v>
      </c>
      <c r="C143" s="81"/>
      <c r="D143" s="139" t="s">
        <v>141</v>
      </c>
      <c r="E143" s="457">
        <f>DSUM('6_1'!A$12:L$32,'6_1'!$J$12,F140:F141)</f>
        <v>0.20954808506393957</v>
      </c>
      <c r="F143" s="451"/>
    </row>
    <row r="144" spans="1:6">
      <c r="A144" s="466" t="s">
        <v>142</v>
      </c>
      <c r="B144" s="461" t="s">
        <v>249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466" t="s">
        <v>144</v>
      </c>
      <c r="B145" s="462">
        <f>DSUM('6_1'!$A$12:$I$32,'6_1'!$H$12,F140:F141)</f>
        <v>5.5065</v>
      </c>
      <c r="C145" s="81"/>
      <c r="D145" s="139" t="s">
        <v>145</v>
      </c>
      <c r="E145" s="458" t="str">
        <f>IF(VLOOKUP(F141,'6_1'!$A$13:$D$47,4,0)=1, "Definitivo 100%", "Eventual 80%")</f>
        <v>Definitivo 100%</v>
      </c>
      <c r="F145" s="583"/>
    </row>
    <row r="146" spans="1:6" ht="15.75">
      <c r="A146" s="450"/>
      <c r="B146" s="139" t="s">
        <v>146</v>
      </c>
      <c r="C146" s="145">
        <f>DMIN('6_1'!A$12:N$32,'6_1'!$K$12,F140:F141)</f>
        <v>42974.342493913908</v>
      </c>
      <c r="D146" s="189" t="str">
        <f>IF(E146=1,"Domingo",IF(E146=2,"Lunes",IF(E146=3,"Martes",IF(E146=4,"Miercoles",IF(E146=5,"Jueves",IF(E146=6,"Viernes",IF(E146=7,"Sábado",0)))))))</f>
        <v>Domingo</v>
      </c>
      <c r="E146" s="190">
        <f>WEEKDAY(C146)</f>
        <v>1</v>
      </c>
      <c r="F146" s="453" t="s">
        <v>62</v>
      </c>
    </row>
    <row r="147" spans="1:6" ht="15.75">
      <c r="A147" s="450"/>
      <c r="B147" s="139" t="s">
        <v>147</v>
      </c>
      <c r="C147" s="145">
        <f>DMAX('6_1'!A$12:P$32,'6_1'!$L$12,F140:F141)</f>
        <v>42974.55204199897</v>
      </c>
      <c r="D147" s="189" t="str">
        <f>IF(E147=1,"Domingo",IF(E147=2,"Lunes",IF(E147=3,"Martes",IF(E147=4,"Miercoles",IF(E147=5,"Jueves",IF(E147=6,"Viernes",IF(E147=7,"Sábado",0)))))))</f>
        <v>Domingo</v>
      </c>
      <c r="E147" s="190">
        <f>WEEKDAY(C147)</f>
        <v>1</v>
      </c>
      <c r="F147" s="453">
        <f>WEEKDAY(C147)</f>
        <v>1</v>
      </c>
    </row>
    <row r="148" spans="1:6">
      <c r="A148" s="450"/>
      <c r="B148" s="81"/>
      <c r="C148" s="81"/>
      <c r="D148" s="81"/>
      <c r="E148" s="584"/>
      <c r="F148" s="583"/>
    </row>
    <row r="149" spans="1:6">
      <c r="A149" s="472">
        <f>+Mensajes!$B$7</f>
        <v>0</v>
      </c>
      <c r="B149" s="81"/>
      <c r="C149" s="81"/>
      <c r="D149" s="81"/>
      <c r="E149" s="81"/>
      <c r="F149" s="451"/>
    </row>
    <row r="150" spans="1:6">
      <c r="A150" s="472">
        <f>+Mensajes!$B$12</f>
        <v>0</v>
      </c>
      <c r="B150" s="81"/>
      <c r="C150" s="81"/>
      <c r="D150" s="81"/>
      <c r="E150" s="81"/>
      <c r="F150" s="451"/>
    </row>
    <row r="151" spans="1:6">
      <c r="A151" s="471"/>
      <c r="B151" s="81"/>
      <c r="C151" s="81"/>
      <c r="D151" s="81"/>
      <c r="E151" s="81"/>
      <c r="F151" s="451"/>
    </row>
    <row r="152" spans="1:6" ht="13.5" thickBot="1">
      <c r="A152" s="474"/>
      <c r="B152" s="455"/>
      <c r="C152" s="455"/>
      <c r="D152" s="455"/>
      <c r="E152" s="473" t="str">
        <f>IF(DSUM('6_1'!$A$12:$Q$89,16,F140:F141)=COUNTIF('6_1'!$A$13:$A$89,F141),"","Regularice su Deuda")</f>
        <v>Regularice su Deuda</v>
      </c>
      <c r="F152" s="456"/>
    </row>
    <row r="153" spans="1:6" ht="13.5" thickBot="1"/>
    <row r="154" spans="1:6">
      <c r="A154" s="447"/>
      <c r="B154" s="448"/>
      <c r="C154" s="448"/>
      <c r="D154" s="448"/>
      <c r="E154" s="448"/>
      <c r="F154" s="449"/>
    </row>
    <row r="155" spans="1:6">
      <c r="A155" s="465" t="s">
        <v>64</v>
      </c>
      <c r="B155" s="81"/>
      <c r="C155" s="81"/>
      <c r="D155" s="81"/>
      <c r="E155" s="81"/>
      <c r="F155" s="451"/>
    </row>
    <row r="156" spans="1:6">
      <c r="A156" s="450"/>
      <c r="B156" s="81"/>
      <c r="C156" s="81"/>
      <c r="D156" s="81"/>
      <c r="E156" s="81"/>
      <c r="F156" s="451"/>
    </row>
    <row r="157" spans="1:6">
      <c r="A157" s="450" t="s">
        <v>139</v>
      </c>
      <c r="B157" s="81" t="str">
        <f>VLOOKUP(F158,'6_1'!$A$13:$H$32,7,0)</f>
        <v>PRAVATA, CIRO</v>
      </c>
      <c r="C157" s="81"/>
      <c r="D157" s="81"/>
      <c r="E157" s="81"/>
      <c r="F157" s="452" t="s">
        <v>102</v>
      </c>
    </row>
    <row r="158" spans="1:6">
      <c r="A158" s="450" t="s">
        <v>72</v>
      </c>
      <c r="B158" s="81" t="str">
        <f>+'6_1'!$H$2</f>
        <v>Hijuela 2ª Araujo</v>
      </c>
      <c r="C158" s="81"/>
      <c r="D158" s="81"/>
      <c r="E158" s="81"/>
      <c r="F158" s="452">
        <v>10</v>
      </c>
    </row>
    <row r="159" spans="1:6">
      <c r="A159" s="450"/>
      <c r="B159" s="81"/>
      <c r="C159" s="81"/>
      <c r="D159" s="81"/>
      <c r="E159" s="81"/>
      <c r="F159" s="451"/>
    </row>
    <row r="160" spans="1:6">
      <c r="A160" s="466" t="s">
        <v>140</v>
      </c>
      <c r="B160" s="458">
        <f>VLOOKUP(F158,'6_1'!$A$13:$B$32,2,0)</f>
        <v>1201</v>
      </c>
      <c r="C160" s="81"/>
      <c r="D160" s="139" t="s">
        <v>141</v>
      </c>
      <c r="E160" s="457">
        <f>DSUM('6_1'!A$12:L$32,'6_1'!$J$12,F157:F158)</f>
        <v>0</v>
      </c>
      <c r="F160" s="451"/>
    </row>
    <row r="161" spans="1:6">
      <c r="A161" s="466" t="s">
        <v>142</v>
      </c>
      <c r="B161" s="461">
        <v>7</v>
      </c>
      <c r="C161" s="81"/>
      <c r="D161" s="139" t="s">
        <v>143</v>
      </c>
      <c r="E161" s="459" t="str">
        <f>+Hijuelas!$G$7</f>
        <v>POR FRACCIÓN</v>
      </c>
      <c r="F161" s="451"/>
    </row>
    <row r="162" spans="1:6">
      <c r="A162" s="466" t="s">
        <v>144</v>
      </c>
      <c r="B162" s="462">
        <f>DSUM('6_1'!$A$12:$I$32,'6_1'!$H$12,F157:F158)</f>
        <v>0</v>
      </c>
      <c r="C162" s="81"/>
      <c r="D162" s="139" t="s">
        <v>145</v>
      </c>
      <c r="E162" s="458" t="str">
        <f>IF(VLOOKUP(F158,'6_1'!$A$13:$D$47,4,0)=1, "Definitivo 100%", "Eventual 80%")</f>
        <v>Definitivo 100%</v>
      </c>
      <c r="F162" s="583"/>
    </row>
    <row r="163" spans="1:6" ht="15.75">
      <c r="A163" s="450"/>
      <c r="B163" s="139" t="s">
        <v>146</v>
      </c>
      <c r="C163" s="145">
        <f>DMIN('6_1'!A$12:N$32,'6_1'!$K$12,F157:F158)</f>
        <v>42974.342493913908</v>
      </c>
      <c r="D163" s="189" t="str">
        <f>IF(E163=1,"Domingo",IF(E163=2,"Lunes",IF(E163=3,"Martes",IF(E163=4,"Miercoles",IF(E163=5,"Jueves",IF(E163=6,"Viernes",IF(E163=7,"Sábado",0)))))))</f>
        <v>Domingo</v>
      </c>
      <c r="E163" s="190">
        <f>WEEKDAY(C163)</f>
        <v>1</v>
      </c>
      <c r="F163" s="453" t="s">
        <v>62</v>
      </c>
    </row>
    <row r="164" spans="1:6" ht="15.75">
      <c r="A164" s="450"/>
      <c r="B164" s="139" t="s">
        <v>147</v>
      </c>
      <c r="C164" s="145">
        <f>DMAX('6_1'!A$12:P$32,'6_1'!$L$12,F157:F158)</f>
        <v>42974.342493913908</v>
      </c>
      <c r="D164" s="189" t="str">
        <f>IF(E164=1,"Domingo",IF(E164=2,"Lunes",IF(E164=3,"Martes",IF(E164=4,"Miercoles",IF(E164=5,"Jueves",IF(E164=6,"Viernes",IF(E164=7,"Sábado",0)))))))</f>
        <v>Domingo</v>
      </c>
      <c r="E164" s="190">
        <f>WEEKDAY(C164)</f>
        <v>1</v>
      </c>
      <c r="F164" s="453">
        <f>WEEKDAY(C164)</f>
        <v>1</v>
      </c>
    </row>
    <row r="165" spans="1:6">
      <c r="A165" s="450"/>
      <c r="B165" s="81"/>
      <c r="C165" s="81"/>
      <c r="D165" s="81"/>
      <c r="E165" s="584"/>
      <c r="F165" s="583"/>
    </row>
    <row r="166" spans="1:6">
      <c r="A166" s="472">
        <f>+Mensajes!$B$7</f>
        <v>0</v>
      </c>
      <c r="B166" s="81"/>
      <c r="C166" s="81"/>
      <c r="D166" s="81"/>
      <c r="E166" s="81"/>
      <c r="F166" s="451"/>
    </row>
    <row r="167" spans="1:6">
      <c r="A167" s="472">
        <f>+Mensajes!$B$12</f>
        <v>0</v>
      </c>
      <c r="B167" s="81"/>
      <c r="C167" s="81"/>
      <c r="D167" s="81"/>
      <c r="E167" s="81"/>
      <c r="F167" s="451"/>
    </row>
    <row r="168" spans="1:6">
      <c r="A168" s="471"/>
      <c r="B168" s="81"/>
      <c r="C168" s="81"/>
      <c r="D168" s="81"/>
      <c r="E168" s="81"/>
      <c r="F168" s="451"/>
    </row>
    <row r="169" spans="1:6" ht="13.5" thickBot="1">
      <c r="A169" s="474"/>
      <c r="B169" s="455"/>
      <c r="C169" s="455"/>
      <c r="D169" s="455"/>
      <c r="E169" s="473" t="str">
        <f>IF(DSUM('6_1'!$A$12:$Q$89,16,F157:F158)=COUNTIF('6_1'!$A$13:$A$89,F158),"","Regularice su Deuda")</f>
        <v>Regularice su Deuda</v>
      </c>
      <c r="F169" s="456"/>
    </row>
    <row r="170" spans="1:6" ht="13.5" thickBot="1"/>
    <row r="171" spans="1:6">
      <c r="A171" s="447"/>
      <c r="B171" s="448"/>
      <c r="C171" s="448"/>
      <c r="D171" s="448"/>
      <c r="E171" s="448"/>
      <c r="F171" s="449"/>
    </row>
    <row r="172" spans="1:6">
      <c r="A172" s="465" t="s">
        <v>64</v>
      </c>
      <c r="B172" s="81"/>
      <c r="C172" s="81"/>
      <c r="D172" s="81"/>
      <c r="E172" s="81"/>
      <c r="F172" s="451"/>
    </row>
    <row r="173" spans="1:6">
      <c r="A173" s="450"/>
      <c r="B173" s="81"/>
      <c r="C173" s="81"/>
      <c r="D173" s="81"/>
      <c r="E173" s="81"/>
      <c r="F173" s="451"/>
    </row>
    <row r="174" spans="1:6">
      <c r="A174" s="450" t="s">
        <v>139</v>
      </c>
      <c r="B174" s="81" t="str">
        <f>VLOOKUP(F175,'6_1'!$A$13:$H$32,7,0)</f>
        <v>RUPPI DE GOMEZ, NELID</v>
      </c>
      <c r="C174" s="81"/>
      <c r="D174" s="81"/>
      <c r="E174" s="81"/>
      <c r="F174" s="452" t="s">
        <v>102</v>
      </c>
    </row>
    <row r="175" spans="1:6">
      <c r="A175" s="450" t="s">
        <v>72</v>
      </c>
      <c r="B175" s="81" t="str">
        <f>+'6_1'!$H$2</f>
        <v>Hijuela 2ª Araujo</v>
      </c>
      <c r="C175" s="81"/>
      <c r="D175" s="81"/>
      <c r="E175" s="81"/>
      <c r="F175" s="452">
        <v>11</v>
      </c>
    </row>
    <row r="176" spans="1:6">
      <c r="A176" s="450"/>
      <c r="B176" s="81"/>
      <c r="C176" s="81"/>
      <c r="D176" s="81"/>
      <c r="E176" s="81"/>
      <c r="F176" s="451"/>
    </row>
    <row r="177" spans="1:6">
      <c r="A177" s="466" t="s">
        <v>140</v>
      </c>
      <c r="B177" s="458">
        <f>VLOOKUP(F175,'6_1'!$A$13:$B$32,2,0)</f>
        <v>1201</v>
      </c>
      <c r="C177" s="81"/>
      <c r="D177" s="139" t="s">
        <v>141</v>
      </c>
      <c r="E177" s="457">
        <f>DSUM('6_1'!A$12:L$32,'6_1'!$J$12,F174:F175)</f>
        <v>0.17441220075638753</v>
      </c>
      <c r="F177" s="451"/>
    </row>
    <row r="178" spans="1:6">
      <c r="A178" s="466" t="s">
        <v>142</v>
      </c>
      <c r="B178" s="461">
        <v>5</v>
      </c>
      <c r="C178" s="81"/>
      <c r="D178" s="139" t="s">
        <v>143</v>
      </c>
      <c r="E178" s="459" t="str">
        <f>+Hijuelas!$G$7</f>
        <v>POR FRACCIÓN</v>
      </c>
      <c r="F178" s="451"/>
    </row>
    <row r="179" spans="1:6">
      <c r="A179" s="466" t="s">
        <v>144</v>
      </c>
      <c r="B179" s="462">
        <f>DSUM('6_1'!$A$12:$I$32,'6_1'!$H$12,F174:F175)</f>
        <v>4.5831999999999997</v>
      </c>
      <c r="C179" s="81"/>
      <c r="D179" s="139" t="s">
        <v>145</v>
      </c>
      <c r="E179" s="458" t="str">
        <f>IF(VLOOKUP(F175,'6_1'!$A$13:$D$47,4,0)=1, "Definitivo 100%", "Eventual 80%")</f>
        <v>Definitivo 100%</v>
      </c>
      <c r="F179" s="583"/>
    </row>
    <row r="180" spans="1:6" ht="15.75">
      <c r="A180" s="450"/>
      <c r="B180" s="139" t="s">
        <v>146</v>
      </c>
      <c r="C180" s="145">
        <f>DMIN('6_1'!A$12:N$32,'6_1'!$K$12,F174:F175)</f>
        <v>42974.168081713149</v>
      </c>
      <c r="D180" s="189" t="str">
        <f>IF(E180=1,"Domingo",IF(E180=2,"Lunes",IF(E180=3,"Martes",IF(E180=4,"Miercoles",IF(E180=5,"Jueves",IF(E180=6,"Viernes",IF(E180=7,"Sábado",0)))))))</f>
        <v>Domingo</v>
      </c>
      <c r="E180" s="190">
        <f>WEEKDAY(C180)</f>
        <v>1</v>
      </c>
      <c r="F180" s="453" t="s">
        <v>62</v>
      </c>
    </row>
    <row r="181" spans="1:6" ht="15.75">
      <c r="A181" s="450"/>
      <c r="B181" s="139" t="s">
        <v>147</v>
      </c>
      <c r="C181" s="145">
        <f>DMAX('6_1'!A$12:P$32,'6_1'!$L$12,F174:F175)</f>
        <v>42974.342493913908</v>
      </c>
      <c r="D181" s="189" t="str">
        <f>IF(E181=1,"Domingo",IF(E181=2,"Lunes",IF(E181=3,"Martes",IF(E181=4,"Miercoles",IF(E181=5,"Jueves",IF(E181=6,"Viernes",IF(E181=7,"Sábado",0)))))))</f>
        <v>Domingo</v>
      </c>
      <c r="E181" s="190">
        <f>WEEKDAY(C181)</f>
        <v>1</v>
      </c>
      <c r="F181" s="453">
        <f>WEEKDAY(C181)</f>
        <v>1</v>
      </c>
    </row>
    <row r="182" spans="1:6">
      <c r="A182" s="450"/>
      <c r="B182" s="81"/>
      <c r="C182" s="81"/>
      <c r="D182" s="81"/>
      <c r="E182" s="584"/>
      <c r="F182" s="583"/>
    </row>
    <row r="183" spans="1:6">
      <c r="A183" s="472">
        <f>+Mensajes!$B$7</f>
        <v>0</v>
      </c>
      <c r="B183" s="81"/>
      <c r="C183" s="81"/>
      <c r="D183" s="81"/>
      <c r="E183" s="81"/>
      <c r="F183" s="451"/>
    </row>
    <row r="184" spans="1:6">
      <c r="A184" s="472">
        <f>+Mensajes!$B$12</f>
        <v>0</v>
      </c>
      <c r="B184" s="81"/>
      <c r="C184" s="81"/>
      <c r="D184" s="81"/>
      <c r="E184" s="81"/>
      <c r="F184" s="451"/>
    </row>
    <row r="185" spans="1:6">
      <c r="A185" s="471"/>
      <c r="B185" s="81"/>
      <c r="C185" s="81"/>
      <c r="D185" s="81"/>
      <c r="E185" s="81"/>
      <c r="F185" s="451"/>
    </row>
    <row r="186" spans="1:6" ht="13.5" thickBot="1">
      <c r="A186" s="474"/>
      <c r="B186" s="455"/>
      <c r="C186" s="455"/>
      <c r="D186" s="455"/>
      <c r="E186" s="473" t="str">
        <f>IF(DSUM('6_1'!$A$12:$Q$89,16,F174:F175)=COUNTIF('6_1'!$A$13:$A$89,F175),"","Regularice su Deuda")</f>
        <v>Regularice su Deuda</v>
      </c>
      <c r="F186" s="456"/>
    </row>
    <row r="187" spans="1:6" ht="13.5" thickBot="1"/>
    <row r="188" spans="1:6">
      <c r="A188" s="447"/>
      <c r="B188" s="448"/>
      <c r="C188" s="448"/>
      <c r="D188" s="448"/>
      <c r="E188" s="448"/>
      <c r="F188" s="449"/>
    </row>
    <row r="189" spans="1:6">
      <c r="A189" s="465" t="s">
        <v>64</v>
      </c>
      <c r="B189" s="81"/>
      <c r="C189" s="81"/>
      <c r="D189" s="81"/>
      <c r="E189" s="81"/>
      <c r="F189" s="451"/>
    </row>
    <row r="190" spans="1:6">
      <c r="A190" s="450"/>
      <c r="B190" s="81"/>
      <c r="C190" s="81"/>
      <c r="D190" s="81"/>
      <c r="E190" s="81"/>
      <c r="F190" s="451"/>
    </row>
    <row r="191" spans="1:6">
      <c r="A191" s="450" t="s">
        <v>139</v>
      </c>
      <c r="B191" s="81" t="str">
        <f>VLOOKUP(F192,'6_1'!$A$13:$H$32,7,0)</f>
        <v>GONZALEZ, BIBIANA</v>
      </c>
      <c r="C191" s="81"/>
      <c r="D191" s="81"/>
      <c r="E191" s="81"/>
      <c r="F191" s="452" t="s">
        <v>102</v>
      </c>
    </row>
    <row r="192" spans="1:6">
      <c r="A192" s="450" t="s">
        <v>72</v>
      </c>
      <c r="B192" s="81" t="str">
        <f>+'6_1'!$H$2</f>
        <v>Hijuela 2ª Araujo</v>
      </c>
      <c r="C192" s="81"/>
      <c r="D192" s="81"/>
      <c r="E192" s="81"/>
      <c r="F192" s="452">
        <v>12</v>
      </c>
    </row>
    <row r="193" spans="1:6">
      <c r="A193" s="450"/>
      <c r="B193" s="81"/>
      <c r="C193" s="81"/>
      <c r="D193" s="81"/>
      <c r="E193" s="81"/>
      <c r="F193" s="451"/>
    </row>
    <row r="194" spans="1:6">
      <c r="A194" s="466" t="s">
        <v>140</v>
      </c>
      <c r="B194" s="458">
        <f>VLOOKUP(F192,'6_1'!$A$13:$B$32,2,0)</f>
        <v>1201</v>
      </c>
      <c r="C194" s="81"/>
      <c r="D194" s="139" t="s">
        <v>141</v>
      </c>
      <c r="E194" s="457">
        <f>DSUM('6_1'!A$12:L$32,'6_1'!$J$12,F191:F192)</f>
        <v>0.40086036837310934</v>
      </c>
      <c r="F194" s="451"/>
    </row>
    <row r="195" spans="1:6">
      <c r="A195" s="466" t="s">
        <v>142</v>
      </c>
      <c r="B195" s="461" t="s">
        <v>250</v>
      </c>
      <c r="C195" s="81"/>
      <c r="D195" s="139" t="s">
        <v>143</v>
      </c>
      <c r="E195" s="459" t="str">
        <f>+Hijuelas!$G$7</f>
        <v>POR FRACCIÓN</v>
      </c>
      <c r="F195" s="451"/>
    </row>
    <row r="196" spans="1:6">
      <c r="A196" s="466" t="s">
        <v>144</v>
      </c>
      <c r="B196" s="462">
        <f>DSUM('6_1'!$A$12:$I$32,'6_1'!$H$12,F191:F192)</f>
        <v>10.533799999999999</v>
      </c>
      <c r="C196" s="81"/>
      <c r="D196" s="139" t="s">
        <v>145</v>
      </c>
      <c r="E196" s="458" t="str">
        <f>IF(VLOOKUP(F192,'6_1'!$A$13:$D$47,4,0)=1, "Definitivo 100%", "Eventual 80%")</f>
        <v>Definitivo 100%</v>
      </c>
      <c r="F196" s="583"/>
    </row>
    <row r="197" spans="1:6" ht="15.75">
      <c r="A197" s="450"/>
      <c r="B197" s="139" t="s">
        <v>146</v>
      </c>
      <c r="C197" s="145">
        <f>DMIN('6_1'!A$12:N$32,'6_1'!$K$12,F191:F192)</f>
        <v>42973.76722134478</v>
      </c>
      <c r="D197" s="189" t="str">
        <f>IF(E197=1,"Domingo",IF(E197=2,"Lunes",IF(E197=3,"Martes",IF(E197=4,"Miercoles",IF(E197=5,"Jueves",IF(E197=6,"Viernes",IF(E197=7,"Sábado",0)))))))</f>
        <v>Sábado</v>
      </c>
      <c r="E197" s="190">
        <f>WEEKDAY(C197)</f>
        <v>7</v>
      </c>
      <c r="F197" s="453" t="s">
        <v>62</v>
      </c>
    </row>
    <row r="198" spans="1:6" ht="15.75">
      <c r="A198" s="450"/>
      <c r="B198" s="139" t="s">
        <v>147</v>
      </c>
      <c r="C198" s="145">
        <f>DMAX('6_1'!A$12:P$32,'6_1'!$L$12,F191:F192)</f>
        <v>42974.168081713149</v>
      </c>
      <c r="D198" s="189" t="str">
        <f>IF(E198=1,"Domingo",IF(E198=2,"Lunes",IF(E198=3,"Martes",IF(E198=4,"Miercoles",IF(E198=5,"Jueves",IF(E198=6,"Viernes",IF(E198=7,"Sábado",0)))))))</f>
        <v>Domingo</v>
      </c>
      <c r="E198" s="190">
        <f>WEEKDAY(C198)</f>
        <v>1</v>
      </c>
      <c r="F198" s="453">
        <f>WEEKDAY(C198)</f>
        <v>1</v>
      </c>
    </row>
    <row r="199" spans="1:6">
      <c r="A199" s="450"/>
      <c r="B199" s="81"/>
      <c r="C199" s="81"/>
      <c r="D199" s="81"/>
      <c r="E199" s="584"/>
      <c r="F199" s="583"/>
    </row>
    <row r="200" spans="1:6">
      <c r="A200" s="472">
        <f>+Mensajes!$B$7</f>
        <v>0</v>
      </c>
      <c r="B200" s="81"/>
      <c r="C200" s="81"/>
      <c r="D200" s="81"/>
      <c r="E200" s="81"/>
      <c r="F200" s="451"/>
    </row>
    <row r="201" spans="1:6">
      <c r="A201" s="472">
        <f>+Mensajes!$B$12</f>
        <v>0</v>
      </c>
      <c r="B201" s="81"/>
      <c r="C201" s="81"/>
      <c r="D201" s="81"/>
      <c r="E201" s="81"/>
      <c r="F201" s="451"/>
    </row>
    <row r="202" spans="1:6">
      <c r="A202" s="471"/>
      <c r="B202" s="81"/>
      <c r="C202" s="81"/>
      <c r="D202" s="81"/>
      <c r="E202" s="81"/>
      <c r="F202" s="451"/>
    </row>
    <row r="203" spans="1:6" ht="13.5" thickBot="1">
      <c r="A203" s="474"/>
      <c r="B203" s="455"/>
      <c r="C203" s="455"/>
      <c r="D203" s="455"/>
      <c r="E203" s="473" t="str">
        <f>IF(DSUM('6_1'!$A$12:$Q$89,16,F191:F192)=COUNTIF('6_1'!$A$13:$A$89,F192),"","Regularice su Deuda")</f>
        <v>Regularice su Deuda</v>
      </c>
      <c r="F203" s="456"/>
    </row>
    <row r="204" spans="1:6" ht="13.5" thickBot="1"/>
    <row r="205" spans="1:6">
      <c r="A205" s="447"/>
      <c r="B205" s="448"/>
      <c r="C205" s="448"/>
      <c r="D205" s="448"/>
      <c r="E205" s="448"/>
      <c r="F205" s="449"/>
    </row>
    <row r="206" spans="1:6">
      <c r="A206" s="465" t="s">
        <v>64</v>
      </c>
      <c r="B206" s="81"/>
      <c r="C206" s="81"/>
      <c r="D206" s="81"/>
      <c r="E206" s="81"/>
      <c r="F206" s="451"/>
    </row>
    <row r="207" spans="1:6">
      <c r="A207" s="450"/>
      <c r="B207" s="81"/>
      <c r="C207" s="81"/>
      <c r="D207" s="81"/>
      <c r="E207" s="81"/>
      <c r="F207" s="451"/>
    </row>
    <row r="208" spans="1:6">
      <c r="A208" s="450" t="s">
        <v>139</v>
      </c>
      <c r="B208" s="81" t="str">
        <f>VLOOKUP(F209,'6_1'!$A$13:$H$32,7,0)</f>
        <v>CAMINO, ESTEBAN</v>
      </c>
      <c r="C208" s="81"/>
      <c r="D208" s="81"/>
      <c r="E208" s="81"/>
      <c r="F208" s="452" t="s">
        <v>102</v>
      </c>
    </row>
    <row r="209" spans="1:6">
      <c r="A209" s="450" t="s">
        <v>72</v>
      </c>
      <c r="B209" s="81" t="str">
        <f>+'6_1'!$H$2</f>
        <v>Hijuela 2ª Araujo</v>
      </c>
      <c r="C209" s="81"/>
      <c r="D209" s="81"/>
      <c r="E209" s="81"/>
      <c r="F209" s="452">
        <v>13</v>
      </c>
    </row>
    <row r="210" spans="1:6">
      <c r="A210" s="450"/>
      <c r="B210" s="81"/>
      <c r="C210" s="81"/>
      <c r="D210" s="81"/>
      <c r="E210" s="81"/>
      <c r="F210" s="451"/>
    </row>
    <row r="211" spans="1:6">
      <c r="A211" s="466" t="s">
        <v>140</v>
      </c>
      <c r="B211" s="458">
        <f>VLOOKUP(F209,'6_1'!$A$13:$B$32,2,0)</f>
        <v>1201</v>
      </c>
      <c r="C211" s="81"/>
      <c r="D211" s="139" t="s">
        <v>141</v>
      </c>
      <c r="E211" s="457">
        <f>DSUM('6_1'!A$12:L$32,'6_1'!$J$12,F208:F209)</f>
        <v>3.8054678119302569E-2</v>
      </c>
      <c r="F211" s="451"/>
    </row>
    <row r="212" spans="1:6">
      <c r="A212" s="466" t="s">
        <v>142</v>
      </c>
      <c r="B212" s="461">
        <v>16</v>
      </c>
      <c r="C212" s="81"/>
      <c r="D212" s="139" t="s">
        <v>143</v>
      </c>
      <c r="E212" s="459" t="str">
        <f>+Hijuelas!$G$7</f>
        <v>POR FRACCIÓN</v>
      </c>
      <c r="F212" s="451"/>
    </row>
    <row r="213" spans="1:6">
      <c r="A213" s="466" t="s">
        <v>144</v>
      </c>
      <c r="B213" s="462">
        <f>DSUM('6_1'!$A$12:$I$32,'6_1'!$H$12,F208:F209)</f>
        <v>1</v>
      </c>
      <c r="C213" s="81"/>
      <c r="D213" s="139" t="s">
        <v>145</v>
      </c>
      <c r="E213" s="458" t="str">
        <f>IF(VLOOKUP(F209,'6_1'!$A$13:$D$47,4,0)=1, "Definitivo 100%", "Eventual 80%")</f>
        <v>Definitivo 100%</v>
      </c>
      <c r="F213" s="583"/>
    </row>
    <row r="214" spans="1:6" ht="15.75">
      <c r="A214" s="450"/>
      <c r="B214" s="139" t="s">
        <v>146</v>
      </c>
      <c r="C214" s="145">
        <f>DMIN('6_1'!A$12:N$32,'6_1'!$K$12,F208:F209)</f>
        <v>42973.729166666664</v>
      </c>
      <c r="D214" s="189" t="str">
        <f>IF(E214=1,"Domingo",IF(E214=2,"Lunes",IF(E214=3,"Martes",IF(E214=4,"Miercoles",IF(E214=5,"Jueves",IF(E214=6,"Viernes",IF(E214=7,"Sábado",0)))))))</f>
        <v>Sábado</v>
      </c>
      <c r="E214" s="190">
        <f>WEEKDAY(C214)</f>
        <v>7</v>
      </c>
      <c r="F214" s="453" t="s">
        <v>62</v>
      </c>
    </row>
    <row r="215" spans="1:6" ht="15.75">
      <c r="A215" s="450"/>
      <c r="B215" s="139" t="s">
        <v>147</v>
      </c>
      <c r="C215" s="145">
        <f>DMAX('6_1'!A$12:P$32,'6_1'!$L$12,F208:F209)</f>
        <v>42973.76722134478</v>
      </c>
      <c r="D215" s="189" t="str">
        <f>IF(E215=1,"Domingo",IF(E215=2,"Lunes",IF(E215=3,"Martes",IF(E215=4,"Miercoles",IF(E215=5,"Jueves",IF(E215=6,"Viernes",IF(E215=7,"Sábado",0)))))))</f>
        <v>Sábado</v>
      </c>
      <c r="E215" s="190">
        <f>WEEKDAY(C215)</f>
        <v>7</v>
      </c>
      <c r="F215" s="453">
        <f>WEEKDAY(C215)</f>
        <v>7</v>
      </c>
    </row>
    <row r="216" spans="1:6">
      <c r="A216" s="450"/>
      <c r="B216" s="81"/>
      <c r="C216" s="81"/>
      <c r="D216" s="81"/>
      <c r="E216" s="584"/>
      <c r="F216" s="583"/>
    </row>
    <row r="217" spans="1:6">
      <c r="A217" s="472">
        <f>+Mensajes!$B$7</f>
        <v>0</v>
      </c>
      <c r="B217" s="81"/>
      <c r="C217" s="81"/>
      <c r="D217" s="81"/>
      <c r="E217" s="81"/>
      <c r="F217" s="451"/>
    </row>
    <row r="218" spans="1:6">
      <c r="A218" s="472">
        <f>+Mensajes!$B$12</f>
        <v>0</v>
      </c>
      <c r="B218" s="81"/>
      <c r="C218" s="81"/>
      <c r="D218" s="81"/>
      <c r="E218" s="81"/>
      <c r="F218" s="451"/>
    </row>
    <row r="219" spans="1:6">
      <c r="A219" s="471"/>
      <c r="B219" s="81"/>
      <c r="C219" s="81"/>
      <c r="D219" s="81"/>
      <c r="E219" s="81"/>
      <c r="F219" s="451"/>
    </row>
    <row r="220" spans="1:6" ht="13.5" thickBot="1">
      <c r="A220" s="474"/>
      <c r="B220" s="455"/>
      <c r="C220" s="455"/>
      <c r="D220" s="455"/>
      <c r="E220" s="473" t="str">
        <f>IF(DSUM('6_1'!$A$12:$Q$89,16,F208:F209)=COUNTIF('6_1'!$A$13:$A$89,F209),"","Regularice su Deuda")</f>
        <v>Regularice su Deuda</v>
      </c>
      <c r="F220" s="456"/>
    </row>
    <row r="221" spans="1:6" ht="13.5" thickBot="1"/>
    <row r="222" spans="1:6">
      <c r="A222" s="447"/>
      <c r="B222" s="448"/>
      <c r="C222" s="448"/>
      <c r="D222" s="448"/>
      <c r="E222" s="448"/>
      <c r="F222" s="449"/>
    </row>
    <row r="223" spans="1:6">
      <c r="A223" s="465" t="s">
        <v>64</v>
      </c>
      <c r="B223" s="81"/>
      <c r="C223" s="81"/>
      <c r="D223" s="81"/>
      <c r="E223" s="81"/>
      <c r="F223" s="451"/>
    </row>
    <row r="224" spans="1:6">
      <c r="A224" s="450"/>
      <c r="B224" s="81"/>
      <c r="C224" s="81"/>
      <c r="D224" s="81"/>
      <c r="E224" s="81"/>
      <c r="F224" s="451"/>
    </row>
    <row r="225" spans="1:6">
      <c r="A225" s="450" t="s">
        <v>139</v>
      </c>
      <c r="B225" s="81" t="e">
        <f>VLOOKUP(F226,'6_1'!$A$13:$H$32,7,0)</f>
        <v>#N/A</v>
      </c>
      <c r="C225" s="81"/>
      <c r="D225" s="81"/>
      <c r="E225" s="81"/>
      <c r="F225" s="452" t="s">
        <v>102</v>
      </c>
    </row>
    <row r="226" spans="1:6">
      <c r="A226" s="450" t="s">
        <v>72</v>
      </c>
      <c r="B226" s="81" t="str">
        <f>+'6_1'!$H$2</f>
        <v>Hijuela 2ª Araujo</v>
      </c>
      <c r="C226" s="81"/>
      <c r="D226" s="81"/>
      <c r="E226" s="81"/>
      <c r="F226" s="452">
        <v>14</v>
      </c>
    </row>
    <row r="227" spans="1:6">
      <c r="A227" s="450"/>
      <c r="B227" s="81"/>
      <c r="C227" s="81"/>
      <c r="D227" s="81"/>
      <c r="E227" s="81"/>
      <c r="F227" s="451"/>
    </row>
    <row r="228" spans="1:6">
      <c r="A228" s="466" t="s">
        <v>140</v>
      </c>
      <c r="B228" s="458" t="e">
        <f>VLOOKUP(F226,'6_1'!$A$13:$B$32,2,0)</f>
        <v>#N/A</v>
      </c>
      <c r="C228" s="81"/>
      <c r="D228" s="139" t="s">
        <v>141</v>
      </c>
      <c r="E228" s="457">
        <f>DSUM('6_1'!A$12:L$32,'6_1'!$J$12,F225:F226)</f>
        <v>0</v>
      </c>
      <c r="F228" s="451"/>
    </row>
    <row r="229" spans="1:6">
      <c r="A229" s="466" t="s">
        <v>142</v>
      </c>
      <c r="B229" s="461">
        <v>16</v>
      </c>
      <c r="C229" s="81"/>
      <c r="D229" s="139" t="s">
        <v>143</v>
      </c>
      <c r="E229" s="459" t="str">
        <f>+Hijuelas!$G$7</f>
        <v>POR FRACCIÓN</v>
      </c>
      <c r="F229" s="451"/>
    </row>
    <row r="230" spans="1:6">
      <c r="A230" s="466" t="s">
        <v>144</v>
      </c>
      <c r="B230" s="462">
        <f>DSUM('6_1'!$A$12:$I$32,'6_1'!$H$12,F225:F226)</f>
        <v>0</v>
      </c>
      <c r="C230" s="81"/>
      <c r="D230" s="139" t="s">
        <v>145</v>
      </c>
      <c r="E230" s="458" t="e">
        <f>IF(VLOOKUP(F226,'6_1'!$A$13:$D$47,4,0)=1, "Definitivo 100%", "Eventual 80%")</f>
        <v>#N/A</v>
      </c>
      <c r="F230" s="583"/>
    </row>
    <row r="231" spans="1:6" ht="15.75">
      <c r="A231" s="450"/>
      <c r="B231" s="139" t="s">
        <v>146</v>
      </c>
      <c r="C231" s="145">
        <f>DMIN('6_1'!A$12:N$32,'6_1'!$K$12,F225:F226)</f>
        <v>0</v>
      </c>
      <c r="D231" s="189" t="str">
        <f>IF(E231=1,"Domingo",IF(E231=2,"Lunes",IF(E231=3,"Martes",IF(E231=4,"Miercoles",IF(E231=5,"Jueves",IF(E231=6,"Viernes",IF(E231=7,"Sábado",0)))))))</f>
        <v>Sábado</v>
      </c>
      <c r="E231" s="190">
        <f>WEEKDAY(C231)</f>
        <v>7</v>
      </c>
      <c r="F231" s="453" t="s">
        <v>62</v>
      </c>
    </row>
    <row r="232" spans="1:6" ht="15.75">
      <c r="A232" s="450"/>
      <c r="B232" s="139" t="s">
        <v>147</v>
      </c>
      <c r="C232" s="145">
        <f>DMAX('6_1'!A$12:P$32,'6_1'!$L$12,F225:F226)</f>
        <v>0</v>
      </c>
      <c r="D232" s="189" t="str">
        <f>IF(E232=1,"Domingo",IF(E232=2,"Lunes",IF(E232=3,"Martes",IF(E232=4,"Miercoles",IF(E232=5,"Jueves",IF(E232=6,"Viernes",IF(E232=7,"Sábado",0)))))))</f>
        <v>Sábado</v>
      </c>
      <c r="E232" s="190">
        <f>WEEKDAY(C232)</f>
        <v>7</v>
      </c>
      <c r="F232" s="453">
        <f>WEEKDAY(C232)</f>
        <v>7</v>
      </c>
    </row>
    <row r="233" spans="1:6">
      <c r="A233" s="450"/>
      <c r="B233" s="81"/>
      <c r="C233" s="81"/>
      <c r="D233" s="81"/>
      <c r="E233" s="584"/>
      <c r="F233" s="583"/>
    </row>
    <row r="234" spans="1:6">
      <c r="A234" s="472">
        <f>+Mensajes!$B$7</f>
        <v>0</v>
      </c>
      <c r="B234" s="81"/>
      <c r="C234" s="81"/>
      <c r="D234" s="81"/>
      <c r="E234" s="81"/>
      <c r="F234" s="451"/>
    </row>
    <row r="235" spans="1:6">
      <c r="A235" s="472">
        <f>+Mensajes!$B$12</f>
        <v>0</v>
      </c>
      <c r="B235" s="81"/>
      <c r="C235" s="81"/>
      <c r="D235" s="81"/>
      <c r="E235" s="81"/>
      <c r="F235" s="451"/>
    </row>
    <row r="236" spans="1:6">
      <c r="A236" s="471"/>
      <c r="B236" s="81"/>
      <c r="C236" s="81"/>
      <c r="D236" s="81"/>
      <c r="E236" s="81"/>
      <c r="F236" s="451"/>
    </row>
    <row r="237" spans="1:6" ht="13.5" thickBot="1">
      <c r="A237" s="474"/>
      <c r="B237" s="455"/>
      <c r="C237" s="455"/>
      <c r="D237" s="455"/>
      <c r="E237" s="473" t="str">
        <f>IF(DSUM('6_1'!$A$12:$Q$89,16,F225:F226)=COUNTIF('6_1'!$A$13:$A$89,F226),"","Regularice su Deuda")</f>
        <v/>
      </c>
      <c r="F237" s="456"/>
    </row>
    <row r="238" spans="1:6" ht="13.5" thickBot="1"/>
    <row r="239" spans="1:6">
      <c r="A239" s="447"/>
      <c r="B239" s="448"/>
      <c r="C239" s="448"/>
      <c r="D239" s="448"/>
      <c r="E239" s="448"/>
      <c r="F239" s="449"/>
    </row>
    <row r="240" spans="1:6">
      <c r="A240" s="465" t="s">
        <v>64</v>
      </c>
      <c r="B240" s="81"/>
      <c r="C240" s="81"/>
      <c r="D240" s="81"/>
      <c r="E240" s="81"/>
      <c r="F240" s="451"/>
    </row>
    <row r="241" spans="1:6">
      <c r="A241" s="450"/>
      <c r="B241" s="81"/>
      <c r="C241" s="81"/>
      <c r="D241" s="81"/>
      <c r="E241" s="81"/>
      <c r="F241" s="451"/>
    </row>
    <row r="242" spans="1:6">
      <c r="A242" s="450" t="s">
        <v>139</v>
      </c>
      <c r="B242" s="81" t="e">
        <f>VLOOKUP(F243,'6_1'!$A$13:$H$32,7,0)</f>
        <v>#N/A</v>
      </c>
      <c r="C242" s="81"/>
      <c r="D242" s="81"/>
      <c r="E242" s="81"/>
      <c r="F242" s="452" t="s">
        <v>102</v>
      </c>
    </row>
    <row r="243" spans="1:6">
      <c r="A243" s="450" t="s">
        <v>72</v>
      </c>
      <c r="B243" s="81" t="str">
        <f>+'6_1'!$H$2</f>
        <v>Hijuela 2ª Araujo</v>
      </c>
      <c r="C243" s="81"/>
      <c r="D243" s="81"/>
      <c r="E243" s="81"/>
      <c r="F243" s="452">
        <v>15</v>
      </c>
    </row>
    <row r="244" spans="1:6">
      <c r="A244" s="450"/>
      <c r="B244" s="81"/>
      <c r="C244" s="81"/>
      <c r="D244" s="81"/>
      <c r="E244" s="81"/>
      <c r="F244" s="451"/>
    </row>
    <row r="245" spans="1:6">
      <c r="A245" s="466" t="s">
        <v>140</v>
      </c>
      <c r="B245" s="458" t="e">
        <f>VLOOKUP(F243,'6_1'!$A$13:$B$32,2,0)</f>
        <v>#N/A</v>
      </c>
      <c r="C245" s="81"/>
      <c r="D245" s="139" t="s">
        <v>141</v>
      </c>
      <c r="E245" s="457">
        <f>DSUM('6_1'!A$12:L$32,'6_1'!$J$12,F242:F243)</f>
        <v>0</v>
      </c>
      <c r="F245" s="451"/>
    </row>
    <row r="246" spans="1:6">
      <c r="A246" s="466" t="s">
        <v>142</v>
      </c>
      <c r="B246" s="461">
        <v>6</v>
      </c>
      <c r="C246" s="81"/>
      <c r="D246" s="139" t="s">
        <v>143</v>
      </c>
      <c r="E246" s="459" t="str">
        <f>+Hijuelas!$G$7</f>
        <v>POR FRACCIÓN</v>
      </c>
      <c r="F246" s="451"/>
    </row>
    <row r="247" spans="1:6">
      <c r="A247" s="466" t="s">
        <v>144</v>
      </c>
      <c r="B247" s="462">
        <f>DSUM('6_1'!$A$12:$I$32,'6_1'!$H$12,F242:F243)</f>
        <v>0</v>
      </c>
      <c r="C247" s="81"/>
      <c r="D247" s="139" t="s">
        <v>145</v>
      </c>
      <c r="E247" s="458" t="e">
        <f>IF(VLOOKUP(F243,'6_1'!$A$13:$D$47,4,0)=1, "Definitivo 100%", "Eventual 80%")</f>
        <v>#N/A</v>
      </c>
      <c r="F247" s="583"/>
    </row>
    <row r="248" spans="1:6" ht="15.75">
      <c r="A248" s="450"/>
      <c r="B248" s="139" t="s">
        <v>146</v>
      </c>
      <c r="C248" s="145">
        <f>DMIN('6_1'!A$12:N$32,'6_1'!$K$12,F242:F243)</f>
        <v>0</v>
      </c>
      <c r="D248" s="189" t="str">
        <f>IF(E248=1,"Domingo",IF(E248=2,"Lunes",IF(E248=3,"Martes",IF(E248=4,"Miercoles",IF(E248=5,"Jueves",IF(E248=6,"Viernes",IF(E248=7,"Sábado",0)))))))</f>
        <v>Sábado</v>
      </c>
      <c r="E248" s="190">
        <f>WEEKDAY(C248)</f>
        <v>7</v>
      </c>
      <c r="F248" s="453" t="s">
        <v>62</v>
      </c>
    </row>
    <row r="249" spans="1:6" ht="15.75">
      <c r="A249" s="450"/>
      <c r="B249" s="139" t="s">
        <v>147</v>
      </c>
      <c r="C249" s="145">
        <f>DMAX('6_1'!A$12:P$32,'6_1'!$L$12,F242:F243)</f>
        <v>0</v>
      </c>
      <c r="D249" s="189" t="str">
        <f>IF(E249=1,"Domingo",IF(E249=2,"Lunes",IF(E249=3,"Martes",IF(E249=4,"Miercoles",IF(E249=5,"Jueves",IF(E249=6,"Viernes",IF(E249=7,"Sábado",0)))))))</f>
        <v>Sábado</v>
      </c>
      <c r="E249" s="190">
        <f>WEEKDAY(C249)</f>
        <v>7</v>
      </c>
      <c r="F249" s="453">
        <f>WEEKDAY(C249)</f>
        <v>7</v>
      </c>
    </row>
    <row r="250" spans="1:6">
      <c r="A250" s="450"/>
      <c r="B250" s="81"/>
      <c r="C250" s="81"/>
      <c r="D250" s="81"/>
      <c r="E250" s="584"/>
      <c r="F250" s="583"/>
    </row>
    <row r="251" spans="1:6">
      <c r="A251" s="472">
        <f>+Mensajes!$B$7</f>
        <v>0</v>
      </c>
      <c r="B251" s="81"/>
      <c r="C251" s="81"/>
      <c r="D251" s="81"/>
      <c r="E251" s="81"/>
      <c r="F251" s="451"/>
    </row>
    <row r="252" spans="1:6">
      <c r="A252" s="472">
        <f>+Mensajes!$B$12</f>
        <v>0</v>
      </c>
      <c r="B252" s="81"/>
      <c r="C252" s="81"/>
      <c r="D252" s="81"/>
      <c r="E252" s="81"/>
      <c r="F252" s="451"/>
    </row>
    <row r="253" spans="1:6">
      <c r="A253" s="471"/>
      <c r="B253" s="81"/>
      <c r="C253" s="81"/>
      <c r="D253" s="81"/>
      <c r="E253" s="81"/>
      <c r="F253" s="451"/>
    </row>
    <row r="254" spans="1:6" ht="13.5" thickBot="1">
      <c r="A254" s="474"/>
      <c r="B254" s="455"/>
      <c r="C254" s="455"/>
      <c r="D254" s="455"/>
      <c r="E254" s="473" t="str">
        <f>IF(DSUM('6_1'!$A$12:$Q$89,16,F242:F243)=COUNTIF('6_1'!$A$13:$A$89,F243),"","Regularice su Deuda")</f>
        <v/>
      </c>
      <c r="F254" s="456"/>
    </row>
  </sheetData>
  <phoneticPr fontId="0" type="noConversion"/>
  <pageMargins left="0.25" right="0.25" top="0.75" bottom="0.75" header="0.3" footer="0.3"/>
  <pageSetup paperSize="281" scale="85" orientation="portrait" r:id="rId1"/>
  <headerFooter alignWithMargins="0"/>
  <rowBreaks count="3" manualBreakCount="3">
    <brk id="68" max="5" man="1"/>
    <brk id="136" max="5" man="1"/>
    <brk id="204" max="5" man="1"/>
  </rowBreaks>
  <colBreaks count="1" manualBreakCount="1">
    <brk id="7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2"/>
  <dimension ref="A1:U40"/>
  <sheetViews>
    <sheetView view="pageBreakPreview" zoomScale="75" zoomScaleNormal="100" zoomScaleSheetLayoutView="100" workbookViewId="0" xr3:uid="{CF366857-BBDD-5199-9BC9-FF52903B0715}">
      <selection activeCell="K37" sqref="K13:L37"/>
    </sheetView>
  </sheetViews>
  <sheetFormatPr defaultColWidth="11.42578125" defaultRowHeight="12.75"/>
  <cols>
    <col min="1" max="1" width="7.5703125" customWidth="1"/>
    <col min="2" max="2" width="5.42578125" customWidth="1"/>
    <col min="3" max="3" width="5.28515625" customWidth="1"/>
    <col min="4" max="4" width="4.42578125" customWidth="1"/>
    <col min="5" max="5" width="10" customWidth="1"/>
    <col min="6" max="6" width="9.7109375" customWidth="1"/>
    <col min="7" max="7" width="32.5703125" bestFit="1" customWidth="1"/>
    <col min="8" max="8" width="12.7109375" customWidth="1"/>
    <col min="9" max="9" width="7.85546875" customWidth="1"/>
    <col min="10" max="10" width="6.85546875" bestFit="1" customWidth="1"/>
    <col min="11" max="12" width="15.42578125" bestFit="1" customWidth="1"/>
    <col min="13" max="13" width="18" customWidth="1"/>
    <col min="14" max="14" width="22.5703125" customWidth="1"/>
    <col min="15" max="15" width="13.85546875" bestFit="1" customWidth="1"/>
    <col min="16" max="16" width="7" bestFit="1" customWidth="1"/>
    <col min="17" max="17" width="7.140625" bestFit="1" customWidth="1"/>
    <col min="18" max="18" width="6.28515625" bestFit="1" customWidth="1"/>
    <col min="19" max="19" width="9" bestFit="1" customWidth="1"/>
    <col min="20" max="20" width="20" bestFit="1" customWidth="1"/>
    <col min="21" max="21" width="11.5703125" bestFit="1" customWidth="1"/>
    <col min="22" max="22" width="12.5703125" bestFit="1" customWidth="1"/>
    <col min="23" max="23" width="12.2851562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2" spans="1:21">
      <c r="A2" s="137"/>
      <c r="B2" s="137"/>
      <c r="C2" s="144" t="s">
        <v>187</v>
      </c>
      <c r="D2" s="144"/>
      <c r="E2" s="137"/>
      <c r="F2" s="137"/>
      <c r="G2" s="137"/>
      <c r="H2" s="137" t="s">
        <v>251</v>
      </c>
      <c r="I2" s="137"/>
      <c r="J2" s="137"/>
      <c r="K2" s="137"/>
      <c r="L2" s="137"/>
      <c r="M2" s="137"/>
      <c r="N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</row>
    <row r="5" spans="1:21">
      <c r="A5" s="669" t="s">
        <v>92</v>
      </c>
      <c r="B5" s="670"/>
      <c r="C5" s="662">
        <f>+Hijuelas!D17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378"/>
      <c r="K5" s="137"/>
      <c r="L5" s="137"/>
      <c r="M5" s="137"/>
      <c r="N5" s="137"/>
    </row>
    <row r="6" spans="1:21" ht="13.5" thickBot="1">
      <c r="A6" s="671" t="s">
        <v>94</v>
      </c>
      <c r="B6" s="672"/>
      <c r="C6" s="665">
        <f>+L13</f>
        <v>42977.531249999993</v>
      </c>
      <c r="D6" s="666"/>
      <c r="E6" s="667"/>
      <c r="F6" s="344"/>
      <c r="G6" s="344"/>
      <c r="H6" s="347" t="s">
        <v>95</v>
      </c>
      <c r="I6" s="354">
        <v>8.3333333333333329E-2</v>
      </c>
      <c r="J6" s="378"/>
      <c r="K6" s="344"/>
      <c r="L6" s="137"/>
      <c r="M6" s="578"/>
      <c r="N6" s="578"/>
    </row>
    <row r="7" spans="1:21" ht="13.5" thickBot="1">
      <c r="A7" s="137"/>
      <c r="B7" s="137"/>
      <c r="C7" s="137" t="s">
        <v>101</v>
      </c>
      <c r="D7" s="137"/>
      <c r="E7" s="137"/>
      <c r="F7" s="556">
        <f>+C6-C5</f>
        <v>3.9895833333284827</v>
      </c>
      <c r="G7" s="137"/>
      <c r="H7" s="348" t="s">
        <v>96</v>
      </c>
      <c r="I7" s="349">
        <f>+I39</f>
        <v>0.125</v>
      </c>
      <c r="J7" s="378"/>
      <c r="K7" s="137"/>
      <c r="L7" s="137"/>
      <c r="M7" s="137"/>
      <c r="N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</row>
    <row r="9" spans="1:21">
      <c r="A9" s="668" t="s">
        <v>97</v>
      </c>
      <c r="B9" s="668"/>
      <c r="C9" s="556">
        <f>+I5-I6-I7</f>
        <v>3.78125</v>
      </c>
      <c r="D9" s="556"/>
      <c r="E9" s="555" t="s">
        <v>98</v>
      </c>
      <c r="F9" s="350">
        <f>+C9*60</f>
        <v>226.875</v>
      </c>
      <c r="G9" s="555" t="s">
        <v>99</v>
      </c>
      <c r="H9" s="351">
        <f>+H39</f>
        <v>233.0018</v>
      </c>
      <c r="I9" s="555" t="s">
        <v>100</v>
      </c>
      <c r="J9" s="556">
        <f>IF(H9=0,0,F9/H9)</f>
        <v>0.97370492416796783</v>
      </c>
      <c r="K9" s="137"/>
      <c r="L9" s="137"/>
      <c r="M9" s="137"/>
      <c r="N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</row>
    <row r="12" spans="1:21" s="427" customFormat="1" ht="24.75" thickBot="1">
      <c r="A12" s="433" t="s">
        <v>102</v>
      </c>
      <c r="B12" s="430" t="s">
        <v>103</v>
      </c>
      <c r="C12" s="430" t="s">
        <v>104</v>
      </c>
      <c r="D12" s="430" t="s">
        <v>105</v>
      </c>
      <c r="E12" s="430" t="s">
        <v>106</v>
      </c>
      <c r="F12" s="430" t="s">
        <v>153</v>
      </c>
      <c r="G12" s="430" t="s">
        <v>108</v>
      </c>
      <c r="H12" s="430" t="s">
        <v>154</v>
      </c>
      <c r="I12" s="430" t="s">
        <v>190</v>
      </c>
      <c r="J12" s="430" t="s">
        <v>110</v>
      </c>
      <c r="K12" s="430" t="s">
        <v>156</v>
      </c>
      <c r="L12" s="430" t="s">
        <v>157</v>
      </c>
      <c r="M12" s="554" t="s">
        <v>113</v>
      </c>
      <c r="N12" s="430" t="s">
        <v>114</v>
      </c>
      <c r="O12" s="336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336" t="s">
        <v>121</v>
      </c>
      <c r="U12" s="337" t="s">
        <v>122</v>
      </c>
    </row>
    <row r="13" spans="1:21" ht="27.95" customHeight="1" thickTop="1">
      <c r="A13" s="404">
        <v>1</v>
      </c>
      <c r="B13" s="65">
        <v>1202</v>
      </c>
      <c r="C13" s="65">
        <v>30</v>
      </c>
      <c r="D13" s="65">
        <v>1</v>
      </c>
      <c r="E13" s="417">
        <v>11.0092</v>
      </c>
      <c r="F13" s="103" t="str">
        <f t="shared" ref="F13:F18" si="0">IF(Q13=0,"NO",IF(Q13=1,"SI",IF(Q13=3,"cede turno","CONDICIONAL")))</f>
        <v>SI</v>
      </c>
      <c r="G13" s="485" t="s">
        <v>252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11.0092</v>
      </c>
      <c r="I13" s="607">
        <v>0</v>
      </c>
      <c r="J13" s="434">
        <f>+H13*$J$9/60</f>
        <v>0.17866187085249985</v>
      </c>
      <c r="K13" s="538">
        <f t="shared" ref="K13:K36" si="1">+L14</f>
        <v>42977.352588129143</v>
      </c>
      <c r="L13" s="538">
        <f t="shared" ref="L13:L36" si="2">+K13+J13+I13</f>
        <v>42977.531249999993</v>
      </c>
      <c r="M13" s="174"/>
      <c r="N13" s="65"/>
      <c r="O13" s="52"/>
      <c r="P13" s="5" t="str">
        <f>+CONCATENATE(B13,C13)</f>
        <v>120230</v>
      </c>
      <c r="Q13" s="150">
        <f>VLOOKUP(P13,deuda!A$1:H$606,4,0)</f>
        <v>1</v>
      </c>
      <c r="R13" s="150">
        <f>VLOOKUP(P13,deuda!A$1:H$606,5,0)</f>
        <v>0</v>
      </c>
      <c r="S13" s="150" t="str">
        <f>IF(VLOOKUP(P13,deuda!A$1:H$606,6,0)=0,"",VLOOKUP(P13,deuda!A$1:H$606,6,0))</f>
        <v/>
      </c>
      <c r="T13" s="151" t="str">
        <f>IF((VLOOKUP(P13,deuda!A$1:H$606,7,0))=0,"",VLOOKUP(P13,deuda!A$1:H$606,7,0))</f>
        <v/>
      </c>
      <c r="U13" s="152" t="str">
        <f>IF((VLOOKUP(P13,deuda!A$1:H$606,8,0))=0,"",VLOOKUP(P13,deuda!A$1:H$606,8,0))</f>
        <v/>
      </c>
    </row>
    <row r="14" spans="1:21" ht="30" customHeight="1">
      <c r="A14" s="535"/>
      <c r="B14" s="536">
        <v>1202</v>
      </c>
      <c r="C14" s="536">
        <v>41</v>
      </c>
      <c r="D14" s="536">
        <v>1</v>
      </c>
      <c r="E14" s="537">
        <v>1.4770000000000001</v>
      </c>
      <c r="F14" s="103" t="str">
        <f t="shared" si="0"/>
        <v>NO</v>
      </c>
      <c r="G14" s="536" t="s">
        <v>253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0</v>
      </c>
      <c r="I14" s="434">
        <v>0</v>
      </c>
      <c r="J14" s="434">
        <f t="shared" ref="J14:J38" si="3">+H14*$J$9/60</f>
        <v>0</v>
      </c>
      <c r="K14" s="538">
        <f t="shared" si="1"/>
        <v>42977.352588129143</v>
      </c>
      <c r="L14" s="538">
        <f t="shared" si="2"/>
        <v>42977.352588129143</v>
      </c>
      <c r="M14" s="174"/>
      <c r="N14" s="536"/>
      <c r="O14" s="536"/>
      <c r="P14" s="52" t="str">
        <f>+CONCATENATE(B14,C14)</f>
        <v>120241</v>
      </c>
      <c r="Q14" s="150">
        <v>0</v>
      </c>
      <c r="R14" s="150">
        <f>VLOOKUP(P14,deuda!A$1:H$606,5,0)</f>
        <v>15</v>
      </c>
      <c r="S14" s="150">
        <f>IF(VLOOKUP(P14,deuda!A$1:H$606,6,0)=0,"",VLOOKUP(P14,deuda!A$1:H$606,6,0))</f>
        <v>6939.48</v>
      </c>
      <c r="T14" s="151" t="str">
        <f>IF((VLOOKUP(P14,deuda!A$1:H$606,7,0))=0,"",VLOOKUP(P14,deuda!A$1:H$606,7,0))</f>
        <v/>
      </c>
      <c r="U14" s="152" t="str">
        <f>IF((VLOOKUP(P14,deuda!A$1:H$606,8,0))=0,"",VLOOKUP(P14,deuda!A$1:H$606,8,0))</f>
        <v/>
      </c>
    </row>
    <row r="15" spans="1:21" ht="30" customHeight="1">
      <c r="A15" s="535"/>
      <c r="B15" s="536">
        <v>1202</v>
      </c>
      <c r="C15" s="536">
        <v>43</v>
      </c>
      <c r="D15" s="536">
        <v>1</v>
      </c>
      <c r="E15" s="537">
        <v>1.4769000000000001</v>
      </c>
      <c r="F15" s="103" t="str">
        <f t="shared" si="0"/>
        <v>NO</v>
      </c>
      <c r="G15" s="536" t="s">
        <v>253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0</v>
      </c>
      <c r="I15" s="434">
        <v>0</v>
      </c>
      <c r="J15" s="434">
        <f t="shared" si="3"/>
        <v>0</v>
      </c>
      <c r="K15" s="538">
        <f t="shared" si="1"/>
        <v>42977.352588129143</v>
      </c>
      <c r="L15" s="538">
        <f t="shared" si="2"/>
        <v>42977.352588129143</v>
      </c>
      <c r="M15" s="174"/>
      <c r="N15" s="536"/>
      <c r="O15" s="536"/>
      <c r="P15" s="52" t="str">
        <f>+CONCATENATE(B15,C15)</f>
        <v>120243</v>
      </c>
      <c r="Q15" s="150">
        <v>0</v>
      </c>
      <c r="R15" s="150">
        <f>VLOOKUP(P15,deuda!A$1:H$606,5,0)</f>
        <v>15</v>
      </c>
      <c r="S15" s="150">
        <f>IF(VLOOKUP(P15,deuda!A$1:H$606,6,0)=0,"",VLOOKUP(P15,deuda!A$1:H$606,6,0))</f>
        <v>6939.48</v>
      </c>
      <c r="T15" s="151" t="str">
        <f>IF((VLOOKUP(P15,deuda!A$1:H$606,7,0))=0,"",VLOOKUP(P15,deuda!A$1:H$606,7,0))</f>
        <v/>
      </c>
      <c r="U15" s="152" t="str">
        <f>IF((VLOOKUP(P15,deuda!A$1:H$606,8,0))=0,"",VLOOKUP(P15,deuda!A$1:H$606,8,0))</f>
        <v/>
      </c>
    </row>
    <row r="16" spans="1:21" ht="30" customHeight="1">
      <c r="A16" s="535"/>
      <c r="B16" s="536">
        <v>1202</v>
      </c>
      <c r="C16" s="536">
        <v>45</v>
      </c>
      <c r="D16" s="536">
        <v>1</v>
      </c>
      <c r="E16" s="537">
        <v>1.4769000000000001</v>
      </c>
      <c r="F16" s="103" t="str">
        <f t="shared" si="0"/>
        <v>NO</v>
      </c>
      <c r="G16" s="536" t="s">
        <v>253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0</v>
      </c>
      <c r="I16" s="434">
        <v>0</v>
      </c>
      <c r="J16" s="434">
        <f t="shared" si="3"/>
        <v>0</v>
      </c>
      <c r="K16" s="538">
        <f t="shared" si="1"/>
        <v>42977.352588129143</v>
      </c>
      <c r="L16" s="538">
        <f t="shared" si="2"/>
        <v>42977.352588129143</v>
      </c>
      <c r="M16" s="125"/>
      <c r="N16" s="536"/>
      <c r="O16" s="536"/>
      <c r="P16" s="52" t="str">
        <f>+CONCATENATE(B16,C16)</f>
        <v>120245</v>
      </c>
      <c r="Q16" s="150">
        <v>0</v>
      </c>
      <c r="R16" s="150">
        <f>VLOOKUP(P16,deuda!A$1:H$606,5,0)</f>
        <v>15</v>
      </c>
      <c r="S16" s="150">
        <f>IF(VLOOKUP(P16,deuda!A$1:H$606,6,0)=0,"",VLOOKUP(P16,deuda!A$1:H$606,6,0))</f>
        <v>6939.48</v>
      </c>
      <c r="T16" s="151" t="str">
        <f>IF((VLOOKUP(P16,deuda!A$1:H$606,7,0))=0,"",VLOOKUP(P16,deuda!A$1:H$606,7,0))</f>
        <v/>
      </c>
      <c r="U16" s="152" t="str">
        <f>IF((VLOOKUP(P16,deuda!A$1:H$606,8,0))=0,"",VLOOKUP(P16,deuda!A$1:H$606,8,0))</f>
        <v/>
      </c>
    </row>
    <row r="17" spans="1:21" ht="30" customHeight="1">
      <c r="A17" s="535"/>
      <c r="B17" s="536">
        <v>1202</v>
      </c>
      <c r="C17" s="536">
        <v>47</v>
      </c>
      <c r="D17" s="536">
        <v>1</v>
      </c>
      <c r="E17" s="537">
        <v>1.4769000000000001</v>
      </c>
      <c r="F17" s="103" t="str">
        <f t="shared" si="0"/>
        <v>NO</v>
      </c>
      <c r="G17" s="536" t="s">
        <v>253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0</v>
      </c>
      <c r="I17" s="434">
        <v>0</v>
      </c>
      <c r="J17" s="434">
        <f t="shared" si="3"/>
        <v>0</v>
      </c>
      <c r="K17" s="538">
        <f t="shared" si="1"/>
        <v>42977.352588129143</v>
      </c>
      <c r="L17" s="538">
        <f t="shared" si="2"/>
        <v>42977.352588129143</v>
      </c>
      <c r="M17" s="125"/>
      <c r="N17" s="536"/>
      <c r="O17" s="536"/>
      <c r="P17" s="52" t="str">
        <f>+CONCATENATE(B17,C17)</f>
        <v>120247</v>
      </c>
      <c r="Q17" s="150">
        <v>0</v>
      </c>
      <c r="R17" s="150">
        <f>VLOOKUP(P17,deuda!A$1:H$606,5,0)</f>
        <v>0</v>
      </c>
      <c r="S17" s="150">
        <f>IF(VLOOKUP(P17,deuda!A$1:H$606,6,0)=0,"",VLOOKUP(P17,deuda!A$1:H$606,6,0))</f>
        <v>2000.69</v>
      </c>
      <c r="T17" s="151" t="str">
        <f>IF((VLOOKUP(P17,deuda!A$1:H$606,7,0))=0,"",VLOOKUP(P17,deuda!A$1:H$606,7,0))</f>
        <v/>
      </c>
      <c r="U17" s="152" t="str">
        <f>IF((VLOOKUP(P17,deuda!A$1:H$606,8,0))=0,"",VLOOKUP(P17,deuda!A$1:H$606,8,0))</f>
        <v/>
      </c>
    </row>
    <row r="18" spans="1:21" ht="27.95" customHeight="1">
      <c r="A18" s="219">
        <v>2</v>
      </c>
      <c r="B18" s="62">
        <v>1202</v>
      </c>
      <c r="C18" s="62">
        <v>33</v>
      </c>
      <c r="D18" s="536">
        <v>1</v>
      </c>
      <c r="E18" s="405">
        <v>17.860600000000002</v>
      </c>
      <c r="F18" s="103" t="str">
        <f t="shared" si="0"/>
        <v>SI</v>
      </c>
      <c r="G18" s="435" t="s">
        <v>254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17.860600000000002</v>
      </c>
      <c r="I18" s="608">
        <v>3.4722222222222224E-2</v>
      </c>
      <c r="J18" s="434">
        <f t="shared" si="3"/>
        <v>0.28984923614324015</v>
      </c>
      <c r="K18" s="538">
        <f t="shared" si="1"/>
        <v>42977.028016670782</v>
      </c>
      <c r="L18" s="538">
        <f t="shared" si="2"/>
        <v>42977.352588129143</v>
      </c>
      <c r="M18" s="125"/>
      <c r="N18" s="62"/>
      <c r="O18" s="5"/>
      <c r="P18" s="5" t="str">
        <f t="shared" ref="P18:P38" si="4">+CONCATENATE(B18,C18)</f>
        <v>120233</v>
      </c>
      <c r="Q18" s="150">
        <f>VLOOKUP(P18,deuda!A$1:H$606,4,0)</f>
        <v>1</v>
      </c>
      <c r="R18" s="150">
        <f>VLOOKUP(P18,deuda!A$1:H$606,5,0)</f>
        <v>0</v>
      </c>
      <c r="S18" s="150" t="str">
        <f>IF(VLOOKUP(P18,deuda!A$1:H$606,6,0)=0,"",VLOOKUP(P18,deuda!A$1:H$606,6,0))</f>
        <v/>
      </c>
      <c r="T18" s="151" t="str">
        <f>IF((VLOOKUP(P18,deuda!A$1:H$606,7,0))=0,"",VLOOKUP(P18,deuda!A$1:H$606,7,0))</f>
        <v/>
      </c>
      <c r="U18" s="152" t="str">
        <f>IF((VLOOKUP(P18,deuda!A$1:H$606,8,0))=0,"",VLOOKUP(P18,deuda!A$1:H$606,8,0))</f>
        <v/>
      </c>
    </row>
    <row r="19" spans="1:21" ht="27.95" customHeight="1">
      <c r="A19" s="219">
        <v>2</v>
      </c>
      <c r="B19" s="62">
        <v>1202</v>
      </c>
      <c r="C19" s="62">
        <v>11</v>
      </c>
      <c r="D19" s="536">
        <v>1</v>
      </c>
      <c r="E19" s="148">
        <v>53.003399999999999</v>
      </c>
      <c r="F19" s="103" t="str">
        <f t="shared" ref="F19:F38" si="5">IF(Q19=0,"NO",IF(Q19=1,"SI",IF(Q19=3,"cede turno","CONDICIONAL")))</f>
        <v>SI</v>
      </c>
      <c r="G19" s="435" t="s">
        <v>254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53.003399999999999</v>
      </c>
      <c r="I19" s="608">
        <v>0</v>
      </c>
      <c r="J19" s="434">
        <f t="shared" si="3"/>
        <v>0.86016119296074101</v>
      </c>
      <c r="K19" s="538">
        <f t="shared" si="1"/>
        <v>42976.167855477819</v>
      </c>
      <c r="L19" s="538">
        <f t="shared" si="2"/>
        <v>42977.028016670782</v>
      </c>
      <c r="M19" s="125"/>
      <c r="N19" s="62"/>
      <c r="O19" s="5"/>
      <c r="P19" s="5" t="str">
        <f t="shared" si="4"/>
        <v>120211</v>
      </c>
      <c r="Q19" s="150">
        <f>VLOOKUP(P19,deuda!A$1:H$606,4,0)</f>
        <v>1</v>
      </c>
      <c r="R19" s="150">
        <f>VLOOKUP(P19,deuda!A$1:H$606,5,0)</f>
        <v>0</v>
      </c>
      <c r="S19" s="150" t="str">
        <f>IF(VLOOKUP(P19,deuda!A$1:H$606,6,0)=0,"",VLOOKUP(P19,deuda!A$1:H$606,6,0))</f>
        <v/>
      </c>
      <c r="T19" s="151" t="str">
        <f>IF((VLOOKUP(P19,deuda!A$1:H$606,7,0))=0,"",VLOOKUP(P19,deuda!A$1:H$606,7,0))</f>
        <v/>
      </c>
      <c r="U19" s="152" t="str">
        <f>IF((VLOOKUP(P19,deuda!A$1:H$606,8,0))=0,"",VLOOKUP(P19,deuda!A$1:H$606,8,0))</f>
        <v/>
      </c>
    </row>
    <row r="20" spans="1:21" ht="27.95" customHeight="1">
      <c r="A20" s="219">
        <v>2</v>
      </c>
      <c r="B20" s="62">
        <v>1202</v>
      </c>
      <c r="C20" s="62">
        <v>6</v>
      </c>
      <c r="D20" s="436">
        <v>1</v>
      </c>
      <c r="E20" s="148">
        <v>10.527200000000001</v>
      </c>
      <c r="F20" s="103" t="str">
        <f t="shared" si="5"/>
        <v>SI</v>
      </c>
      <c r="G20" s="435" t="s">
        <v>254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10.527200000000001</v>
      </c>
      <c r="I20" s="608">
        <v>0</v>
      </c>
      <c r="J20" s="434">
        <f t="shared" si="3"/>
        <v>0.17083977462835051</v>
      </c>
      <c r="K20" s="538">
        <f t="shared" si="1"/>
        <v>42975.997015703193</v>
      </c>
      <c r="L20" s="538">
        <f t="shared" si="2"/>
        <v>42976.167855477819</v>
      </c>
      <c r="M20" s="125"/>
      <c r="N20" s="62"/>
      <c r="O20" s="5"/>
      <c r="P20" s="5" t="str">
        <f t="shared" si="4"/>
        <v>12026</v>
      </c>
      <c r="Q20" s="150">
        <f>VLOOKUP(P20,deuda!A$1:H$606,4,0)</f>
        <v>1</v>
      </c>
      <c r="R20" s="150">
        <f>VLOOKUP(P20,deuda!A$1:H$606,5,0)</f>
        <v>0</v>
      </c>
      <c r="S20" s="150" t="str">
        <f>IF(VLOOKUP(P20,deuda!A$1:H$606,6,0)=0,"",VLOOKUP(P20,deuda!A$1:H$606,6,0))</f>
        <v/>
      </c>
      <c r="T20" s="151" t="str">
        <f>IF((VLOOKUP(P20,deuda!A$1:H$606,7,0))=0,"",VLOOKUP(P20,deuda!A$1:H$606,7,0))</f>
        <v/>
      </c>
      <c r="U20" s="152" t="str">
        <f>IF((VLOOKUP(P20,deuda!A$1:H$606,8,0))=0,"",VLOOKUP(P20,deuda!A$1:H$606,8,0))</f>
        <v/>
      </c>
    </row>
    <row r="21" spans="1:21" ht="27.95" customHeight="1">
      <c r="A21" s="219">
        <v>3</v>
      </c>
      <c r="B21" s="62">
        <v>1202</v>
      </c>
      <c r="C21" s="62">
        <v>31</v>
      </c>
      <c r="D21" s="62">
        <v>1</v>
      </c>
      <c r="E21" s="405">
        <v>1.9219999999999999</v>
      </c>
      <c r="F21" s="103" t="str">
        <f t="shared" si="5"/>
        <v>NO</v>
      </c>
      <c r="G21" s="435" t="s">
        <v>255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0</v>
      </c>
      <c r="I21" s="608">
        <v>0</v>
      </c>
      <c r="J21" s="434">
        <f t="shared" si="3"/>
        <v>0</v>
      </c>
      <c r="K21" s="538">
        <f t="shared" si="1"/>
        <v>42975.997015703193</v>
      </c>
      <c r="L21" s="538">
        <f t="shared" si="2"/>
        <v>42975.997015703193</v>
      </c>
      <c r="M21" s="125"/>
      <c r="N21" s="62"/>
      <c r="O21" s="5"/>
      <c r="P21" s="5" t="str">
        <f t="shared" si="4"/>
        <v>120231</v>
      </c>
      <c r="Q21" s="150">
        <f>VLOOKUP(P21,deuda!A$1:H$606,4,0)</f>
        <v>0</v>
      </c>
      <c r="R21" s="150">
        <f>VLOOKUP(P21,deuda!A$1:H$606,5,0)</f>
        <v>53</v>
      </c>
      <c r="S21" s="150">
        <f>IF(VLOOKUP(P21,deuda!A$1:H$606,6,0)=0,"",VLOOKUP(P21,deuda!A$1:H$606,6,0))</f>
        <v>24465.06</v>
      </c>
      <c r="T21" s="151" t="str">
        <f>IF((VLOOKUP(P21,deuda!A$1:H$606,7,0))=0,"",VLOOKUP(P21,deuda!A$1:H$606,7,0))</f>
        <v/>
      </c>
      <c r="U21" s="152" t="str">
        <f>IF((VLOOKUP(P21,deuda!A$1:H$606,8,0))=0,"",VLOOKUP(P21,deuda!A$1:H$606,8,0))</f>
        <v/>
      </c>
    </row>
    <row r="22" spans="1:21" ht="27.95" customHeight="1">
      <c r="A22" s="219">
        <v>4</v>
      </c>
      <c r="B22" s="62">
        <v>1202</v>
      </c>
      <c r="C22" s="62">
        <v>5</v>
      </c>
      <c r="D22" s="436">
        <v>1</v>
      </c>
      <c r="E22" s="148">
        <v>0.49149999999999999</v>
      </c>
      <c r="F22" s="103" t="str">
        <f t="shared" si="5"/>
        <v>NO</v>
      </c>
      <c r="G22" s="435" t="s">
        <v>256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0</v>
      </c>
      <c r="I22" s="608">
        <v>0</v>
      </c>
      <c r="J22" s="434">
        <f t="shared" si="3"/>
        <v>0</v>
      </c>
      <c r="K22" s="538">
        <f t="shared" si="1"/>
        <v>42975.997015703193</v>
      </c>
      <c r="L22" s="538">
        <f t="shared" si="2"/>
        <v>42975.997015703193</v>
      </c>
      <c r="M22" s="125"/>
      <c r="N22" s="62"/>
      <c r="O22" s="5"/>
      <c r="P22" s="5" t="str">
        <f t="shared" si="4"/>
        <v>12025</v>
      </c>
      <c r="Q22" s="150">
        <f>VLOOKUP(P22,deuda!A$1:H$606,4,0)</f>
        <v>0</v>
      </c>
      <c r="R22" s="150">
        <f>VLOOKUP(P22,deuda!A$1:H$606,5,0)</f>
        <v>206</v>
      </c>
      <c r="S22" s="150">
        <f>IF(VLOOKUP(P22,deuda!A$1:H$606,6,0)=0,"",VLOOKUP(P22,deuda!A$1:H$606,6,0))</f>
        <v>45645.51</v>
      </c>
      <c r="T22" s="151" t="str">
        <f>IF((VLOOKUP(P22,deuda!A$1:H$606,7,0))=0,"",VLOOKUP(P22,deuda!A$1:H$606,7,0))</f>
        <v/>
      </c>
      <c r="U22" s="152" t="str">
        <f>IF((VLOOKUP(P22,deuda!A$1:H$606,8,0))=0,"",VLOOKUP(P22,deuda!A$1:H$606,8,0))</f>
        <v/>
      </c>
    </row>
    <row r="23" spans="1:21" ht="27.95" customHeight="1">
      <c r="A23" s="219">
        <v>5</v>
      </c>
      <c r="B23" s="62">
        <v>1202</v>
      </c>
      <c r="C23" s="62">
        <v>29</v>
      </c>
      <c r="D23" s="62">
        <v>1</v>
      </c>
      <c r="E23" s="148">
        <v>1.1685000000000001</v>
      </c>
      <c r="F23" s="103" t="s">
        <v>173</v>
      </c>
      <c r="G23" s="435" t="s">
        <v>257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0</v>
      </c>
      <c r="I23" s="608">
        <v>0</v>
      </c>
      <c r="J23" s="434">
        <f t="shared" si="3"/>
        <v>0</v>
      </c>
      <c r="K23" s="538">
        <f t="shared" si="1"/>
        <v>42975.997015703193</v>
      </c>
      <c r="L23" s="538">
        <f t="shared" si="2"/>
        <v>42975.997015703193</v>
      </c>
      <c r="M23" s="125"/>
      <c r="N23" s="62"/>
      <c r="O23" s="5"/>
      <c r="P23" s="5" t="str">
        <f t="shared" si="4"/>
        <v>120229</v>
      </c>
      <c r="Q23" s="150" t="e">
        <f>VLOOKUP(P23,deuda!A$1:H$606,4,0)</f>
        <v>#N/A</v>
      </c>
      <c r="R23" s="150" t="e">
        <f>VLOOKUP(P23,deuda!A$1:H$606,5,0)</f>
        <v>#N/A</v>
      </c>
      <c r="S23" s="150" t="e">
        <f>IF(VLOOKUP(P23,deuda!A$1:H$606,6,0)=0,"",VLOOKUP(P23,deuda!A$1:H$606,6,0))</f>
        <v>#N/A</v>
      </c>
      <c r="T23" s="151" t="e">
        <f>IF((VLOOKUP(P23,deuda!A$1:H$606,7,0))=0,"",VLOOKUP(P23,deuda!A$1:H$606,7,0))</f>
        <v>#N/A</v>
      </c>
      <c r="U23" s="152" t="e">
        <f>IF((VLOOKUP(P23,deuda!A$1:H$606,8,0))=0,"",VLOOKUP(P23,deuda!A$1:H$606,8,0))</f>
        <v>#N/A</v>
      </c>
    </row>
    <row r="24" spans="1:21" ht="27.95" customHeight="1">
      <c r="A24" s="219">
        <v>6</v>
      </c>
      <c r="B24" s="62">
        <v>1202</v>
      </c>
      <c r="C24" s="62">
        <v>24</v>
      </c>
      <c r="D24" s="62">
        <v>1</v>
      </c>
      <c r="E24" s="148">
        <v>5.6734999999999998</v>
      </c>
      <c r="F24" s="103" t="str">
        <f t="shared" si="5"/>
        <v>SI</v>
      </c>
      <c r="G24" s="435" t="s">
        <v>258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5.6734999999999998</v>
      </c>
      <c r="I24" s="608">
        <v>0</v>
      </c>
      <c r="J24" s="434">
        <f t="shared" si="3"/>
        <v>9.2071914787782747E-2</v>
      </c>
      <c r="K24" s="538">
        <f t="shared" si="1"/>
        <v>42975.904943788402</v>
      </c>
      <c r="L24" s="538">
        <f t="shared" si="2"/>
        <v>42975.997015703193</v>
      </c>
      <c r="M24" s="125"/>
      <c r="N24" s="62"/>
      <c r="O24" s="5"/>
      <c r="P24" s="5" t="str">
        <f t="shared" si="4"/>
        <v>120224</v>
      </c>
      <c r="Q24" s="150">
        <f>VLOOKUP(P24,deuda!A$1:H$606,4,0)</f>
        <v>1</v>
      </c>
      <c r="R24" s="150">
        <f>VLOOKUP(P24,deuda!A$1:H$606,5,0)</f>
        <v>0</v>
      </c>
      <c r="S24" s="150" t="str">
        <f>IF(VLOOKUP(P24,deuda!A$1:H$606,6,0)=0,"",VLOOKUP(P24,deuda!A$1:H$606,6,0))</f>
        <v/>
      </c>
      <c r="T24" s="151" t="str">
        <f>IF((VLOOKUP(P24,deuda!A$1:H$606,7,0))=0,"",VLOOKUP(P24,deuda!A$1:H$606,7,0))</f>
        <v/>
      </c>
      <c r="U24" s="152" t="str">
        <f>IF((VLOOKUP(P24,deuda!A$1:H$606,8,0))=0,"",VLOOKUP(P24,deuda!A$1:H$606,8,0))</f>
        <v/>
      </c>
    </row>
    <row r="25" spans="1:21" ht="27.95" customHeight="1">
      <c r="A25" s="219">
        <v>6</v>
      </c>
      <c r="B25" s="62">
        <v>1202</v>
      </c>
      <c r="C25" s="62">
        <v>38</v>
      </c>
      <c r="D25" s="436">
        <v>1</v>
      </c>
      <c r="E25" s="148">
        <v>7.7110000000000003</v>
      </c>
      <c r="F25" s="103" t="str">
        <f t="shared" si="5"/>
        <v>SI</v>
      </c>
      <c r="G25" s="435" t="s">
        <v>259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7.7110000000000003</v>
      </c>
      <c r="I25" s="608">
        <v>3.472222222222222E-3</v>
      </c>
      <c r="J25" s="434">
        <f t="shared" si="3"/>
        <v>0.12513731117098667</v>
      </c>
      <c r="K25" s="538">
        <f t="shared" si="1"/>
        <v>42975.77633425501</v>
      </c>
      <c r="L25" s="538">
        <f t="shared" si="2"/>
        <v>42975.904943788402</v>
      </c>
      <c r="M25" s="125"/>
      <c r="N25" s="62"/>
      <c r="O25" s="5"/>
      <c r="P25" s="5" t="str">
        <f t="shared" si="4"/>
        <v>120238</v>
      </c>
      <c r="Q25" s="150">
        <f>VLOOKUP(P25,deuda!A$1:H$606,4,0)</f>
        <v>1</v>
      </c>
      <c r="R25" s="150">
        <f>VLOOKUP(P25,deuda!A$1:H$606,5,0)</f>
        <v>0</v>
      </c>
      <c r="S25" s="150" t="str">
        <f>IF(VLOOKUP(P25,deuda!A$1:H$606,6,0)=0,"",VLOOKUP(P25,deuda!A$1:H$606,6,0))</f>
        <v/>
      </c>
      <c r="T25" s="151" t="str">
        <f>IF((VLOOKUP(P25,deuda!A$1:H$606,7,0))=0,"",VLOOKUP(P25,deuda!A$1:H$606,7,0))</f>
        <v/>
      </c>
      <c r="U25" s="152" t="str">
        <f>IF((VLOOKUP(P25,deuda!A$1:H$606,8,0))=0,"",VLOOKUP(P25,deuda!A$1:H$606,8,0))</f>
        <v/>
      </c>
    </row>
    <row r="26" spans="1:21" ht="27.95" customHeight="1">
      <c r="A26" s="219">
        <v>7</v>
      </c>
      <c r="B26" s="62">
        <v>1202</v>
      </c>
      <c r="C26" s="62">
        <v>39</v>
      </c>
      <c r="D26" s="62">
        <v>1</v>
      </c>
      <c r="E26" s="148">
        <v>0.2621</v>
      </c>
      <c r="F26" s="103" t="str">
        <f t="shared" si="5"/>
        <v>NO</v>
      </c>
      <c r="G26" s="435" t="s">
        <v>260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0</v>
      </c>
      <c r="I26" s="608">
        <v>1.7361111111111112E-2</v>
      </c>
      <c r="J26" s="434">
        <f t="shared" si="3"/>
        <v>0</v>
      </c>
      <c r="K26" s="538">
        <f t="shared" si="1"/>
        <v>42975.7589731439</v>
      </c>
      <c r="L26" s="538">
        <f t="shared" si="2"/>
        <v>42975.77633425501</v>
      </c>
      <c r="M26" s="125"/>
      <c r="N26" s="62"/>
      <c r="O26" s="5"/>
      <c r="P26" s="5" t="str">
        <f t="shared" si="4"/>
        <v>120239</v>
      </c>
      <c r="Q26" s="150">
        <f>VLOOKUP(P26,deuda!A$1:H$606,4,0)</f>
        <v>0</v>
      </c>
      <c r="R26" s="150">
        <f>VLOOKUP(P26,deuda!A$1:H$606,5,0)</f>
        <v>70</v>
      </c>
      <c r="S26" s="150">
        <f>IF(VLOOKUP(P26,deuda!A$1:H$606,6,0)=0,"",VLOOKUP(P26,deuda!A$1:H$606,6,0))</f>
        <v>17694.189999999999</v>
      </c>
      <c r="T26" s="151" t="str">
        <f>IF((VLOOKUP(P26,deuda!A$1:H$606,7,0))=0,"",VLOOKUP(P26,deuda!A$1:H$606,7,0))</f>
        <v/>
      </c>
      <c r="U26" s="152" t="str">
        <f>IF((VLOOKUP(P26,deuda!A$1:H$606,8,0))=0,"",VLOOKUP(P26,deuda!A$1:H$606,8,0))</f>
        <v/>
      </c>
    </row>
    <row r="27" spans="1:21" ht="27.95" customHeight="1">
      <c r="A27" s="219">
        <v>8</v>
      </c>
      <c r="B27" s="62">
        <v>1202</v>
      </c>
      <c r="C27" s="62">
        <v>27</v>
      </c>
      <c r="D27" s="436">
        <v>1</v>
      </c>
      <c r="E27" s="148">
        <v>8.0000999999999998</v>
      </c>
      <c r="F27" s="103" t="str">
        <f t="shared" si="5"/>
        <v>NO</v>
      </c>
      <c r="G27" s="435" t="s">
        <v>261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0</v>
      </c>
      <c r="I27" s="608">
        <v>2.0833333333333332E-2</v>
      </c>
      <c r="J27" s="434">
        <f t="shared" si="3"/>
        <v>0</v>
      </c>
      <c r="K27" s="538">
        <f t="shared" si="1"/>
        <v>42975.738139810564</v>
      </c>
      <c r="L27" s="538">
        <f t="shared" si="2"/>
        <v>42975.7589731439</v>
      </c>
      <c r="M27" s="125"/>
      <c r="N27" s="62"/>
      <c r="O27" s="5"/>
      <c r="P27" s="5" t="str">
        <f t="shared" si="4"/>
        <v>120227</v>
      </c>
      <c r="Q27" s="150">
        <f>VLOOKUP(P27,deuda!A$1:H$606,4,0)</f>
        <v>0</v>
      </c>
      <c r="R27" s="150">
        <f>VLOOKUP(P27,deuda!A$1:H$606,5,0)</f>
        <v>4</v>
      </c>
      <c r="S27" s="150">
        <f>IF(VLOOKUP(P27,deuda!A$1:H$606,6,0)=0,"",VLOOKUP(P27,deuda!A$1:H$606,6,0))</f>
        <v>7839.96</v>
      </c>
      <c r="T27" s="151" t="str">
        <f>IF((VLOOKUP(P27,deuda!A$1:H$606,7,0))=0,"",VLOOKUP(P27,deuda!A$1:H$606,7,0))</f>
        <v/>
      </c>
      <c r="U27" s="152" t="str">
        <f>IF((VLOOKUP(P27,deuda!A$1:H$606,8,0))=0,"",VLOOKUP(P27,deuda!A$1:H$606,8,0))</f>
        <v/>
      </c>
    </row>
    <row r="28" spans="1:21" ht="27.95" customHeight="1">
      <c r="A28" s="219">
        <v>9</v>
      </c>
      <c r="B28" s="62">
        <v>1202</v>
      </c>
      <c r="C28" s="62">
        <v>32</v>
      </c>
      <c r="D28" s="436">
        <v>1</v>
      </c>
      <c r="E28" s="405">
        <v>10.550700000000001</v>
      </c>
      <c r="F28" s="103" t="str">
        <f t="shared" si="5"/>
        <v>SI</v>
      </c>
      <c r="G28" s="435" t="s">
        <v>262</v>
      </c>
      <c r="H28" s="579">
        <f>IF(Hijuelas!$G$7="POR FRACCIÓN",IF(F28="NO",0,IF(F28="cede turno",0,IF(Hijuelas!$G$8="si",IF(D28=1,E28,E28*0.8),E28))),IF(F28="NO",0,IF(F28="cede turno",0,IF(Hijuelas!$G$8="si",IF(D28=1,ROUNDUP(E28,0),ROUNDUP(E28*0.8,0)),ROUNDUP(E28,0)))))</f>
        <v>10.550700000000001</v>
      </c>
      <c r="I28" s="608">
        <v>4.1666666666666664E-2</v>
      </c>
      <c r="J28" s="434">
        <f t="shared" si="3"/>
        <v>0.17122114239031633</v>
      </c>
      <c r="K28" s="538">
        <f t="shared" si="1"/>
        <v>42975.525252001513</v>
      </c>
      <c r="L28" s="538">
        <f t="shared" si="2"/>
        <v>42975.738139810564</v>
      </c>
      <c r="M28" s="125"/>
      <c r="N28" s="62"/>
      <c r="O28" s="5"/>
      <c r="P28" s="5" t="str">
        <f>+CONCATENATE(B28,C28)</f>
        <v>120232</v>
      </c>
      <c r="Q28" s="150">
        <f>VLOOKUP(P28,deuda!A$1:H$606,4,0)</f>
        <v>1</v>
      </c>
      <c r="R28" s="150">
        <f>VLOOKUP(P28,deuda!A$1:H$606,5,0)</f>
        <v>1</v>
      </c>
      <c r="S28" s="150">
        <f>IF(VLOOKUP(P28,deuda!A$1:H$606,6,0)=0,"",VLOOKUP(P28,deuda!A$1:H$606,6,0))</f>
        <v>2310.0300000000002</v>
      </c>
      <c r="T28" s="151" t="str">
        <f>IF((VLOOKUP(P28,deuda!A$1:H$606,7,0))=0,"",VLOOKUP(P28,deuda!A$1:H$606,7,0))</f>
        <v/>
      </c>
      <c r="U28" s="152" t="str">
        <f>IF((VLOOKUP(P28,deuda!A$1:H$606,8,0))=0,"",VLOOKUP(P28,deuda!A$1:H$606,8,0))</f>
        <v/>
      </c>
    </row>
    <row r="29" spans="1:21" ht="27.95" customHeight="1">
      <c r="A29" s="219">
        <v>10</v>
      </c>
      <c r="B29" s="62">
        <v>1202</v>
      </c>
      <c r="C29" s="62">
        <v>37</v>
      </c>
      <c r="D29" s="62">
        <v>1</v>
      </c>
      <c r="E29" s="148">
        <v>23.092500000000001</v>
      </c>
      <c r="F29" s="103" t="str">
        <f t="shared" si="5"/>
        <v>SI</v>
      </c>
      <c r="G29" s="435" t="s">
        <v>263</v>
      </c>
      <c r="H29" s="579">
        <f>IF(Hijuelas!$G$7="POR FRACCIÓN",IF(F29="NO",0,IF(F29="cede turno",0,IF(Hijuelas!$G$8="si",IF(D29=1,E29,E29*0.8),E29))),IF(F29="NO",0,IF(F29="cede turno",0,IF(Hijuelas!$G$8="si",IF(D29=1,ROUNDUP(E29,0),ROUNDUP(E29*0.8,0)),ROUNDUP(E29,0)))))</f>
        <v>23.092500000000001</v>
      </c>
      <c r="I29" s="608">
        <v>6.9444444444444441E-3</v>
      </c>
      <c r="J29" s="434">
        <f t="shared" si="3"/>
        <v>0.37475468268914663</v>
      </c>
      <c r="K29" s="538">
        <f t="shared" si="1"/>
        <v>42975.143552874375</v>
      </c>
      <c r="L29" s="538">
        <f t="shared" si="2"/>
        <v>42975.525252001513</v>
      </c>
      <c r="M29" s="125"/>
      <c r="N29" s="62"/>
      <c r="O29" s="5"/>
      <c r="P29" s="5" t="str">
        <f t="shared" si="4"/>
        <v>120237</v>
      </c>
      <c r="Q29" s="150">
        <f>VLOOKUP(P29,deuda!A$1:H$606,4,0)</f>
        <v>1</v>
      </c>
      <c r="R29" s="150">
        <f>VLOOKUP(P29,deuda!A$1:H$606,5,0)</f>
        <v>0</v>
      </c>
      <c r="S29" s="150" t="str">
        <f>IF(VLOOKUP(P29,deuda!A$1:H$606,6,0)=0,"",VLOOKUP(P29,deuda!A$1:H$606,6,0))</f>
        <v/>
      </c>
      <c r="T29" s="151" t="str">
        <f>IF((VLOOKUP(P29,deuda!A$1:H$606,7,0))=0,"",VLOOKUP(P29,deuda!A$1:H$606,7,0))</f>
        <v/>
      </c>
      <c r="U29" s="152" t="str">
        <f>IF((VLOOKUP(P29,deuda!A$1:H$606,8,0))=0,"",VLOOKUP(P29,deuda!A$1:H$606,8,0))</f>
        <v/>
      </c>
    </row>
    <row r="30" spans="1:21" ht="27.95" customHeight="1">
      <c r="A30" s="219">
        <v>10</v>
      </c>
      <c r="B30" s="62">
        <v>1202</v>
      </c>
      <c r="C30" s="62">
        <v>34</v>
      </c>
      <c r="D30" s="62">
        <v>1</v>
      </c>
      <c r="E30" s="405">
        <v>25.386900000000001</v>
      </c>
      <c r="F30" s="103" t="str">
        <f t="shared" si="5"/>
        <v>SI</v>
      </c>
      <c r="G30" s="435" t="s">
        <v>263</v>
      </c>
      <c r="H30" s="579">
        <f>IF(Hijuelas!$G$7="POR FRACCIÓN",IF(F30="NO",0,IF(F30="cede turno",0,IF(Hijuelas!$G$8="si",IF(D30=1,E30,E30*0.8),E30))),IF(F30="NO",0,IF(F30="cede turno",0,IF(Hijuelas!$G$8="si",IF(D30=1,ROUNDUP(E30,0),ROUNDUP(E30*0.8,0)),ROUNDUP(E30,0)))))</f>
        <v>25.386900000000001</v>
      </c>
      <c r="I30" s="608">
        <v>0</v>
      </c>
      <c r="J30" s="434">
        <f t="shared" si="3"/>
        <v>0.4119891589893297</v>
      </c>
      <c r="K30" s="538">
        <f t="shared" si="1"/>
        <v>42974.731563715388</v>
      </c>
      <c r="L30" s="538">
        <f t="shared" si="2"/>
        <v>42975.143552874375</v>
      </c>
      <c r="M30" s="125"/>
      <c r="N30" s="62"/>
      <c r="O30" s="5"/>
      <c r="P30" s="5" t="str">
        <f t="shared" si="4"/>
        <v>120234</v>
      </c>
      <c r="Q30" s="150">
        <f>VLOOKUP(P30,deuda!A$1:H$606,4,0)</f>
        <v>1</v>
      </c>
      <c r="R30" s="150">
        <f>VLOOKUP(P30,deuda!A$1:H$606,5,0)</f>
        <v>0</v>
      </c>
      <c r="S30" s="150" t="str">
        <f>IF(VLOOKUP(P30,deuda!A$1:H$606,6,0)=0,"",VLOOKUP(P30,deuda!A$1:H$606,6,0))</f>
        <v/>
      </c>
      <c r="T30" s="151" t="str">
        <f>IF((VLOOKUP(P30,deuda!A$1:H$606,7,0))=0,"",VLOOKUP(P30,deuda!A$1:H$606,7,0))</f>
        <v/>
      </c>
      <c r="U30" s="152" t="str">
        <f>IF((VLOOKUP(P30,deuda!A$1:H$606,8,0))=0,"",VLOOKUP(P30,deuda!A$1:H$606,8,0))</f>
        <v/>
      </c>
    </row>
    <row r="31" spans="1:21" ht="27.95" customHeight="1">
      <c r="A31" s="219">
        <v>11</v>
      </c>
      <c r="B31" s="62">
        <v>1202</v>
      </c>
      <c r="C31" s="62">
        <v>14</v>
      </c>
      <c r="D31" s="62">
        <v>1</v>
      </c>
      <c r="E31" s="405">
        <v>34</v>
      </c>
      <c r="F31" s="103" t="str">
        <f t="shared" si="5"/>
        <v>SI</v>
      </c>
      <c r="G31" s="435" t="s">
        <v>264</v>
      </c>
      <c r="H31" s="579">
        <f>IF(Hijuelas!$G$7="POR FRACCIÓN",IF(F31="NO",0,IF(F31="cede turno",0,IF(Hijuelas!$G$8="si",IF(D31=1,E31,E31*0.8),E31))),IF(F31="NO",0,IF(F31="cede turno",0,IF(Hijuelas!$G$8="si",IF(D31=1,ROUNDUP(E31,0),ROUNDUP(E31*0.8,0)),ROUNDUP(E31,0)))))</f>
        <v>34</v>
      </c>
      <c r="I31" s="608">
        <v>0</v>
      </c>
      <c r="J31" s="434">
        <f t="shared" si="3"/>
        <v>0.55176612369518174</v>
      </c>
      <c r="K31" s="538">
        <f t="shared" si="1"/>
        <v>42974.179797591692</v>
      </c>
      <c r="L31" s="538">
        <f t="shared" si="2"/>
        <v>42974.731563715388</v>
      </c>
      <c r="M31" s="125"/>
      <c r="N31" s="62"/>
      <c r="O31" s="5"/>
      <c r="P31" s="5" t="str">
        <f t="shared" si="4"/>
        <v>120214</v>
      </c>
      <c r="Q31" s="150">
        <f>VLOOKUP(P31,deuda!A$1:H$606,4,0)</f>
        <v>1</v>
      </c>
      <c r="R31" s="150">
        <f>VLOOKUP(P31,deuda!A$1:H$606,5,0)</f>
        <v>1</v>
      </c>
      <c r="S31" s="150">
        <f>IF(VLOOKUP(P31,deuda!A$1:H$606,6,0)=0,"",VLOOKUP(P31,deuda!A$1:H$606,6,0))</f>
        <v>7093.5</v>
      </c>
      <c r="T31" s="151" t="str">
        <f>IF((VLOOKUP(P31,deuda!A$1:H$606,7,0))=0,"",VLOOKUP(P31,deuda!A$1:H$606,7,0))</f>
        <v/>
      </c>
      <c r="U31" s="152" t="str">
        <f>IF((VLOOKUP(P31,deuda!A$1:H$606,8,0))=0,"",VLOOKUP(P31,deuda!A$1:H$606,8,0))</f>
        <v/>
      </c>
    </row>
    <row r="32" spans="1:21" ht="27.95" customHeight="1">
      <c r="A32" s="219">
        <v>11</v>
      </c>
      <c r="B32" s="62">
        <v>1202</v>
      </c>
      <c r="C32" s="62">
        <v>19</v>
      </c>
      <c r="D32" s="436">
        <v>1</v>
      </c>
      <c r="E32" s="148">
        <v>1.3612</v>
      </c>
      <c r="F32" s="103" t="str">
        <f t="shared" si="5"/>
        <v>SI</v>
      </c>
      <c r="G32" s="435" t="s">
        <v>262</v>
      </c>
      <c r="H32" s="579">
        <f>IF(Hijuelas!$G$7="POR FRACCIÓN",IF(F32="NO",0,IF(F32="cede turno",0,IF(Hijuelas!$G$8="si",IF(D32=1,E32,E32*0.8),E32))),IF(F32="NO",0,IF(F32="cede turno",0,IF(Hijuelas!$G$8="si",IF(D32=1,ROUNDUP(E32,0),ROUNDUP(E32*0.8,0)),ROUNDUP(E32,0)))))</f>
        <v>1.3612</v>
      </c>
      <c r="I32" s="608">
        <v>0</v>
      </c>
      <c r="J32" s="434">
        <f t="shared" si="3"/>
        <v>2.2090119046290633E-2</v>
      </c>
      <c r="K32" s="538">
        <f t="shared" si="1"/>
        <v>42974.157707472645</v>
      </c>
      <c r="L32" s="538">
        <f t="shared" si="2"/>
        <v>42974.179797591692</v>
      </c>
      <c r="M32" s="125"/>
      <c r="N32" s="62"/>
      <c r="O32" s="5"/>
      <c r="P32" s="5" t="str">
        <f t="shared" si="4"/>
        <v>120219</v>
      </c>
      <c r="Q32" s="150">
        <f>VLOOKUP(P32,deuda!A$1:H$606,4,0)</f>
        <v>1</v>
      </c>
      <c r="R32" s="150">
        <f>VLOOKUP(P32,deuda!A$1:H$606,5,0)</f>
        <v>1</v>
      </c>
      <c r="S32" s="150">
        <f>IF(VLOOKUP(P32,deuda!A$1:H$606,6,0)=0,"",VLOOKUP(P32,deuda!A$1:H$606,6,0))</f>
        <v>428.44</v>
      </c>
      <c r="T32" s="151" t="str">
        <f>IF((VLOOKUP(P32,deuda!A$1:H$606,7,0))=0,"",VLOOKUP(P32,deuda!A$1:H$606,7,0))</f>
        <v/>
      </c>
      <c r="U32" s="152" t="str">
        <f>IF((VLOOKUP(P32,deuda!A$1:H$606,8,0))=0,"",VLOOKUP(P32,deuda!A$1:H$606,8,0))</f>
        <v/>
      </c>
    </row>
    <row r="33" spans="1:21" ht="27.95" customHeight="1">
      <c r="A33" s="219">
        <v>12</v>
      </c>
      <c r="B33" s="62">
        <v>1202</v>
      </c>
      <c r="C33" s="62">
        <v>22</v>
      </c>
      <c r="D33" s="436">
        <v>1</v>
      </c>
      <c r="E33" s="148">
        <v>19.985700000000001</v>
      </c>
      <c r="F33" s="103" t="str">
        <f>IF(Q33=0,"NO",IF(Q33=1,"SI",IF(Q33=3,"cede turno","CONDICIONAL")))</f>
        <v>SI</v>
      </c>
      <c r="G33" s="435" t="s">
        <v>265</v>
      </c>
      <c r="H33" s="579">
        <f>IF(Hijuelas!$G$7="POR FRACCIÓN",IF(F33="NO",0,IF(F33="cede turno",0,IF(Hijuelas!$G$8="si",IF(D33=1,E33,E33*0.8),E33))),IF(F33="NO",0,IF(F33="cede turno",0,IF(Hijuelas!$G$8="si",IF(D33=1,ROUNDUP(E33,0),ROUNDUP(E33*0.8,0)),ROUNDUP(E33,0)))))</f>
        <v>19.985700000000001</v>
      </c>
      <c r="I33" s="608">
        <v>0</v>
      </c>
      <c r="J33" s="434">
        <f t="shared" si="3"/>
        <v>0.32433624171572922</v>
      </c>
      <c r="K33" s="538">
        <f t="shared" si="1"/>
        <v>42973.833371230932</v>
      </c>
      <c r="L33" s="538">
        <f t="shared" si="2"/>
        <v>42974.157707472645</v>
      </c>
      <c r="M33" s="10"/>
      <c r="N33" s="62"/>
      <c r="O33" s="5"/>
      <c r="P33" s="5" t="str">
        <f>+CONCATENATE(B33,C33)</f>
        <v>120222</v>
      </c>
      <c r="Q33" s="150">
        <f>VLOOKUP(P33,deuda!A$1:H$606,4,0)</f>
        <v>1</v>
      </c>
      <c r="R33" s="150">
        <f>VLOOKUP(P33,deuda!A$1:H$606,5,0)</f>
        <v>0</v>
      </c>
      <c r="S33" s="150">
        <f>IF(VLOOKUP(P33,deuda!A$1:H$606,6,0)=0,"",VLOOKUP(P33,deuda!A$1:H$606,6,0))</f>
        <v>1213.2</v>
      </c>
      <c r="T33" s="151" t="str">
        <f>IF((VLOOKUP(P33,deuda!A$1:H$606,7,0))=0,"",VLOOKUP(P33,deuda!A$1:H$606,7,0))</f>
        <v/>
      </c>
      <c r="U33" s="152" t="str">
        <f>IF((VLOOKUP(P33,deuda!A$1:H$606,8,0))=0,"",VLOOKUP(P33,deuda!A$1:H$606,8,0))</f>
        <v/>
      </c>
    </row>
    <row r="34" spans="1:21" ht="30" customHeight="1">
      <c r="A34" s="404">
        <v>12</v>
      </c>
      <c r="B34" s="65">
        <v>1208</v>
      </c>
      <c r="C34" s="65">
        <v>22</v>
      </c>
      <c r="D34" s="65">
        <v>1</v>
      </c>
      <c r="E34" s="417">
        <v>3.45</v>
      </c>
      <c r="F34" s="103" t="str">
        <f>IF(Q34=0,"NO",IF(Q34=1,"SI",IF(Q34=3,"cede turno","CONDICIONAL")))</f>
        <v>SI</v>
      </c>
      <c r="G34" s="65" t="s">
        <v>266</v>
      </c>
      <c r="H34" s="579">
        <f>IF(Hijuelas!$G$7="POR FRACCIÓN",IF(F34="NO",0,IF(F34="cede turno",0,IF(Hijuelas!$G$8="si",IF(D34=1,E34,E34*0.8),E34))),IF(F34="NO",0,IF(F34="cede turno",0,IF(Hijuelas!$G$8="si",IF(D34=1,ROUNDUP(E34,0),ROUNDUP(E34*0.8,0)),ROUNDUP(E34,0)))))</f>
        <v>3.45</v>
      </c>
      <c r="I34" s="607">
        <v>0</v>
      </c>
      <c r="J34" s="434">
        <f t="shared" si="3"/>
        <v>5.5988033139658153E-2</v>
      </c>
      <c r="K34" s="538">
        <f t="shared" si="1"/>
        <v>42973.77738319779</v>
      </c>
      <c r="L34" s="538">
        <f t="shared" si="2"/>
        <v>42973.833371230932</v>
      </c>
      <c r="M34" s="174"/>
      <c r="N34" s="65"/>
      <c r="O34" s="65"/>
      <c r="P34" s="52" t="str">
        <f>+CONCATENATE(B34,C34)</f>
        <v>120822</v>
      </c>
      <c r="Q34" s="150">
        <f>VLOOKUP(P34,deuda!A$1:H$550,4,0)</f>
        <v>1</v>
      </c>
      <c r="R34" s="150">
        <f>VLOOKUP(P34,deuda!A$1:H$550,5,0)</f>
        <v>2</v>
      </c>
      <c r="S34" s="150">
        <f>IF(VLOOKUP(P34,deuda!A$1:H$550,6,0)=0,"",VLOOKUP(P34,deuda!A$1:H$550,6,0))</f>
        <v>1768.36</v>
      </c>
      <c r="T34" s="151" t="str">
        <f>IF((VLOOKUP(P34,deuda!A$1:H$550,7,0))=0,"",VLOOKUP(P34,deuda!A$1:H$550,7,0))</f>
        <v/>
      </c>
      <c r="U34" s="152" t="str">
        <f>IF((VLOOKUP(P34,deuda!A$1:H$550,8,0))=0,"",VLOOKUP(P34,deuda!A$1:H$550,8,0))</f>
        <v/>
      </c>
    </row>
    <row r="35" spans="1:21" s="10" customFormat="1" ht="27.95" customHeight="1">
      <c r="A35" s="219">
        <v>13</v>
      </c>
      <c r="B35" s="62">
        <v>1202</v>
      </c>
      <c r="C35" s="62">
        <v>1</v>
      </c>
      <c r="D35" s="62">
        <v>1</v>
      </c>
      <c r="E35" s="148">
        <v>21.941400000000002</v>
      </c>
      <c r="F35" s="103" t="str">
        <f t="shared" si="5"/>
        <v>NO</v>
      </c>
      <c r="G35" s="435" t="s">
        <v>267</v>
      </c>
      <c r="H35" s="579">
        <f>IF(Hijuelas!$G$7="POR FRACCIÓN",IF(F35="NO",0,IF(F35="cede turno",0,IF(Hijuelas!$G$8="si",IF(D35=1,E35,E35*0.8),E35))),IF(F35="NO",0,IF(F35="cede turno",0,IF(Hijuelas!$G$8="si",IF(D35=1,ROUNDUP(E35,0),ROUNDUP(E35*0.8,0)),ROUNDUP(E35,0)))))</f>
        <v>0</v>
      </c>
      <c r="I35" s="608">
        <v>0</v>
      </c>
      <c r="J35" s="434">
        <f t="shared" si="3"/>
        <v>0</v>
      </c>
      <c r="K35" s="538">
        <f t="shared" si="1"/>
        <v>42973.77738319779</v>
      </c>
      <c r="L35" s="538">
        <f t="shared" si="2"/>
        <v>42973.77738319779</v>
      </c>
      <c r="M35"/>
      <c r="N35" s="62"/>
      <c r="O35" s="5"/>
      <c r="P35" s="5" t="str">
        <f t="shared" si="4"/>
        <v>12021</v>
      </c>
      <c r="Q35" s="150">
        <f>VLOOKUP(P35,deuda!A$1:H$606,4,0)</f>
        <v>0</v>
      </c>
      <c r="R35" s="150">
        <f>VLOOKUP(P35,deuda!A$1:H$606,5,0)</f>
        <v>3</v>
      </c>
      <c r="S35" s="150">
        <f>IF(VLOOKUP(P35,deuda!A$1:H$606,6,0)=0,"",VLOOKUP(P35,deuda!A$1:H$606,6,0))</f>
        <v>9903.69</v>
      </c>
      <c r="T35" s="151" t="str">
        <f>IF((VLOOKUP(P35,deuda!A$1:H$606,7,0))=0,"",VLOOKUP(P35,deuda!A$1:H$606,7,0))</f>
        <v/>
      </c>
      <c r="U35" s="152" t="str">
        <f>IF((VLOOKUP(P35,deuda!A$1:H$606,8,0))=0,"",VLOOKUP(P35,deuda!A$1:H$606,8,0))</f>
        <v/>
      </c>
    </row>
    <row r="36" spans="1:21" ht="27.95" customHeight="1">
      <c r="A36" s="219">
        <v>14</v>
      </c>
      <c r="B36" s="62">
        <v>1202</v>
      </c>
      <c r="C36" s="62">
        <v>3</v>
      </c>
      <c r="D36" s="436">
        <v>1</v>
      </c>
      <c r="E36" s="405">
        <v>2.3567999999999998</v>
      </c>
      <c r="F36" s="103" t="str">
        <f t="shared" si="5"/>
        <v>NO</v>
      </c>
      <c r="G36" s="435" t="s">
        <v>268</v>
      </c>
      <c r="H36" s="579">
        <f>IF(Hijuelas!$G$7="POR FRACCIÓN",IF(F36="NO",0,IF(F36="cede turno",0,IF(Hijuelas!$G$8="si",IF(D36=1,E36,E36*0.8),E36))),IF(F36="NO",0,IF(F36="cede turno",0,IF(Hijuelas!$G$8="si",IF(D36=1,ROUNDUP(E36,0),ROUNDUP(E36*0.8,0)),ROUNDUP(E36,0)))))</f>
        <v>0</v>
      </c>
      <c r="I36" s="608">
        <v>0</v>
      </c>
      <c r="J36" s="434">
        <f t="shared" si="3"/>
        <v>0</v>
      </c>
      <c r="K36" s="538">
        <f t="shared" si="1"/>
        <v>42973.77738319779</v>
      </c>
      <c r="L36" s="538">
        <f t="shared" si="2"/>
        <v>42973.77738319779</v>
      </c>
      <c r="N36" s="62"/>
      <c r="O36" s="5"/>
      <c r="P36" s="5" t="str">
        <f t="shared" si="4"/>
        <v>12023</v>
      </c>
      <c r="Q36" s="150">
        <f>VLOOKUP(P36,deuda!A$1:H$606,4,0)</f>
        <v>0</v>
      </c>
      <c r="R36" s="150">
        <f>VLOOKUP(P36,deuda!A$1:H$606,5,0)</f>
        <v>3</v>
      </c>
      <c r="S36" s="150">
        <f>IF(VLOOKUP(P36,deuda!A$1:H$606,6,0)=0,"",VLOOKUP(P36,deuda!A$1:H$606,6,0))</f>
        <v>2039.65</v>
      </c>
      <c r="T36" s="151" t="str">
        <f>IF((VLOOKUP(P36,deuda!A$1:H$606,7,0))=0,"",VLOOKUP(P36,deuda!A$1:H$606,7,0))</f>
        <v/>
      </c>
      <c r="U36" s="152" t="str">
        <f>IF((VLOOKUP(P36,deuda!A$1:H$606,8,0))=0,"",VLOOKUP(P36,deuda!A$1:H$606,8,0))</f>
        <v/>
      </c>
    </row>
    <row r="37" spans="1:21" ht="27.95" customHeight="1">
      <c r="A37" s="219">
        <v>15</v>
      </c>
      <c r="B37" s="62">
        <v>1202</v>
      </c>
      <c r="C37" s="62">
        <v>28</v>
      </c>
      <c r="D37" s="62">
        <v>1</v>
      </c>
      <c r="E37" s="405">
        <v>2.3940000000000001</v>
      </c>
      <c r="F37" s="103" t="str">
        <f t="shared" si="5"/>
        <v>NO</v>
      </c>
      <c r="G37" s="435" t="s">
        <v>269</v>
      </c>
      <c r="H37" s="579">
        <f>IF(Hijuelas!$G$7="POR FRACCIÓN",IF(F37="NO",0,IF(F37="cede turno",0,IF(Hijuelas!$G$8="si",IF(D37=1,E37,E37*0.8),E37))),IF(F37="NO",0,IF(F37="cede turno",0,IF(Hijuelas!$G$8="si",IF(D37=1,ROUNDUP(E37,0),ROUNDUP(E37*0.8,0)),ROUNDUP(E37,0)))))</f>
        <v>0</v>
      </c>
      <c r="I37" s="608">
        <v>0</v>
      </c>
      <c r="J37" s="434">
        <f t="shared" si="3"/>
        <v>0</v>
      </c>
      <c r="K37" s="538">
        <f>+L38</f>
        <v>42973.77738319779</v>
      </c>
      <c r="L37" s="538">
        <f>+K37+J37+I37</f>
        <v>42973.77738319779</v>
      </c>
      <c r="N37" s="62"/>
      <c r="O37" s="5"/>
      <c r="P37" s="5" t="str">
        <f t="shared" si="4"/>
        <v>120228</v>
      </c>
      <c r="Q37" s="150">
        <f>VLOOKUP(P37,deuda!A$1:H$606,4,0)</f>
        <v>0</v>
      </c>
      <c r="R37" s="150">
        <f>VLOOKUP(P37,deuda!A$1:H$606,5,0)</f>
        <v>147</v>
      </c>
      <c r="S37" s="150">
        <f>IF(VLOOKUP(P37,deuda!A$1:H$606,6,0)=0,"",VLOOKUP(P37,deuda!A$1:H$606,6,0))</f>
        <v>46745.14</v>
      </c>
      <c r="T37" s="151" t="str">
        <f>IF((VLOOKUP(P37,deuda!A$1:H$606,7,0))=0,"",VLOOKUP(P37,deuda!A$1:H$606,7,0))</f>
        <v/>
      </c>
      <c r="U37" s="152" t="str">
        <f>IF((VLOOKUP(P37,deuda!A$1:H$606,8,0))=0,"",VLOOKUP(P37,deuda!A$1:H$606,8,0))</f>
        <v/>
      </c>
    </row>
    <row r="38" spans="1:21" ht="27.95" customHeight="1" thickBot="1">
      <c r="A38" s="221">
        <v>16</v>
      </c>
      <c r="B38" s="209">
        <v>1202</v>
      </c>
      <c r="C38" s="484">
        <v>4</v>
      </c>
      <c r="D38" s="484">
        <v>1</v>
      </c>
      <c r="E38" s="209">
        <v>9.3899000000000008</v>
      </c>
      <c r="F38" s="103" t="str">
        <f t="shared" si="5"/>
        <v>SI</v>
      </c>
      <c r="G38" s="407" t="s">
        <v>225</v>
      </c>
      <c r="H38" s="579">
        <f>IF(Hijuelas!$G$7="POR FRACCIÓN",IF(F38="NO",0,IF(F38="cede turno",0,IF(Hijuelas!$G$8="si",IF(D38=1,E38,E38*0.8),E38))),IF(F38="NO",0,IF(F38="cede turno",0,IF(Hijuelas!$G$8="si",IF(D38=1,ROUNDUP(E38,0),ROUNDUP(E38*0.8,0)),ROUNDUP(E38,0)))))</f>
        <v>9.3899000000000008</v>
      </c>
      <c r="I38" s="609">
        <v>0</v>
      </c>
      <c r="J38" s="434">
        <f t="shared" si="3"/>
        <v>0.15238319779074672</v>
      </c>
      <c r="K38" s="538">
        <f>+C5+I6</f>
        <v>42973.625</v>
      </c>
      <c r="L38" s="538">
        <f>+K38+J38</f>
        <v>42973.77738319779</v>
      </c>
      <c r="N38" s="407"/>
      <c r="O38" s="29"/>
      <c r="P38" s="5" t="str">
        <f t="shared" si="4"/>
        <v>12024</v>
      </c>
      <c r="Q38" s="150">
        <f>VLOOKUP(P38,deuda!A$1:H$606,4,0)</f>
        <v>1</v>
      </c>
      <c r="R38" s="150">
        <f>VLOOKUP(P38,deuda!A$1:H$606,5,0)</f>
        <v>0</v>
      </c>
      <c r="S38" s="150">
        <f>IF(VLOOKUP(P38,deuda!A$1:H$606,6,0)=0,"",VLOOKUP(P38,deuda!A$1:H$606,6,0))</f>
        <v>20.68</v>
      </c>
      <c r="T38" s="151" t="str">
        <f>IF((VLOOKUP(P38,deuda!A$1:H$606,7,0))=0,"",VLOOKUP(P38,deuda!A$1:H$606,7,0))</f>
        <v/>
      </c>
      <c r="U38" s="152" t="str">
        <f>IF((VLOOKUP(P38,deuda!A$1:H$606,8,0))=0,"",VLOOKUP(P38,deuda!A$1:H$606,8,0))</f>
        <v/>
      </c>
    </row>
    <row r="39" spans="1:21">
      <c r="A39" s="137"/>
      <c r="B39" s="137"/>
      <c r="C39" s="137"/>
      <c r="D39" s="137"/>
      <c r="E39" s="437">
        <f>SUM(E13:E38)</f>
        <v>277.44590000000005</v>
      </c>
      <c r="F39" s="223">
        <f>SUM(F13:F38)</f>
        <v>0</v>
      </c>
      <c r="G39" s="223"/>
      <c r="H39" s="437">
        <f>SUM(H13:H38)</f>
        <v>233.0018</v>
      </c>
      <c r="I39" s="438">
        <f>SUM(I13:I38)</f>
        <v>0.125</v>
      </c>
      <c r="J39" s="438">
        <f>SUM(J13:J38)</f>
        <v>3.7812500000000004</v>
      </c>
      <c r="K39" s="137"/>
      <c r="L39" s="137"/>
      <c r="N39" s="137"/>
    </row>
    <row r="40" spans="1:21">
      <c r="I40" s="15"/>
      <c r="J40" s="15"/>
      <c r="K40" s="262"/>
      <c r="L40" s="263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2">
    <dataValidation allowBlank="1" showInputMessage="1" showErrorMessage="1" errorTitle="ATENCIÓN" error="NO PUEDEN INGRESARSE VALORES" promptTitle="RECORDAR" prompt="NO OLVIDE VOLVER A PEGAR LA FORMULA PARA QUE LA PLANILLA LEA AUTOMATICAMENTE LOS DATOS " sqref="P13:U13 Q14:U33 Q35:U38" xr:uid="{00000000-0002-0000-1200-000000000000}"/>
    <dataValidation type="list" allowBlank="1" showInputMessage="1" showErrorMessage="1" errorTitle="ATENCIÓN" error="NO PUEDEN INGRESARSE VALORES" promptTitle="RECORDAR" prompt="NO OLVIDE VOLVER A PEGAR LA FORMULA PARA QUE LA PLANILLA LEA AUTOMATICAMENTE LOS DATOS " sqref="Q34" xr:uid="{00000000-0002-0000-1200-000001000000}">
      <formula1>"2, 3"</formula1>
    </dataValidation>
  </dataValidations>
  <pageMargins left="0.23622047244094491" right="0.23622047244094491" top="0.74803149606299213" bottom="0.74803149606299213" header="0.31496062992125984" footer="0.31496062992125984"/>
  <pageSetup paperSize="281" scale="93" orientation="landscape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32"/>
  <dimension ref="A1:G271"/>
  <sheetViews>
    <sheetView view="pageBreakPreview" topLeftCell="A247" zoomScale="75" zoomScaleNormal="100" workbookViewId="0" xr3:uid="{34904945-5288-588E-9F07-34343C13E9F2}">
      <selection activeCell="C13" sqref="C13"/>
    </sheetView>
  </sheetViews>
  <sheetFormatPr defaultColWidth="11.42578125" defaultRowHeight="12.75"/>
  <cols>
    <col min="2" max="2" width="11.7109375" bestFit="1" customWidth="1"/>
    <col min="3" max="3" width="22.7109375" bestFit="1" customWidth="1"/>
    <col min="5" max="5" width="11.7109375" bestFit="1" customWidth="1"/>
    <col min="6" max="6" width="17.85546875" customWidth="1"/>
  </cols>
  <sheetData>
    <row r="1" spans="1:7">
      <c r="A1" s="447"/>
      <c r="B1" s="448"/>
      <c r="C1" s="448"/>
      <c r="D1" s="448"/>
      <c r="E1" s="448"/>
      <c r="F1" s="449"/>
      <c r="G1" s="81"/>
    </row>
    <row r="2" spans="1:7">
      <c r="A2" s="465" t="s">
        <v>64</v>
      </c>
      <c r="B2" s="81"/>
      <c r="C2" s="81"/>
      <c r="D2" s="81"/>
      <c r="E2" s="81"/>
      <c r="F2" s="451"/>
      <c r="G2" s="81"/>
    </row>
    <row r="3" spans="1:7">
      <c r="A3" s="450"/>
      <c r="B3" s="81"/>
      <c r="C3" s="81"/>
      <c r="D3" s="81"/>
      <c r="E3" s="81"/>
      <c r="F3" s="451"/>
      <c r="G3" s="81"/>
    </row>
    <row r="4" spans="1:7">
      <c r="A4" s="450" t="s">
        <v>139</v>
      </c>
      <c r="B4" s="81" t="str">
        <f>VLOOKUP(F5,'7_1'!$A$13:$G$38,7,0)</f>
        <v>GONZALE LA RIVA ARISTEGUI FELIPE</v>
      </c>
      <c r="C4" s="81"/>
      <c r="D4" s="81"/>
      <c r="E4" s="81"/>
      <c r="F4" s="452" t="s">
        <v>102</v>
      </c>
      <c r="G4" s="81"/>
    </row>
    <row r="5" spans="1:7">
      <c r="A5" s="450" t="s">
        <v>72</v>
      </c>
      <c r="B5" s="81" t="str">
        <f>+'7_1'!$H$2</f>
        <v>Hijuela Ibañez</v>
      </c>
      <c r="C5" s="81"/>
      <c r="D5" s="81"/>
      <c r="E5" s="81"/>
      <c r="F5" s="452">
        <v>1</v>
      </c>
      <c r="G5" s="81"/>
    </row>
    <row r="6" spans="1:7">
      <c r="A6" s="450"/>
      <c r="B6" s="81"/>
      <c r="C6" s="81"/>
      <c r="D6" s="81"/>
      <c r="E6" s="81"/>
      <c r="F6" s="451"/>
      <c r="G6" s="81"/>
    </row>
    <row r="7" spans="1:7">
      <c r="A7" s="466" t="s">
        <v>140</v>
      </c>
      <c r="B7" s="458">
        <f>VLOOKUP(F5,'7_1'!$A$13:$B$38,2,0)</f>
        <v>1202</v>
      </c>
      <c r="C7" s="81"/>
      <c r="D7" s="139" t="s">
        <v>141</v>
      </c>
      <c r="E7" s="457">
        <f>DSUM('7_1'!A$12:J$38,'7_1'!$J$12,F4:F5)</f>
        <v>0.17866187085249985</v>
      </c>
      <c r="F7" s="451"/>
      <c r="G7" s="81"/>
    </row>
    <row r="8" spans="1:7">
      <c r="A8" s="466" t="s">
        <v>142</v>
      </c>
      <c r="B8" s="461">
        <v>30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466" t="s">
        <v>144</v>
      </c>
      <c r="B9" s="462">
        <f>DSUM('7_1'!$A$12:$H$38,'7_1'!$H$12,F4:F5)</f>
        <v>11.0092</v>
      </c>
      <c r="C9" s="81"/>
      <c r="D9" s="139" t="s">
        <v>145</v>
      </c>
      <c r="E9" s="458" t="str">
        <f>IF(VLOOKUP(F5,'7_1'!$A$13:$D$54,4,0)=1, "Definitivo 100%", "Eventual 80%")</f>
        <v>Definitivo 100%</v>
      </c>
      <c r="F9" s="583"/>
      <c r="G9" s="81"/>
    </row>
    <row r="10" spans="1:7" ht="15.75">
      <c r="A10" s="450"/>
      <c r="B10" s="139" t="s">
        <v>146</v>
      </c>
      <c r="C10" s="145">
        <f>DMIN('7_1'!A$12:K$38,'7_1'!$K$12,F4:F5)</f>
        <v>42977.352588129143</v>
      </c>
      <c r="D10" s="189" t="str">
        <f>IF(E10=1,"Domingo",IF(E10=2,"Lunes",IF(E10=3,"Martes",IF(E10=4,"Miercoles",IF(E10=5,"Jueves",IF(E10=6,"Viernes",IF(E10=7,"Sábado",0)))))))</f>
        <v>Miercoles</v>
      </c>
      <c r="E10" s="190">
        <f>WEEKDAY(C10)</f>
        <v>4</v>
      </c>
      <c r="F10" s="453" t="s">
        <v>62</v>
      </c>
      <c r="G10" s="81"/>
    </row>
    <row r="11" spans="1:7" ht="15.75">
      <c r="A11" s="450"/>
      <c r="B11" s="139" t="s">
        <v>147</v>
      </c>
      <c r="C11" s="145">
        <f>DMAX('7_1'!A$12:L$38,'7_1'!$L$12,F4:F5)</f>
        <v>42977.531249999993</v>
      </c>
      <c r="D11" s="189" t="str">
        <f>IF(E11=1,"Domingo",IF(E11=2,"Lunes",IF(E11=3,"Martes",IF(E11=4,"Miercoles",IF(E11=5,"Jueves",IF(E11=6,"Viernes",IF(E11=7,"Sábado",0)))))))</f>
        <v>Miercoles</v>
      </c>
      <c r="E11" s="190">
        <f>WEEKDAY(C11)</f>
        <v>4</v>
      </c>
      <c r="F11" s="453">
        <f>WEEKDAY(C11)</f>
        <v>4</v>
      </c>
      <c r="G11" s="81"/>
    </row>
    <row r="12" spans="1:7">
      <c r="A12" s="450"/>
      <c r="B12" s="81"/>
      <c r="C12" s="81"/>
      <c r="D12" s="81"/>
      <c r="E12" s="584"/>
      <c r="F12" s="583"/>
      <c r="G12" s="81"/>
    </row>
    <row r="13" spans="1:7">
      <c r="A13" s="472">
        <f>+Mensajes!$B$7</f>
        <v>0</v>
      </c>
      <c r="B13" s="81"/>
      <c r="C13" s="81"/>
      <c r="D13" s="81"/>
      <c r="E13" s="81"/>
      <c r="F13" s="451"/>
      <c r="G13" s="81"/>
    </row>
    <row r="14" spans="1:7">
      <c r="A14" s="472">
        <f>+Mensajes!$B$12</f>
        <v>0</v>
      </c>
      <c r="B14" s="81"/>
      <c r="C14" s="81"/>
      <c r="D14" s="81"/>
      <c r="E14" s="81"/>
      <c r="F14" s="451"/>
      <c r="G14" s="81"/>
    </row>
    <row r="15" spans="1:7">
      <c r="A15" s="471"/>
      <c r="B15" s="81"/>
      <c r="C15" s="81"/>
      <c r="D15" s="81"/>
      <c r="E15" s="81"/>
      <c r="F15" s="451"/>
      <c r="G15" s="81"/>
    </row>
    <row r="16" spans="1:7" ht="13.5" thickBot="1">
      <c r="A16" s="468"/>
      <c r="B16" s="455"/>
      <c r="C16" s="455"/>
      <c r="D16" s="454" t="str">
        <f>IF(DSUM('7_1'!$A$12:$S$94,17,F4:F5)=COUNTIF('7_1'!$A$38:$A$94,F5),"","Regularice su Deuda")</f>
        <v>Regularice su Deuda</v>
      </c>
      <c r="E16" s="455"/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VLOOKUP(F22,'7_1'!$A$13:$G$38,7,0)</f>
        <v>VITIVINICOLA LOS ROBLES S.A.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+'7_1'!$H$2</f>
        <v>Hijuela Ibañez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66" t="s">
        <v>140</v>
      </c>
      <c r="B24" s="458">
        <f>VLOOKUP(F22,'7_1'!$A$13:$B$38,2,0)</f>
        <v>1202</v>
      </c>
      <c r="C24" s="81"/>
      <c r="D24" s="139" t="s">
        <v>141</v>
      </c>
      <c r="E24" s="457">
        <f>DSUM('7_1'!A$12:J$38,'7_1'!$J$12,F21:F22)</f>
        <v>1.3208502037323318</v>
      </c>
      <c r="F24" s="451"/>
    </row>
    <row r="25" spans="1:6">
      <c r="A25" s="466" t="s">
        <v>142</v>
      </c>
      <c r="B25" s="461" t="s">
        <v>270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66" t="s">
        <v>144</v>
      </c>
      <c r="B26" s="462">
        <f>DSUM('7_1'!$A$12:$H$38,'7_1'!$H$12,F21:F22)</f>
        <v>81.391199999999998</v>
      </c>
      <c r="C26" s="81"/>
      <c r="D26" s="139" t="s">
        <v>145</v>
      </c>
      <c r="E26" s="458" t="str">
        <f>IF(VLOOKUP(F22,'7_1'!$A$13:$D$54,4,0)=1, "Definitivo 100%", "Eventual 80%")</f>
        <v>Definitivo 100%</v>
      </c>
      <c r="F26" s="583"/>
    </row>
    <row r="27" spans="1:6" ht="15.75">
      <c r="A27" s="450"/>
      <c r="B27" s="139" t="s">
        <v>146</v>
      </c>
      <c r="C27" s="145">
        <f>DMIN('7_1'!A$12:K$38,'7_1'!$K$12,F21:F22)</f>
        <v>42975.997015703193</v>
      </c>
      <c r="D27" s="189" t="str">
        <f>IF(E27=1,"Domingo",IF(E27=2,"Lunes",IF(E27=3,"Martes",IF(E27=4,"Miercoles",IF(E27=5,"Jueves",IF(E27=6,"Viernes",IF(E27=7,"Sábado",0)))))))</f>
        <v>Lunes</v>
      </c>
      <c r="E27" s="190">
        <f>WEEKDAY(C27)</f>
        <v>2</v>
      </c>
      <c r="F27" s="453" t="s">
        <v>62</v>
      </c>
    </row>
    <row r="28" spans="1:6" ht="15.75">
      <c r="A28" s="450"/>
      <c r="B28" s="139" t="s">
        <v>147</v>
      </c>
      <c r="C28" s="145">
        <f>DMAX('7_1'!A$12:L$38,'7_1'!$L$12,F21:F22)</f>
        <v>42977.352588129143</v>
      </c>
      <c r="D28" s="189" t="str">
        <f>IF(E28=1,"Domingo",IF(E28=2,"Lunes",IF(E28=3,"Martes",IF(E28=4,"Miercoles",IF(E28=5,"Jueves",IF(E28=6,"Viernes",IF(E28=7,"Sábado",0)))))))</f>
        <v>Miercoles</v>
      </c>
      <c r="E28" s="190">
        <f>WEEKDAY(C28)</f>
        <v>4</v>
      </c>
      <c r="F28" s="453">
        <f>WEEKDAY(C28)</f>
        <v>4</v>
      </c>
    </row>
    <row r="29" spans="1:6">
      <c r="A29" s="450"/>
      <c r="B29" s="81"/>
      <c r="C29" s="81"/>
      <c r="D29" s="81"/>
      <c r="E29" s="584"/>
      <c r="F29" s="583"/>
    </row>
    <row r="30" spans="1:6">
      <c r="A30" s="472">
        <f>+Mensajes!$B$7</f>
        <v>0</v>
      </c>
      <c r="B30" s="81"/>
      <c r="C30" s="81"/>
      <c r="D30" s="81"/>
      <c r="E30" s="81"/>
      <c r="F30" s="451"/>
    </row>
    <row r="31" spans="1:6">
      <c r="A31" s="472">
        <f>+Mensajes!$B$12</f>
        <v>0</v>
      </c>
      <c r="B31" s="81"/>
      <c r="C31" s="81"/>
      <c r="D31" s="81"/>
      <c r="E31" s="81"/>
      <c r="F31" s="451"/>
    </row>
    <row r="32" spans="1:6">
      <c r="A32" s="471"/>
      <c r="B32" s="81"/>
      <c r="C32" s="81"/>
      <c r="D32" s="81"/>
      <c r="E32" s="81"/>
      <c r="F32" s="451"/>
    </row>
    <row r="33" spans="1:6" ht="13.5" thickBot="1">
      <c r="A33" s="468"/>
      <c r="B33" s="455"/>
      <c r="C33" s="455"/>
      <c r="D33" s="454" t="str">
        <f>IF(DSUM('7_1'!$A$12:$S$94,17,F21:F22)=COUNTIF('7_1'!$A$38:$A$94,F22),"","Regularice su Deuda")</f>
        <v>Regularice su Deuda</v>
      </c>
      <c r="E33" s="455"/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VLOOKUP(F39,'7_1'!$A$13:$G$38,7,0)</f>
        <v>SONI, MATYAS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+'7_1'!$H$2</f>
        <v>Hijuela Ibañez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VLOOKUP(F39,'7_1'!$A$13:$B$38,2,0)</f>
        <v>1202</v>
      </c>
      <c r="C41" s="81"/>
      <c r="D41" s="139" t="s">
        <v>141</v>
      </c>
      <c r="E41" s="457">
        <f>DSUM('7_1'!A$12:J$38,'7_1'!$J$12,F38:F39)</f>
        <v>0</v>
      </c>
      <c r="F41" s="451"/>
    </row>
    <row r="42" spans="1:6">
      <c r="A42" s="466" t="s">
        <v>142</v>
      </c>
      <c r="B42" s="461">
        <v>31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DSUM('7_1'!$A$12:$H$38,'7_1'!$H$12,F38:F39)</f>
        <v>0</v>
      </c>
      <c r="C43" s="81"/>
      <c r="D43" s="139" t="s">
        <v>145</v>
      </c>
      <c r="E43" s="458" t="str">
        <f>IF(VLOOKUP(F39,'7_1'!$A$13:$D$54,4,0)=1, "Definitivo 100%", "Eventual 80%")</f>
        <v>Definitivo 100%</v>
      </c>
      <c r="F43" s="583"/>
    </row>
    <row r="44" spans="1:6" ht="15.75">
      <c r="A44" s="450"/>
      <c r="B44" s="139" t="s">
        <v>146</v>
      </c>
      <c r="C44" s="145">
        <f>DMIN('7_1'!A$12:K$38,'7_1'!$K$12,F38:F39)</f>
        <v>42975.997015703193</v>
      </c>
      <c r="D44" s="189" t="str">
        <f>IF(E44=1,"Domingo",IF(E44=2,"Lunes",IF(E44=3,"Martes",IF(E44=4,"Miercoles",IF(E44=5,"Jueves",IF(E44=6,"Viernes",IF(E44=7,"Sábado",0)))))))</f>
        <v>Lunes</v>
      </c>
      <c r="E44" s="190">
        <f>WEEKDAY(C44)</f>
        <v>2</v>
      </c>
      <c r="F44" s="453" t="s">
        <v>62</v>
      </c>
    </row>
    <row r="45" spans="1:6" ht="15.75">
      <c r="A45" s="450"/>
      <c r="B45" s="139" t="s">
        <v>147</v>
      </c>
      <c r="C45" s="145">
        <f>DMAX('7_1'!A$12:L$38,'7_1'!$L$12,F38:F39)</f>
        <v>42975.997015703193</v>
      </c>
      <c r="D45" s="189" t="str">
        <f>IF(E45=1,"Domingo",IF(E45=2,"Lunes",IF(E45=3,"Martes",IF(E45=4,"Miercoles",IF(E45=5,"Jueves",IF(E45=6,"Viernes",IF(E45=7,"Sábado",0)))))))</f>
        <v>Lunes</v>
      </c>
      <c r="E45" s="190">
        <f>WEEKDAY(C45)</f>
        <v>2</v>
      </c>
      <c r="F45" s="453">
        <f>WEEKDAY(C45)</f>
        <v>2</v>
      </c>
    </row>
    <row r="46" spans="1:6">
      <c r="A46" s="450"/>
      <c r="B46" s="81"/>
      <c r="C46" s="81"/>
      <c r="D46" s="81"/>
      <c r="E46" s="584"/>
      <c r="F46" s="583"/>
    </row>
    <row r="47" spans="1:6">
      <c r="A47" s="472">
        <f>+Mensajes!$B$7</f>
        <v>0</v>
      </c>
      <c r="B47" s="81"/>
      <c r="C47" s="81"/>
      <c r="D47" s="81"/>
      <c r="E47" s="81"/>
      <c r="F47" s="451"/>
    </row>
    <row r="48" spans="1:6">
      <c r="A48" s="472">
        <f>+Mensajes!$B$12</f>
        <v>0</v>
      </c>
      <c r="B48" s="81"/>
      <c r="C48" s="81"/>
      <c r="D48" s="81"/>
      <c r="E48" s="81"/>
      <c r="F48" s="451"/>
    </row>
    <row r="49" spans="1:6">
      <c r="A49" s="471"/>
      <c r="B49" s="81"/>
      <c r="C49" s="81"/>
      <c r="D49" s="81"/>
      <c r="E49" s="81"/>
      <c r="F49" s="451"/>
    </row>
    <row r="50" spans="1:6" ht="13.5" thickBot="1">
      <c r="A50" s="468"/>
      <c r="B50" s="455"/>
      <c r="C50" s="455"/>
      <c r="D50" s="454" t="str">
        <f>IF(DSUM('7_1'!$A$12:$S$94,17,F38:F39)=COUNTIF('7_1'!$A$38:$A$94,F39),"","Regularice su Deuda")</f>
        <v/>
      </c>
      <c r="E50" s="455"/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VLOOKUP(F56,'7_1'!$A$13:$G$38,7,0)</f>
        <v>SANJURJO FRANCISCO ANTONIO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+'7_1'!$H$2</f>
        <v>Hijuela Ibañez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VLOOKUP(F56,'7_1'!$A$13:$B$38,2,0)</f>
        <v>1202</v>
      </c>
      <c r="C58" s="81"/>
      <c r="D58" s="139" t="s">
        <v>141</v>
      </c>
      <c r="E58" s="457">
        <f>DSUM('7_1'!A$12:J$38,'7_1'!$J$12,F55:F56)</f>
        <v>0</v>
      </c>
      <c r="F58" s="451"/>
    </row>
    <row r="59" spans="1:6">
      <c r="A59" s="466" t="s">
        <v>142</v>
      </c>
      <c r="B59" s="461">
        <v>5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DSUM('7_1'!$A$12:$H$38,'7_1'!$H$12,F55:F56)</f>
        <v>0</v>
      </c>
      <c r="C60" s="81"/>
      <c r="D60" s="139" t="s">
        <v>145</v>
      </c>
      <c r="E60" s="458" t="str">
        <f>IF(VLOOKUP(F56,'7_1'!$A$13:$D$54,4,0)=1, "Definitivo 100%", "Eventual 80%")</f>
        <v>Definitivo 100%</v>
      </c>
      <c r="F60" s="583"/>
    </row>
    <row r="61" spans="1:6" ht="15.75">
      <c r="A61" s="450"/>
      <c r="B61" s="139" t="s">
        <v>146</v>
      </c>
      <c r="C61" s="145">
        <f>DMIN('7_1'!A$12:K$38,'7_1'!$K$12,F55:F56)</f>
        <v>42975.997015703193</v>
      </c>
      <c r="D61" s="189" t="str">
        <f>IF(E61=1,"Domingo",IF(E61=2,"Lunes",IF(E61=3,"Martes",IF(E61=4,"Miercoles",IF(E61=5,"Jueves",IF(E61=6,"Viernes",IF(E61=7,"Sábado",0)))))))</f>
        <v>Lunes</v>
      </c>
      <c r="E61" s="190">
        <f>WEEKDAY(C61)</f>
        <v>2</v>
      </c>
      <c r="F61" s="453" t="s">
        <v>62</v>
      </c>
    </row>
    <row r="62" spans="1:6" ht="15.75">
      <c r="A62" s="450"/>
      <c r="B62" s="139" t="s">
        <v>147</v>
      </c>
      <c r="C62" s="145">
        <f>DMAX('7_1'!A$12:L$38,'7_1'!$L$12,F55:F56)</f>
        <v>42975.997015703193</v>
      </c>
      <c r="D62" s="189" t="str">
        <f>IF(E62=1,"Domingo",IF(E62=2,"Lunes",IF(E62=3,"Martes",IF(E62=4,"Miercoles",IF(E62=5,"Jueves",IF(E62=6,"Viernes",IF(E62=7,"Sábado",0)))))))</f>
        <v>Lunes</v>
      </c>
      <c r="E62" s="190">
        <f>WEEKDAY(C62)</f>
        <v>2</v>
      </c>
      <c r="F62" s="453">
        <f>WEEKDAY(C62)</f>
        <v>2</v>
      </c>
    </row>
    <row r="63" spans="1:6">
      <c r="A63" s="450"/>
      <c r="B63" s="81"/>
      <c r="C63" s="81"/>
      <c r="D63" s="81"/>
      <c r="E63" s="584"/>
      <c r="F63" s="583"/>
    </row>
    <row r="64" spans="1:6">
      <c r="A64" s="472">
        <f>+Mensajes!$B$7</f>
        <v>0</v>
      </c>
      <c r="B64" s="81"/>
      <c r="C64" s="81"/>
      <c r="D64" s="81"/>
      <c r="E64" s="81"/>
      <c r="F64" s="451"/>
    </row>
    <row r="65" spans="1:6">
      <c r="A65" s="472">
        <f>+Mensajes!$B$12</f>
        <v>0</v>
      </c>
      <c r="B65" s="81"/>
      <c r="C65" s="81"/>
      <c r="D65" s="81"/>
      <c r="E65" s="81"/>
      <c r="F65" s="451"/>
    </row>
    <row r="66" spans="1:6">
      <c r="A66" s="471"/>
      <c r="B66" s="81"/>
      <c r="C66" s="81"/>
      <c r="D66" s="81"/>
      <c r="E66" s="81"/>
      <c r="F66" s="451"/>
    </row>
    <row r="67" spans="1:6" ht="13.5" thickBot="1">
      <c r="A67" s="468"/>
      <c r="B67" s="455"/>
      <c r="C67" s="455"/>
      <c r="D67" s="454" t="str">
        <f>IF(DSUM('7_1'!$A$12:$S$94,17,F55:F56)=COUNTIF('7_1'!$A$38:$A$94,F56),"","Regularice su Deuda")</f>
        <v/>
      </c>
      <c r="E67" s="455"/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VLOOKUP(F73,'7_1'!$A$13:$G$38,7,0)</f>
        <v>SANJURJO, JULIO ARGENTINO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+'7_1'!$H$2</f>
        <v>Hijuela Ibañez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VLOOKUP(F73,'7_1'!$A$13:$B$38,2,0)</f>
        <v>1202</v>
      </c>
      <c r="C75" s="81"/>
      <c r="D75" s="139" t="s">
        <v>141</v>
      </c>
      <c r="E75" s="457">
        <f>DSUM('7_1'!A$12:J$38,'7_1'!$J$12,F72:F73)</f>
        <v>0</v>
      </c>
      <c r="F75" s="451"/>
    </row>
    <row r="76" spans="1:6">
      <c r="A76" s="466" t="s">
        <v>142</v>
      </c>
      <c r="B76" s="461">
        <v>29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DSUM('7_1'!$A$12:$H$38,'7_1'!$H$12,F72:F73)</f>
        <v>0</v>
      </c>
      <c r="C77" s="81"/>
      <c r="D77" s="139" t="s">
        <v>145</v>
      </c>
      <c r="E77" s="458" t="str">
        <f>IF(VLOOKUP(F73,'7_1'!$A$13:$D$54,4,0)=1, "Definitivo 100%", "Eventual 80%")</f>
        <v>Definitivo 100%</v>
      </c>
      <c r="F77" s="583"/>
    </row>
    <row r="78" spans="1:6" ht="15.75">
      <c r="A78" s="450"/>
      <c r="B78" s="139" t="s">
        <v>146</v>
      </c>
      <c r="C78" s="145">
        <f>DMIN('7_1'!A$12:K$38,'7_1'!$K$12,F72:F73)</f>
        <v>42975.997015703193</v>
      </c>
      <c r="D78" s="189" t="str">
        <f>IF(E78=1,"Domingo",IF(E78=2,"Lunes",IF(E78=3,"Martes",IF(E78=4,"Miercoles",IF(E78=5,"Jueves",IF(E78=6,"Viernes",IF(E78=7,"Sábado",0)))))))</f>
        <v>Lunes</v>
      </c>
      <c r="E78" s="190">
        <f>WEEKDAY(C78)</f>
        <v>2</v>
      </c>
      <c r="F78" s="453" t="s">
        <v>62</v>
      </c>
    </row>
    <row r="79" spans="1:6" ht="15.75">
      <c r="A79" s="450"/>
      <c r="B79" s="139" t="s">
        <v>147</v>
      </c>
      <c r="C79" s="145">
        <f>DMAX('7_1'!A$12:L$38,'7_1'!$L$12,F72:F73)</f>
        <v>42975.997015703193</v>
      </c>
      <c r="D79" s="189" t="str">
        <f>IF(E79=1,"Domingo",IF(E79=2,"Lunes",IF(E79=3,"Martes",IF(E79=4,"Miercoles",IF(E79=5,"Jueves",IF(E79=6,"Viernes",IF(E79=7,"Sábado",0)))))))</f>
        <v>Lunes</v>
      </c>
      <c r="E79" s="190">
        <f>WEEKDAY(C79)</f>
        <v>2</v>
      </c>
      <c r="F79" s="453">
        <f>WEEKDAY(C79)</f>
        <v>2</v>
      </c>
    </row>
    <row r="80" spans="1:6">
      <c r="A80" s="450"/>
      <c r="B80" s="81"/>
      <c r="C80" s="81"/>
      <c r="D80" s="81"/>
      <c r="E80" s="584"/>
      <c r="F80" s="583"/>
    </row>
    <row r="81" spans="1:6">
      <c r="A81" s="472">
        <f>+Mensajes!$B$7</f>
        <v>0</v>
      </c>
      <c r="B81" s="81"/>
      <c r="C81" s="81"/>
      <c r="D81" s="81"/>
      <c r="E81" s="81"/>
      <c r="F81" s="451"/>
    </row>
    <row r="82" spans="1:6">
      <c r="A82" s="472">
        <f>+Mensajes!$B$12</f>
        <v>0</v>
      </c>
      <c r="B82" s="81"/>
      <c r="C82" s="81"/>
      <c r="D82" s="81"/>
      <c r="E82" s="81"/>
      <c r="F82" s="451"/>
    </row>
    <row r="83" spans="1:6">
      <c r="A83" s="471"/>
      <c r="B83" s="81"/>
      <c r="C83" s="81"/>
      <c r="D83" s="81"/>
      <c r="E83" s="81"/>
      <c r="F83" s="451"/>
    </row>
    <row r="84" spans="1:6" ht="13.5" thickBot="1">
      <c r="A84" s="468"/>
      <c r="B84" s="455"/>
      <c r="C84" s="455"/>
      <c r="D84" s="454" t="e">
        <f>IF(DSUM('7_1'!$A$12:$S$94,17,F72:F73)=COUNTIF('7_1'!$A$38:$A$94,F73),"","Regularice su Deuda")</f>
        <v>#N/A</v>
      </c>
      <c r="E84" s="455"/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VLOOKUP(F90,'7_1'!$A$13:$G$38,7,0)</f>
        <v>SANJURJO, HUGO HORACIO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+'7_1'!$H$2</f>
        <v>Hijuela Ibañez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VLOOKUP(F90,'7_1'!$A$13:$B$38,2,0)</f>
        <v>1202</v>
      </c>
      <c r="C92" s="81"/>
      <c r="D92" s="139" t="s">
        <v>141</v>
      </c>
      <c r="E92" s="457">
        <f>DSUM('7_1'!A$12:J$38,'7_1'!$J$12,F89:F90)</f>
        <v>0.2172092259587694</v>
      </c>
      <c r="F92" s="451"/>
    </row>
    <row r="93" spans="1:6">
      <c r="A93" s="466" t="s">
        <v>142</v>
      </c>
      <c r="B93" s="461" t="s">
        <v>271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DSUM('7_1'!$A$12:$H$38,'7_1'!$H$12,F89:F90)</f>
        <v>13.384499999999999</v>
      </c>
      <c r="C94" s="81"/>
      <c r="D94" s="139" t="s">
        <v>145</v>
      </c>
      <c r="E94" s="458" t="str">
        <f>IF(VLOOKUP(F90,'7_1'!$A$13:$D$54,4,0)=1, "Definitivo 100%", "Eventual 80%")</f>
        <v>Definitivo 100%</v>
      </c>
      <c r="F94" s="583"/>
    </row>
    <row r="95" spans="1:6" ht="15.75">
      <c r="A95" s="450"/>
      <c r="B95" s="139" t="s">
        <v>146</v>
      </c>
      <c r="C95" s="145">
        <f>DMIN('7_1'!A$12:K$38,'7_1'!$K$12,F89:F90)</f>
        <v>42975.77633425501</v>
      </c>
      <c r="D95" s="189" t="str">
        <f>IF(E95=1,"Domingo",IF(E95=2,"Lunes",IF(E95=3,"Martes",IF(E95=4,"Miercoles",IF(E95=5,"Jueves",IF(E95=6,"Viernes",IF(E95=7,"Sábado",0)))))))</f>
        <v>Lunes</v>
      </c>
      <c r="E95" s="190">
        <f>WEEKDAY(C95)</f>
        <v>2</v>
      </c>
      <c r="F95" s="453" t="s">
        <v>62</v>
      </c>
    </row>
    <row r="96" spans="1:6" ht="15.75">
      <c r="A96" s="450"/>
      <c r="B96" s="139" t="s">
        <v>147</v>
      </c>
      <c r="C96" s="145">
        <f>DMAX('7_1'!A$12:L$38,'7_1'!$L$12,F89:F90)</f>
        <v>42975.997015703193</v>
      </c>
      <c r="D96" s="189" t="str">
        <f>IF(E96=1,"Domingo",IF(E96=2,"Lunes",IF(E96=3,"Martes",IF(E96=4,"Miercoles",IF(E96=5,"Jueves",IF(E96=6,"Viernes",IF(E96=7,"Sábado",0)))))))</f>
        <v>Lunes</v>
      </c>
      <c r="E96" s="190">
        <f>WEEKDAY(C96)</f>
        <v>2</v>
      </c>
      <c r="F96" s="453">
        <f>WEEKDAY(C96)</f>
        <v>2</v>
      </c>
    </row>
    <row r="97" spans="1:6">
      <c r="A97" s="450"/>
      <c r="B97" s="81"/>
      <c r="C97" s="81"/>
      <c r="D97" s="81"/>
      <c r="E97" s="584"/>
      <c r="F97" s="583"/>
    </row>
    <row r="98" spans="1:6">
      <c r="A98" s="472">
        <f>+Mensajes!$B$7</f>
        <v>0</v>
      </c>
      <c r="B98" s="81"/>
      <c r="C98" s="81"/>
      <c r="D98" s="81"/>
      <c r="E98" s="81"/>
      <c r="F98" s="451"/>
    </row>
    <row r="99" spans="1:6">
      <c r="A99" s="472">
        <f>+Mensajes!$B$12</f>
        <v>0</v>
      </c>
      <c r="B99" s="81"/>
      <c r="C99" s="81"/>
      <c r="D99" s="81"/>
      <c r="E99" s="81"/>
      <c r="F99" s="451"/>
    </row>
    <row r="100" spans="1:6">
      <c r="A100" s="471"/>
      <c r="B100" s="81"/>
      <c r="C100" s="81"/>
      <c r="D100" s="81"/>
      <c r="E100" s="81"/>
      <c r="F100" s="451"/>
    </row>
    <row r="101" spans="1:6" ht="13.5" thickBot="1">
      <c r="A101" s="468"/>
      <c r="B101" s="455"/>
      <c r="C101" s="455"/>
      <c r="D101" s="454" t="str">
        <f>IF(DSUM('7_1'!$A$12:$S$94,17,F89:F90)=COUNTIF('7_1'!$A$38:$A$94,F90),"","Regularice su Deuda")</f>
        <v>Regularice su Deuda</v>
      </c>
      <c r="E101" s="455"/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VLOOKUP(F107,'7_1'!$A$13:$G$38,7,0)</f>
        <v>SANJURJO, HORACIO HUGO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+'7_1'!$H$2</f>
        <v>Hijuela Ibañez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66" t="s">
        <v>140</v>
      </c>
      <c r="B109" s="458">
        <f>VLOOKUP(F107,'7_1'!$A$13:$B$38,2,0)</f>
        <v>1202</v>
      </c>
      <c r="C109" s="81"/>
      <c r="D109" s="139" t="s">
        <v>141</v>
      </c>
      <c r="E109" s="457">
        <f>DSUM('7_1'!A$12:J$38,'7_1'!$J$12,F106:F107)</f>
        <v>0</v>
      </c>
      <c r="F109" s="451"/>
    </row>
    <row r="110" spans="1:6">
      <c r="A110" s="466" t="s">
        <v>142</v>
      </c>
      <c r="B110" s="461">
        <v>39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66" t="s">
        <v>144</v>
      </c>
      <c r="B111" s="462">
        <f>DSUM('7_1'!$A$12:$H$38,'7_1'!$H$12,F106:F107)</f>
        <v>0</v>
      </c>
      <c r="C111" s="81"/>
      <c r="D111" s="139" t="s">
        <v>145</v>
      </c>
      <c r="E111" s="458" t="str">
        <f>IF(VLOOKUP(F107,'7_1'!$A$13:$D$54,4,0)=1, "Definitivo 100%", "Eventual 80%")</f>
        <v>Definitivo 100%</v>
      </c>
      <c r="F111" s="583"/>
    </row>
    <row r="112" spans="1:6" ht="15.75">
      <c r="A112" s="450"/>
      <c r="B112" s="139" t="s">
        <v>146</v>
      </c>
      <c r="C112" s="145">
        <f>DMIN('7_1'!A$12:K$38,'7_1'!$K$12,F106:F107)</f>
        <v>42975.7589731439</v>
      </c>
      <c r="D112" s="189" t="str">
        <f>IF(E112=1,"Domingo",IF(E112=2,"Lunes",IF(E112=3,"Martes",IF(E112=4,"Miercoles",IF(E112=5,"Jueves",IF(E112=6,"Viernes",IF(E112=7,"Sábado",0)))))))</f>
        <v>Lunes</v>
      </c>
      <c r="E112" s="190">
        <f>WEEKDAY(C112)</f>
        <v>2</v>
      </c>
      <c r="F112" s="453" t="s">
        <v>62</v>
      </c>
    </row>
    <row r="113" spans="1:6" ht="15.75">
      <c r="A113" s="450"/>
      <c r="B113" s="139" t="s">
        <v>147</v>
      </c>
      <c r="C113" s="145">
        <f>DMAX('7_1'!A$12:L$38,'7_1'!$L$12,F106:F107)</f>
        <v>42975.77633425501</v>
      </c>
      <c r="D113" s="189" t="str">
        <f>IF(E113=1,"Domingo",IF(E113=2,"Lunes",IF(E113=3,"Martes",IF(E113=4,"Miercoles",IF(E113=5,"Jueves",IF(E113=6,"Viernes",IF(E113=7,"Sábado",0)))))))</f>
        <v>Lunes</v>
      </c>
      <c r="E113" s="190">
        <f>WEEKDAY(C113)</f>
        <v>2</v>
      </c>
      <c r="F113" s="453">
        <f>WEEKDAY(C113)</f>
        <v>2</v>
      </c>
    </row>
    <row r="114" spans="1:6">
      <c r="A114" s="450"/>
      <c r="B114" s="81"/>
      <c r="C114" s="81"/>
      <c r="D114" s="81"/>
      <c r="E114" s="584"/>
      <c r="F114" s="583"/>
    </row>
    <row r="115" spans="1:6">
      <c r="A115" s="472">
        <f>+Mensajes!$B$7</f>
        <v>0</v>
      </c>
      <c r="B115" s="81"/>
      <c r="C115" s="81"/>
      <c r="D115" s="81"/>
      <c r="E115" s="81"/>
      <c r="F115" s="451"/>
    </row>
    <row r="116" spans="1:6">
      <c r="A116" s="472">
        <f>+Mensajes!$B$12</f>
        <v>0</v>
      </c>
      <c r="B116" s="81"/>
      <c r="C116" s="81"/>
      <c r="D116" s="81"/>
      <c r="E116" s="81"/>
      <c r="F116" s="451"/>
    </row>
    <row r="117" spans="1:6">
      <c r="A117" s="471"/>
      <c r="B117" s="81"/>
      <c r="C117" s="81"/>
      <c r="D117" s="81"/>
      <c r="E117" s="81"/>
      <c r="F117" s="451"/>
    </row>
    <row r="118" spans="1:6" ht="13.5" thickBot="1">
      <c r="A118" s="468"/>
      <c r="B118" s="455"/>
      <c r="C118" s="455"/>
      <c r="D118" s="454" t="str">
        <f>IF(DSUM('7_1'!$A$12:$S$94,17,F106:F107)=COUNTIF('7_1'!$A$38:$A$94,F107),"","Regularice su Deuda")</f>
        <v/>
      </c>
      <c r="E118" s="455"/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str">
        <f>VLOOKUP(F124,'7_1'!$A$13:$G$38,7,0)</f>
        <v>CICHINELLI, PEDRO INOCENCIO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+'7_1'!$H$2</f>
        <v>Hijuela Ibañez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66" t="s">
        <v>140</v>
      </c>
      <c r="B126" s="458">
        <f>VLOOKUP(F124,'7_1'!$A$13:$B$38,2,0)</f>
        <v>1202</v>
      </c>
      <c r="C126" s="81"/>
      <c r="D126" s="139" t="s">
        <v>141</v>
      </c>
      <c r="E126" s="457">
        <f>DSUM('7_1'!A$12:J$38,'7_1'!$J$12,F123:F124)</f>
        <v>0</v>
      </c>
      <c r="F126" s="451"/>
    </row>
    <row r="127" spans="1:6">
      <c r="A127" s="466" t="s">
        <v>142</v>
      </c>
      <c r="B127" s="461">
        <v>27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66" t="s">
        <v>144</v>
      </c>
      <c r="B128" s="462">
        <f>DSUM('7_1'!$A$12:$H$38,'7_1'!$H$12,F123:F124)</f>
        <v>0</v>
      </c>
      <c r="C128" s="81"/>
      <c r="D128" s="139" t="s">
        <v>145</v>
      </c>
      <c r="E128" s="458" t="str">
        <f>IF(VLOOKUP(F124,'7_1'!$A$13:$D$54,4,0)=1, "Definitivo 100%", "Eventual 80%")</f>
        <v>Definitivo 100%</v>
      </c>
      <c r="F128" s="583"/>
    </row>
    <row r="129" spans="1:6" ht="15.75">
      <c r="A129" s="450"/>
      <c r="B129" s="139" t="s">
        <v>146</v>
      </c>
      <c r="C129" s="145">
        <f>DMIN('7_1'!A$12:K$38,'7_1'!$K$12,F123:F124)</f>
        <v>42975.738139810564</v>
      </c>
      <c r="D129" s="189" t="str">
        <f>IF(E129=1,"Domingo",IF(E129=2,"Lunes",IF(E129=3,"Martes",IF(E129=4,"Miercoles",IF(E129=5,"Jueves",IF(E129=6,"Viernes",IF(E129=7,"Sábado",0)))))))</f>
        <v>Lunes</v>
      </c>
      <c r="E129" s="190">
        <f>WEEKDAY(C129)</f>
        <v>2</v>
      </c>
      <c r="F129" s="453" t="s">
        <v>62</v>
      </c>
    </row>
    <row r="130" spans="1:6" ht="15.75">
      <c r="A130" s="450"/>
      <c r="B130" s="139" t="s">
        <v>147</v>
      </c>
      <c r="C130" s="145">
        <f>DMAX('7_1'!A$12:L$38,'7_1'!$L$12,F123:F124)</f>
        <v>42975.7589731439</v>
      </c>
      <c r="D130" s="189" t="str">
        <f>IF(E130=1,"Domingo",IF(E130=2,"Lunes",IF(E130=3,"Martes",IF(E130=4,"Miercoles",IF(E130=5,"Jueves",IF(E130=6,"Viernes",IF(E130=7,"Sábado",0)))))))</f>
        <v>Lunes</v>
      </c>
      <c r="E130" s="190">
        <f>WEEKDAY(C130)</f>
        <v>2</v>
      </c>
      <c r="F130" s="453">
        <f>WEEKDAY(C130)</f>
        <v>2</v>
      </c>
    </row>
    <row r="131" spans="1:6">
      <c r="A131" s="450"/>
      <c r="B131" s="81"/>
      <c r="C131" s="81"/>
      <c r="D131" s="81"/>
      <c r="E131" s="584"/>
      <c r="F131" s="583"/>
    </row>
    <row r="132" spans="1:6">
      <c r="A132" s="472">
        <f>+Mensajes!$B$7</f>
        <v>0</v>
      </c>
      <c r="B132" s="81"/>
      <c r="C132" s="81"/>
      <c r="D132" s="81"/>
      <c r="E132" s="81"/>
      <c r="F132" s="451"/>
    </row>
    <row r="133" spans="1:6">
      <c r="A133" s="472">
        <f>+Mensajes!$B$12</f>
        <v>0</v>
      </c>
      <c r="B133" s="81"/>
      <c r="C133" s="81"/>
      <c r="D133" s="81"/>
      <c r="E133" s="81"/>
      <c r="F133" s="451"/>
    </row>
    <row r="134" spans="1:6">
      <c r="A134" s="471"/>
      <c r="B134" s="81"/>
      <c r="C134" s="81"/>
      <c r="D134" s="81"/>
      <c r="E134" s="81"/>
      <c r="F134" s="451"/>
    </row>
    <row r="135" spans="1:6" ht="13.5" thickBot="1">
      <c r="A135" s="468"/>
      <c r="B135" s="455"/>
      <c r="C135" s="455"/>
      <c r="D135" s="454" t="str">
        <f>IF(DSUM('7_1'!$A$12:$S$94,17,F123:F124)=COUNTIF('7_1'!$A$38:$A$94,F124),"","Regularice su Deuda")</f>
        <v/>
      </c>
      <c r="E135" s="455"/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50" t="s">
        <v>139</v>
      </c>
      <c r="B140" s="81" t="str">
        <f>VLOOKUP(F141,'7_1'!$A$13:$G$38,7,0)</f>
        <v>ELASKAR, IBRAHIM ABIB</v>
      </c>
      <c r="C140" s="81"/>
      <c r="D140" s="81"/>
      <c r="E140" s="81"/>
      <c r="F140" s="452" t="s">
        <v>102</v>
      </c>
    </row>
    <row r="141" spans="1:6">
      <c r="A141" s="450" t="s">
        <v>72</v>
      </c>
      <c r="B141" s="81" t="str">
        <f>+'7_1'!$H$2</f>
        <v>Hijuela Ibañez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66" t="s">
        <v>140</v>
      </c>
      <c r="B143" s="458">
        <f>VLOOKUP(F141,'7_1'!$A$13:$B$38,2,0)</f>
        <v>1202</v>
      </c>
      <c r="C143" s="81"/>
      <c r="D143" s="139" t="s">
        <v>141</v>
      </c>
      <c r="E143" s="457">
        <f>DSUM('7_1'!A$12:J$38,'7_1'!$J$12,F140:F141)</f>
        <v>0.17122114239031633</v>
      </c>
      <c r="F143" s="451"/>
    </row>
    <row r="144" spans="1:6">
      <c r="A144" s="466" t="s">
        <v>142</v>
      </c>
      <c r="B144" s="461">
        <v>32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466" t="s">
        <v>144</v>
      </c>
      <c r="B145" s="462">
        <f>DSUM('7_1'!$A$12:$H$38,'7_1'!$H$12,F140:F141)</f>
        <v>10.550700000000001</v>
      </c>
      <c r="C145" s="81"/>
      <c r="D145" s="139" t="s">
        <v>145</v>
      </c>
      <c r="E145" s="458" t="str">
        <f>IF(VLOOKUP(F141,'7_1'!$A$13:$D$54,4,0)=1, "Definitivo 100%", "Eventual 80%")</f>
        <v>Definitivo 100%</v>
      </c>
      <c r="F145" s="583"/>
    </row>
    <row r="146" spans="1:6" ht="15.75">
      <c r="A146" s="450"/>
      <c r="B146" s="139" t="s">
        <v>146</v>
      </c>
      <c r="C146" s="145">
        <f>DMIN('7_1'!A$12:K$38,'7_1'!$K$12,F140:F141)</f>
        <v>42975.525252001513</v>
      </c>
      <c r="D146" s="189" t="str">
        <f>IF(E146=1,"Domingo",IF(E146=2,"Lunes",IF(E146=3,"Martes",IF(E146=4,"Miercoles",IF(E146=5,"Jueves",IF(E146=6,"Viernes",IF(E146=7,"Sábado",0)))))))</f>
        <v>Lunes</v>
      </c>
      <c r="E146" s="190">
        <f>WEEKDAY(C146)</f>
        <v>2</v>
      </c>
      <c r="F146" s="453" t="s">
        <v>62</v>
      </c>
    </row>
    <row r="147" spans="1:6" ht="15.75">
      <c r="A147" s="450"/>
      <c r="B147" s="139" t="s">
        <v>147</v>
      </c>
      <c r="C147" s="145">
        <f>DMAX('7_1'!A$12:L$38,'7_1'!$L$12,F140:F141)</f>
        <v>42975.738139810564</v>
      </c>
      <c r="D147" s="189" t="str">
        <f>IF(E147=1,"Domingo",IF(E147=2,"Lunes",IF(E147=3,"Martes",IF(E147=4,"Miercoles",IF(E147=5,"Jueves",IF(E147=6,"Viernes",IF(E147=7,"Sábado",0)))))))</f>
        <v>Lunes</v>
      </c>
      <c r="E147" s="190">
        <f>WEEKDAY(C147)</f>
        <v>2</v>
      </c>
      <c r="F147" s="453">
        <f>WEEKDAY(C147)</f>
        <v>2</v>
      </c>
    </row>
    <row r="148" spans="1:6">
      <c r="A148" s="450"/>
      <c r="B148" s="81"/>
      <c r="C148" s="81"/>
      <c r="D148" s="81"/>
      <c r="E148" s="584"/>
      <c r="F148" s="583"/>
    </row>
    <row r="149" spans="1:6">
      <c r="A149" s="472">
        <f>+Mensajes!$B$7</f>
        <v>0</v>
      </c>
      <c r="B149" s="81"/>
      <c r="C149" s="81"/>
      <c r="D149" s="81"/>
      <c r="E149" s="81"/>
      <c r="F149" s="451"/>
    </row>
    <row r="150" spans="1:6">
      <c r="A150" s="472">
        <f>+Mensajes!$B$12</f>
        <v>0</v>
      </c>
      <c r="B150" s="81"/>
      <c r="C150" s="81"/>
      <c r="D150" s="81"/>
      <c r="E150" s="81"/>
      <c r="F150" s="451"/>
    </row>
    <row r="151" spans="1:6">
      <c r="A151" s="471"/>
      <c r="B151" s="81"/>
      <c r="C151" s="81"/>
      <c r="D151" s="81"/>
      <c r="E151" s="81"/>
      <c r="F151" s="451"/>
    </row>
    <row r="152" spans="1:6" ht="13.5" thickBot="1">
      <c r="A152" s="468"/>
      <c r="B152" s="455"/>
      <c r="C152" s="455"/>
      <c r="D152" s="454" t="str">
        <f>IF(DSUM('7_1'!$A$12:$S$94,17,F140:F141)=COUNTIF('7_1'!$A$38:$A$94,F141),"","Regularice su Deuda")</f>
        <v>Regularice su Deuda</v>
      </c>
      <c r="E152" s="455"/>
      <c r="F152" s="456"/>
    </row>
    <row r="153" spans="1:6" ht="13.5" thickBot="1"/>
    <row r="154" spans="1:6">
      <c r="A154" s="447"/>
      <c r="B154" s="448"/>
      <c r="C154" s="448"/>
      <c r="D154" s="448"/>
      <c r="E154" s="448"/>
      <c r="F154" s="449"/>
    </row>
    <row r="155" spans="1:6">
      <c r="A155" s="465" t="s">
        <v>64</v>
      </c>
      <c r="B155" s="81"/>
      <c r="C155" s="81"/>
      <c r="D155" s="81"/>
      <c r="E155" s="81"/>
      <c r="F155" s="451"/>
    </row>
    <row r="156" spans="1:6">
      <c r="A156" s="450"/>
      <c r="B156" s="81"/>
      <c r="C156" s="81"/>
      <c r="D156" s="81"/>
      <c r="E156" s="81"/>
      <c r="F156" s="451"/>
    </row>
    <row r="157" spans="1:6">
      <c r="A157" s="450" t="s">
        <v>139</v>
      </c>
      <c r="B157" s="81" t="str">
        <f>VLOOKUP(F158,'7_1'!$A$13:$G$38,7,0)</f>
        <v>BETRA POL S.A</v>
      </c>
      <c r="C157" s="81"/>
      <c r="D157" s="81"/>
      <c r="E157" s="81"/>
      <c r="F157" s="452" t="s">
        <v>102</v>
      </c>
    </row>
    <row r="158" spans="1:6">
      <c r="A158" s="450" t="s">
        <v>72</v>
      </c>
      <c r="B158" s="81" t="str">
        <f>+'7_1'!$H$2</f>
        <v>Hijuela Ibañez</v>
      </c>
      <c r="C158" s="81"/>
      <c r="D158" s="81"/>
      <c r="E158" s="81"/>
      <c r="F158" s="452">
        <v>10</v>
      </c>
    </row>
    <row r="159" spans="1:6">
      <c r="A159" s="450"/>
      <c r="B159" s="81"/>
      <c r="C159" s="81"/>
      <c r="D159" s="81"/>
      <c r="E159" s="81"/>
      <c r="F159" s="451"/>
    </row>
    <row r="160" spans="1:6">
      <c r="A160" s="466" t="s">
        <v>140</v>
      </c>
      <c r="B160" s="458">
        <f>VLOOKUP(F158,'7_1'!$A$13:$B$38,2,0)</f>
        <v>1202</v>
      </c>
      <c r="C160" s="81"/>
      <c r="D160" s="139" t="s">
        <v>141</v>
      </c>
      <c r="E160" s="457">
        <f>DSUM('7_1'!A$12:J$38,'7_1'!$J$12,F157:F158)</f>
        <v>0.78674384167847633</v>
      </c>
      <c r="F160" s="451"/>
    </row>
    <row r="161" spans="1:6">
      <c r="A161" s="466" t="s">
        <v>142</v>
      </c>
      <c r="B161" s="461" t="s">
        <v>272</v>
      </c>
      <c r="C161" s="81"/>
      <c r="D161" s="139" t="s">
        <v>143</v>
      </c>
      <c r="E161" s="459" t="str">
        <f>+Hijuelas!$G$7</f>
        <v>POR FRACCIÓN</v>
      </c>
      <c r="F161" s="451"/>
    </row>
    <row r="162" spans="1:6">
      <c r="A162" s="466" t="s">
        <v>144</v>
      </c>
      <c r="B162" s="462">
        <f>DSUM('7_1'!$A$12:$H$38,'7_1'!$H$12,F157:F158)</f>
        <v>48.479399999999998</v>
      </c>
      <c r="C162" s="81"/>
      <c r="D162" s="139" t="s">
        <v>145</v>
      </c>
      <c r="E162" s="458" t="str">
        <f>IF(VLOOKUP(F158,'7_1'!$A$13:$D$54,4,0)=1, "Definitivo 100%", "Eventual 80%")</f>
        <v>Definitivo 100%</v>
      </c>
      <c r="F162" s="583"/>
    </row>
    <row r="163" spans="1:6" ht="15.75">
      <c r="A163" s="450"/>
      <c r="B163" s="139" t="s">
        <v>146</v>
      </c>
      <c r="C163" s="145">
        <f>DMIN('7_1'!A$12:K$38,'7_1'!$K$12,F157:F158)</f>
        <v>42974.731563715388</v>
      </c>
      <c r="D163" s="189" t="str">
        <f>IF(E163=1,"Domingo",IF(E163=2,"Lunes",IF(E163=3,"Martes",IF(E163=4,"Miercoles",IF(E163=5,"Jueves",IF(E163=6,"Viernes",IF(E163=7,"Sábado",0)))))))</f>
        <v>Domingo</v>
      </c>
      <c r="E163" s="190">
        <f>WEEKDAY(C163)</f>
        <v>1</v>
      </c>
      <c r="F163" s="453" t="s">
        <v>62</v>
      </c>
    </row>
    <row r="164" spans="1:6" ht="15.75">
      <c r="A164" s="450"/>
      <c r="B164" s="139" t="s">
        <v>147</v>
      </c>
      <c r="C164" s="145">
        <f>DMAX('7_1'!A$12:L$38,'7_1'!$L$12,F157:F158)</f>
        <v>42975.525252001513</v>
      </c>
      <c r="D164" s="189" t="str">
        <f>IF(E164=1,"Domingo",IF(E164=2,"Lunes",IF(E164=3,"Martes",IF(E164=4,"Miercoles",IF(E164=5,"Jueves",IF(E164=6,"Viernes",IF(E164=7,"Sábado",0)))))))</f>
        <v>Lunes</v>
      </c>
      <c r="E164" s="190">
        <f>WEEKDAY(C164)</f>
        <v>2</v>
      </c>
      <c r="F164" s="453">
        <f>WEEKDAY(C164)</f>
        <v>2</v>
      </c>
    </row>
    <row r="165" spans="1:6">
      <c r="A165" s="450"/>
      <c r="B165" s="81"/>
      <c r="C165" s="81"/>
      <c r="D165" s="81"/>
      <c r="E165" s="584"/>
      <c r="F165" s="583"/>
    </row>
    <row r="166" spans="1:6">
      <c r="A166" s="472">
        <f>+Mensajes!$B$7</f>
        <v>0</v>
      </c>
      <c r="B166" s="81"/>
      <c r="C166" s="81"/>
      <c r="D166" s="81"/>
      <c r="E166" s="81"/>
      <c r="F166" s="451"/>
    </row>
    <row r="167" spans="1:6">
      <c r="A167" s="472">
        <f>+Mensajes!$B$12</f>
        <v>0</v>
      </c>
      <c r="B167" s="81"/>
      <c r="C167" s="81"/>
      <c r="D167" s="81"/>
      <c r="E167" s="81"/>
      <c r="F167" s="451"/>
    </row>
    <row r="168" spans="1:6">
      <c r="A168" s="471"/>
      <c r="B168" s="81"/>
      <c r="C168" s="81"/>
      <c r="D168" s="81"/>
      <c r="E168" s="81"/>
      <c r="F168" s="451"/>
    </row>
    <row r="169" spans="1:6" ht="13.5" thickBot="1">
      <c r="A169" s="468"/>
      <c r="B169" s="455"/>
      <c r="C169" s="455"/>
      <c r="D169" s="454" t="str">
        <f>IF(DSUM('7_1'!$A$12:$S$94,17,F157:F158)=COUNTIF('7_1'!$A$38:$A$94,F158),"","Regularice su Deuda")</f>
        <v>Regularice su Deuda</v>
      </c>
      <c r="E169" s="455"/>
      <c r="F169" s="456"/>
    </row>
    <row r="170" spans="1:6" ht="13.5" thickBot="1"/>
    <row r="171" spans="1:6">
      <c r="A171" s="447"/>
      <c r="B171" s="448"/>
      <c r="C171" s="448"/>
      <c r="D171" s="448"/>
      <c r="E171" s="448"/>
      <c r="F171" s="449"/>
    </row>
    <row r="172" spans="1:6">
      <c r="A172" s="465" t="s">
        <v>64</v>
      </c>
      <c r="B172" s="81"/>
      <c r="C172" s="81"/>
      <c r="D172" s="81"/>
      <c r="E172" s="81"/>
      <c r="F172" s="451"/>
    </row>
    <row r="173" spans="1:6">
      <c r="A173" s="450"/>
      <c r="B173" s="81"/>
      <c r="C173" s="81"/>
      <c r="D173" s="81"/>
      <c r="E173" s="81"/>
      <c r="F173" s="451"/>
    </row>
    <row r="174" spans="1:6">
      <c r="A174" s="450" t="s">
        <v>139</v>
      </c>
      <c r="B174" s="81" t="str">
        <f>VLOOKUP(F175,'7_1'!$A$13:$G$38,7,0)</f>
        <v xml:space="preserve">NAZAR ELASKAR, JOSE Y ELASKAR, </v>
      </c>
      <c r="C174" s="81"/>
      <c r="D174" s="81"/>
      <c r="E174" s="81"/>
      <c r="F174" s="452" t="s">
        <v>102</v>
      </c>
    </row>
    <row r="175" spans="1:6">
      <c r="A175" s="450" t="s">
        <v>72</v>
      </c>
      <c r="B175" s="81" t="str">
        <f>+'7_1'!$H$2</f>
        <v>Hijuela Ibañez</v>
      </c>
      <c r="C175" s="81"/>
      <c r="D175" s="81"/>
      <c r="E175" s="81"/>
      <c r="F175" s="452">
        <v>11</v>
      </c>
    </row>
    <row r="176" spans="1:6">
      <c r="A176" s="450"/>
      <c r="B176" s="81"/>
      <c r="C176" s="81"/>
      <c r="D176" s="81"/>
      <c r="E176" s="81"/>
      <c r="F176" s="451"/>
    </row>
    <row r="177" spans="1:6">
      <c r="A177" s="466" t="s">
        <v>140</v>
      </c>
      <c r="B177" s="458">
        <f>VLOOKUP(F175,'7_1'!$A$13:$B$38,2,0)</f>
        <v>1202</v>
      </c>
      <c r="C177" s="81"/>
      <c r="D177" s="139" t="s">
        <v>141</v>
      </c>
      <c r="E177" s="457">
        <f>DSUM('7_1'!A$12:J$38,'7_1'!$J$12,F174:F175)</f>
        <v>0.5738562427414724</v>
      </c>
      <c r="F177" s="451"/>
    </row>
    <row r="178" spans="1:6">
      <c r="A178" s="466" t="s">
        <v>142</v>
      </c>
      <c r="B178" s="461" t="s">
        <v>273</v>
      </c>
      <c r="C178" s="81"/>
      <c r="D178" s="139" t="s">
        <v>143</v>
      </c>
      <c r="E178" s="459" t="str">
        <f>+Hijuelas!$G$7</f>
        <v>POR FRACCIÓN</v>
      </c>
      <c r="F178" s="451"/>
    </row>
    <row r="179" spans="1:6">
      <c r="A179" s="466" t="s">
        <v>144</v>
      </c>
      <c r="B179" s="462">
        <f>DSUM('7_1'!$A$12:$H$38,'7_1'!$H$12,F174:F175)</f>
        <v>35.361199999999997</v>
      </c>
      <c r="C179" s="81"/>
      <c r="D179" s="139" t="s">
        <v>145</v>
      </c>
      <c r="E179" s="458" t="str">
        <f>IF(VLOOKUP(F175,'7_1'!$A$13:$D$54,4,0)=1, "Definitivo 100%", "Eventual 80%")</f>
        <v>Definitivo 100%</v>
      </c>
      <c r="F179" s="583"/>
    </row>
    <row r="180" spans="1:6" ht="15.75">
      <c r="A180" s="450"/>
      <c r="B180" s="139" t="s">
        <v>146</v>
      </c>
      <c r="C180" s="145">
        <f>DMIN('7_1'!A$12:K$38,'7_1'!$K$12,F174:F175)</f>
        <v>42974.157707472645</v>
      </c>
      <c r="D180" s="189" t="str">
        <f>IF(E180=1,"Domingo",IF(E180=2,"Lunes",IF(E180=3,"Martes",IF(E180=4,"Miercoles",IF(E180=5,"Jueves",IF(E180=6,"Viernes",IF(E180=7,"Sábado",0)))))))</f>
        <v>Domingo</v>
      </c>
      <c r="E180" s="190">
        <f>WEEKDAY(C180)</f>
        <v>1</v>
      </c>
      <c r="F180" s="453" t="s">
        <v>62</v>
      </c>
    </row>
    <row r="181" spans="1:6" ht="15.75">
      <c r="A181" s="450"/>
      <c r="B181" s="139" t="s">
        <v>147</v>
      </c>
      <c r="C181" s="145">
        <f>DMAX('7_1'!A$12:L$38,'7_1'!$L$12,F174:F175)</f>
        <v>42974.731563715388</v>
      </c>
      <c r="D181" s="189" t="str">
        <f>IF(E181=1,"Domingo",IF(E181=2,"Lunes",IF(E181=3,"Martes",IF(E181=4,"Miercoles",IF(E181=5,"Jueves",IF(E181=6,"Viernes",IF(E181=7,"Sábado",0)))))))</f>
        <v>Domingo</v>
      </c>
      <c r="E181" s="190">
        <f>WEEKDAY(C181)</f>
        <v>1</v>
      </c>
      <c r="F181" s="453">
        <f>WEEKDAY(C181)</f>
        <v>1</v>
      </c>
    </row>
    <row r="182" spans="1:6">
      <c r="A182" s="450"/>
      <c r="B182" s="81"/>
      <c r="C182" s="81"/>
      <c r="D182" s="81"/>
      <c r="E182" s="584"/>
      <c r="F182" s="583"/>
    </row>
    <row r="183" spans="1:6">
      <c r="A183" s="472">
        <f>+Mensajes!$B$7</f>
        <v>0</v>
      </c>
      <c r="B183" s="81"/>
      <c r="C183" s="81"/>
      <c r="D183" s="81"/>
      <c r="E183" s="81"/>
      <c r="F183" s="451"/>
    </row>
    <row r="184" spans="1:6">
      <c r="A184" s="472">
        <f>+Mensajes!$B$12</f>
        <v>0</v>
      </c>
      <c r="B184" s="81"/>
      <c r="C184" s="81"/>
      <c r="D184" s="81"/>
      <c r="E184" s="81"/>
      <c r="F184" s="451"/>
    </row>
    <row r="185" spans="1:6">
      <c r="A185" s="471"/>
      <c r="B185" s="81"/>
      <c r="C185" s="81"/>
      <c r="D185" s="81"/>
      <c r="E185" s="81"/>
      <c r="F185" s="451"/>
    </row>
    <row r="186" spans="1:6" ht="13.5" thickBot="1">
      <c r="A186" s="468"/>
      <c r="B186" s="455"/>
      <c r="C186" s="455"/>
      <c r="D186" s="454" t="str">
        <f>IF(DSUM('7_1'!$A$12:$S$94,17,F174:F175)=COUNTIF('7_1'!$A$38:$A$94,F175),"","Regularice su Deuda")</f>
        <v>Regularice su Deuda</v>
      </c>
      <c r="E186" s="455"/>
      <c r="F186" s="456"/>
    </row>
    <row r="187" spans="1:6" ht="13.5" thickBot="1"/>
    <row r="188" spans="1:6">
      <c r="A188" s="447"/>
      <c r="B188" s="448"/>
      <c r="C188" s="448"/>
      <c r="D188" s="448"/>
      <c r="E188" s="448"/>
      <c r="F188" s="449"/>
    </row>
    <row r="189" spans="1:6">
      <c r="A189" s="465" t="s">
        <v>64</v>
      </c>
      <c r="B189" s="81"/>
      <c r="C189" s="81"/>
      <c r="D189" s="81"/>
      <c r="E189" s="81"/>
      <c r="F189" s="451"/>
    </row>
    <row r="190" spans="1:6">
      <c r="A190" s="450"/>
      <c r="B190" s="81"/>
      <c r="C190" s="81"/>
      <c r="D190" s="81"/>
      <c r="E190" s="81"/>
      <c r="F190" s="451"/>
    </row>
    <row r="191" spans="1:6">
      <c r="A191" s="450" t="s">
        <v>139</v>
      </c>
      <c r="B191" s="81" t="str">
        <f>VLOOKUP(F192,'7_1'!$A$13:$G$38,7,0)</f>
        <v>MICCA D ANGELO, CARMELA</v>
      </c>
      <c r="C191" s="81"/>
      <c r="D191" s="81"/>
      <c r="E191" s="81"/>
      <c r="F191" s="452" t="s">
        <v>102</v>
      </c>
    </row>
    <row r="192" spans="1:6">
      <c r="A192" s="450" t="s">
        <v>72</v>
      </c>
      <c r="B192" s="81" t="str">
        <f>+'7_1'!$H$2</f>
        <v>Hijuela Ibañez</v>
      </c>
      <c r="C192" s="81"/>
      <c r="D192" s="81"/>
      <c r="E192" s="81"/>
      <c r="F192" s="452">
        <v>12</v>
      </c>
    </row>
    <row r="193" spans="1:6">
      <c r="A193" s="450"/>
      <c r="B193" s="81"/>
      <c r="C193" s="81"/>
      <c r="D193" s="81"/>
      <c r="E193" s="81"/>
      <c r="F193" s="451"/>
    </row>
    <row r="194" spans="1:6">
      <c r="A194" s="466" t="s">
        <v>140</v>
      </c>
      <c r="B194" s="458">
        <f>VLOOKUP(F192,'7_1'!$A$13:$B$38,2,0)</f>
        <v>1202</v>
      </c>
      <c r="C194" s="81"/>
      <c r="D194" s="139" t="s">
        <v>141</v>
      </c>
      <c r="E194" s="457">
        <f>DSUM('7_1'!A$12:J$38,'7_1'!$J$12,F191:F192)</f>
        <v>0.38032427485538739</v>
      </c>
      <c r="F194" s="451"/>
    </row>
    <row r="195" spans="1:6">
      <c r="A195" s="466" t="s">
        <v>142</v>
      </c>
      <c r="B195" s="461" t="s">
        <v>274</v>
      </c>
      <c r="C195" s="81"/>
      <c r="D195" s="139" t="s">
        <v>143</v>
      </c>
      <c r="E195" s="459" t="str">
        <f>+Hijuelas!$G$7</f>
        <v>POR FRACCIÓN</v>
      </c>
      <c r="F195" s="451"/>
    </row>
    <row r="196" spans="1:6">
      <c r="A196" s="466" t="s">
        <v>144</v>
      </c>
      <c r="B196" s="462">
        <f>DSUM('7_1'!$A$12:$H$38,'7_1'!$H$12,F191:F192)</f>
        <v>23.435700000000001</v>
      </c>
      <c r="C196" s="81"/>
      <c r="D196" s="139" t="s">
        <v>145</v>
      </c>
      <c r="E196" s="458" t="str">
        <f>IF(VLOOKUP(F192,'7_1'!$A$13:$D$54,4,0)=1, "Definitivo 100%", "Eventual 80%")</f>
        <v>Definitivo 100%</v>
      </c>
      <c r="F196" s="583"/>
    </row>
    <row r="197" spans="1:6" ht="15.75">
      <c r="A197" s="450"/>
      <c r="B197" s="139" t="s">
        <v>146</v>
      </c>
      <c r="C197" s="145">
        <f>DMIN('7_1'!A$12:K$38,'7_1'!$K$12,F191:F192)</f>
        <v>42973.77738319779</v>
      </c>
      <c r="D197" s="189" t="str">
        <f>IF(E197=1,"Domingo",IF(E197=2,"Lunes",IF(E197=3,"Martes",IF(E197=4,"Miercoles",IF(E197=5,"Jueves",IF(E197=6,"Viernes",IF(E197=7,"Sábado",0)))))))</f>
        <v>Sábado</v>
      </c>
      <c r="E197" s="190">
        <f>WEEKDAY(C197)</f>
        <v>7</v>
      </c>
      <c r="F197" s="453" t="s">
        <v>62</v>
      </c>
    </row>
    <row r="198" spans="1:6" ht="15.75">
      <c r="A198" s="450"/>
      <c r="B198" s="139" t="s">
        <v>147</v>
      </c>
      <c r="C198" s="145">
        <f>DMAX('7_1'!A$12:L$38,'7_1'!$L$12,F191:F192)</f>
        <v>42974.157707472645</v>
      </c>
      <c r="D198" s="189" t="str">
        <f>IF(E198=1,"Domingo",IF(E198=2,"Lunes",IF(E198=3,"Martes",IF(E198=4,"Miercoles",IF(E198=5,"Jueves",IF(E198=6,"Viernes",IF(E198=7,"Sábado",0)))))))</f>
        <v>Domingo</v>
      </c>
      <c r="E198" s="190">
        <f>WEEKDAY(C198)</f>
        <v>1</v>
      </c>
      <c r="F198" s="453">
        <f>WEEKDAY(C198)</f>
        <v>1</v>
      </c>
    </row>
    <row r="199" spans="1:6">
      <c r="A199" s="450"/>
      <c r="B199" s="81"/>
      <c r="C199" s="81"/>
      <c r="D199" s="81"/>
      <c r="E199" s="584"/>
      <c r="F199" s="583"/>
    </row>
    <row r="200" spans="1:6">
      <c r="A200" s="472">
        <f>+Mensajes!$B$7</f>
        <v>0</v>
      </c>
      <c r="B200" s="81"/>
      <c r="C200" s="81"/>
      <c r="D200" s="81"/>
      <c r="E200" s="81"/>
      <c r="F200" s="451"/>
    </row>
    <row r="201" spans="1:6">
      <c r="A201" s="472">
        <f>+Mensajes!$B$12</f>
        <v>0</v>
      </c>
      <c r="B201" s="81"/>
      <c r="C201" s="81"/>
      <c r="D201" s="81"/>
      <c r="E201" s="81"/>
      <c r="F201" s="451"/>
    </row>
    <row r="202" spans="1:6">
      <c r="A202" s="471"/>
      <c r="B202" s="81"/>
      <c r="C202" s="81"/>
      <c r="D202" s="81"/>
      <c r="E202" s="81"/>
      <c r="F202" s="451"/>
    </row>
    <row r="203" spans="1:6" ht="13.5" thickBot="1">
      <c r="A203" s="468"/>
      <c r="B203" s="455"/>
      <c r="C203" s="455"/>
      <c r="D203" s="454" t="str">
        <f>IF(DSUM('7_1'!$A$12:$S$94,17,F191:F192)=COUNTIF('7_1'!$A$38:$A$94,F192),"","Regularice su Deuda")</f>
        <v>Regularice su Deuda</v>
      </c>
      <c r="E203" s="455"/>
      <c r="F203" s="456"/>
    </row>
    <row r="204" spans="1:6" ht="13.5" thickBot="1"/>
    <row r="205" spans="1:6">
      <c r="A205" s="447"/>
      <c r="B205" s="448"/>
      <c r="C205" s="448"/>
      <c r="D205" s="448"/>
      <c r="E205" s="448"/>
      <c r="F205" s="449"/>
    </row>
    <row r="206" spans="1:6">
      <c r="A206" s="465" t="s">
        <v>64</v>
      </c>
      <c r="B206" s="81"/>
      <c r="C206" s="81"/>
      <c r="D206" s="81"/>
      <c r="E206" s="81"/>
      <c r="F206" s="451"/>
    </row>
    <row r="207" spans="1:6">
      <c r="A207" s="450"/>
      <c r="B207" s="81"/>
      <c r="C207" s="81"/>
      <c r="D207" s="81"/>
      <c r="E207" s="81"/>
      <c r="F207" s="451"/>
    </row>
    <row r="208" spans="1:6">
      <c r="A208" s="450" t="s">
        <v>139</v>
      </c>
      <c r="B208" s="81" t="str">
        <f>VLOOKUP(F209,'7_1'!$A$13:$G$38,7,0)</f>
        <v xml:space="preserve">TARATETA VDA.DE GAGLIARDI </v>
      </c>
      <c r="C208" s="81"/>
      <c r="D208" s="81"/>
      <c r="E208" s="81"/>
      <c r="F208" s="452" t="s">
        <v>102</v>
      </c>
    </row>
    <row r="209" spans="1:6">
      <c r="A209" s="450" t="s">
        <v>72</v>
      </c>
      <c r="B209" s="81" t="str">
        <f>+'7_1'!$H$2</f>
        <v>Hijuela Ibañez</v>
      </c>
      <c r="C209" s="81"/>
      <c r="D209" s="81"/>
      <c r="E209" s="81"/>
      <c r="F209" s="452">
        <v>13</v>
      </c>
    </row>
    <row r="210" spans="1:6">
      <c r="A210" s="450"/>
      <c r="B210" s="81"/>
      <c r="C210" s="81"/>
      <c r="D210" s="81"/>
      <c r="E210" s="81"/>
      <c r="F210" s="451"/>
    </row>
    <row r="211" spans="1:6">
      <c r="A211" s="466" t="s">
        <v>140</v>
      </c>
      <c r="B211" s="458">
        <f>VLOOKUP(F209,'7_1'!$A$13:$B$38,2,0)</f>
        <v>1202</v>
      </c>
      <c r="C211" s="81"/>
      <c r="D211" s="139" t="s">
        <v>141</v>
      </c>
      <c r="E211" s="457">
        <f>DSUM('7_1'!A$12:J$38,'7_1'!$J$12,F208:F209)</f>
        <v>0</v>
      </c>
      <c r="F211" s="451"/>
    </row>
    <row r="212" spans="1:6">
      <c r="A212" s="466" t="s">
        <v>142</v>
      </c>
      <c r="B212" s="461">
        <v>1</v>
      </c>
      <c r="C212" s="81"/>
      <c r="D212" s="139" t="s">
        <v>143</v>
      </c>
      <c r="E212" s="459" t="str">
        <f>+Hijuelas!$G$7</f>
        <v>POR FRACCIÓN</v>
      </c>
      <c r="F212" s="451"/>
    </row>
    <row r="213" spans="1:6">
      <c r="A213" s="466" t="s">
        <v>144</v>
      </c>
      <c r="B213" s="462">
        <f>DSUM('7_1'!$A$12:$H$38,'7_1'!$H$12,F208:F209)</f>
        <v>0</v>
      </c>
      <c r="C213" s="81"/>
      <c r="D213" s="139" t="s">
        <v>145</v>
      </c>
      <c r="E213" s="458" t="str">
        <f>IF(VLOOKUP(F209,'7_1'!$A$13:$D$54,4,0)=1, "Definitivo 100%", "Eventual 80%")</f>
        <v>Definitivo 100%</v>
      </c>
      <c r="F213" s="583"/>
    </row>
    <row r="214" spans="1:6" ht="15.75">
      <c r="A214" s="450"/>
      <c r="B214" s="139" t="s">
        <v>146</v>
      </c>
      <c r="C214" s="145">
        <f>DMIN('7_1'!A$12:K$38,'7_1'!$K$12,F208:F209)</f>
        <v>42973.77738319779</v>
      </c>
      <c r="D214" s="189" t="str">
        <f>IF(E214=1,"Domingo",IF(E214=2,"Lunes",IF(E214=3,"Martes",IF(E214=4,"Miercoles",IF(E214=5,"Jueves",IF(E214=6,"Viernes",IF(E214=7,"Sábado",0)))))))</f>
        <v>Sábado</v>
      </c>
      <c r="E214" s="190">
        <f>WEEKDAY(C214)</f>
        <v>7</v>
      </c>
      <c r="F214" s="453" t="s">
        <v>62</v>
      </c>
    </row>
    <row r="215" spans="1:6" ht="15.75">
      <c r="A215" s="450"/>
      <c r="B215" s="139" t="s">
        <v>147</v>
      </c>
      <c r="C215" s="145">
        <f>DMAX('7_1'!A$12:L$38,'7_1'!$L$12,F208:F209)</f>
        <v>42973.77738319779</v>
      </c>
      <c r="D215" s="189" t="str">
        <f>IF(E215=1,"Domingo",IF(E215=2,"Lunes",IF(E215=3,"Martes",IF(E215=4,"Miercoles",IF(E215=5,"Jueves",IF(E215=6,"Viernes",IF(E215=7,"Sábado",0)))))))</f>
        <v>Sábado</v>
      </c>
      <c r="E215" s="190">
        <f>WEEKDAY(C215)</f>
        <v>7</v>
      </c>
      <c r="F215" s="453">
        <f>WEEKDAY(C215)</f>
        <v>7</v>
      </c>
    </row>
    <row r="216" spans="1:6">
      <c r="A216" s="450"/>
      <c r="B216" s="81"/>
      <c r="C216" s="81"/>
      <c r="D216" s="81"/>
      <c r="E216" s="584"/>
      <c r="F216" s="583"/>
    </row>
    <row r="217" spans="1:6">
      <c r="A217" s="472">
        <f>+Mensajes!$B$7</f>
        <v>0</v>
      </c>
      <c r="B217" s="81"/>
      <c r="C217" s="81"/>
      <c r="D217" s="81"/>
      <c r="E217" s="81"/>
      <c r="F217" s="451"/>
    </row>
    <row r="218" spans="1:6">
      <c r="A218" s="472">
        <f>+Mensajes!$B$12</f>
        <v>0</v>
      </c>
      <c r="B218" s="81"/>
      <c r="C218" s="81"/>
      <c r="D218" s="81"/>
      <c r="E218" s="81"/>
      <c r="F218" s="451"/>
    </row>
    <row r="219" spans="1:6">
      <c r="A219" s="471"/>
      <c r="B219" s="81"/>
      <c r="C219" s="81"/>
      <c r="D219" s="81"/>
      <c r="E219" s="81"/>
      <c r="F219" s="451"/>
    </row>
    <row r="220" spans="1:6" ht="13.5" thickBot="1">
      <c r="A220" s="468"/>
      <c r="B220" s="455"/>
      <c r="C220" s="455"/>
      <c r="D220" s="454" t="str">
        <f>IF(DSUM('7_1'!$A$12:$S$94,17,F208:F209)=COUNTIF('7_1'!$A$38:$A$94,F209),"","Regularice su Deuda")</f>
        <v/>
      </c>
      <c r="E220" s="455"/>
      <c r="F220" s="456"/>
    </row>
    <row r="221" spans="1:6" ht="13.5" thickBot="1"/>
    <row r="222" spans="1:6">
      <c r="A222" s="447"/>
      <c r="B222" s="448"/>
      <c r="C222" s="448"/>
      <c r="D222" s="448"/>
      <c r="E222" s="448"/>
      <c r="F222" s="449"/>
    </row>
    <row r="223" spans="1:6">
      <c r="A223" s="465" t="s">
        <v>64</v>
      </c>
      <c r="B223" s="81"/>
      <c r="C223" s="81"/>
      <c r="D223" s="81"/>
      <c r="E223" s="81"/>
      <c r="F223" s="451"/>
    </row>
    <row r="224" spans="1:6">
      <c r="A224" s="450"/>
      <c r="B224" s="81"/>
      <c r="C224" s="81"/>
      <c r="D224" s="81"/>
      <c r="E224" s="81"/>
      <c r="F224" s="451"/>
    </row>
    <row r="225" spans="1:6">
      <c r="A225" s="450" t="s">
        <v>139</v>
      </c>
      <c r="B225" s="81" t="str">
        <f>VLOOKUP(F226,'7_1'!$A$13:$G$38,7,0)</f>
        <v>GAGLIARDI FRANCISCO</v>
      </c>
      <c r="C225" s="81"/>
      <c r="D225" s="81"/>
      <c r="E225" s="81"/>
      <c r="F225" s="452" t="s">
        <v>102</v>
      </c>
    </row>
    <row r="226" spans="1:6">
      <c r="A226" s="450" t="s">
        <v>72</v>
      </c>
      <c r="B226" s="81" t="str">
        <f>+'7_1'!$H$2</f>
        <v>Hijuela Ibañez</v>
      </c>
      <c r="C226" s="81"/>
      <c r="D226" s="81"/>
      <c r="E226" s="81"/>
      <c r="F226" s="452">
        <v>14</v>
      </c>
    </row>
    <row r="227" spans="1:6">
      <c r="A227" s="450"/>
      <c r="B227" s="81"/>
      <c r="C227" s="81"/>
      <c r="D227" s="81"/>
      <c r="E227" s="81"/>
      <c r="F227" s="451"/>
    </row>
    <row r="228" spans="1:6">
      <c r="A228" s="466" t="s">
        <v>140</v>
      </c>
      <c r="B228" s="458">
        <f>VLOOKUP(F226,'7_1'!$A$13:$B$38,2,0)</f>
        <v>1202</v>
      </c>
      <c r="C228" s="81"/>
      <c r="D228" s="139" t="s">
        <v>141</v>
      </c>
      <c r="E228" s="457">
        <f>DSUM('7_1'!A$12:J$38,'7_1'!$J$12,F225:F226)</f>
        <v>0</v>
      </c>
      <c r="F228" s="451"/>
    </row>
    <row r="229" spans="1:6">
      <c r="A229" s="466" t="s">
        <v>142</v>
      </c>
      <c r="B229" s="461">
        <v>3</v>
      </c>
      <c r="C229" s="81"/>
      <c r="D229" s="139" t="s">
        <v>143</v>
      </c>
      <c r="E229" s="459" t="str">
        <f>+Hijuelas!$G$7</f>
        <v>POR FRACCIÓN</v>
      </c>
      <c r="F229" s="451"/>
    </row>
    <row r="230" spans="1:6">
      <c r="A230" s="466" t="s">
        <v>144</v>
      </c>
      <c r="B230" s="462">
        <f>DSUM('7_1'!$A$12:$H$38,'7_1'!$H$12,F225:F226)</f>
        <v>0</v>
      </c>
      <c r="C230" s="81"/>
      <c r="D230" s="139" t="s">
        <v>145</v>
      </c>
      <c r="E230" s="458" t="str">
        <f>IF(VLOOKUP(F226,'7_1'!$A$13:$D$54,4,0)=1, "Definitivo 100%", "Eventual 80%")</f>
        <v>Definitivo 100%</v>
      </c>
      <c r="F230" s="583"/>
    </row>
    <row r="231" spans="1:6" ht="15.75">
      <c r="A231" s="450"/>
      <c r="B231" s="139" t="s">
        <v>146</v>
      </c>
      <c r="C231" s="145">
        <f>DMIN('7_1'!A$12:K$38,'7_1'!$K$12,F225:F226)</f>
        <v>42973.77738319779</v>
      </c>
      <c r="D231" s="189" t="str">
        <f>IF(E231=1,"Domingo",IF(E231=2,"Lunes",IF(E231=3,"Martes",IF(E231=4,"Miercoles",IF(E231=5,"Jueves",IF(E231=6,"Viernes",IF(E231=7,"Sábado",0)))))))</f>
        <v>Sábado</v>
      </c>
      <c r="E231" s="190">
        <f>WEEKDAY(C231)</f>
        <v>7</v>
      </c>
      <c r="F231" s="453" t="s">
        <v>62</v>
      </c>
    </row>
    <row r="232" spans="1:6" ht="15.75">
      <c r="A232" s="450"/>
      <c r="B232" s="139" t="s">
        <v>147</v>
      </c>
      <c r="C232" s="145">
        <f>DMAX('7_1'!A$12:L$38,'7_1'!$L$12,F225:F226)</f>
        <v>42973.77738319779</v>
      </c>
      <c r="D232" s="189" t="str">
        <f>IF(E232=1,"Domingo",IF(E232=2,"Lunes",IF(E232=3,"Martes",IF(E232=4,"Miercoles",IF(E232=5,"Jueves",IF(E232=6,"Viernes",IF(E232=7,"Sábado",0)))))))</f>
        <v>Sábado</v>
      </c>
      <c r="E232" s="190">
        <f>WEEKDAY(C232)</f>
        <v>7</v>
      </c>
      <c r="F232" s="453">
        <f>WEEKDAY(C232)</f>
        <v>7</v>
      </c>
    </row>
    <row r="233" spans="1:6">
      <c r="A233" s="450"/>
      <c r="B233" s="81"/>
      <c r="C233" s="81"/>
      <c r="D233" s="81"/>
      <c r="E233" s="584"/>
      <c r="F233" s="583"/>
    </row>
    <row r="234" spans="1:6">
      <c r="A234" s="472">
        <f>+Mensajes!$B$7</f>
        <v>0</v>
      </c>
      <c r="B234" s="81"/>
      <c r="C234" s="81"/>
      <c r="D234" s="81"/>
      <c r="E234" s="81"/>
      <c r="F234" s="451"/>
    </row>
    <row r="235" spans="1:6">
      <c r="A235" s="472">
        <f>+Mensajes!$B$12</f>
        <v>0</v>
      </c>
      <c r="B235" s="81"/>
      <c r="C235" s="81"/>
      <c r="D235" s="81"/>
      <c r="E235" s="81"/>
      <c r="F235" s="451"/>
    </row>
    <row r="236" spans="1:6">
      <c r="A236" s="471"/>
      <c r="B236" s="81"/>
      <c r="C236" s="81"/>
      <c r="D236" s="81"/>
      <c r="E236" s="81"/>
      <c r="F236" s="451"/>
    </row>
    <row r="237" spans="1:6" ht="13.5" thickBot="1">
      <c r="A237" s="468"/>
      <c r="B237" s="455"/>
      <c r="C237" s="455"/>
      <c r="D237" s="454" t="str">
        <f>IF(DSUM('7_1'!$A$12:$S$94,17,F225:F226)=COUNTIF('7_1'!$A$38:$A$94,F226),"","Regularice su Deuda")</f>
        <v/>
      </c>
      <c r="E237" s="455"/>
      <c r="F237" s="456"/>
    </row>
    <row r="238" spans="1:6" ht="13.5" thickBot="1"/>
    <row r="239" spans="1:6">
      <c r="A239" s="447"/>
      <c r="B239" s="448"/>
      <c r="C239" s="448"/>
      <c r="D239" s="448"/>
      <c r="E239" s="448"/>
      <c r="F239" s="449"/>
    </row>
    <row r="240" spans="1:6">
      <c r="A240" s="465" t="s">
        <v>64</v>
      </c>
      <c r="B240" s="81"/>
      <c r="C240" s="81"/>
      <c r="D240" s="81"/>
      <c r="E240" s="81"/>
      <c r="F240" s="451"/>
    </row>
    <row r="241" spans="1:6">
      <c r="A241" s="450"/>
      <c r="B241" s="81"/>
      <c r="C241" s="81"/>
      <c r="D241" s="81"/>
      <c r="E241" s="81"/>
      <c r="F241" s="451"/>
    </row>
    <row r="242" spans="1:6">
      <c r="A242" s="450" t="s">
        <v>139</v>
      </c>
      <c r="B242" s="81" t="str">
        <f>VLOOKUP(F243,'7_1'!$A$13:$G$38,7,0)</f>
        <v>ASOCIACION VECINAL LA BAJADA</v>
      </c>
      <c r="C242" s="81"/>
      <c r="D242" s="81"/>
      <c r="E242" s="81"/>
      <c r="F242" s="452" t="s">
        <v>102</v>
      </c>
    </row>
    <row r="243" spans="1:6">
      <c r="A243" s="450" t="s">
        <v>72</v>
      </c>
      <c r="B243" s="81" t="str">
        <f>+'7_1'!$H$2</f>
        <v>Hijuela Ibañez</v>
      </c>
      <c r="C243" s="81"/>
      <c r="D243" s="81"/>
      <c r="E243" s="81"/>
      <c r="F243" s="452">
        <v>15</v>
      </c>
    </row>
    <row r="244" spans="1:6">
      <c r="A244" s="450"/>
      <c r="B244" s="81"/>
      <c r="C244" s="81"/>
      <c r="D244" s="81"/>
      <c r="E244" s="81"/>
      <c r="F244" s="451"/>
    </row>
    <row r="245" spans="1:6">
      <c r="A245" s="466" t="s">
        <v>140</v>
      </c>
      <c r="B245" s="458">
        <f>VLOOKUP(F243,'7_1'!$A$13:$B$38,2,0)</f>
        <v>1202</v>
      </c>
      <c r="C245" s="81"/>
      <c r="D245" s="139" t="s">
        <v>141</v>
      </c>
      <c r="E245" s="457">
        <f>DSUM('7_1'!A$12:J$38,'7_1'!$J$12,F242:F243)</f>
        <v>0</v>
      </c>
      <c r="F245" s="451"/>
    </row>
    <row r="246" spans="1:6">
      <c r="A246" s="466" t="s">
        <v>142</v>
      </c>
      <c r="B246" s="461">
        <v>28</v>
      </c>
      <c r="C246" s="81"/>
      <c r="D246" s="139" t="s">
        <v>143</v>
      </c>
      <c r="E246" s="459" t="str">
        <f>+Hijuelas!$G$7</f>
        <v>POR FRACCIÓN</v>
      </c>
      <c r="F246" s="451"/>
    </row>
    <row r="247" spans="1:6">
      <c r="A247" s="466" t="s">
        <v>144</v>
      </c>
      <c r="B247" s="462">
        <f>DSUM('7_1'!$A$12:$H$38,'7_1'!$H$12,F242:F243)</f>
        <v>0</v>
      </c>
      <c r="C247" s="81"/>
      <c r="D247" s="139" t="s">
        <v>145</v>
      </c>
      <c r="E247" s="458" t="str">
        <f>IF(VLOOKUP(F243,'7_1'!$A$13:$D$54,4,0)=1, "Definitivo 100%", "Eventual 80%")</f>
        <v>Definitivo 100%</v>
      </c>
      <c r="F247" s="583"/>
    </row>
    <row r="248" spans="1:6" ht="15.75">
      <c r="A248" s="450"/>
      <c r="B248" s="139" t="s">
        <v>146</v>
      </c>
      <c r="C248" s="145">
        <f>DMIN('7_1'!A$12:K$38,'7_1'!$K$12,F242:F243)</f>
        <v>42973.77738319779</v>
      </c>
      <c r="D248" s="189" t="str">
        <f>IF(E248=1,"Domingo",IF(E248=2,"Lunes",IF(E248=3,"Martes",IF(E248=4,"Miercoles",IF(E248=5,"Jueves",IF(E248=6,"Viernes",IF(E248=7,"Sábado",0)))))))</f>
        <v>Sábado</v>
      </c>
      <c r="E248" s="190">
        <f>WEEKDAY(C248)</f>
        <v>7</v>
      </c>
      <c r="F248" s="453" t="s">
        <v>62</v>
      </c>
    </row>
    <row r="249" spans="1:6" ht="15.75">
      <c r="A249" s="450"/>
      <c r="B249" s="139" t="s">
        <v>147</v>
      </c>
      <c r="C249" s="145">
        <f>DMAX('7_1'!A$12:L$38,'7_1'!$L$12,F242:F243)</f>
        <v>42973.77738319779</v>
      </c>
      <c r="D249" s="189" t="str">
        <f>IF(E249=1,"Domingo",IF(E249=2,"Lunes",IF(E249=3,"Martes",IF(E249=4,"Miercoles",IF(E249=5,"Jueves",IF(E249=6,"Viernes",IF(E249=7,"Sábado",0)))))))</f>
        <v>Sábado</v>
      </c>
      <c r="E249" s="190">
        <f>WEEKDAY(C249)</f>
        <v>7</v>
      </c>
      <c r="F249" s="453">
        <f>WEEKDAY(C249)</f>
        <v>7</v>
      </c>
    </row>
    <row r="250" spans="1:6">
      <c r="A250" s="450"/>
      <c r="B250" s="81"/>
      <c r="C250" s="81"/>
      <c r="D250" s="81"/>
      <c r="E250" s="584"/>
      <c r="F250" s="583"/>
    </row>
    <row r="251" spans="1:6">
      <c r="A251" s="472">
        <f>+Mensajes!$B$7</f>
        <v>0</v>
      </c>
      <c r="B251" s="81"/>
      <c r="C251" s="81"/>
      <c r="D251" s="81"/>
      <c r="E251" s="81"/>
      <c r="F251" s="451"/>
    </row>
    <row r="252" spans="1:6">
      <c r="A252" s="472">
        <f>+Mensajes!$B$12</f>
        <v>0</v>
      </c>
      <c r="B252" s="81"/>
      <c r="C252" s="81"/>
      <c r="D252" s="81"/>
      <c r="E252" s="81"/>
      <c r="F252" s="451"/>
    </row>
    <row r="253" spans="1:6">
      <c r="A253" s="471"/>
      <c r="B253" s="81"/>
      <c r="C253" s="81"/>
      <c r="D253" s="81"/>
      <c r="E253" s="81"/>
      <c r="F253" s="451"/>
    </row>
    <row r="254" spans="1:6" ht="13.5" thickBot="1">
      <c r="A254" s="468"/>
      <c r="B254" s="455"/>
      <c r="C254" s="455"/>
      <c r="D254" s="454" t="str">
        <f>IF(DSUM('7_1'!$A$12:$S$94,17,F242:F243)=COUNTIF('7_1'!$A$38:$A$94,F243),"","Regularice su Deuda")</f>
        <v/>
      </c>
      <c r="E254" s="455"/>
      <c r="F254" s="456"/>
    </row>
    <row r="255" spans="1:6" ht="13.5" thickBot="1"/>
    <row r="256" spans="1:6">
      <c r="A256" s="447"/>
      <c r="B256" s="448"/>
      <c r="C256" s="448"/>
      <c r="D256" s="448"/>
      <c r="E256" s="448"/>
      <c r="F256" s="449"/>
    </row>
    <row r="257" spans="1:6">
      <c r="A257" s="465" t="s">
        <v>64</v>
      </c>
      <c r="B257" s="81"/>
      <c r="C257" s="81"/>
      <c r="D257" s="81"/>
      <c r="E257" s="81"/>
      <c r="F257" s="451"/>
    </row>
    <row r="258" spans="1:6">
      <c r="A258" s="450"/>
      <c r="B258" s="81"/>
      <c r="C258" s="81"/>
      <c r="D258" s="81"/>
      <c r="E258" s="81"/>
      <c r="F258" s="451"/>
    </row>
    <row r="259" spans="1:6">
      <c r="A259" s="450" t="s">
        <v>139</v>
      </c>
      <c r="B259" s="81" t="str">
        <f>VLOOKUP(F260,'7_1'!$A$13:$G$38,7,0)</f>
        <v>SACCONE, LUIS</v>
      </c>
      <c r="C259" s="81"/>
      <c r="D259" s="81"/>
      <c r="E259" s="81"/>
      <c r="F259" s="452" t="s">
        <v>102</v>
      </c>
    </row>
    <row r="260" spans="1:6">
      <c r="A260" s="450" t="s">
        <v>72</v>
      </c>
      <c r="B260" s="81" t="str">
        <f>+'7_1'!$H$2</f>
        <v>Hijuela Ibañez</v>
      </c>
      <c r="C260" s="81"/>
      <c r="D260" s="81"/>
      <c r="E260" s="81"/>
      <c r="F260" s="452">
        <v>16</v>
      </c>
    </row>
    <row r="261" spans="1:6">
      <c r="A261" s="450"/>
      <c r="B261" s="81"/>
      <c r="C261" s="81"/>
      <c r="D261" s="81"/>
      <c r="E261" s="81"/>
      <c r="F261" s="451"/>
    </row>
    <row r="262" spans="1:6">
      <c r="A262" s="466" t="s">
        <v>140</v>
      </c>
      <c r="B262" s="458">
        <f>VLOOKUP(F260,'7_1'!$A$13:$B$38,2,0)</f>
        <v>1202</v>
      </c>
      <c r="C262" s="81"/>
      <c r="D262" s="139" t="s">
        <v>141</v>
      </c>
      <c r="E262" s="457">
        <f>DSUM('7_1'!A$12:J$38,'7_1'!$J$12,F259:F260)</f>
        <v>0.15238319779074672</v>
      </c>
      <c r="F262" s="451"/>
    </row>
    <row r="263" spans="1:6">
      <c r="A263" s="466" t="s">
        <v>142</v>
      </c>
      <c r="B263" s="461">
        <v>4</v>
      </c>
      <c r="C263" s="81"/>
      <c r="D263" s="139" t="s">
        <v>143</v>
      </c>
      <c r="E263" s="459" t="str">
        <f>+Hijuelas!$G$7</f>
        <v>POR FRACCIÓN</v>
      </c>
      <c r="F263" s="451"/>
    </row>
    <row r="264" spans="1:6">
      <c r="A264" s="466" t="s">
        <v>144</v>
      </c>
      <c r="B264" s="462">
        <f>DSUM('7_1'!$A$12:$H$38,'7_1'!$H$12,F259:F260)</f>
        <v>9.3899000000000008</v>
      </c>
      <c r="C264" s="81"/>
      <c r="D264" s="139" t="s">
        <v>145</v>
      </c>
      <c r="E264" s="458" t="str">
        <f>IF(VLOOKUP(F260,'7_1'!$A$13:$D$54,4,0)=1, "Definitivo 100%", "Eventual 80%")</f>
        <v>Definitivo 100%</v>
      </c>
      <c r="F264" s="583"/>
    </row>
    <row r="265" spans="1:6" ht="15.75">
      <c r="A265" s="450"/>
      <c r="B265" s="139" t="s">
        <v>146</v>
      </c>
      <c r="C265" s="145">
        <f>DMIN('7_1'!A$12:K$38,'7_1'!$K$12,F259:F260)</f>
        <v>42973.625</v>
      </c>
      <c r="D265" s="189" t="str">
        <f>IF(E265=1,"Domingo",IF(E265=2,"Lunes",IF(E265=3,"Martes",IF(E265=4,"Miercoles",IF(E265=5,"Jueves",IF(E265=6,"Viernes",IF(E265=7,"Sábado",0)))))))</f>
        <v>Sábado</v>
      </c>
      <c r="E265" s="190">
        <f>WEEKDAY(C265)</f>
        <v>7</v>
      </c>
      <c r="F265" s="453" t="s">
        <v>62</v>
      </c>
    </row>
    <row r="266" spans="1:6" ht="15.75">
      <c r="A266" s="450"/>
      <c r="B266" s="139" t="s">
        <v>147</v>
      </c>
      <c r="C266" s="145">
        <f>DMAX('7_1'!A$12:L$38,'7_1'!$L$12,F259:F260)</f>
        <v>42973.77738319779</v>
      </c>
      <c r="D266" s="189" t="str">
        <f>IF(E266=1,"Domingo",IF(E266=2,"Lunes",IF(E266=3,"Martes",IF(E266=4,"Miercoles",IF(E266=5,"Jueves",IF(E266=6,"Viernes",IF(E266=7,"Sábado",0)))))))</f>
        <v>Sábado</v>
      </c>
      <c r="E266" s="190">
        <f>WEEKDAY(C266)</f>
        <v>7</v>
      </c>
      <c r="F266" s="453">
        <f>WEEKDAY(C266)</f>
        <v>7</v>
      </c>
    </row>
    <row r="267" spans="1:6">
      <c r="A267" s="450"/>
      <c r="B267" s="81"/>
      <c r="C267" s="81"/>
      <c r="D267" s="81"/>
      <c r="E267" s="584"/>
      <c r="F267" s="583"/>
    </row>
    <row r="268" spans="1:6">
      <c r="A268" s="472">
        <f>+Mensajes!$B$7</f>
        <v>0</v>
      </c>
      <c r="B268" s="81"/>
      <c r="C268" s="81"/>
      <c r="D268" s="81"/>
      <c r="E268" s="81"/>
      <c r="F268" s="451"/>
    </row>
    <row r="269" spans="1:6">
      <c r="A269" s="472">
        <f>+Mensajes!$B$12</f>
        <v>0</v>
      </c>
      <c r="B269" s="81"/>
      <c r="C269" s="81"/>
      <c r="D269" s="81"/>
      <c r="E269" s="81"/>
      <c r="F269" s="451"/>
    </row>
    <row r="270" spans="1:6">
      <c r="A270" s="471"/>
      <c r="B270" s="81"/>
      <c r="C270" s="81"/>
      <c r="D270" s="81"/>
      <c r="E270" s="81"/>
      <c r="F270" s="451"/>
    </row>
    <row r="271" spans="1:6" ht="13.5" thickBot="1">
      <c r="A271" s="468"/>
      <c r="B271" s="455"/>
      <c r="C271" s="455"/>
      <c r="D271" s="454" t="str">
        <f>IF(DSUM('7_1'!$A$12:$S$94,17,F259:F260)=COUNTIF('7_1'!$A$38:$A$94,F260),"","Regularice su Deuda")</f>
        <v/>
      </c>
      <c r="E271" s="455"/>
      <c r="F271" s="456"/>
    </row>
  </sheetData>
  <phoneticPr fontId="0" type="noConversion"/>
  <pageMargins left="0.23622047244094491" right="0.23622047244094491" top="0.74803149606299213" bottom="0.74803149606299213" header="0.31496062992125984" footer="0.31496062992125984"/>
  <pageSetup paperSize="281" orientation="portrait" r:id="rId1"/>
  <headerFooter alignWithMargins="0"/>
  <rowBreaks count="3" manualBreakCount="3">
    <brk id="85" max="6" man="1"/>
    <brk id="169" max="6" man="1"/>
    <brk id="254" max="6" man="1"/>
  </rowBreaks>
  <colBreaks count="1" manualBreakCount="1">
    <brk id="7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/>
  <dimension ref="A1:BB33"/>
  <sheetViews>
    <sheetView view="pageBreakPreview" topLeftCell="E1" zoomScaleNormal="100" workbookViewId="0" xr3:uid="{731C365F-4EDE-5636-9D2D-917179ED8537}">
      <selection activeCell="M1" sqref="M1:M1048576"/>
    </sheetView>
  </sheetViews>
  <sheetFormatPr defaultColWidth="11.42578125" defaultRowHeight="12.75"/>
  <cols>
    <col min="1" max="1" width="8.28515625" customWidth="1"/>
    <col min="2" max="2" width="6" customWidth="1"/>
    <col min="3" max="3" width="9" customWidth="1"/>
    <col min="4" max="4" width="4.140625" bestFit="1" customWidth="1"/>
    <col min="5" max="5" width="10.7109375" bestFit="1" customWidth="1"/>
    <col min="6" max="6" width="13.140625" bestFit="1" customWidth="1"/>
    <col min="7" max="7" width="23.5703125" bestFit="1" customWidth="1"/>
    <col min="8" max="8" width="14.28515625" customWidth="1"/>
    <col min="9" max="9" width="12.5703125" bestFit="1" customWidth="1"/>
    <col min="10" max="10" width="15.42578125" bestFit="1" customWidth="1"/>
    <col min="11" max="11" width="17.28515625" customWidth="1"/>
    <col min="12" max="12" width="19.5703125" customWidth="1"/>
    <col min="13" max="13" width="20" customWidth="1"/>
    <col min="14" max="14" width="22.5703125" customWidth="1"/>
    <col min="15" max="15" width="17.28515625" bestFit="1" customWidth="1"/>
    <col min="16" max="16" width="7" bestFit="1" customWidth="1"/>
    <col min="17" max="17" width="7.140625" bestFit="1" customWidth="1"/>
    <col min="18" max="18" width="7.7109375" bestFit="1" customWidth="1"/>
    <col min="19" max="19" width="7.5703125" bestFit="1" customWidth="1"/>
    <col min="20" max="20" width="12" bestFit="1" customWidth="1"/>
    <col min="21" max="21" width="10.140625" bestFit="1" customWidth="1"/>
    <col min="22" max="22" width="9.5703125" bestFit="1" customWidth="1"/>
  </cols>
  <sheetData>
    <row r="1" spans="1:54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54">
      <c r="A2" s="137"/>
      <c r="B2" s="144" t="s">
        <v>187</v>
      </c>
      <c r="C2" s="137"/>
      <c r="D2" s="137"/>
      <c r="E2" s="137"/>
      <c r="F2" s="137"/>
      <c r="G2" s="137"/>
      <c r="H2" s="137"/>
      <c r="I2" s="137" t="s">
        <v>275</v>
      </c>
      <c r="J2" s="137"/>
      <c r="K2" s="137"/>
      <c r="L2" s="137"/>
      <c r="M2" s="137"/>
      <c r="N2" s="137"/>
      <c r="O2" s="137"/>
    </row>
    <row r="3" spans="1:54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</row>
    <row r="4" spans="1:54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</row>
    <row r="5" spans="1:54">
      <c r="A5" s="669" t="s">
        <v>92</v>
      </c>
      <c r="B5" s="670"/>
      <c r="C5" s="662">
        <f>+Hijuelas!D18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137"/>
      <c r="K5" s="137"/>
      <c r="L5" s="137"/>
      <c r="M5" s="137"/>
      <c r="N5" s="137"/>
      <c r="O5" s="137"/>
    </row>
    <row r="6" spans="1:54" ht="13.5" thickBot="1">
      <c r="A6" s="671" t="s">
        <v>94</v>
      </c>
      <c r="B6" s="672"/>
      <c r="C6" s="665">
        <f>+L13</f>
        <v>42973.625</v>
      </c>
      <c r="D6" s="666"/>
      <c r="E6" s="667"/>
      <c r="F6" s="344"/>
      <c r="G6" s="344"/>
      <c r="H6" s="347" t="s">
        <v>95</v>
      </c>
      <c r="I6" s="354">
        <v>8.3333333333333329E-2</v>
      </c>
      <c r="J6" s="344"/>
      <c r="K6" s="137"/>
      <c r="L6" s="578"/>
      <c r="M6" s="578"/>
      <c r="N6" s="137"/>
      <c r="O6" s="137"/>
    </row>
    <row r="7" spans="1:54" ht="13.5" thickBot="1">
      <c r="A7" s="137"/>
      <c r="B7" s="137"/>
      <c r="C7" s="137"/>
      <c r="D7" s="137"/>
      <c r="E7" s="137"/>
      <c r="F7" s="137"/>
      <c r="G7" s="137"/>
      <c r="H7" s="348" t="s">
        <v>96</v>
      </c>
      <c r="I7" s="349">
        <v>0</v>
      </c>
      <c r="J7" s="137"/>
      <c r="K7" s="137"/>
      <c r="L7" s="137"/>
      <c r="M7" s="137"/>
      <c r="N7" s="137"/>
      <c r="O7" s="137"/>
    </row>
    <row r="8" spans="1:54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</row>
    <row r="9" spans="1:54">
      <c r="A9" s="668" t="s">
        <v>97</v>
      </c>
      <c r="B9" s="668"/>
      <c r="C9" s="556">
        <f>I5-(I6+I7)</f>
        <v>3.90625</v>
      </c>
      <c r="D9" s="556"/>
      <c r="E9" s="555" t="s">
        <v>98</v>
      </c>
      <c r="F9" s="350">
        <f>+C9*60</f>
        <v>234.375</v>
      </c>
      <c r="G9" s="555" t="s">
        <v>99</v>
      </c>
      <c r="H9" s="351">
        <f>+H16</f>
        <v>11.157999999999999</v>
      </c>
      <c r="I9" s="555" t="s">
        <v>100</v>
      </c>
      <c r="J9" s="556">
        <f>IF(H9=0,0,F9/H9)</f>
        <v>21.005108442373185</v>
      </c>
      <c r="K9" s="137"/>
      <c r="L9" s="137"/>
      <c r="M9" s="137"/>
      <c r="N9" s="137"/>
      <c r="O9" s="137"/>
    </row>
    <row r="10" spans="1:54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</row>
    <row r="11" spans="1:54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</row>
    <row r="12" spans="1:54" ht="24.75" thickBot="1">
      <c r="A12" s="357" t="s">
        <v>102</v>
      </c>
      <c r="B12" s="336" t="s">
        <v>103</v>
      </c>
      <c r="C12" s="336" t="s">
        <v>104</v>
      </c>
      <c r="D12" s="336" t="s">
        <v>276</v>
      </c>
      <c r="E12" s="336" t="s">
        <v>106</v>
      </c>
      <c r="F12" s="336" t="s">
        <v>153</v>
      </c>
      <c r="G12" s="336" t="s">
        <v>108</v>
      </c>
      <c r="H12" s="336" t="s">
        <v>154</v>
      </c>
      <c r="I12" s="336" t="s">
        <v>277</v>
      </c>
      <c r="J12" s="336" t="s">
        <v>110</v>
      </c>
      <c r="K12" s="336" t="s">
        <v>156</v>
      </c>
      <c r="L12" s="336" t="s">
        <v>157</v>
      </c>
      <c r="M12" s="554" t="s">
        <v>113</v>
      </c>
      <c r="N12" s="336" t="s">
        <v>114</v>
      </c>
      <c r="O12" s="532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336" t="s">
        <v>121</v>
      </c>
      <c r="U12" s="337" t="s">
        <v>122</v>
      </c>
    </row>
    <row r="13" spans="1:54" ht="24.95" customHeight="1" thickTop="1" thickBot="1">
      <c r="A13" s="51">
        <v>1</v>
      </c>
      <c r="B13" s="52">
        <v>1200</v>
      </c>
      <c r="C13" s="52">
        <v>68</v>
      </c>
      <c r="D13" s="52">
        <v>1</v>
      </c>
      <c r="E13" s="356">
        <v>17.239000000000001</v>
      </c>
      <c r="F13" s="527" t="str">
        <f>IF(Q13=0,"NO",IF(Q13=1,"SI",IF(Q13=3,"cede turno","CONDICIONAL")))</f>
        <v>NO</v>
      </c>
      <c r="G13" s="52" t="s">
        <v>278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0</v>
      </c>
      <c r="I13" s="579"/>
      <c r="J13" s="580">
        <f>+$J$9/60*H13</f>
        <v>0</v>
      </c>
      <c r="K13" s="531">
        <f>+C5+I6</f>
        <v>42973.625</v>
      </c>
      <c r="L13" s="531">
        <f>+K13+J13</f>
        <v>42973.625</v>
      </c>
      <c r="M13" s="174"/>
      <c r="N13" s="52"/>
      <c r="O13" s="213"/>
      <c r="P13" s="52" t="str">
        <f>+CONCATENATE(B13,C13)</f>
        <v>120068</v>
      </c>
      <c r="Q13" s="150">
        <f>VLOOKUP(P13,deuda!A$1:H$550,4,0)</f>
        <v>0</v>
      </c>
      <c r="R13" s="150">
        <f>VLOOKUP(P13,deuda!A$1:H$550,5,0)</f>
        <v>4</v>
      </c>
      <c r="S13" s="150">
        <f>IF(VLOOKUP(P13,deuda!A$1:H$550,6,0)=0,"",VLOOKUP(P13,deuda!A$1:H$550,6,0))</f>
        <v>16429.349999999999</v>
      </c>
      <c r="T13" s="151" t="str">
        <f>IF((VLOOKUP(P13,deuda!A$1:H$550,7,0))=0,"",VLOOKUP(P13,deuda!A$1:H$550,7,0))</f>
        <v/>
      </c>
      <c r="U13" s="152" t="str">
        <f>IF((VLOOKUP(P13,deuda!A$1:H$550,8,0))=0,"",VLOOKUP(P13,deuda!A$1:H$550,8,0))</f>
        <v/>
      </c>
    </row>
    <row r="14" spans="1:54" ht="24.95" customHeight="1" thickBot="1">
      <c r="A14" s="35">
        <v>2</v>
      </c>
      <c r="B14" s="5">
        <v>1200</v>
      </c>
      <c r="C14" s="5">
        <v>28</v>
      </c>
      <c r="D14" s="5">
        <v>1</v>
      </c>
      <c r="E14" s="355">
        <v>9.2980999999999998</v>
      </c>
      <c r="F14" s="527" t="str">
        <f>IF(Q14=0,"NO",IF(Q14=1,"SI",IF(Q14=3,"cede turno","CONDICIONAL")))</f>
        <v>SI</v>
      </c>
      <c r="G14" s="5" t="s">
        <v>279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9.2980999999999998</v>
      </c>
      <c r="I14" s="626"/>
      <c r="J14" s="580">
        <f t="shared" ref="J14:J15" si="0">+$J$9/60*H14</f>
        <v>3.2551266468005018</v>
      </c>
      <c r="K14" s="531">
        <f>+L13</f>
        <v>42973.625</v>
      </c>
      <c r="L14" s="531">
        <f>+K14+J14</f>
        <v>42976.8801266468</v>
      </c>
      <c r="M14" s="174"/>
      <c r="N14" s="5"/>
      <c r="O14" s="8"/>
      <c r="P14" s="52" t="str">
        <f>+CONCATENATE(B14,C14)</f>
        <v>120028</v>
      </c>
      <c r="Q14" s="150">
        <f>VLOOKUP(P14,deuda!A$1:H$550,4,0)</f>
        <v>1</v>
      </c>
      <c r="R14" s="150">
        <f>VLOOKUP(P14,deuda!A$1:H$550,5,0)</f>
        <v>0</v>
      </c>
      <c r="S14" s="150">
        <f>IF(VLOOKUP(P14,deuda!A$1:H$550,6,0)=0,"",VLOOKUP(P14,deuda!A$1:H$550,6,0))</f>
        <v>1195.8699999999999</v>
      </c>
      <c r="T14" s="151" t="str">
        <f>IF((VLOOKUP(P14,deuda!A$1:H$550,7,0))=0,"",VLOOKUP(P14,deuda!A$1:H$550,7,0))</f>
        <v/>
      </c>
      <c r="U14" s="152" t="str">
        <f>IF((VLOOKUP(P14,deuda!A$1:H$550,8,0))=0,"",VLOOKUP(P14,deuda!A$1:H$550,8,0))</f>
        <v/>
      </c>
    </row>
    <row r="15" spans="1:54" s="474" customFormat="1" ht="24.95" customHeight="1" thickBot="1">
      <c r="A15" s="33">
        <v>2</v>
      </c>
      <c r="B15" s="29">
        <v>1208</v>
      </c>
      <c r="C15" s="421">
        <v>30</v>
      </c>
      <c r="D15" s="29">
        <v>1</v>
      </c>
      <c r="E15" s="526">
        <v>1.8599000000000001</v>
      </c>
      <c r="F15" s="527" t="str">
        <f>IF(Q15=0,"NO",IF(Q15=1,"SI",IF(Q15=3,"cede turno","CONDICIONAL")))</f>
        <v>SI</v>
      </c>
      <c r="G15" s="474" t="s">
        <v>279</v>
      </c>
      <c r="H15" s="627">
        <f>IF(Hijuelas!$G$7="POR FRACCIÓN",IF(F15="NO",0,IF(F15="cede turno",0,IF(Hijuelas!$G$8="si",IF(D15=1,E15,E15*0.8),E15))),IF(F15="NO",0,IF(F15="cede turno",0,IF(Hijuelas!$G$8="si",IF(D15=1,ROUNDUP(E15,0),ROUNDUP(E15*0.8,0)),ROUNDUP(E15,0)))))</f>
        <v>1.8599000000000001</v>
      </c>
      <c r="I15" s="628"/>
      <c r="J15" s="580">
        <f t="shared" si="0"/>
        <v>0.65112335319949821</v>
      </c>
      <c r="K15" s="531">
        <f>+L14</f>
        <v>42976.8801266468</v>
      </c>
      <c r="L15" s="531">
        <f>+K15+J15</f>
        <v>42977.53125</v>
      </c>
      <c r="M15" s="174"/>
      <c r="N15" s="528"/>
      <c r="P15" s="528" t="str">
        <f>+CONCATENATE(B15,C15)</f>
        <v>120830</v>
      </c>
      <c r="Q15" s="529">
        <f>VLOOKUP(P15,deuda!A$1:H$550,4,0)</f>
        <v>1</v>
      </c>
      <c r="R15" s="529">
        <f>VLOOKUP(P15,deuda!A$1:H$550,5,0)</f>
        <v>0</v>
      </c>
      <c r="S15" s="529">
        <f>IF(VLOOKUP(P15,deuda!A$1:H$550,6,0)=0,"",VLOOKUP(P15,deuda!A$1:H$550,6,0))</f>
        <v>1174.51</v>
      </c>
      <c r="T15" s="530" t="str">
        <f>IF((VLOOKUP(P15,deuda!A$1:H$550,7,0))=0,"",VLOOKUP(P15,deuda!A$1:H$550,7,0))</f>
        <v/>
      </c>
      <c r="U15" s="154" t="str">
        <f>IF((VLOOKUP(P15,deuda!A$1:H$550,8,0))=0,"",VLOOKUP(P15,deuda!A$1:H$550,8,0))</f>
        <v/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</row>
    <row r="16" spans="1:54">
      <c r="A16" s="13"/>
      <c r="B16" s="10"/>
      <c r="C16" s="10"/>
      <c r="D16" s="10"/>
      <c r="E16" s="104">
        <f>SUM(E13:E15)</f>
        <v>28.397000000000002</v>
      </c>
      <c r="F16" s="104"/>
      <c r="G16" s="10"/>
      <c r="H16" s="73">
        <f>SUM(H13:H15)</f>
        <v>11.157999999999999</v>
      </c>
      <c r="I16" s="105"/>
      <c r="J16" s="39">
        <f>SUM(J13:J15)</f>
        <v>3.90625</v>
      </c>
      <c r="K16" s="10"/>
      <c r="L16" s="10"/>
      <c r="M16" s="125"/>
      <c r="N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</row>
    <row r="17" spans="9:32">
      <c r="I17" s="15"/>
      <c r="J17" s="14"/>
      <c r="K17" s="3"/>
      <c r="M17" s="125"/>
      <c r="AA17" s="10"/>
      <c r="AB17" s="10"/>
      <c r="AC17" s="10"/>
      <c r="AD17" s="10"/>
      <c r="AE17" s="10"/>
      <c r="AF17" s="10"/>
    </row>
    <row r="18" spans="9:32">
      <c r="J18" s="14"/>
      <c r="K18" s="3"/>
      <c r="M18" s="125"/>
    </row>
    <row r="19" spans="9:32">
      <c r="J19" s="14"/>
      <c r="K19" s="3"/>
      <c r="M19" s="125"/>
    </row>
    <row r="20" spans="9:32">
      <c r="J20" s="14"/>
      <c r="K20" s="3"/>
      <c r="M20" s="125"/>
    </row>
    <row r="21" spans="9:32" ht="11.25" customHeight="1">
      <c r="J21" s="14"/>
      <c r="K21" s="3"/>
      <c r="M21" s="125"/>
    </row>
    <row r="22" spans="9:32">
      <c r="J22" s="14"/>
      <c r="K22" s="3"/>
      <c r="M22" s="125"/>
    </row>
    <row r="23" spans="9:32">
      <c r="J23" s="14"/>
      <c r="K23" s="3"/>
      <c r="M23" s="125"/>
    </row>
    <row r="24" spans="9:32">
      <c r="J24" s="14"/>
      <c r="K24" s="3"/>
      <c r="M24" s="125"/>
    </row>
    <row r="25" spans="9:32">
      <c r="M25" s="125"/>
    </row>
    <row r="26" spans="9:32">
      <c r="M26" s="125"/>
    </row>
    <row r="27" spans="9:32">
      <c r="M27" s="125"/>
    </row>
    <row r="28" spans="9:32">
      <c r="M28" s="125"/>
    </row>
    <row r="29" spans="9:32">
      <c r="M29" s="125"/>
    </row>
    <row r="30" spans="9:32">
      <c r="M30" s="125"/>
    </row>
    <row r="31" spans="9:32">
      <c r="M31" s="125"/>
    </row>
    <row r="32" spans="9:32">
      <c r="M32" s="125"/>
    </row>
    <row r="33" spans="13:13">
      <c r="M33" s="10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count="1">
    <dataValidation type="list" allowBlank="1" showInputMessage="1" showErrorMessage="1" errorTitle="ATENCIÓN" error="NO PUEDEN INGRESARSE VALORES" promptTitle="RECORDAR" prompt="NO OLVIDE VOLVER A PEGAR LA FORMULA PARA QUE LA PLANILLA LEA AUTOMATICAMENTE LOS DATOS " sqref="Q13:Q15" xr:uid="{00000000-0002-0000-1400-000000000000}">
      <formula1>"2, 3"</formula1>
    </dataValidation>
  </dataValidations>
  <pageMargins left="0.78740157480314965" right="0.74803149606299213" top="0.98425196850393704" bottom="0.98425196850393704" header="0" footer="0"/>
  <pageSetup paperSize="281" scale="75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33"/>
  <dimension ref="A1:G33"/>
  <sheetViews>
    <sheetView view="pageBreakPreview" zoomScale="75" zoomScaleNormal="100" workbookViewId="0" xr3:uid="{0801C90D-E949-51CC-9495-7D82D7DEDABF}">
      <selection activeCell="I14" sqref="I14"/>
    </sheetView>
  </sheetViews>
  <sheetFormatPr defaultColWidth="11.42578125" defaultRowHeight="12.75"/>
  <cols>
    <col min="2" max="2" width="11.7109375" bestFit="1" customWidth="1"/>
    <col min="3" max="3" width="22.28515625" bestFit="1" customWidth="1"/>
    <col min="5" max="6" width="11.7109375" bestFit="1" customWidth="1"/>
  </cols>
  <sheetData>
    <row r="1" spans="1:7">
      <c r="A1" s="448"/>
      <c r="B1" s="448"/>
      <c r="C1" s="448"/>
      <c r="D1" s="448"/>
      <c r="E1" s="448"/>
      <c r="F1" s="449"/>
      <c r="G1" s="81"/>
    </row>
    <row r="2" spans="1:7">
      <c r="A2" s="147" t="s">
        <v>64</v>
      </c>
      <c r="B2" s="81"/>
      <c r="C2" s="81"/>
      <c r="D2" s="81"/>
      <c r="E2" s="81"/>
      <c r="F2" s="451"/>
      <c r="G2" s="81"/>
    </row>
    <row r="3" spans="1:7">
      <c r="A3" s="81"/>
      <c r="B3" s="81"/>
      <c r="C3" s="81"/>
      <c r="D3" s="81"/>
      <c r="E3" s="81"/>
      <c r="F3" s="451"/>
      <c r="G3" s="81"/>
    </row>
    <row r="4" spans="1:7">
      <c r="A4" s="81" t="s">
        <v>139</v>
      </c>
      <c r="B4" s="81" t="str">
        <f>VLOOKUP(F5,'8_1'!$A$13:$H$33,7,0)</f>
        <v>BARO, HUGO EDGARDO</v>
      </c>
      <c r="C4" s="81"/>
      <c r="D4" s="81"/>
      <c r="E4" s="81"/>
      <c r="F4" s="452" t="s">
        <v>102</v>
      </c>
      <c r="G4" s="81"/>
    </row>
    <row r="5" spans="1:7">
      <c r="A5" s="81" t="s">
        <v>72</v>
      </c>
      <c r="B5" s="81" t="str">
        <f>+'8_1'!$I$2</f>
        <v>Hijuela BARO</v>
      </c>
      <c r="C5" s="81"/>
      <c r="D5" s="81"/>
      <c r="E5" s="81"/>
      <c r="F5" s="452">
        <v>1</v>
      </c>
      <c r="G5" s="81"/>
    </row>
    <row r="6" spans="1:7">
      <c r="A6" s="81"/>
      <c r="B6" s="81"/>
      <c r="C6" s="81"/>
      <c r="D6" s="81"/>
      <c r="E6" s="81"/>
      <c r="F6" s="451"/>
      <c r="G6" s="81"/>
    </row>
    <row r="7" spans="1:7">
      <c r="A7" s="139" t="s">
        <v>140</v>
      </c>
      <c r="B7" s="458">
        <f>VLOOKUP(F5,'8_1'!$A$13:$B$33,2,0)</f>
        <v>1200</v>
      </c>
      <c r="C7" s="81"/>
      <c r="D7" s="139" t="s">
        <v>141</v>
      </c>
      <c r="E7" s="475">
        <f>DSUM('8_1'!A$12:K$33,'8_1'!$J$12,F4:F5)</f>
        <v>0</v>
      </c>
      <c r="F7" s="451"/>
      <c r="G7" s="81"/>
    </row>
    <row r="8" spans="1:7">
      <c r="A8" s="139" t="s">
        <v>142</v>
      </c>
      <c r="B8" s="461">
        <v>68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139" t="s">
        <v>144</v>
      </c>
      <c r="B9" s="462">
        <f>DSUM('8_1'!$A$12:$I$33,'8_1'!$H$12,F4:F5)</f>
        <v>0</v>
      </c>
      <c r="C9" s="81"/>
      <c r="D9" s="139" t="s">
        <v>145</v>
      </c>
      <c r="E9" s="458" t="str">
        <f>IF(VLOOKUP(F5,'8_1'!$A$13:$D$51,4,0)=1, "Definitivo 100%", "Eventual 80%")</f>
        <v>Definitivo 100%</v>
      </c>
      <c r="F9" s="583"/>
      <c r="G9" s="81"/>
    </row>
    <row r="10" spans="1:7" ht="15.75">
      <c r="A10" s="81"/>
      <c r="B10" s="139" t="s">
        <v>146</v>
      </c>
      <c r="C10" s="477">
        <f>DMIN('8_1'!A$12:L$33,'8_1'!$K$12,F4:F5)</f>
        <v>42973.625</v>
      </c>
      <c r="D10" s="189" t="str">
        <f>IF(E10=1,"Domingo",IF(E10=2,"Lunes",IF(E10=3,"Martes",IF(E10=4,"Miercoles",IF(E10=5,"Jueves",IF(E10=6,"Viernes",IF(E10=7,"Sábado",0)))))))</f>
        <v>Sábado</v>
      </c>
      <c r="E10" s="190">
        <f>WEEKDAY(C10)</f>
        <v>7</v>
      </c>
      <c r="F10" s="453" t="s">
        <v>62</v>
      </c>
      <c r="G10" s="81"/>
    </row>
    <row r="11" spans="1:7" ht="15.75">
      <c r="A11" s="81"/>
      <c r="B11" s="139" t="s">
        <v>147</v>
      </c>
      <c r="C11" s="477">
        <f>DMAX('8_1'!A$12:N$33,'8_1'!$L$12,F4:F5)</f>
        <v>42973.625</v>
      </c>
      <c r="D11" s="189" t="str">
        <f>IF(E11=1,"Domingo",IF(E11=2,"Lunes",IF(E11=3,"Martes",IF(E11=4,"Miercoles",IF(E11=5,"Jueves",IF(E11=6,"Viernes",IF(E11=7,"Sábado",0)))))))</f>
        <v>Sábado</v>
      </c>
      <c r="E11" s="190">
        <f>WEEKDAY(C11)</f>
        <v>7</v>
      </c>
      <c r="F11" s="453">
        <f>WEEKDAY(C11)</f>
        <v>7</v>
      </c>
      <c r="G11" s="81"/>
    </row>
    <row r="12" spans="1:7">
      <c r="A12" s="81"/>
      <c r="B12" s="81"/>
      <c r="C12" s="81"/>
      <c r="D12" s="81"/>
      <c r="E12" s="584"/>
      <c r="F12" s="583"/>
      <c r="G12" s="81"/>
    </row>
    <row r="13" spans="1:7">
      <c r="A13" s="476">
        <f>+Mensajes!$B$7</f>
        <v>0</v>
      </c>
      <c r="B13" s="81"/>
      <c r="C13" s="81"/>
      <c r="D13" s="81"/>
      <c r="E13" s="81"/>
      <c r="F13" s="451"/>
      <c r="G13" s="81"/>
    </row>
    <row r="14" spans="1:7">
      <c r="A14" s="476">
        <f>+Mensajes!$B$12</f>
        <v>0</v>
      </c>
      <c r="B14" s="81"/>
      <c r="C14" s="81"/>
      <c r="D14" s="81"/>
      <c r="E14" s="81"/>
      <c r="F14" s="451"/>
      <c r="G14" s="81"/>
    </row>
    <row r="15" spans="1:7">
      <c r="A15" s="146"/>
      <c r="B15" s="81"/>
      <c r="C15" s="81"/>
      <c r="D15" s="81"/>
      <c r="E15" s="81"/>
      <c r="F15" s="451"/>
      <c r="G15" s="81"/>
    </row>
    <row r="16" spans="1:7" ht="13.5" thickBot="1">
      <c r="A16" s="474"/>
      <c r="B16" s="455"/>
      <c r="C16" s="455"/>
      <c r="D16" s="454" t="str">
        <f>IF(DSUM('8_1'!$A$12:$Q$90,16,F4:F5)=COUNTIF('8_1'!$A$13:$A$90,F5),"","Regularice su Deuda")</f>
        <v>Regularice su Deuda</v>
      </c>
      <c r="E16" s="455"/>
      <c r="F16" s="456"/>
      <c r="G16" s="81"/>
    </row>
    <row r="17" spans="1:6" ht="13.5" thickBot="1"/>
    <row r="18" spans="1:6">
      <c r="A18" s="448"/>
      <c r="B18" s="448"/>
      <c r="C18" s="448"/>
      <c r="D18" s="448"/>
      <c r="E18" s="448"/>
      <c r="F18" s="449"/>
    </row>
    <row r="19" spans="1:6">
      <c r="A19" s="147" t="s">
        <v>64</v>
      </c>
      <c r="B19" s="81"/>
      <c r="C19" s="81"/>
      <c r="D19" s="81"/>
      <c r="E19" s="81"/>
      <c r="F19" s="451"/>
    </row>
    <row r="20" spans="1:6">
      <c r="A20" s="81"/>
      <c r="B20" s="81"/>
      <c r="C20" s="81"/>
      <c r="D20" s="81"/>
      <c r="E20" s="81"/>
      <c r="F20" s="451"/>
    </row>
    <row r="21" spans="1:6">
      <c r="A21" s="81" t="s">
        <v>139</v>
      </c>
      <c r="B21" s="81" t="str">
        <f>VLOOKUP(F22,'8_1'!$A$13:$H$33,7,0)</f>
        <v>IRUSTA, BENITO JORGE</v>
      </c>
      <c r="C21" s="81"/>
      <c r="D21" s="81"/>
      <c r="E21" s="81"/>
      <c r="F21" s="452" t="s">
        <v>102</v>
      </c>
    </row>
    <row r="22" spans="1:6">
      <c r="A22" s="81" t="s">
        <v>72</v>
      </c>
      <c r="B22" s="81" t="str">
        <f>+'8_1'!$I$2</f>
        <v>Hijuela BARO</v>
      </c>
      <c r="C22" s="81"/>
      <c r="D22" s="81"/>
      <c r="E22" s="81"/>
      <c r="F22" s="452">
        <v>2</v>
      </c>
    </row>
    <row r="23" spans="1:6">
      <c r="A23" s="81"/>
      <c r="B23" s="81"/>
      <c r="C23" s="81"/>
      <c r="D23" s="81"/>
      <c r="E23" s="81"/>
      <c r="F23" s="451"/>
    </row>
    <row r="24" spans="1:6">
      <c r="A24" s="139" t="s">
        <v>140</v>
      </c>
      <c r="B24" s="458">
        <f>VLOOKUP(F22,'8_1'!$A$13:$B$33,2,0)</f>
        <v>1200</v>
      </c>
      <c r="C24" s="81"/>
      <c r="D24" s="139" t="s">
        <v>141</v>
      </c>
      <c r="E24" s="475">
        <f>DSUM('8_1'!A$12:K$33,'8_1'!$J$12,F21:F22)</f>
        <v>3.90625</v>
      </c>
      <c r="F24" s="451"/>
    </row>
    <row r="25" spans="1:6">
      <c r="A25" s="139" t="s">
        <v>142</v>
      </c>
      <c r="B25" s="461" t="s">
        <v>280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139" t="s">
        <v>144</v>
      </c>
      <c r="B26" s="462">
        <f>DSUM('8_1'!$A$12:$I$33,'8_1'!$H$12,F21:F22)</f>
        <v>11.157999999999999</v>
      </c>
      <c r="C26" s="81"/>
      <c r="D26" s="139" t="s">
        <v>145</v>
      </c>
      <c r="E26" s="458" t="str">
        <f>IF(VLOOKUP(F22,'8_1'!$A$13:$D$51,4,0)=1, "Definitivo 100%", "Eventual 80%")</f>
        <v>Definitivo 100%</v>
      </c>
      <c r="F26" s="583"/>
    </row>
    <row r="27" spans="1:6" ht="15.75">
      <c r="A27" s="81"/>
      <c r="B27" s="139" t="s">
        <v>146</v>
      </c>
      <c r="C27" s="477">
        <f>DMIN('8_1'!A$12:L$33,'8_1'!$K$12,F21:F22)</f>
        <v>42973.625</v>
      </c>
      <c r="D27" s="189" t="str">
        <f>IF(E27=1,"Domingo",IF(E27=2,"Lunes",IF(E27=3,"Martes",IF(E27=4,"Miercoles",IF(E27=5,"Jueves",IF(E27=6,"Viernes",IF(E27=7,"Sábado",0)))))))</f>
        <v>Sábado</v>
      </c>
      <c r="E27" s="190">
        <f>WEEKDAY(C27)</f>
        <v>7</v>
      </c>
      <c r="F27" s="453" t="s">
        <v>62</v>
      </c>
    </row>
    <row r="28" spans="1:6" ht="15.75">
      <c r="A28" s="81"/>
      <c r="B28" s="139" t="s">
        <v>147</v>
      </c>
      <c r="C28" s="477">
        <f>DMAX('8_1'!A$12:N$33,'8_1'!$L$12,F21:F22)</f>
        <v>42977.53125</v>
      </c>
      <c r="D28" s="189" t="str">
        <f>IF(E28=1,"Domingo",IF(E28=2,"Lunes",IF(E28=3,"Martes",IF(E28=4,"Miercoles",IF(E28=5,"Jueves",IF(E28=6,"Viernes",IF(E28=7,"Sábado",0)))))))</f>
        <v>Miercoles</v>
      </c>
      <c r="E28" s="190">
        <f>WEEKDAY(C28)</f>
        <v>4</v>
      </c>
      <c r="F28" s="453">
        <f>WEEKDAY(C28)</f>
        <v>4</v>
      </c>
    </row>
    <row r="29" spans="1:6">
      <c r="A29" s="81"/>
      <c r="B29" s="81"/>
      <c r="C29" s="81"/>
      <c r="D29" s="81"/>
      <c r="E29" s="584"/>
      <c r="F29" s="583"/>
    </row>
    <row r="30" spans="1:6">
      <c r="A30" s="476">
        <f>+Mensajes!$B$7</f>
        <v>0</v>
      </c>
      <c r="B30" s="81"/>
      <c r="C30" s="81"/>
      <c r="D30" s="81"/>
      <c r="E30" s="81"/>
      <c r="F30" s="451"/>
    </row>
    <row r="31" spans="1:6">
      <c r="A31" s="476">
        <f>+Mensajes!$B$12</f>
        <v>0</v>
      </c>
      <c r="B31" s="81"/>
      <c r="C31" s="81"/>
      <c r="D31" s="81"/>
      <c r="E31" s="81"/>
      <c r="F31" s="451"/>
    </row>
    <row r="32" spans="1:6">
      <c r="A32" s="146"/>
      <c r="B32" s="81"/>
      <c r="C32" s="81"/>
      <c r="D32" s="81"/>
      <c r="E32" s="81"/>
      <c r="F32" s="451"/>
    </row>
    <row r="33" spans="1:6" ht="13.5" thickBot="1">
      <c r="A33" s="474"/>
      <c r="B33" s="455"/>
      <c r="C33" s="455"/>
      <c r="D33" s="454" t="str">
        <f>IF(DSUM('8_1'!$A$12:$Q$90,16,F21:F22)=COUNTIF('8_1'!$A$13:$A$90,F22),"","Regularice su Deuda")</f>
        <v>Regularice su Deuda</v>
      </c>
      <c r="E33" s="455"/>
      <c r="F33" s="456"/>
    </row>
  </sheetData>
  <phoneticPr fontId="0" type="noConversion"/>
  <pageMargins left="0.75" right="0.75" top="0.15748031496062992" bottom="0.98425196850393704" header="0" footer="0"/>
  <pageSetup paperSize="9" scale="95" orientation="portrait" r:id="rId1"/>
  <headerFooter alignWithMargins="0"/>
  <colBreaks count="1" manualBreakCount="1">
    <brk id="7" max="1048575" man="1"/>
  </col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U39"/>
  <sheetViews>
    <sheetView view="pageBreakPreview" topLeftCell="A7" zoomScale="75" zoomScaleNormal="75" workbookViewId="0" xr3:uid="{AB5DE215-5931-5800-A1A6-141DC62B4C85}">
      <selection activeCell="H39" sqref="H39"/>
    </sheetView>
  </sheetViews>
  <sheetFormatPr defaultColWidth="11.42578125" defaultRowHeight="12.75"/>
  <cols>
    <col min="1" max="1" width="8.42578125" customWidth="1"/>
    <col min="2" max="2" width="6" customWidth="1"/>
    <col min="3" max="4" width="7.7109375" customWidth="1"/>
    <col min="5" max="5" width="11.140625" customWidth="1"/>
    <col min="6" max="6" width="13.7109375" customWidth="1"/>
    <col min="7" max="7" width="23.7109375" customWidth="1"/>
    <col min="8" max="8" width="11" customWidth="1"/>
    <col min="9" max="9" width="7.7109375" bestFit="1" customWidth="1"/>
    <col min="10" max="10" width="10.42578125" bestFit="1" customWidth="1"/>
    <col min="11" max="12" width="17.7109375" bestFit="1" customWidth="1"/>
    <col min="13" max="13" width="18" customWidth="1"/>
    <col min="14" max="14" width="20.7109375" customWidth="1"/>
    <col min="15" max="15" width="17.7109375" bestFit="1" customWidth="1"/>
    <col min="16" max="16" width="7" bestFit="1" customWidth="1"/>
    <col min="17" max="17" width="8.42578125" bestFit="1" customWidth="1"/>
    <col min="18" max="19" width="7.7109375" bestFit="1" customWidth="1"/>
    <col min="20" max="20" width="20.140625" bestFit="1" customWidth="1"/>
    <col min="21" max="21" width="11" bestFit="1" customWidth="1"/>
    <col min="22" max="22" width="20" bestFit="1" customWidth="1"/>
    <col min="23" max="23" width="11.8554687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21">
      <c r="A2" s="137"/>
      <c r="B2" s="144" t="s">
        <v>187</v>
      </c>
      <c r="C2" s="137"/>
      <c r="D2" s="137"/>
      <c r="E2" s="137"/>
      <c r="F2" s="137"/>
      <c r="G2" s="137"/>
      <c r="H2" s="137" t="s">
        <v>281</v>
      </c>
      <c r="I2" s="137"/>
      <c r="J2" s="137"/>
      <c r="K2" s="137"/>
      <c r="L2" s="137"/>
      <c r="M2" s="137"/>
      <c r="N2" s="137"/>
      <c r="O2" s="137"/>
    </row>
    <row r="3" spans="1:21">
      <c r="A3" s="137"/>
      <c r="B3" s="137"/>
      <c r="C3" s="137"/>
      <c r="D3" s="137"/>
      <c r="E3" s="137"/>
      <c r="F3" s="137"/>
      <c r="G3" s="137"/>
      <c r="H3" s="137" t="s">
        <v>282</v>
      </c>
      <c r="I3" s="137"/>
      <c r="J3" s="137"/>
      <c r="K3" s="137"/>
      <c r="L3" s="137"/>
      <c r="M3" s="137"/>
      <c r="N3" s="137"/>
      <c r="O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</row>
    <row r="5" spans="1:21">
      <c r="A5" s="669" t="s">
        <v>92</v>
      </c>
      <c r="B5" s="670"/>
      <c r="C5" s="662">
        <f>+Hijuelas!D19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378"/>
      <c r="K5" s="137"/>
      <c r="L5" s="137"/>
      <c r="M5" s="137"/>
      <c r="N5" s="137"/>
      <c r="O5" s="137"/>
    </row>
    <row r="6" spans="1:21" ht="13.5" thickBot="1">
      <c r="A6" s="671" t="s">
        <v>94</v>
      </c>
      <c r="B6" s="672"/>
      <c r="C6" s="665">
        <f>+C5+I5</f>
        <v>42977.53125</v>
      </c>
      <c r="D6" s="666"/>
      <c r="E6" s="667"/>
      <c r="F6" s="344"/>
      <c r="G6" s="344"/>
      <c r="H6" s="347" t="s">
        <v>95</v>
      </c>
      <c r="I6" s="354">
        <v>8.3333333333333329E-2</v>
      </c>
      <c r="J6" s="378"/>
      <c r="K6" s="344"/>
      <c r="L6" s="137"/>
      <c r="M6" s="578"/>
      <c r="N6" s="578"/>
      <c r="O6" s="137"/>
    </row>
    <row r="7" spans="1:21" ht="13.5" thickBot="1">
      <c r="A7" s="137"/>
      <c r="B7" s="137"/>
      <c r="C7" s="137"/>
      <c r="D7" s="137"/>
      <c r="E7" s="137"/>
      <c r="F7" s="137"/>
      <c r="G7" s="556">
        <f>+C6-C5</f>
        <v>3.9895833333357587</v>
      </c>
      <c r="H7" s="348" t="s">
        <v>96</v>
      </c>
      <c r="I7" s="349">
        <f>+I38</f>
        <v>0.16666666666666669</v>
      </c>
      <c r="J7" s="378"/>
      <c r="K7" s="137"/>
      <c r="L7" s="137"/>
      <c r="M7" s="137"/>
      <c r="N7" s="137"/>
      <c r="O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</row>
    <row r="9" spans="1:21">
      <c r="A9" s="668" t="s">
        <v>97</v>
      </c>
      <c r="B9" s="668"/>
      <c r="C9" s="556">
        <f>I5-I6-I7</f>
        <v>3.7395833333333335</v>
      </c>
      <c r="D9" s="556"/>
      <c r="E9" s="555" t="s">
        <v>98</v>
      </c>
      <c r="F9" s="350">
        <f>+C9*60</f>
        <v>224.375</v>
      </c>
      <c r="G9" s="555" t="s">
        <v>99</v>
      </c>
      <c r="H9" s="351">
        <f>+H38</f>
        <v>146.7885</v>
      </c>
      <c r="I9" s="555" t="s">
        <v>100</v>
      </c>
      <c r="J9" s="556">
        <f>+F9/H9</f>
        <v>1.5285597986218267</v>
      </c>
      <c r="L9" s="137"/>
      <c r="M9" s="137"/>
      <c r="N9" s="137"/>
      <c r="O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</row>
    <row r="12" spans="1:21" s="11" customFormat="1" ht="24.75" thickBot="1">
      <c r="A12" s="433" t="s">
        <v>102</v>
      </c>
      <c r="B12" s="430" t="s">
        <v>103</v>
      </c>
      <c r="C12" s="430" t="s">
        <v>104</v>
      </c>
      <c r="D12" s="430" t="s">
        <v>276</v>
      </c>
      <c r="E12" s="430" t="s">
        <v>106</v>
      </c>
      <c r="F12" s="430" t="s">
        <v>153</v>
      </c>
      <c r="G12" s="430" t="s">
        <v>108</v>
      </c>
      <c r="H12" s="430" t="s">
        <v>154</v>
      </c>
      <c r="I12" s="430" t="s">
        <v>200</v>
      </c>
      <c r="J12" s="430" t="s">
        <v>110</v>
      </c>
      <c r="K12" s="430" t="s">
        <v>156</v>
      </c>
      <c r="L12" s="430" t="s">
        <v>157</v>
      </c>
      <c r="M12" s="554" t="s">
        <v>113</v>
      </c>
      <c r="N12" s="430" t="s">
        <v>114</v>
      </c>
      <c r="O12" s="430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336" t="s">
        <v>121</v>
      </c>
      <c r="U12" s="337" t="s">
        <v>122</v>
      </c>
    </row>
    <row r="13" spans="1:21" ht="30" customHeight="1" thickTop="1">
      <c r="A13" s="219">
        <v>1</v>
      </c>
      <c r="B13" s="62">
        <v>1208</v>
      </c>
      <c r="C13" s="62">
        <v>46</v>
      </c>
      <c r="D13" s="62">
        <v>1</v>
      </c>
      <c r="E13" s="405">
        <v>6.7577999999999996</v>
      </c>
      <c r="F13" s="103" t="str">
        <f>IF(Q13=0,"NO",IF(Q13=1,"SI",IF(Q13=3,"cede turno","CONDICIONAL")))</f>
        <v>SI</v>
      </c>
      <c r="G13" s="62" t="s">
        <v>283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6.7577999999999996</v>
      </c>
      <c r="I13" s="608">
        <v>0</v>
      </c>
      <c r="J13" s="610">
        <f>+$J$9/60*H13</f>
        <v>0.17216169011877633</v>
      </c>
      <c r="K13" s="406">
        <f>+L14</f>
        <v>42977.35908830988</v>
      </c>
      <c r="L13" s="406">
        <f>+K13+J13+I13</f>
        <v>42977.53125</v>
      </c>
      <c r="M13" s="174"/>
      <c r="N13" s="62"/>
      <c r="O13" s="62"/>
      <c r="P13" s="52" t="str">
        <f>+CONCATENATE(B13,C13)</f>
        <v>120846</v>
      </c>
      <c r="Q13" s="150">
        <f>VLOOKUP(P13,deuda!A$1:H$550,4,0)</f>
        <v>1</v>
      </c>
      <c r="R13" s="150">
        <f>VLOOKUP(P13,deuda!A$1:H$550,5,0)</f>
        <v>0</v>
      </c>
      <c r="S13" s="150" t="str">
        <f>IF(VLOOKUP(P13,deuda!A$1:H$550,6,0)=0,"",VLOOKUP(P13,deuda!A$1:H$550,6,0))</f>
        <v/>
      </c>
      <c r="T13" s="151" t="str">
        <f>IF((VLOOKUP(P13,deuda!A$1:H$550,7,0))=0,"",VLOOKUP(P13,deuda!A$1:H$550,7,0))</f>
        <v/>
      </c>
      <c r="U13" s="152" t="str">
        <f>IF((VLOOKUP(P13,deuda!A$1:H$550,8,0))=0,"",VLOOKUP(P13,deuda!A$1:H$550,8,0))</f>
        <v/>
      </c>
    </row>
    <row r="14" spans="1:21" ht="30" customHeight="1">
      <c r="A14" s="219">
        <v>2</v>
      </c>
      <c r="B14" s="62">
        <v>1208</v>
      </c>
      <c r="C14" s="62">
        <v>21</v>
      </c>
      <c r="D14" s="62">
        <v>1</v>
      </c>
      <c r="E14" s="405">
        <v>23.754899999999999</v>
      </c>
      <c r="F14" s="103" t="str">
        <f>IF(Q14=0,"NO",IF(Q14=1,"SI",IF(Q14=3,"cede turno","CONDICIONAL")))</f>
        <v>SI</v>
      </c>
      <c r="G14" s="62" t="s">
        <v>284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23.754899999999999</v>
      </c>
      <c r="I14" s="608">
        <v>1.3888888888888888E-2</v>
      </c>
      <c r="J14" s="610">
        <f>+$J$9/60*H14</f>
        <v>0.60517975267136048</v>
      </c>
      <c r="K14" s="406">
        <f>+L15</f>
        <v>42976.740019668316</v>
      </c>
      <c r="L14" s="406">
        <f>+K14+J14+I14</f>
        <v>42977.35908830988</v>
      </c>
      <c r="M14" s="174"/>
      <c r="N14" s="62"/>
      <c r="O14" s="62"/>
      <c r="P14" s="52" t="str">
        <f>+CONCATENATE(B14,C14)</f>
        <v>120821</v>
      </c>
      <c r="Q14" s="150">
        <f>VLOOKUP(P14,deuda!A$1:H$550,4,0)</f>
        <v>1</v>
      </c>
      <c r="R14" s="150">
        <f>VLOOKUP(P14,deuda!A$1:H$550,5,0)</f>
        <v>1</v>
      </c>
      <c r="S14" s="150">
        <f>IF(VLOOKUP(P14,deuda!A$1:H$550,6,0)=0,"",VLOOKUP(P14,deuda!A$1:H$550,6,0))</f>
        <v>10373.16</v>
      </c>
      <c r="T14" s="151" t="str">
        <f>IF((VLOOKUP(P14,deuda!A$1:H$550,7,0))=0,"",VLOOKUP(P14,deuda!A$1:H$550,7,0))</f>
        <v/>
      </c>
      <c r="U14" s="152" t="str">
        <f>IF((VLOOKUP(P14,deuda!A$1:H$550,8,0))=0,"",VLOOKUP(P14,deuda!A$1:H$550,8,0))</f>
        <v/>
      </c>
    </row>
    <row r="15" spans="1:21" ht="30" customHeight="1">
      <c r="A15" s="219">
        <v>3</v>
      </c>
      <c r="B15" s="62">
        <v>1208</v>
      </c>
      <c r="C15" s="62">
        <v>15</v>
      </c>
      <c r="D15" s="62">
        <v>1</v>
      </c>
      <c r="E15" s="405">
        <v>0.15590000000000001</v>
      </c>
      <c r="F15" s="103" t="str">
        <f>IF(Q15=0,"NO",IF(Q15=1,"SI",IF(Q15=3,"cede turno","CONDICIONAL")))</f>
        <v>SI</v>
      </c>
      <c r="G15" s="62" t="s">
        <v>279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0.15590000000000001</v>
      </c>
      <c r="I15" s="608">
        <v>0</v>
      </c>
      <c r="J15" s="610">
        <f>+$J$9/60*H15</f>
        <v>3.9717078767523796E-3</v>
      </c>
      <c r="K15" s="406">
        <f>+L16</f>
        <v>42976.736047960439</v>
      </c>
      <c r="L15" s="406">
        <f>+K15+J15+I15</f>
        <v>42976.740019668316</v>
      </c>
      <c r="M15" s="125"/>
      <c r="N15" s="62"/>
      <c r="O15" s="62"/>
      <c r="P15" s="52" t="str">
        <f>+CONCATENATE(B15,C15)</f>
        <v>120815</v>
      </c>
      <c r="Q15" s="150">
        <f>VLOOKUP(P15,deuda!A$1:H$550,4,0)</f>
        <v>1</v>
      </c>
      <c r="R15" s="150">
        <f>VLOOKUP(P15,deuda!A$1:H$550,5,0)</f>
        <v>0</v>
      </c>
      <c r="S15" s="150" t="str">
        <f>IF(VLOOKUP(P15,deuda!A$1:H$550,6,0)=0,"",VLOOKUP(P15,deuda!A$1:H$550,6,0))</f>
        <v/>
      </c>
      <c r="T15" s="151" t="str">
        <f>IF((VLOOKUP(P15,deuda!A$1:H$550,7,0))=0,"",VLOOKUP(P15,deuda!A$1:H$550,7,0))</f>
        <v/>
      </c>
      <c r="U15" s="152" t="str">
        <f>IF((VLOOKUP(P15,deuda!A$1:H$550,8,0))=0,"",VLOOKUP(P15,deuda!A$1:H$550,8,0))</f>
        <v/>
      </c>
    </row>
    <row r="16" spans="1:21" ht="30" customHeight="1">
      <c r="A16" s="219">
        <v>3</v>
      </c>
      <c r="B16" s="62">
        <v>1208</v>
      </c>
      <c r="C16" s="62">
        <v>16</v>
      </c>
      <c r="D16" s="62">
        <v>1</v>
      </c>
      <c r="E16" s="405">
        <v>3.5346000000000002</v>
      </c>
      <c r="F16" s="103" t="str">
        <f>IF(Q16=0,"NO",IF(Q16=1,"SI",IF(Q16=3,"cede turno","CONDICIONAL")))</f>
        <v>SI</v>
      </c>
      <c r="G16" s="62" t="s">
        <v>279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3.5346000000000002</v>
      </c>
      <c r="I16" s="608">
        <v>0</v>
      </c>
      <c r="J16" s="610">
        <f>+$J$9/60*H16</f>
        <v>9.0047457736811817E-2</v>
      </c>
      <c r="K16" s="406">
        <f>+L17</f>
        <v>42976.646000502704</v>
      </c>
      <c r="L16" s="406">
        <f>+K16+J16+I16</f>
        <v>42976.736047960439</v>
      </c>
      <c r="M16" s="125"/>
      <c r="N16" s="62"/>
      <c r="O16" s="62"/>
      <c r="P16" s="52" t="str">
        <f>+CONCATENATE(B16,C16)</f>
        <v>120816</v>
      </c>
      <c r="Q16" s="150">
        <f>VLOOKUP(P16,deuda!A$1:H$550,4,0)</f>
        <v>1</v>
      </c>
      <c r="R16" s="150">
        <f>VLOOKUP(P16,deuda!A$1:H$550,5,0)</f>
        <v>0</v>
      </c>
      <c r="S16" s="150" t="str">
        <f>IF(VLOOKUP(P16,deuda!A$1:H$550,6,0)=0,"",VLOOKUP(P16,deuda!A$1:H$550,6,0))</f>
        <v/>
      </c>
      <c r="T16" s="151" t="str">
        <f>IF((VLOOKUP(P16,deuda!A$1:H$550,7,0))=0,"",VLOOKUP(P16,deuda!A$1:H$550,7,0))</f>
        <v/>
      </c>
      <c r="U16" s="152" t="str">
        <f>IF((VLOOKUP(P16,deuda!A$1:H$550,8,0))=0,"",VLOOKUP(P16,deuda!A$1:H$550,8,0))</f>
        <v/>
      </c>
    </row>
    <row r="17" spans="1:21" ht="30" customHeight="1">
      <c r="A17" s="219">
        <v>3</v>
      </c>
      <c r="B17" s="62">
        <v>1208</v>
      </c>
      <c r="C17" s="62">
        <v>45</v>
      </c>
      <c r="D17" s="62">
        <v>1</v>
      </c>
      <c r="E17" s="405">
        <v>4.8798000000000004</v>
      </c>
      <c r="F17" s="103" t="str">
        <f>IF(Q17=0,"NO",IF(Q17=1,"SI",IF(Q17=3,"cede turno","CONDICIONAL")))</f>
        <v>SI</v>
      </c>
      <c r="G17" s="62" t="s">
        <v>279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4.8798000000000004</v>
      </c>
      <c r="I17" s="608">
        <v>0</v>
      </c>
      <c r="J17" s="610">
        <f>+$J$9/60*H17</f>
        <v>0.12431776842191317</v>
      </c>
      <c r="K17" s="406">
        <f>+L18</f>
        <v>42976.521682734281</v>
      </c>
      <c r="L17" s="406">
        <f>+K17+J17+I17</f>
        <v>42976.646000502704</v>
      </c>
      <c r="M17" s="125"/>
      <c r="N17" s="62"/>
      <c r="O17" s="62"/>
      <c r="P17" s="52" t="str">
        <f>+CONCATENATE(B17,C17)</f>
        <v>120845</v>
      </c>
      <c r="Q17" s="150">
        <f>VLOOKUP(P17,deuda!A$1:H$550,4,0)</f>
        <v>1</v>
      </c>
      <c r="R17" s="150">
        <f>VLOOKUP(P17,deuda!A$1:H$550,5,0)</f>
        <v>0</v>
      </c>
      <c r="S17" s="150" t="str">
        <f>IF(VLOOKUP(P17,deuda!A$1:H$550,6,0)=0,"",VLOOKUP(P17,deuda!A$1:H$550,6,0))</f>
        <v/>
      </c>
      <c r="T17" s="151" t="str">
        <f>IF((VLOOKUP(P17,deuda!A$1:H$550,7,0))=0,"",VLOOKUP(P17,deuda!A$1:H$550,7,0))</f>
        <v/>
      </c>
      <c r="U17" s="152" t="str">
        <f>IF((VLOOKUP(P17,deuda!A$1:H$550,8,0))=0,"",VLOOKUP(P17,deuda!A$1:H$550,8,0))</f>
        <v/>
      </c>
    </row>
    <row r="18" spans="1:21" ht="30" customHeight="1">
      <c r="A18" s="219">
        <v>4</v>
      </c>
      <c r="B18" s="62">
        <v>1208</v>
      </c>
      <c r="C18" s="62">
        <v>17</v>
      </c>
      <c r="D18" s="62">
        <v>1</v>
      </c>
      <c r="E18" s="405">
        <v>1.45</v>
      </c>
      <c r="F18" s="103" t="str">
        <f>IF(Q18=0,"NO",IF(Q18=1,"SI",IF(Q18=3,"cede turno","CONDICIONAL")))</f>
        <v>SI</v>
      </c>
      <c r="G18" s="62" t="s">
        <v>285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1.45</v>
      </c>
      <c r="I18" s="608">
        <v>6.9444444444444441E-3</v>
      </c>
      <c r="J18" s="610">
        <f>+$J$9/60*H18</f>
        <v>3.6940195133360811E-2</v>
      </c>
      <c r="K18" s="406">
        <f>+L19</f>
        <v>42976.477798094704</v>
      </c>
      <c r="L18" s="406">
        <f>+K18+J18+I18</f>
        <v>42976.521682734281</v>
      </c>
      <c r="M18" s="125"/>
      <c r="N18" s="62"/>
      <c r="O18" s="62"/>
      <c r="P18" s="52" t="str">
        <f>+CONCATENATE(B18,C18)</f>
        <v>120817</v>
      </c>
      <c r="Q18" s="150">
        <f>VLOOKUP(P18,deuda!A$1:H$550,4,0)</f>
        <v>1</v>
      </c>
      <c r="R18" s="150">
        <f>VLOOKUP(P18,deuda!A$1:H$550,5,0)</f>
        <v>0</v>
      </c>
      <c r="S18" s="150">
        <f>IF(VLOOKUP(P18,deuda!A$1:H$550,6,0)=0,"",VLOOKUP(P18,deuda!A$1:H$550,6,0))</f>
        <v>4.0599999999999996</v>
      </c>
      <c r="T18" s="151" t="str">
        <f>IF((VLOOKUP(P18,deuda!A$1:H$550,7,0))=0,"",VLOOKUP(P18,deuda!A$1:H$550,7,0))</f>
        <v/>
      </c>
      <c r="U18" s="152" t="str">
        <f>IF((VLOOKUP(P18,deuda!A$1:H$550,8,0))=0,"",VLOOKUP(P18,deuda!A$1:H$550,8,0))</f>
        <v/>
      </c>
    </row>
    <row r="19" spans="1:21" ht="30" customHeight="1">
      <c r="A19" s="219">
        <v>5</v>
      </c>
      <c r="B19" s="62">
        <v>1208</v>
      </c>
      <c r="C19" s="62">
        <v>18</v>
      </c>
      <c r="D19" s="62">
        <v>1</v>
      </c>
      <c r="E19" s="148">
        <v>9.6084999999999994</v>
      </c>
      <c r="F19" s="103" t="str">
        <f>IF(Q19=0,"NO",IF(Q19=1,"SI",IF(Q19=3,"cede turno","CONDICIONAL")))</f>
        <v>NO</v>
      </c>
      <c r="G19" s="62" t="s">
        <v>286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0</v>
      </c>
      <c r="I19" s="608">
        <v>6.9444444444444441E-3</v>
      </c>
      <c r="J19" s="610">
        <f>+$J$9/60*H19</f>
        <v>0</v>
      </c>
      <c r="K19" s="406">
        <f>+L20</f>
        <v>42976.470853650259</v>
      </c>
      <c r="L19" s="406">
        <f>+K19+J19+I19</f>
        <v>42976.477798094704</v>
      </c>
      <c r="M19" s="125"/>
      <c r="N19" s="62"/>
      <c r="O19" s="62"/>
      <c r="P19" s="52" t="str">
        <f>+CONCATENATE(B19,C19)</f>
        <v>120818</v>
      </c>
      <c r="Q19" s="150">
        <f>VLOOKUP(P19,deuda!A$1:H$550,4,0)</f>
        <v>0</v>
      </c>
      <c r="R19" s="150">
        <f>VLOOKUP(P19,deuda!A$1:H$550,5,0)</f>
        <v>3</v>
      </c>
      <c r="S19" s="150">
        <f>IF(VLOOKUP(P19,deuda!A$1:H$550,6,0)=0,"",VLOOKUP(P19,deuda!A$1:H$550,6,0))</f>
        <v>6527.95</v>
      </c>
      <c r="T19" s="151" t="str">
        <f>IF((VLOOKUP(P19,deuda!A$1:H$550,7,0))=0,"",VLOOKUP(P19,deuda!A$1:H$550,7,0))</f>
        <v/>
      </c>
      <c r="U19" s="152" t="str">
        <f>IF((VLOOKUP(P19,deuda!A$1:H$550,8,0))=0,"",VLOOKUP(P19,deuda!A$1:H$550,8,0))</f>
        <v/>
      </c>
    </row>
    <row r="20" spans="1:21" ht="30" customHeight="1">
      <c r="A20" s="219">
        <v>6</v>
      </c>
      <c r="B20" s="62">
        <v>1208</v>
      </c>
      <c r="C20" s="62">
        <v>4</v>
      </c>
      <c r="D20" s="62">
        <v>1</v>
      </c>
      <c r="E20" s="148">
        <v>11.116899999999999</v>
      </c>
      <c r="F20" s="103" t="str">
        <f>IF(Q20=0,"NO",IF(Q20=1,"SI",IF(Q20=3,"cede turno","CONDICIONAL")))</f>
        <v>SI</v>
      </c>
      <c r="G20" s="62" t="s">
        <v>287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11.116899999999999</v>
      </c>
      <c r="I20" s="608">
        <v>0</v>
      </c>
      <c r="J20" s="610">
        <f>+$J$9/60*H20</f>
        <v>0.2832141070883164</v>
      </c>
      <c r="K20" s="406">
        <f>+L21</f>
        <v>42976.187639543168</v>
      </c>
      <c r="L20" s="406">
        <f>+K20+J20+I20</f>
        <v>42976.470853650259</v>
      </c>
      <c r="M20" s="125"/>
      <c r="N20" s="62"/>
      <c r="O20" s="62"/>
      <c r="P20" s="52" t="str">
        <f>+CONCATENATE(B20,C20)</f>
        <v>12084</v>
      </c>
      <c r="Q20" s="150">
        <f>VLOOKUP(P20,deuda!A$1:H$550,4,0)</f>
        <v>1</v>
      </c>
      <c r="R20" s="150">
        <f>VLOOKUP(P20,deuda!A$1:H$550,5,0)</f>
        <v>2</v>
      </c>
      <c r="S20" s="150">
        <f>IF(VLOOKUP(P20,deuda!A$1:H$550,6,0)=0,"",VLOOKUP(P20,deuda!A$1:H$550,6,0))</f>
        <v>5236.3599999999997</v>
      </c>
      <c r="T20" s="151" t="str">
        <f>IF((VLOOKUP(P20,deuda!A$1:H$550,7,0))=0,"",VLOOKUP(P20,deuda!A$1:H$550,7,0))</f>
        <v/>
      </c>
      <c r="U20" s="152" t="str">
        <f>IF((VLOOKUP(P20,deuda!A$1:H$550,8,0))=0,"",VLOOKUP(P20,deuda!A$1:H$550,8,0))</f>
        <v/>
      </c>
    </row>
    <row r="21" spans="1:21" ht="30" customHeight="1">
      <c r="A21" s="219">
        <v>7</v>
      </c>
      <c r="B21" s="62">
        <v>1208</v>
      </c>
      <c r="C21" s="62">
        <v>38</v>
      </c>
      <c r="D21" s="62">
        <v>1</v>
      </c>
      <c r="E21" s="148">
        <v>1.2846</v>
      </c>
      <c r="F21" s="103" t="str">
        <f>IF(Q21=0,"NO",IF(Q21=1,"SI",IF(Q21=3,"cede turno","CONDICIONAL")))</f>
        <v>SI</v>
      </c>
      <c r="G21" s="62" t="s">
        <v>288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1.2846</v>
      </c>
      <c r="I21" s="608">
        <v>0</v>
      </c>
      <c r="J21" s="610">
        <f>+$J$9/60*H21</f>
        <v>3.2726465288493309E-2</v>
      </c>
      <c r="K21" s="406">
        <f>+L22</f>
        <v>42976.15491307788</v>
      </c>
      <c r="L21" s="406">
        <f>+K21+J21+I21</f>
        <v>42976.187639543168</v>
      </c>
      <c r="M21" s="125"/>
      <c r="N21" s="62"/>
      <c r="O21" s="62"/>
      <c r="P21" s="52" t="str">
        <f>+CONCATENATE(B21,C21)</f>
        <v>120838</v>
      </c>
      <c r="Q21" s="150">
        <f>VLOOKUP(P21,deuda!A$1:H$550,4,0)</f>
        <v>1</v>
      </c>
      <c r="R21" s="150">
        <f>VLOOKUP(P21,deuda!A$1:H$550,5,0)</f>
        <v>1</v>
      </c>
      <c r="S21" s="150">
        <f>IF(VLOOKUP(P21,deuda!A$1:H$550,6,0)=0,"",VLOOKUP(P21,deuda!A$1:H$550,6,0))</f>
        <v>452.93</v>
      </c>
      <c r="T21" s="151" t="str">
        <f>IF((VLOOKUP(P21,deuda!A$1:H$550,7,0))=0,"",VLOOKUP(P21,deuda!A$1:H$550,7,0))</f>
        <v/>
      </c>
      <c r="U21" s="152" t="str">
        <f>IF((VLOOKUP(P21,deuda!A$1:H$550,8,0))=0,"",VLOOKUP(P21,deuda!A$1:H$550,8,0))</f>
        <v/>
      </c>
    </row>
    <row r="22" spans="1:21" ht="30" customHeight="1">
      <c r="A22" s="219">
        <v>8</v>
      </c>
      <c r="B22" s="62">
        <v>1208</v>
      </c>
      <c r="C22" s="62">
        <v>42</v>
      </c>
      <c r="D22" s="62">
        <v>1</v>
      </c>
      <c r="E22" s="405">
        <v>5.3999999999999999E-2</v>
      </c>
      <c r="F22" s="103" t="str">
        <f>IF(Q22=0,"NO",IF(Q22=1,"SI",IF(Q22=3,"cede turno","CONDICIONAL")))</f>
        <v>NO</v>
      </c>
      <c r="G22" s="62" t="s">
        <v>289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0</v>
      </c>
      <c r="I22" s="608">
        <v>0</v>
      </c>
      <c r="J22" s="610">
        <f>+$J$9/60*H22</f>
        <v>0</v>
      </c>
      <c r="K22" s="406">
        <f>+L23</f>
        <v>42976.15491307788</v>
      </c>
      <c r="L22" s="406">
        <f>+K22+J22+I22</f>
        <v>42976.15491307788</v>
      </c>
      <c r="M22" s="125"/>
      <c r="N22" s="62"/>
      <c r="O22" s="62"/>
      <c r="P22" s="52" t="str">
        <f>+CONCATENATE(B22,C22)</f>
        <v>120842</v>
      </c>
      <c r="Q22" s="150">
        <f>VLOOKUP(P22,deuda!A$1:H$550,4,0)</f>
        <v>0</v>
      </c>
      <c r="R22" s="150">
        <f>VLOOKUP(P22,deuda!A$1:H$550,5,0)</f>
        <v>93</v>
      </c>
      <c r="S22" s="150">
        <f>IF(VLOOKUP(P22,deuda!A$1:H$550,6,0)=0,"",VLOOKUP(P22,deuda!A$1:H$550,6,0))</f>
        <v>29814.33</v>
      </c>
      <c r="T22" s="151" t="str">
        <f>IF((VLOOKUP(P22,deuda!A$1:H$550,7,0))=0,"",VLOOKUP(P22,deuda!A$1:H$550,7,0))</f>
        <v/>
      </c>
      <c r="U22" s="152" t="str">
        <f>IF((VLOOKUP(P22,deuda!A$1:H$550,8,0))=0,"",VLOOKUP(P22,deuda!A$1:H$550,8,0))</f>
        <v/>
      </c>
    </row>
    <row r="23" spans="1:21" ht="30" customHeight="1">
      <c r="A23" s="219">
        <v>9</v>
      </c>
      <c r="B23" s="62">
        <v>1208</v>
      </c>
      <c r="C23" s="62">
        <v>34</v>
      </c>
      <c r="D23" s="62">
        <v>1</v>
      </c>
      <c r="E23" s="148">
        <v>0.29420000000000002</v>
      </c>
      <c r="F23" s="103" t="str">
        <f>IF(Q23=0,"NO",IF(Q23=1,"SI",IF(Q23=3,"cede turno","CONDICIONAL")))</f>
        <v>SI</v>
      </c>
      <c r="G23" s="62" t="s">
        <v>290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0.29420000000000002</v>
      </c>
      <c r="I23" s="608">
        <v>0</v>
      </c>
      <c r="J23" s="610">
        <f>+$J$9/60*H23</f>
        <v>7.4950382125756904E-3</v>
      </c>
      <c r="K23" s="406">
        <f>+L24</f>
        <v>42976.147418039669</v>
      </c>
      <c r="L23" s="406">
        <f>+K23+J23+I23</f>
        <v>42976.15491307788</v>
      </c>
      <c r="M23" s="125"/>
      <c r="N23" s="62"/>
      <c r="O23" s="62"/>
      <c r="P23" s="52" t="str">
        <f>+CONCATENATE(B23,C23)</f>
        <v>120834</v>
      </c>
      <c r="Q23" s="150">
        <f>VLOOKUP(P23,deuda!A$1:H$550,4,0)</f>
        <v>1</v>
      </c>
      <c r="R23" s="150">
        <f>VLOOKUP(P23,deuda!A$1:H$550,5,0)</f>
        <v>0</v>
      </c>
      <c r="S23" s="150" t="str">
        <f>IF(VLOOKUP(P23,deuda!A$1:H$550,6,0)=0,"",VLOOKUP(P23,deuda!A$1:H$550,6,0))</f>
        <v/>
      </c>
      <c r="T23" s="151" t="str">
        <f>IF((VLOOKUP(P23,deuda!A$1:H$550,7,0))=0,"",VLOOKUP(P23,deuda!A$1:H$550,7,0))</f>
        <v/>
      </c>
      <c r="U23" s="152" t="str">
        <f>IF((VLOOKUP(P23,deuda!A$1:H$550,8,0))=0,"",VLOOKUP(P23,deuda!A$1:H$550,8,0))</f>
        <v/>
      </c>
    </row>
    <row r="24" spans="1:21" ht="30" customHeight="1">
      <c r="A24" s="219">
        <v>9</v>
      </c>
      <c r="B24" s="62">
        <v>1208</v>
      </c>
      <c r="C24" s="62">
        <v>41</v>
      </c>
      <c r="D24" s="62">
        <v>1</v>
      </c>
      <c r="E24" s="405">
        <v>4.4999999999999998E-2</v>
      </c>
      <c r="F24" s="103" t="str">
        <f t="shared" ref="F24:F37" si="0">IF(Q24=0,"NO",IF(Q24=1,"SI",IF(Q24=3,"cede turno","CONDICIONAL")))</f>
        <v>NO</v>
      </c>
      <c r="G24" s="62" t="s">
        <v>290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0</v>
      </c>
      <c r="I24" s="608">
        <v>0</v>
      </c>
      <c r="J24" s="610">
        <f>+$J$9/60*H24</f>
        <v>0</v>
      </c>
      <c r="K24" s="406">
        <f>+L25</f>
        <v>42976.147418039669</v>
      </c>
      <c r="L24" s="406">
        <f>+K24+J24+I24</f>
        <v>42976.147418039669</v>
      </c>
      <c r="M24" s="125"/>
      <c r="N24" s="62"/>
      <c r="O24" s="62"/>
      <c r="P24" s="52" t="str">
        <f>+CONCATENATE(B24,C24)</f>
        <v>120841</v>
      </c>
      <c r="Q24" s="150">
        <f>VLOOKUP(P24,deuda!A$1:H$550,4,0)</f>
        <v>0</v>
      </c>
      <c r="R24" s="150">
        <f>VLOOKUP(P24,deuda!A$1:H$550,5,0)</f>
        <v>7</v>
      </c>
      <c r="S24" s="150">
        <f>IF(VLOOKUP(P24,deuda!A$1:H$550,6,0)=0,"",VLOOKUP(P24,deuda!A$1:H$550,6,0))</f>
        <v>5119.34</v>
      </c>
      <c r="T24" s="151" t="str">
        <f>IF((VLOOKUP(P24,deuda!A$1:H$550,7,0))=0,"",VLOOKUP(P24,deuda!A$1:H$550,7,0))</f>
        <v/>
      </c>
      <c r="U24" s="152" t="str">
        <f>IF((VLOOKUP(P24,deuda!A$1:H$550,8,0))=0,"",VLOOKUP(P24,deuda!A$1:H$550,8,0))</f>
        <v/>
      </c>
    </row>
    <row r="25" spans="1:21" ht="30" customHeight="1">
      <c r="A25" s="219">
        <v>10</v>
      </c>
      <c r="B25" s="62">
        <v>1208</v>
      </c>
      <c r="C25" s="62">
        <v>6</v>
      </c>
      <c r="D25" s="62">
        <v>1</v>
      </c>
      <c r="E25" s="405">
        <v>7.3757999999999999</v>
      </c>
      <c r="F25" s="103" t="str">
        <f t="shared" si="0"/>
        <v>SI</v>
      </c>
      <c r="G25" s="62" t="s">
        <v>291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7.3757999999999999</v>
      </c>
      <c r="I25" s="608">
        <v>4.8611111111111112E-2</v>
      </c>
      <c r="J25" s="610">
        <f>+$J$9/60*H25</f>
        <v>0.18790585604458115</v>
      </c>
      <c r="K25" s="406">
        <f>+L26</f>
        <v>42975.910901072515</v>
      </c>
      <c r="L25" s="406">
        <f>+K25+J25+I25</f>
        <v>42976.147418039669</v>
      </c>
      <c r="M25" s="125"/>
      <c r="N25" s="62"/>
      <c r="O25" s="62"/>
      <c r="P25" s="52" t="str">
        <f>+CONCATENATE(B25,C25)</f>
        <v>12086</v>
      </c>
      <c r="Q25" s="150">
        <f>VLOOKUP(P25,deuda!A$1:H$550,4,0)</f>
        <v>1</v>
      </c>
      <c r="R25" s="150">
        <f>VLOOKUP(P25,deuda!A$1:H$550,5,0)</f>
        <v>0</v>
      </c>
      <c r="S25" s="150" t="str">
        <f>IF(VLOOKUP(P25,deuda!A$1:H$550,6,0)=0,"",VLOOKUP(P25,deuda!A$1:H$550,6,0))</f>
        <v/>
      </c>
      <c r="T25" s="151" t="str">
        <f>IF((VLOOKUP(P25,deuda!A$1:H$550,7,0))=0,"",VLOOKUP(P25,deuda!A$1:H$550,7,0))</f>
        <v/>
      </c>
      <c r="U25" s="152" t="str">
        <f>IF((VLOOKUP(P25,deuda!A$1:H$550,8,0))=0,"",VLOOKUP(P25,deuda!A$1:H$550,8,0))</f>
        <v/>
      </c>
    </row>
    <row r="26" spans="1:21" ht="30" customHeight="1">
      <c r="A26" s="219">
        <v>11</v>
      </c>
      <c r="B26" s="62">
        <v>1208</v>
      </c>
      <c r="C26" s="62">
        <v>14</v>
      </c>
      <c r="D26" s="62">
        <v>1</v>
      </c>
      <c r="E26" s="405">
        <v>9.7199999999999995E-2</v>
      </c>
      <c r="F26" s="103" t="str">
        <f t="shared" si="0"/>
        <v>NO</v>
      </c>
      <c r="G26" s="62" t="s">
        <v>292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0</v>
      </c>
      <c r="I26" s="608">
        <v>0</v>
      </c>
      <c r="J26" s="610">
        <f>+$J$9/60*H26</f>
        <v>0</v>
      </c>
      <c r="K26" s="406">
        <f>+L27</f>
        <v>42975.910901072515</v>
      </c>
      <c r="L26" s="406">
        <f>+K26+J26+I26</f>
        <v>42975.910901072515</v>
      </c>
      <c r="M26" s="125"/>
      <c r="N26" s="62"/>
      <c r="O26" s="62"/>
      <c r="P26" s="52" t="str">
        <f>+CONCATENATE(B26,C26)</f>
        <v>120814</v>
      </c>
      <c r="Q26" s="150">
        <f>VLOOKUP(P26,deuda!A$1:H$550,4,0)</f>
        <v>0</v>
      </c>
      <c r="R26" s="150">
        <f>VLOOKUP(P26,deuda!A$1:H$550,5,0)</f>
        <v>113</v>
      </c>
      <c r="S26" s="150">
        <f>IF(VLOOKUP(P26,deuda!A$1:H$550,6,0)=0,"",VLOOKUP(P26,deuda!A$1:H$550,6,0))</f>
        <v>31471.86</v>
      </c>
      <c r="T26" s="151" t="str">
        <f>IF((VLOOKUP(P26,deuda!A$1:H$550,7,0))=0,"",VLOOKUP(P26,deuda!A$1:H$550,7,0))</f>
        <v/>
      </c>
      <c r="U26" s="152" t="str">
        <f>IF((VLOOKUP(P26,deuda!A$1:H$550,8,0))=0,"",VLOOKUP(P26,deuda!A$1:H$550,8,0))</f>
        <v/>
      </c>
    </row>
    <row r="27" spans="1:21" ht="30" customHeight="1">
      <c r="A27" s="219">
        <v>12</v>
      </c>
      <c r="B27" s="62">
        <v>1208</v>
      </c>
      <c r="C27" s="62">
        <v>47</v>
      </c>
      <c r="D27" s="62">
        <v>1</v>
      </c>
      <c r="E27" s="405">
        <v>4.4499000000000004</v>
      </c>
      <c r="F27" s="103" t="str">
        <f t="shared" si="0"/>
        <v>SI</v>
      </c>
      <c r="G27" s="62" t="s">
        <v>292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4.4499000000000004</v>
      </c>
      <c r="I27" s="608">
        <v>0</v>
      </c>
      <c r="J27" s="610">
        <f>+$J$9/60*H27</f>
        <v>0.11336563746478778</v>
      </c>
      <c r="K27" s="406">
        <f>+L28</f>
        <v>42975.797535435049</v>
      </c>
      <c r="L27" s="406">
        <f>+K27+J27+I27</f>
        <v>42975.910901072515</v>
      </c>
      <c r="M27" s="125"/>
      <c r="N27" s="62"/>
      <c r="O27" s="62"/>
      <c r="P27" s="52" t="str">
        <f>+CONCATENATE(B27,C27)</f>
        <v>120847</v>
      </c>
      <c r="Q27" s="150">
        <f>VLOOKUP(P27,deuda!A$1:H$550,4,0)</f>
        <v>1</v>
      </c>
      <c r="R27" s="150">
        <f>VLOOKUP(P27,deuda!A$1:H$550,5,0)</f>
        <v>1</v>
      </c>
      <c r="S27" s="150">
        <f>IF(VLOOKUP(P27,deuda!A$1:H$550,6,0)=0,"",VLOOKUP(P27,deuda!A$1:H$550,6,0))</f>
        <v>1159.3</v>
      </c>
      <c r="T27" s="151" t="str">
        <f>IF((VLOOKUP(P27,deuda!A$1:H$550,7,0))=0,"",VLOOKUP(P27,deuda!A$1:H$550,7,0))</f>
        <v/>
      </c>
      <c r="U27" s="152" t="str">
        <f>IF((VLOOKUP(P27,deuda!A$1:H$550,8,0))=0,"",VLOOKUP(P27,deuda!A$1:H$550,8,0))</f>
        <v/>
      </c>
    </row>
    <row r="28" spans="1:21" ht="30" customHeight="1">
      <c r="A28" s="219">
        <v>13</v>
      </c>
      <c r="B28" s="62">
        <v>1208</v>
      </c>
      <c r="C28" s="62">
        <v>13</v>
      </c>
      <c r="D28" s="62">
        <v>1</v>
      </c>
      <c r="E28" s="148">
        <v>7.0160999999999998</v>
      </c>
      <c r="F28" s="103" t="str">
        <f t="shared" si="0"/>
        <v>SI</v>
      </c>
      <c r="G28" s="62" t="s">
        <v>293</v>
      </c>
      <c r="H28" s="579">
        <f>IF(Hijuelas!$G$7="POR FRACCIÓN",IF(F28="NO",0,IF(F28="cede turno",0,IF(Hijuelas!$G$8="si",IF(D28=1,E28,E28*0.8),E28))),IF(F28="NO",0,IF(F28="cede turno",0,IF(Hijuelas!$G$8="si",IF(D28=1,ROUNDUP(E28,0),ROUNDUP(E28*0.8,0)),ROUNDUP(E28,0)))))</f>
        <v>7.0160999999999998</v>
      </c>
      <c r="I28" s="608">
        <v>0</v>
      </c>
      <c r="J28" s="610">
        <f>+$J$9/60*H28</f>
        <v>0.1787421400518433</v>
      </c>
      <c r="K28" s="406">
        <f>+L29</f>
        <v>42975.618793294998</v>
      </c>
      <c r="L28" s="406">
        <f>+K28+J28+I28</f>
        <v>42975.797535435049</v>
      </c>
      <c r="M28" s="125"/>
      <c r="N28" s="62"/>
      <c r="O28" s="62"/>
      <c r="P28" s="52" t="str">
        <f>+CONCATENATE(B28,C28)</f>
        <v>120813</v>
      </c>
      <c r="Q28" s="150">
        <f>VLOOKUP(P28,deuda!A$1:H$550,4,0)</f>
        <v>1</v>
      </c>
      <c r="R28" s="150">
        <f>VLOOKUP(P28,deuda!A$1:H$550,5,0)</f>
        <v>1</v>
      </c>
      <c r="S28" s="150">
        <f>IF(VLOOKUP(P28,deuda!A$1:H$550,6,0)=0,"",VLOOKUP(P28,deuda!A$1:H$550,6,0))</f>
        <v>1747.24</v>
      </c>
      <c r="T28" s="151" t="str">
        <f>IF((VLOOKUP(P28,deuda!A$1:H$550,7,0))=0,"",VLOOKUP(P28,deuda!A$1:H$550,7,0))</f>
        <v/>
      </c>
      <c r="U28" s="152" t="str">
        <f>IF((VLOOKUP(P28,deuda!A$1:H$550,8,0))=0,"",VLOOKUP(P28,deuda!A$1:H$550,8,0))</f>
        <v/>
      </c>
    </row>
    <row r="29" spans="1:21" ht="30" customHeight="1">
      <c r="A29" s="219">
        <v>14</v>
      </c>
      <c r="B29" s="62">
        <v>1208</v>
      </c>
      <c r="C29" s="62">
        <v>44</v>
      </c>
      <c r="D29" s="62">
        <v>1</v>
      </c>
      <c r="E29" s="405">
        <v>10.3047</v>
      </c>
      <c r="F29" s="103" t="str">
        <f t="shared" si="0"/>
        <v>SI</v>
      </c>
      <c r="G29" s="62" t="s">
        <v>294</v>
      </c>
      <c r="H29" s="579">
        <f>IF(Hijuelas!$G$7="POR FRACCIÓN",IF(F29="NO",0,IF(F29="cede turno",0,IF(Hijuelas!$G$8="si",IF(D29=1,E29,E29*0.8),E29))),IF(F29="NO",0,IF(F29="cede turno",0,IF(Hijuelas!$G$8="si",IF(D29=1,ROUNDUP(E29,0),ROUNDUP(E29*0.8,0)),ROUNDUP(E29,0)))))</f>
        <v>10.3047</v>
      </c>
      <c r="I29" s="608">
        <v>6.25E-2</v>
      </c>
      <c r="J29" s="610">
        <f>+$J$9/60*H29</f>
        <v>0.2625225026143056</v>
      </c>
      <c r="K29" s="406">
        <f>+L30</f>
        <v>42975.293770792385</v>
      </c>
      <c r="L29" s="406">
        <f>+K29+J29+I29</f>
        <v>42975.618793294998</v>
      </c>
      <c r="M29" s="125"/>
      <c r="N29" s="62"/>
      <c r="O29" s="62"/>
      <c r="P29" s="52" t="str">
        <f>+CONCATENATE(B29,C29)</f>
        <v>120844</v>
      </c>
      <c r="Q29" s="150">
        <f>VLOOKUP(P29,deuda!A$1:H$550,4,0)</f>
        <v>1</v>
      </c>
      <c r="R29" s="150">
        <f>VLOOKUP(P29,deuda!A$1:H$550,5,0)</f>
        <v>0</v>
      </c>
      <c r="S29" s="150" t="str">
        <f>IF(VLOOKUP(P29,deuda!A$1:H$550,6,0)=0,"",VLOOKUP(P29,deuda!A$1:H$550,6,0))</f>
        <v/>
      </c>
      <c r="T29" s="151" t="str">
        <f>IF((VLOOKUP(P29,deuda!A$1:H$550,7,0))=0,"",VLOOKUP(P29,deuda!A$1:H$550,7,0))</f>
        <v/>
      </c>
      <c r="U29" s="152" t="str">
        <f>IF((VLOOKUP(P29,deuda!A$1:H$550,8,0))=0,"",VLOOKUP(P29,deuda!A$1:H$550,8,0))</f>
        <v/>
      </c>
    </row>
    <row r="30" spans="1:21" ht="30" customHeight="1">
      <c r="A30" s="219">
        <v>15</v>
      </c>
      <c r="B30" s="62">
        <v>1208</v>
      </c>
      <c r="C30" s="62">
        <v>5</v>
      </c>
      <c r="D30" s="62">
        <v>1</v>
      </c>
      <c r="E30" s="148">
        <v>8.2900000000000001E-2</v>
      </c>
      <c r="F30" s="103" t="str">
        <f t="shared" si="0"/>
        <v>NO</v>
      </c>
      <c r="G30" s="62" t="s">
        <v>295</v>
      </c>
      <c r="H30" s="579">
        <f>IF(Hijuelas!$G$7="POR FRACCIÓN",IF(F30="NO",0,IF(F30="cede turno",0,IF(Hijuelas!$G$8="si",IF(D30=1,E30,E30*0.8),E30))),IF(F30="NO",0,IF(F30="cede turno",0,IF(Hijuelas!$G$8="si",IF(D30=1,ROUNDUP(E30,0),ROUNDUP(E30*0.8,0)),ROUNDUP(E30,0)))))</f>
        <v>0</v>
      </c>
      <c r="I30" s="608">
        <v>0</v>
      </c>
      <c r="J30" s="610">
        <f>+$J$9/60*H30</f>
        <v>0</v>
      </c>
      <c r="K30" s="406">
        <f>+L31</f>
        <v>42975.293770792385</v>
      </c>
      <c r="L30" s="406">
        <f>+K30+J30+I30</f>
        <v>42975.293770792385</v>
      </c>
      <c r="M30" s="125"/>
      <c r="N30" s="62"/>
      <c r="O30" s="62"/>
      <c r="P30" s="52" t="str">
        <f>+CONCATENATE(B30,C30)</f>
        <v>12085</v>
      </c>
      <c r="Q30" s="150">
        <f>VLOOKUP(P30,deuda!A$1:H$550,4,0)</f>
        <v>0</v>
      </c>
      <c r="R30" s="150">
        <f>VLOOKUP(P30,deuda!A$1:H$550,5,0)</f>
        <v>151</v>
      </c>
      <c r="S30" s="150">
        <f>IF(VLOOKUP(P30,deuda!A$1:H$550,6,0)=0,"",VLOOKUP(P30,deuda!A$1:H$550,6,0))</f>
        <v>33417.54</v>
      </c>
      <c r="T30" s="151" t="str">
        <f>IF((VLOOKUP(P30,deuda!A$1:H$550,7,0))=0,"",VLOOKUP(P30,deuda!A$1:H$550,7,0))</f>
        <v/>
      </c>
      <c r="U30" s="152" t="str">
        <f>IF((VLOOKUP(P30,deuda!A$1:H$550,8,0))=0,"",VLOOKUP(P30,deuda!A$1:H$550,8,0))</f>
        <v/>
      </c>
    </row>
    <row r="31" spans="1:21" ht="30" customHeight="1">
      <c r="A31" s="219">
        <v>16</v>
      </c>
      <c r="B31" s="62">
        <v>1208</v>
      </c>
      <c r="C31" s="62">
        <v>48</v>
      </c>
      <c r="D31" s="62">
        <v>1</v>
      </c>
      <c r="E31" s="148">
        <v>9.6064000000000007</v>
      </c>
      <c r="F31" s="103" t="str">
        <f t="shared" si="0"/>
        <v>SI</v>
      </c>
      <c r="G31" s="62" t="s">
        <v>295</v>
      </c>
      <c r="H31" s="579">
        <f>IF(Hijuelas!$G$7="POR FRACCIÓN",IF(F31="NO",0,IF(F31="cede turno",0,IF(Hijuelas!$G$8="si",IF(D31=1,E31,E31*0.8),E31))),IF(F31="NO",0,IF(F31="cede turno",0,IF(Hijuelas!$G$8="si",IF(D31=1,ROUNDUP(E31,0),ROUNDUP(E31*0.8,0)),ROUNDUP(E31,0)))))</f>
        <v>9.6064000000000007</v>
      </c>
      <c r="I31" s="608">
        <v>0</v>
      </c>
      <c r="J31" s="610">
        <f>+$J$9/60*H31</f>
        <v>0.24473261415801195</v>
      </c>
      <c r="K31" s="406">
        <f>+L32</f>
        <v>42975.049038178229</v>
      </c>
      <c r="L31" s="406">
        <f>+K31+J31+I31</f>
        <v>42975.293770792385</v>
      </c>
      <c r="M31" s="125"/>
      <c r="N31" s="62"/>
      <c r="O31" s="62"/>
      <c r="P31" s="52" t="str">
        <f>+CONCATENATE(B31,C31)</f>
        <v>120848</v>
      </c>
      <c r="Q31" s="150">
        <f>VLOOKUP(P31,deuda!A$1:H$550,4,0)</f>
        <v>1</v>
      </c>
      <c r="R31" s="150">
        <f>VLOOKUP(P31,deuda!A$1:H$550,5,0)</f>
        <v>2</v>
      </c>
      <c r="S31" s="150">
        <f>IF(VLOOKUP(P31,deuda!A$1:H$550,6,0)=0,"",VLOOKUP(P31,deuda!A$1:H$550,6,0))</f>
        <v>4972.18</v>
      </c>
      <c r="T31" s="151" t="str">
        <f>IF((VLOOKUP(P31,deuda!A$1:H$550,7,0))=0,"",VLOOKUP(P31,deuda!A$1:H$550,7,0))</f>
        <v/>
      </c>
      <c r="U31" s="152" t="str">
        <f>IF((VLOOKUP(P31,deuda!A$1:H$550,8,0))=0,"",VLOOKUP(P31,deuda!A$1:H$550,8,0))</f>
        <v/>
      </c>
    </row>
    <row r="32" spans="1:21" ht="30" customHeight="1">
      <c r="A32" s="219">
        <v>17</v>
      </c>
      <c r="B32" s="62">
        <v>1208</v>
      </c>
      <c r="C32" s="62">
        <v>36</v>
      </c>
      <c r="D32" s="62">
        <v>1</v>
      </c>
      <c r="E32" s="405">
        <v>9.5176999999999996</v>
      </c>
      <c r="F32" s="103" t="str">
        <f t="shared" si="0"/>
        <v>NO</v>
      </c>
      <c r="G32" s="62" t="s">
        <v>296</v>
      </c>
      <c r="H32" s="579">
        <f>IF(Hijuelas!$G$7="POR FRACCIÓN",IF(F32="NO",0,IF(F32="cede turno",0,IF(Hijuelas!$G$8="si",IF(D32=1,E32,E32*0.8),E32))),IF(F32="NO",0,IF(F32="cede turno",0,IF(Hijuelas!$G$8="si",IF(D32=1,ROUNDUP(E32,0),ROUNDUP(E32*0.8,0)),ROUNDUP(E32,0)))))</f>
        <v>0</v>
      </c>
      <c r="I32" s="608">
        <v>6.9444444444444441E-3</v>
      </c>
      <c r="J32" s="610">
        <f>+$J$9/60*H32</f>
        <v>0</v>
      </c>
      <c r="K32" s="406">
        <f>+L33</f>
        <v>42975.042093733784</v>
      </c>
      <c r="L32" s="406">
        <f>+K32+J32+I32</f>
        <v>42975.049038178229</v>
      </c>
      <c r="M32" s="10"/>
      <c r="N32" s="62"/>
      <c r="O32" s="62"/>
      <c r="P32" s="52" t="str">
        <f>+CONCATENATE(B32,C32)</f>
        <v>120836</v>
      </c>
      <c r="Q32" s="150">
        <f>VLOOKUP(P32,deuda!A$1:H$550,4,0)</f>
        <v>0</v>
      </c>
      <c r="R32" s="150">
        <f>VLOOKUP(P32,deuda!A$1:H$550,5,0)</f>
        <v>4</v>
      </c>
      <c r="S32" s="150">
        <f>IF(VLOOKUP(P32,deuda!A$1:H$550,6,0)=0,"",VLOOKUP(P32,deuda!A$1:H$550,6,0))</f>
        <v>8700.19</v>
      </c>
      <c r="T32" s="151" t="str">
        <f>IF((VLOOKUP(P32,deuda!A$1:H$550,7,0))=0,"",VLOOKUP(P32,deuda!A$1:H$550,7,0))</f>
        <v/>
      </c>
      <c r="U32" s="152" t="str">
        <f>IF((VLOOKUP(P32,deuda!A$1:H$550,8,0))=0,"",VLOOKUP(P32,deuda!A$1:H$550,8,0))</f>
        <v/>
      </c>
    </row>
    <row r="33" spans="1:21" ht="30" customHeight="1">
      <c r="A33" s="219">
        <v>18</v>
      </c>
      <c r="B33" s="62">
        <v>1208</v>
      </c>
      <c r="C33" s="62">
        <v>29</v>
      </c>
      <c r="D33" s="62">
        <v>1</v>
      </c>
      <c r="E33" s="405">
        <v>11</v>
      </c>
      <c r="F33" s="103" t="str">
        <f t="shared" si="0"/>
        <v>SI</v>
      </c>
      <c r="G33" s="62" t="s">
        <v>297</v>
      </c>
      <c r="H33" s="579">
        <f>IF(Hijuelas!$G$7="POR FRACCIÓN",IF(F33="NO",0,IF(F33="cede turno",0,IF(Hijuelas!$G$8="si",IF(D33=1,E33,E33*0.8),E33))),IF(F33="NO",0,IF(F33="cede turno",0,IF(Hijuelas!$G$8="si",IF(D33=1,ROUNDUP(E33,0),ROUNDUP(E33*0.8,0)),ROUNDUP(E33,0)))))</f>
        <v>11</v>
      </c>
      <c r="I33" s="608">
        <v>0</v>
      </c>
      <c r="J33" s="610">
        <f>+$J$9/60*H33</f>
        <v>0.28023596308066823</v>
      </c>
      <c r="K33" s="406">
        <f>+L34</f>
        <v>42974.761857770704</v>
      </c>
      <c r="L33" s="406">
        <f>+K33+J33+I33</f>
        <v>42975.042093733784</v>
      </c>
      <c r="N33" s="62"/>
      <c r="O33" s="62"/>
      <c r="P33" s="52" t="str">
        <f>+CONCATENATE(B33,C33)</f>
        <v>120829</v>
      </c>
      <c r="Q33" s="150">
        <f>VLOOKUP(P33,deuda!A$1:H$550,4,0)</f>
        <v>1</v>
      </c>
      <c r="R33" s="150">
        <f>VLOOKUP(P33,deuda!A$1:H$550,5,0)</f>
        <v>1</v>
      </c>
      <c r="S33" s="150">
        <f>IF(VLOOKUP(P33,deuda!A$1:H$550,6,0)=0,"",VLOOKUP(P33,deuda!A$1:H$550,6,0))</f>
        <v>1637</v>
      </c>
      <c r="T33" s="151" t="str">
        <f>IF((VLOOKUP(P33,deuda!A$1:H$550,7,0))=0,"",VLOOKUP(P33,deuda!A$1:H$550,7,0))</f>
        <v/>
      </c>
      <c r="U33" s="152" t="str">
        <f>IF((VLOOKUP(P33,deuda!A$1:H$550,8,0))=0,"",VLOOKUP(P33,deuda!A$1:H$550,8,0))</f>
        <v/>
      </c>
    </row>
    <row r="34" spans="1:21" ht="30" customHeight="1">
      <c r="A34" s="219">
        <v>19</v>
      </c>
      <c r="B34" s="62">
        <v>1208</v>
      </c>
      <c r="C34" s="62">
        <v>27</v>
      </c>
      <c r="D34" s="62">
        <v>1</v>
      </c>
      <c r="E34" s="405">
        <v>16.204699999999999</v>
      </c>
      <c r="F34" s="103" t="str">
        <f t="shared" si="0"/>
        <v>SI</v>
      </c>
      <c r="G34" s="62" t="s">
        <v>298</v>
      </c>
      <c r="H34" s="579">
        <f>IF(Hijuelas!$G$7="POR FRACCIÓN",IF(F34="NO",0,IF(F34="cede turno",0,IF(Hijuelas!$G$8="si",IF(D34=1,E34,E34*0.8),E34))),IF(F34="NO",0,IF(F34="cede turno",0,IF(Hijuelas!$G$8="si",IF(D34=1,ROUNDUP(E34,0),ROUNDUP(E34*0.8,0)),ROUNDUP(E34,0)))))</f>
        <v>16.204699999999999</v>
      </c>
      <c r="I34" s="608">
        <v>0</v>
      </c>
      <c r="J34" s="610">
        <f>+$J$9/60*H34</f>
        <v>0.41283088281211855</v>
      </c>
      <c r="K34" s="406">
        <f>+L35</f>
        <v>42974.349026887889</v>
      </c>
      <c r="L34" s="406">
        <f>+K34+J34+I34</f>
        <v>42974.761857770704</v>
      </c>
      <c r="N34" s="62"/>
      <c r="O34" s="62"/>
      <c r="P34" s="52" t="str">
        <f>+CONCATENATE(B34,C34)</f>
        <v>120827</v>
      </c>
      <c r="Q34" s="150">
        <f>VLOOKUP(P34,deuda!A$1:H$550,4,0)</f>
        <v>1</v>
      </c>
      <c r="R34" s="150">
        <f>VLOOKUP(P34,deuda!A$1:H$550,5,0)</f>
        <v>0</v>
      </c>
      <c r="S34" s="150" t="str">
        <f>IF(VLOOKUP(P34,deuda!A$1:H$550,6,0)=0,"",VLOOKUP(P34,deuda!A$1:H$550,6,0))</f>
        <v/>
      </c>
      <c r="T34" s="151" t="str">
        <f>IF((VLOOKUP(P34,deuda!A$1:H$550,7,0))=0,"",VLOOKUP(P34,deuda!A$1:H$550,7,0))</f>
        <v/>
      </c>
      <c r="U34" s="152" t="str">
        <f>IF((VLOOKUP(P34,deuda!A$1:H$550,8,0))=0,"",VLOOKUP(P34,deuda!A$1:H$550,8,0))</f>
        <v/>
      </c>
    </row>
    <row r="35" spans="1:21" ht="30" customHeight="1">
      <c r="A35" s="219">
        <v>20</v>
      </c>
      <c r="B35" s="62">
        <v>1208</v>
      </c>
      <c r="C35" s="62">
        <v>1</v>
      </c>
      <c r="D35" s="62">
        <v>1</v>
      </c>
      <c r="E35" s="405">
        <v>7.9391999999999996</v>
      </c>
      <c r="F35" s="103" t="str">
        <f t="shared" si="0"/>
        <v>SI</v>
      </c>
      <c r="G35" s="62" t="s">
        <v>299</v>
      </c>
      <c r="H35" s="579">
        <f>IF(Hijuelas!$G$7="POR FRACCIÓN",IF(F35="NO",0,IF(F35="cede turno",0,IF(Hijuelas!$G$8="si",IF(D35=1,E35,E35*0.8),E35))),IF(F35="NO",0,IF(F35="cede turno",0,IF(Hijuelas!$G$8="si",IF(D35=1,ROUNDUP(E35,0),ROUNDUP(E35*0.8,0)),ROUNDUP(E35,0)))))</f>
        <v>7.9391999999999996</v>
      </c>
      <c r="I35" s="608">
        <v>0</v>
      </c>
      <c r="J35" s="610">
        <f>+$J$9/60*H35</f>
        <v>0.20225903255364008</v>
      </c>
      <c r="K35" s="406">
        <f>+L36</f>
        <v>42974.146767855338</v>
      </c>
      <c r="L35" s="406">
        <f>+K35+J35+I35</f>
        <v>42974.349026887889</v>
      </c>
      <c r="N35" s="62"/>
      <c r="O35" s="62"/>
      <c r="P35" s="52" t="str">
        <f>+CONCATENATE(B35,C35)</f>
        <v>12081</v>
      </c>
      <c r="Q35" s="150">
        <f>VLOOKUP(P35,deuda!A$1:H$550,4,0)</f>
        <v>1</v>
      </c>
      <c r="R35" s="150">
        <f>VLOOKUP(P35,deuda!A$1:H$550,5,0)</f>
        <v>1</v>
      </c>
      <c r="S35" s="150">
        <f>IF(VLOOKUP(P35,deuda!A$1:H$550,6,0)=0,"",VLOOKUP(P35,deuda!A$1:H$550,6,0))</f>
        <v>1758.88</v>
      </c>
      <c r="T35" s="151" t="str">
        <f>IF((VLOOKUP(P35,deuda!A$1:H$550,7,0))=0,"",VLOOKUP(P35,deuda!A$1:H$550,7,0))</f>
        <v/>
      </c>
      <c r="U35" s="152" t="str">
        <f>IF((VLOOKUP(P35,deuda!A$1:H$550,8,0))=0,"",VLOOKUP(P35,deuda!A$1:H$550,8,0))</f>
        <v/>
      </c>
    </row>
    <row r="36" spans="1:21" ht="30" customHeight="1">
      <c r="A36" s="219">
        <v>20</v>
      </c>
      <c r="B36" s="62">
        <v>1208</v>
      </c>
      <c r="C36" s="62">
        <v>7</v>
      </c>
      <c r="D36" s="62">
        <v>1</v>
      </c>
      <c r="E36" s="148">
        <v>11.036099999999999</v>
      </c>
      <c r="F36" s="103" t="str">
        <f t="shared" si="0"/>
        <v>SI</v>
      </c>
      <c r="G36" s="62" t="s">
        <v>299</v>
      </c>
      <c r="H36" s="579">
        <f>IF(Hijuelas!$G$7="POR FRACCIÓN",IF(F36="NO",0,IF(F36="cede turno",0,IF(Hijuelas!$G$8="si",IF(D36=1,E36,E36*0.8),E36))),IF(F36="NO",0,IF(F36="cede turno",0,IF(Hijuelas!$G$8="si",IF(D36=1,ROUNDUP(E36,0),ROUNDUP(E36*0.8,0)),ROUNDUP(E36,0)))))</f>
        <v>11.036099999999999</v>
      </c>
      <c r="I36" s="608">
        <v>0</v>
      </c>
      <c r="J36" s="610">
        <f>+$J$9/60*H36</f>
        <v>0.28115564655950565</v>
      </c>
      <c r="K36" s="406">
        <f>+L37</f>
        <v>42973.865612208778</v>
      </c>
      <c r="L36" s="406">
        <f>+K36+J36+I36</f>
        <v>42974.146767855338</v>
      </c>
      <c r="N36" s="62"/>
      <c r="O36" s="62"/>
      <c r="P36" s="52" t="str">
        <f>+CONCATENATE(B36,C36)</f>
        <v>12087</v>
      </c>
      <c r="Q36" s="150">
        <f>VLOOKUP(P36,deuda!A$1:H$550,4,0)</f>
        <v>1</v>
      </c>
      <c r="R36" s="150">
        <f>VLOOKUP(P36,deuda!A$1:H$550,5,0)</f>
        <v>1</v>
      </c>
      <c r="S36" s="150">
        <f>IF(VLOOKUP(P36,deuda!A$1:H$550,6,0)=0,"",VLOOKUP(P36,deuda!A$1:H$550,6,0))</f>
        <v>2626.56</v>
      </c>
      <c r="T36" s="151" t="str">
        <f>IF((VLOOKUP(P36,deuda!A$1:H$550,7,0))=0,"",VLOOKUP(P36,deuda!A$1:H$550,7,0))</f>
        <v/>
      </c>
      <c r="U36" s="152" t="str">
        <f>IF((VLOOKUP(P36,deuda!A$1:H$550,8,0))=0,"",VLOOKUP(P36,deuda!A$1:H$550,8,0))</f>
        <v/>
      </c>
    </row>
    <row r="37" spans="1:21" ht="30" customHeight="1" thickBot="1">
      <c r="A37" s="221">
        <v>20</v>
      </c>
      <c r="B37" s="407">
        <v>1208</v>
      </c>
      <c r="C37" s="407">
        <v>28</v>
      </c>
      <c r="D37" s="407">
        <v>1</v>
      </c>
      <c r="E37" s="209">
        <v>8.6268999999999991</v>
      </c>
      <c r="F37" s="103" t="str">
        <f t="shared" si="0"/>
        <v>SI</v>
      </c>
      <c r="G37" s="407" t="s">
        <v>299</v>
      </c>
      <c r="H37" s="579">
        <f>IF(Hijuelas!$G$7="POR FRACCIÓN",IF(F37="NO",0,IF(F37="cede turno",0,IF(Hijuelas!$G$8="si",IF(D37=1,E37,E37*0.8),E37))),IF(F37="NO",0,IF(F37="cede turno",0,IF(Hijuelas!$G$8="si",IF(D37=1,ROUNDUP(E37,0),ROUNDUP(E37*0.8,0)),ROUNDUP(E37,0)))))</f>
        <v>8.6268999999999991</v>
      </c>
      <c r="I37" s="609">
        <v>2.0833333333333332E-2</v>
      </c>
      <c r="J37" s="610">
        <f>+$J$9/60*H37</f>
        <v>0.21977887544551059</v>
      </c>
      <c r="K37" s="406">
        <f>+C5+I6+I37</f>
        <v>42973.645833333336</v>
      </c>
      <c r="L37" s="406">
        <f>+K37+J37</f>
        <v>42973.865612208778</v>
      </c>
      <c r="N37" s="407"/>
      <c r="O37" s="407"/>
      <c r="P37" s="52" t="str">
        <f>+CONCATENATE(B37,C37)</f>
        <v>120828</v>
      </c>
      <c r="Q37" s="150">
        <f>VLOOKUP(P37,deuda!A$1:H$550,4,0)</f>
        <v>1</v>
      </c>
      <c r="R37" s="150">
        <f>VLOOKUP(P37,deuda!A$1:H$550,5,0)</f>
        <v>1</v>
      </c>
      <c r="S37" s="150">
        <f>IF(VLOOKUP(P37,deuda!A$1:H$550,6,0)=0,"",VLOOKUP(P37,deuda!A$1:H$550,6,0))</f>
        <v>1975.77</v>
      </c>
      <c r="T37" s="151" t="str">
        <f>IF((VLOOKUP(P37,deuda!A$1:H$550,7,0))=0,"",VLOOKUP(P37,deuda!A$1:H$550,7,0))</f>
        <v/>
      </c>
      <c r="U37" s="152" t="str">
        <f>IF((VLOOKUP(P37,deuda!A$1:H$550,8,0))=0,"",VLOOKUP(P37,deuda!A$1:H$550,8,0))</f>
        <v/>
      </c>
    </row>
    <row r="38" spans="1:21">
      <c r="A38" s="137"/>
      <c r="B38" s="137"/>
      <c r="C38" s="137"/>
      <c r="D38" s="137"/>
      <c r="E38" s="431">
        <f>SUM(E13:E37)</f>
        <v>166.19379999999998</v>
      </c>
      <c r="F38" s="432">
        <f>SUM(F13:F37)</f>
        <v>0</v>
      </c>
      <c r="G38" s="137"/>
      <c r="H38" s="431">
        <f>SUM(H13:H37)</f>
        <v>146.7885</v>
      </c>
      <c r="I38" s="608">
        <f>SUM(I13:I37)</f>
        <v>0.16666666666666669</v>
      </c>
      <c r="J38" s="608">
        <f>SUM(J13:J37)</f>
        <v>3.739583333333333</v>
      </c>
      <c r="K38" s="610"/>
      <c r="L38" s="137"/>
      <c r="N38" s="137"/>
      <c r="O38" s="137"/>
    </row>
    <row r="39" spans="1:21">
      <c r="L39" s="3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1">
    <dataValidation type="list" allowBlank="1" showInputMessage="1" showErrorMessage="1" errorTitle="ATENCIÓN" error="NO PUEDEN INGRESARSE VALORES" promptTitle="RECORDAR" prompt="NO OLVIDE VOLVER A PEGAR LA FORMULA PARA QUE LA PLANILLA LEA AUTOMATICAMENTE LOS DATOS " sqref="Q13:Q37" xr:uid="{00000000-0002-0000-1600-000000000000}">
      <formula1>"2, 3"</formula1>
    </dataValidation>
  </dataValidations>
  <pageMargins left="0.15748031496062992" right="0.15748031496062992" top="0.98425196850393704" bottom="0.62992125984251968" header="0" footer="0"/>
  <pageSetup paperSize="281" scale="85" orientation="landscape" r:id="rId1"/>
  <headerFooter alignWithMargins="0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34"/>
  <dimension ref="A1:H356"/>
  <sheetViews>
    <sheetView view="pageBreakPreview" topLeftCell="A340" zoomScale="75" zoomScaleNormal="100" workbookViewId="0" xr3:uid="{96AA9D09-0E06-52DD-9EE1-B522AFA11096}">
      <selection activeCell="H100" sqref="H100"/>
    </sheetView>
  </sheetViews>
  <sheetFormatPr defaultColWidth="11.42578125" defaultRowHeight="12.75"/>
  <cols>
    <col min="2" max="2" width="11.5703125" bestFit="1" customWidth="1"/>
    <col min="3" max="3" width="22.7109375" bestFit="1" customWidth="1"/>
    <col min="5" max="6" width="11.5703125" bestFit="1" customWidth="1"/>
  </cols>
  <sheetData>
    <row r="1" spans="1:8">
      <c r="A1" s="448"/>
      <c r="B1" s="448"/>
      <c r="C1" s="448"/>
      <c r="D1" s="448"/>
      <c r="E1" s="448"/>
      <c r="F1" s="449"/>
      <c r="G1" s="81"/>
    </row>
    <row r="2" spans="1:8">
      <c r="A2" s="147" t="s">
        <v>64</v>
      </c>
      <c r="B2" s="81"/>
      <c r="C2" s="81"/>
      <c r="D2" s="81"/>
      <c r="E2" s="81"/>
      <c r="F2" s="451"/>
      <c r="G2" s="81"/>
    </row>
    <row r="3" spans="1:8">
      <c r="A3" s="81"/>
      <c r="B3" s="81"/>
      <c r="C3" s="81"/>
      <c r="D3" s="81"/>
      <c r="E3" s="81"/>
      <c r="F3" s="451"/>
      <c r="G3" s="81"/>
    </row>
    <row r="4" spans="1:8">
      <c r="A4" s="81" t="s">
        <v>139</v>
      </c>
      <c r="B4" s="81" t="str">
        <f>VLOOKUP(F5,'9_1'!$A$13:$G$37,7,0)</f>
        <v>AMADEO MARAÑON BG</v>
      </c>
      <c r="C4" s="81"/>
      <c r="D4" s="81"/>
      <c r="E4" s="81"/>
      <c r="F4" s="452" t="s">
        <v>102</v>
      </c>
      <c r="G4" s="81"/>
    </row>
    <row r="5" spans="1:8">
      <c r="A5" s="81" t="s">
        <v>72</v>
      </c>
      <c r="B5" s="81" t="str">
        <f>+'9_1'!$H$2</f>
        <v>Hijuela Nuñez</v>
      </c>
      <c r="C5" s="81"/>
      <c r="D5" s="81"/>
      <c r="E5" s="81"/>
      <c r="F5" s="452">
        <v>1</v>
      </c>
      <c r="G5" s="81"/>
    </row>
    <row r="6" spans="1:8">
      <c r="A6" s="81"/>
      <c r="B6" s="81"/>
      <c r="C6" s="81"/>
      <c r="D6" s="81"/>
      <c r="E6" s="81"/>
      <c r="F6" s="451"/>
      <c r="G6" s="81"/>
    </row>
    <row r="7" spans="1:8">
      <c r="A7" s="139" t="s">
        <v>140</v>
      </c>
      <c r="B7" s="458">
        <f>VLOOKUP(F5,'9_1'!$A$13:$B$37,2,0)</f>
        <v>1208</v>
      </c>
      <c r="C7" s="81"/>
      <c r="D7" s="139" t="s">
        <v>141</v>
      </c>
      <c r="E7" s="460">
        <f>DSUM('9_1'!A$12:J$37,'9_1'!$J$12,F4:F5)</f>
        <v>0.17216169011877633</v>
      </c>
      <c r="F7" s="451"/>
      <c r="G7" s="81"/>
    </row>
    <row r="8" spans="1:8">
      <c r="A8" s="139" t="s">
        <v>142</v>
      </c>
      <c r="B8" s="461">
        <v>22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8">
      <c r="A9" s="139" t="s">
        <v>144</v>
      </c>
      <c r="B9" s="462">
        <f>DSUM('9_1'!$A$12:$H$37,'9_1'!$H$12,F4:F5)</f>
        <v>6.7577999999999996</v>
      </c>
      <c r="C9" s="81"/>
      <c r="D9" s="139" t="s">
        <v>145</v>
      </c>
      <c r="E9" s="458" t="str">
        <f>IF(VLOOKUP(F5,'9_1'!$A$13:$D$47,4,0)=1, "Definitivo 100%", "Eventual 80%")</f>
        <v>Definitivo 100%</v>
      </c>
      <c r="F9" s="583"/>
      <c r="G9" s="81"/>
    </row>
    <row r="10" spans="1:8" ht="15.75">
      <c r="A10" s="81"/>
      <c r="B10" s="139" t="s">
        <v>146</v>
      </c>
      <c r="C10" s="477">
        <f>DMIN('9_1'!A$12:L$37,'9_1'!$K$12,F4:F5)</f>
        <v>42977.35908830988</v>
      </c>
      <c r="D10" s="478"/>
      <c r="E10" s="190">
        <f>WEEKDAY(C10)</f>
        <v>4</v>
      </c>
      <c r="F10" s="453"/>
      <c r="G10" s="81"/>
    </row>
    <row r="11" spans="1:8" ht="15.75">
      <c r="A11" s="81"/>
      <c r="B11" s="139" t="s">
        <v>147</v>
      </c>
      <c r="C11" s="477">
        <f>DMAX('9_1'!A$12:N$37,'9_1'!$L$12,F4:F5)</f>
        <v>42977.53125</v>
      </c>
      <c r="D11" s="478"/>
      <c r="E11" s="190">
        <f>WEEKDAY(C11)</f>
        <v>4</v>
      </c>
      <c r="F11" s="453"/>
      <c r="G11" s="81"/>
    </row>
    <row r="12" spans="1:8">
      <c r="A12" s="323"/>
      <c r="B12" s="324"/>
      <c r="C12" s="81"/>
      <c r="D12" s="81"/>
      <c r="E12" s="584"/>
      <c r="F12" s="583"/>
      <c r="G12" s="81"/>
    </row>
    <row r="13" spans="1:8">
      <c r="A13" s="606"/>
      <c r="B13" s="606"/>
      <c r="C13" s="81"/>
      <c r="D13" s="81"/>
      <c r="E13" s="81"/>
      <c r="F13" s="451"/>
      <c r="G13" s="81"/>
      <c r="H13">
        <f>17*21</f>
        <v>357</v>
      </c>
    </row>
    <row r="14" spans="1:8">
      <c r="A14" s="476">
        <f>+Mensajes!$B$7</f>
        <v>0</v>
      </c>
      <c r="B14" s="10"/>
      <c r="C14" s="81"/>
      <c r="D14" s="81"/>
      <c r="E14" s="81"/>
      <c r="F14" s="451"/>
      <c r="G14" s="81"/>
    </row>
    <row r="15" spans="1:8">
      <c r="A15" s="476">
        <f>+Mensajes!$B$12</f>
        <v>0</v>
      </c>
      <c r="B15" s="81"/>
      <c r="C15" s="81"/>
      <c r="D15" s="81"/>
      <c r="E15" s="81"/>
      <c r="F15" s="451"/>
      <c r="G15" s="81"/>
    </row>
    <row r="16" spans="1:8" ht="13.5" thickBot="1">
      <c r="A16" s="474"/>
      <c r="B16" s="455"/>
      <c r="C16" s="455"/>
      <c r="D16" s="454" t="str">
        <f>IF(DSUM('9_1'!$A$12:$Q$87,16,F4:F5)=COUNTIF('9_1'!$A$13:$A$87,F5),"","Regularice su Deuda")</f>
        <v>Regularice su Deuda</v>
      </c>
      <c r="E16" s="455"/>
      <c r="F16" s="456"/>
      <c r="G16" s="81"/>
    </row>
    <row r="17" spans="1:6" ht="13.5" thickBot="1"/>
    <row r="18" spans="1:6">
      <c r="A18" s="448"/>
      <c r="B18" s="448"/>
      <c r="C18" s="448"/>
      <c r="D18" s="448"/>
      <c r="E18" s="448"/>
      <c r="F18" s="449"/>
    </row>
    <row r="19" spans="1:6">
      <c r="A19" s="147" t="s">
        <v>64</v>
      </c>
      <c r="B19" s="81"/>
      <c r="C19" s="81"/>
      <c r="D19" s="81"/>
      <c r="E19" s="81"/>
      <c r="F19" s="451"/>
    </row>
    <row r="20" spans="1:6">
      <c r="A20" s="81"/>
      <c r="B20" s="81"/>
      <c r="C20" s="81"/>
      <c r="D20" s="81"/>
      <c r="E20" s="81"/>
      <c r="F20" s="451"/>
    </row>
    <row r="21" spans="1:6">
      <c r="A21" s="81" t="s">
        <v>139</v>
      </c>
      <c r="B21" s="81" t="str">
        <f>VLOOKUP(F22,'9_1'!$A$13:$G$37,7,0)</f>
        <v>BARO, JOSE LUIS</v>
      </c>
      <c r="C21" s="81"/>
      <c r="D21" s="81"/>
      <c r="E21" s="81"/>
      <c r="F21" s="452" t="s">
        <v>102</v>
      </c>
    </row>
    <row r="22" spans="1:6">
      <c r="A22" s="81" t="s">
        <v>72</v>
      </c>
      <c r="B22" s="81" t="str">
        <f>+'9_1'!$H$2</f>
        <v>Hijuela Nuñez</v>
      </c>
      <c r="C22" s="81"/>
      <c r="D22" s="81"/>
      <c r="E22" s="81"/>
      <c r="F22" s="452">
        <v>2</v>
      </c>
    </row>
    <row r="23" spans="1:6">
      <c r="A23" s="81"/>
      <c r="B23" s="81"/>
      <c r="C23" s="81"/>
      <c r="D23" s="81"/>
      <c r="E23" s="81"/>
      <c r="F23" s="451"/>
    </row>
    <row r="24" spans="1:6">
      <c r="A24" s="139" t="s">
        <v>140</v>
      </c>
      <c r="B24" s="458">
        <f>VLOOKUP(F22,'9_1'!$A$13:$B$37,2,0)</f>
        <v>1208</v>
      </c>
      <c r="C24" s="81"/>
      <c r="D24" s="139" t="s">
        <v>141</v>
      </c>
      <c r="E24" s="460">
        <f>DSUM('9_1'!A$12:J$37,'9_1'!$J$12,F21:F22)</f>
        <v>0.60517975267136048</v>
      </c>
      <c r="F24" s="451"/>
    </row>
    <row r="25" spans="1:6">
      <c r="A25" s="139" t="s">
        <v>142</v>
      </c>
      <c r="B25" s="461">
        <v>46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139" t="s">
        <v>144</v>
      </c>
      <c r="B26" s="462">
        <f>DSUM('9_1'!$A$12:$H$37,'9_1'!$H$12,F21:F22)</f>
        <v>23.754899999999999</v>
      </c>
      <c r="C26" s="81"/>
      <c r="D26" s="139" t="s">
        <v>145</v>
      </c>
      <c r="E26" s="458" t="str">
        <f>IF(VLOOKUP(F22,'9_1'!$A$13:$D$47,4,0)=1, "Definitivo 100%", "Eventual 80%")</f>
        <v>Definitivo 100%</v>
      </c>
      <c r="F26" s="583"/>
    </row>
    <row r="27" spans="1:6" ht="15.75">
      <c r="A27" s="81"/>
      <c r="B27" s="139" t="s">
        <v>146</v>
      </c>
      <c r="C27" s="477">
        <f>DMIN('9_1'!A$12:L$37,'9_1'!$K$12,F21:F22)</f>
        <v>42976.740019668316</v>
      </c>
      <c r="D27" s="478"/>
      <c r="E27" s="190">
        <f>WEEKDAY(C27)</f>
        <v>3</v>
      </c>
      <c r="F27" s="453"/>
    </row>
    <row r="28" spans="1:6" ht="15.75">
      <c r="A28" s="81"/>
      <c r="B28" s="139" t="s">
        <v>147</v>
      </c>
      <c r="C28" s="477">
        <f>DMAX('9_1'!A$12:N$37,'9_1'!$L$12,F21:F22)</f>
        <v>42977.35908830988</v>
      </c>
      <c r="D28" s="478"/>
      <c r="E28" s="190">
        <f>WEEKDAY(C28)</f>
        <v>4</v>
      </c>
      <c r="F28" s="453"/>
    </row>
    <row r="29" spans="1:6">
      <c r="A29" s="323"/>
      <c r="B29" s="324"/>
      <c r="C29" s="81"/>
      <c r="D29" s="81"/>
      <c r="E29" s="584"/>
      <c r="F29" s="583"/>
    </row>
    <row r="30" spans="1:6">
      <c r="A30" s="606"/>
      <c r="B30" s="606"/>
      <c r="C30" s="81"/>
      <c r="D30" s="81"/>
      <c r="E30" s="81"/>
      <c r="F30" s="451"/>
    </row>
    <row r="31" spans="1:6">
      <c r="A31" s="476">
        <f>+Mensajes!$B$7</f>
        <v>0</v>
      </c>
      <c r="B31" s="10"/>
      <c r="C31" s="81"/>
      <c r="D31" s="81"/>
      <c r="E31" s="81"/>
      <c r="F31" s="451"/>
    </row>
    <row r="32" spans="1:6">
      <c r="A32" s="476">
        <f>+Mensajes!$B$12</f>
        <v>0</v>
      </c>
      <c r="B32" s="81"/>
      <c r="C32" s="81"/>
      <c r="D32" s="81"/>
      <c r="E32" s="81"/>
      <c r="F32" s="451"/>
    </row>
    <row r="33" spans="1:6" ht="13.5" thickBot="1">
      <c r="A33" s="474"/>
      <c r="B33" s="455"/>
      <c r="C33" s="455"/>
      <c r="D33" s="454" t="str">
        <f>IF(DSUM('9_1'!$A$12:$Q$87,16,F21:F22)=COUNTIF('9_1'!$A$13:$A$87,F22),"","Regularice su Deuda")</f>
        <v>Regularice su Deuda</v>
      </c>
      <c r="E33" s="455"/>
      <c r="F33" s="456"/>
    </row>
    <row r="34" spans="1:6" ht="13.5" thickBot="1"/>
    <row r="35" spans="1:6">
      <c r="A35" s="448"/>
      <c r="B35" s="448"/>
      <c r="C35" s="448"/>
      <c r="D35" s="448"/>
      <c r="E35" s="448"/>
      <c r="F35" s="449"/>
    </row>
    <row r="36" spans="1:6">
      <c r="A36" s="147" t="s">
        <v>64</v>
      </c>
      <c r="B36" s="81"/>
      <c r="C36" s="81"/>
      <c r="D36" s="81"/>
      <c r="E36" s="81"/>
      <c r="F36" s="451"/>
    </row>
    <row r="37" spans="1:6">
      <c r="A37" s="81"/>
      <c r="B37" s="81"/>
      <c r="C37" s="81"/>
      <c r="D37" s="81"/>
      <c r="E37" s="81"/>
      <c r="F37" s="451"/>
    </row>
    <row r="38" spans="1:6">
      <c r="A38" s="81" t="s">
        <v>139</v>
      </c>
      <c r="B38" s="81" t="str">
        <f>VLOOKUP(F39,'9_1'!$A$13:$G$37,7,0)</f>
        <v>IRUSTA, BENITO JORGE</v>
      </c>
      <c r="C38" s="81"/>
      <c r="D38" s="81"/>
      <c r="E38" s="81"/>
      <c r="F38" s="452" t="s">
        <v>102</v>
      </c>
    </row>
    <row r="39" spans="1:6">
      <c r="A39" s="81" t="s">
        <v>72</v>
      </c>
      <c r="B39" s="81" t="str">
        <f>+'9_1'!$H$2</f>
        <v>Hijuela Nuñez</v>
      </c>
      <c r="C39" s="81"/>
      <c r="D39" s="81"/>
      <c r="E39" s="81"/>
      <c r="F39" s="452">
        <v>3</v>
      </c>
    </row>
    <row r="40" spans="1:6">
      <c r="A40" s="81"/>
      <c r="B40" s="81"/>
      <c r="C40" s="81"/>
      <c r="D40" s="81"/>
      <c r="E40" s="81"/>
      <c r="F40" s="451"/>
    </row>
    <row r="41" spans="1:6">
      <c r="A41" s="139" t="s">
        <v>140</v>
      </c>
      <c r="B41" s="458">
        <f>VLOOKUP(F39,'9_1'!$A$13:$B$37,2,0)</f>
        <v>1208</v>
      </c>
      <c r="C41" s="81"/>
      <c r="D41" s="139" t="s">
        <v>141</v>
      </c>
      <c r="E41" s="460">
        <f>DSUM('9_1'!A$12:J$37,'9_1'!$J$12,F38:F39)</f>
        <v>0.21833693403547738</v>
      </c>
      <c r="F41" s="451"/>
    </row>
    <row r="42" spans="1:6">
      <c r="A42" s="139" t="s">
        <v>142</v>
      </c>
      <c r="B42" s="461">
        <v>21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139" t="s">
        <v>144</v>
      </c>
      <c r="B43" s="462">
        <f>DSUM('9_1'!$A$12:$H$37,'9_1'!$H$12,F38:F39)</f>
        <v>8.5702999999999996</v>
      </c>
      <c r="C43" s="81"/>
      <c r="D43" s="139" t="s">
        <v>145</v>
      </c>
      <c r="E43" s="458" t="str">
        <f>IF(VLOOKUP(F39,'9_1'!$A$13:$D$47,4,0)=1, "Definitivo 100%", "Eventual 80%")</f>
        <v>Definitivo 100%</v>
      </c>
      <c r="F43" s="583"/>
    </row>
    <row r="44" spans="1:6" ht="15.75">
      <c r="A44" s="81"/>
      <c r="B44" s="139" t="s">
        <v>146</v>
      </c>
      <c r="C44" s="477">
        <f>DMIN('9_1'!A$12:L$37,'9_1'!$K$12,F38:F39)</f>
        <v>42976.521682734281</v>
      </c>
      <c r="D44" s="478"/>
      <c r="E44" s="190">
        <f>WEEKDAY(C44)</f>
        <v>3</v>
      </c>
      <c r="F44" s="453"/>
    </row>
    <row r="45" spans="1:6" ht="15.75">
      <c r="A45" s="81"/>
      <c r="B45" s="139" t="s">
        <v>147</v>
      </c>
      <c r="C45" s="477">
        <f>DMAX('9_1'!A$12:N$37,'9_1'!$L$12,F38:F39)</f>
        <v>42976.740019668316</v>
      </c>
      <c r="D45" s="478"/>
      <c r="E45" s="190">
        <f>WEEKDAY(C45)</f>
        <v>3</v>
      </c>
      <c r="F45" s="453"/>
    </row>
    <row r="46" spans="1:6">
      <c r="A46" s="323"/>
      <c r="B46" s="324"/>
      <c r="C46" s="81"/>
      <c r="D46" s="81"/>
      <c r="E46" s="584"/>
      <c r="F46" s="583"/>
    </row>
    <row r="47" spans="1:6">
      <c r="A47" s="606"/>
      <c r="B47" s="606"/>
      <c r="C47" s="81"/>
      <c r="D47" s="81"/>
      <c r="E47" s="81"/>
      <c r="F47" s="451"/>
    </row>
    <row r="48" spans="1:6">
      <c r="A48" s="476">
        <f>+Mensajes!$B$7</f>
        <v>0</v>
      </c>
      <c r="B48" s="10"/>
      <c r="C48" s="81"/>
      <c r="D48" s="81"/>
      <c r="E48" s="81"/>
      <c r="F48" s="451"/>
    </row>
    <row r="49" spans="1:6">
      <c r="A49" s="476">
        <f>+Mensajes!$B$12</f>
        <v>0</v>
      </c>
      <c r="B49" s="81"/>
      <c r="C49" s="81"/>
      <c r="D49" s="81"/>
      <c r="E49" s="81"/>
      <c r="F49" s="451"/>
    </row>
    <row r="50" spans="1:6" ht="13.5" thickBot="1">
      <c r="A50" s="474"/>
      <c r="B50" s="455"/>
      <c r="C50" s="455"/>
      <c r="D50" s="454" t="str">
        <f>IF(DSUM('9_1'!$A$12:$Q$87,16,F38:F39)=COUNTIF('9_1'!$A$13:$A$87,F39),"","Regularice su Deuda")</f>
        <v>Regularice su Deuda</v>
      </c>
      <c r="E50" s="455"/>
      <c r="F50" s="456"/>
    </row>
    <row r="51" spans="1:6" ht="13.5" thickBot="1"/>
    <row r="52" spans="1:6">
      <c r="A52" s="448"/>
      <c r="B52" s="448"/>
      <c r="C52" s="448"/>
      <c r="D52" s="448"/>
      <c r="E52" s="448"/>
      <c r="F52" s="449"/>
    </row>
    <row r="53" spans="1:6">
      <c r="A53" s="147" t="s">
        <v>64</v>
      </c>
      <c r="B53" s="81"/>
      <c r="C53" s="81"/>
      <c r="D53" s="81"/>
      <c r="E53" s="81"/>
      <c r="F53" s="451"/>
    </row>
    <row r="54" spans="1:6">
      <c r="A54" s="81"/>
      <c r="B54" s="81"/>
      <c r="C54" s="81"/>
      <c r="D54" s="81"/>
      <c r="E54" s="81"/>
      <c r="F54" s="451"/>
    </row>
    <row r="55" spans="1:6">
      <c r="A55" s="81" t="s">
        <v>139</v>
      </c>
      <c r="B55" s="81" t="str">
        <f>VLOOKUP(F56,'9_1'!$A$13:$G$37,7,0)</f>
        <v>GALLARDO, CARLOS</v>
      </c>
      <c r="C55" s="81"/>
      <c r="D55" s="81"/>
      <c r="E55" s="81"/>
      <c r="F55" s="452" t="s">
        <v>102</v>
      </c>
    </row>
    <row r="56" spans="1:6">
      <c r="A56" s="81" t="s">
        <v>72</v>
      </c>
      <c r="B56" s="81" t="str">
        <f>+'9_1'!$H$2</f>
        <v>Hijuela Nuñez</v>
      </c>
      <c r="C56" s="81"/>
      <c r="D56" s="81"/>
      <c r="E56" s="81"/>
      <c r="F56" s="452">
        <v>4</v>
      </c>
    </row>
    <row r="57" spans="1:6">
      <c r="A57" s="81"/>
      <c r="B57" s="81"/>
      <c r="C57" s="81"/>
      <c r="D57" s="81"/>
      <c r="E57" s="81"/>
      <c r="F57" s="451"/>
    </row>
    <row r="58" spans="1:6">
      <c r="A58" s="139" t="s">
        <v>140</v>
      </c>
      <c r="B58" s="458">
        <f>VLOOKUP(F56,'9_1'!$A$13:$B$37,2,0)</f>
        <v>1208</v>
      </c>
      <c r="C58" s="81"/>
      <c r="D58" s="139" t="s">
        <v>141</v>
      </c>
      <c r="E58" s="460">
        <f>DSUM('9_1'!A$12:J$37,'9_1'!$J$12,F55:F56)</f>
        <v>3.6940195133360811E-2</v>
      </c>
      <c r="F58" s="451"/>
    </row>
    <row r="59" spans="1:6">
      <c r="A59" s="139" t="s">
        <v>142</v>
      </c>
      <c r="B59" s="461" t="s">
        <v>300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139" t="s">
        <v>144</v>
      </c>
      <c r="B60" s="462">
        <f>DSUM('9_1'!$A$12:$H$37,'9_1'!$H$12,F55:F56)</f>
        <v>1.45</v>
      </c>
      <c r="C60" s="81"/>
      <c r="D60" s="139" t="s">
        <v>145</v>
      </c>
      <c r="E60" s="458" t="str">
        <f>IF(VLOOKUP(F56,'9_1'!$A$13:$D$47,4,0)=1, "Definitivo 100%", "Eventual 80%")</f>
        <v>Definitivo 100%</v>
      </c>
      <c r="F60" s="583"/>
    </row>
    <row r="61" spans="1:6" ht="15.75">
      <c r="A61" s="81"/>
      <c r="B61" s="139" t="s">
        <v>146</v>
      </c>
      <c r="C61" s="477">
        <f>DMIN('9_1'!A$12:L$37,'9_1'!$K$12,F55:F56)</f>
        <v>42976.477798094704</v>
      </c>
      <c r="D61" s="478"/>
      <c r="E61" s="190">
        <f>WEEKDAY(C61)</f>
        <v>3</v>
      </c>
      <c r="F61" s="453"/>
    </row>
    <row r="62" spans="1:6" ht="15.75">
      <c r="A62" s="81"/>
      <c r="B62" s="139" t="s">
        <v>147</v>
      </c>
      <c r="C62" s="477">
        <f>DMAX('9_1'!A$12:N$37,'9_1'!$L$12,F55:F56)</f>
        <v>42976.521682734281</v>
      </c>
      <c r="D62" s="478"/>
      <c r="E62" s="190">
        <f>WEEKDAY(C62)</f>
        <v>3</v>
      </c>
      <c r="F62" s="453"/>
    </row>
    <row r="63" spans="1:6">
      <c r="A63" s="323"/>
      <c r="B63" s="324"/>
      <c r="C63" s="81"/>
      <c r="D63" s="81"/>
      <c r="E63" s="584"/>
      <c r="F63" s="583"/>
    </row>
    <row r="64" spans="1:6">
      <c r="A64" s="606"/>
      <c r="B64" s="606"/>
      <c r="C64" s="81"/>
      <c r="D64" s="81"/>
      <c r="E64" s="81"/>
      <c r="F64" s="451"/>
    </row>
    <row r="65" spans="1:6">
      <c r="A65" s="476">
        <f>+Mensajes!$B$7</f>
        <v>0</v>
      </c>
      <c r="B65" s="10"/>
      <c r="C65" s="81"/>
      <c r="D65" s="81"/>
      <c r="E65" s="81"/>
      <c r="F65" s="451"/>
    </row>
    <row r="66" spans="1:6">
      <c r="A66" s="476">
        <f>+Mensajes!$B$12</f>
        <v>0</v>
      </c>
      <c r="B66" s="81"/>
      <c r="C66" s="81"/>
      <c r="D66" s="81"/>
      <c r="E66" s="81"/>
      <c r="F66" s="451"/>
    </row>
    <row r="67" spans="1:6" ht="13.5" thickBot="1">
      <c r="A67" s="474"/>
      <c r="B67" s="455"/>
      <c r="C67" s="455"/>
      <c r="D67" s="454" t="str">
        <f>IF(DSUM('9_1'!$A$12:$Q$87,16,F55:F56)=COUNTIF('9_1'!$A$13:$A$87,F56),"","Regularice su Deuda")</f>
        <v>Regularice su Deuda</v>
      </c>
      <c r="E67" s="455"/>
      <c r="F67" s="456"/>
    </row>
    <row r="68" spans="1:6" ht="13.5" thickBot="1"/>
    <row r="69" spans="1:6">
      <c r="A69" s="448"/>
      <c r="B69" s="448"/>
      <c r="C69" s="448"/>
      <c r="D69" s="448"/>
      <c r="E69" s="448"/>
      <c r="F69" s="449"/>
    </row>
    <row r="70" spans="1:6">
      <c r="A70" s="147" t="s">
        <v>64</v>
      </c>
      <c r="B70" s="81"/>
      <c r="C70" s="81"/>
      <c r="D70" s="81"/>
      <c r="E70" s="81"/>
      <c r="F70" s="451"/>
    </row>
    <row r="71" spans="1:6">
      <c r="A71" s="81"/>
      <c r="B71" s="81"/>
      <c r="C71" s="81"/>
      <c r="D71" s="81"/>
      <c r="E71" s="81"/>
      <c r="F71" s="451"/>
    </row>
    <row r="72" spans="1:6">
      <c r="A72" s="81" t="s">
        <v>139</v>
      </c>
      <c r="B72" s="81" t="str">
        <f>VLOOKUP(F73,'9_1'!$A$13:$G$37,7,0)</f>
        <v>CICHINELLI,  MIRTA FRANCISCA</v>
      </c>
      <c r="C72" s="81"/>
      <c r="D72" s="81"/>
      <c r="E72" s="81"/>
      <c r="F72" s="452" t="s">
        <v>102</v>
      </c>
    </row>
    <row r="73" spans="1:6">
      <c r="A73" s="81" t="s">
        <v>72</v>
      </c>
      <c r="B73" s="81" t="str">
        <f>+'9_1'!$H$2</f>
        <v>Hijuela Nuñez</v>
      </c>
      <c r="C73" s="81"/>
      <c r="D73" s="81"/>
      <c r="E73" s="81"/>
      <c r="F73" s="452">
        <v>5</v>
      </c>
    </row>
    <row r="74" spans="1:6">
      <c r="A74" s="81"/>
      <c r="B74" s="81"/>
      <c r="C74" s="81"/>
      <c r="D74" s="81"/>
      <c r="E74" s="81"/>
      <c r="F74" s="451"/>
    </row>
    <row r="75" spans="1:6">
      <c r="A75" s="139" t="s">
        <v>140</v>
      </c>
      <c r="B75" s="458">
        <f>VLOOKUP(F73,'9_1'!$A$13:$B$37,2,0)</f>
        <v>1208</v>
      </c>
      <c r="C75" s="81"/>
      <c r="D75" s="139" t="s">
        <v>141</v>
      </c>
      <c r="E75" s="460">
        <f>DSUM('9_1'!A$12:J$37,'9_1'!$J$12,F72:F73)</f>
        <v>0</v>
      </c>
      <c r="F75" s="451"/>
    </row>
    <row r="76" spans="1:6">
      <c r="A76" s="139" t="s">
        <v>142</v>
      </c>
      <c r="B76" s="461">
        <v>17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139" t="s">
        <v>144</v>
      </c>
      <c r="B77" s="462">
        <f>DSUM('9_1'!$A$12:$H$37,'9_1'!$H$12,F72:F73)</f>
        <v>0</v>
      </c>
      <c r="C77" s="81"/>
      <c r="D77" s="139" t="s">
        <v>145</v>
      </c>
      <c r="E77" s="458" t="str">
        <f>IF(VLOOKUP(F73,'9_1'!$A$13:$D$47,4,0)=1, "Definitivo 100%", "Eventual 80%")</f>
        <v>Definitivo 100%</v>
      </c>
      <c r="F77" s="583"/>
    </row>
    <row r="78" spans="1:6" ht="15.75">
      <c r="A78" s="81"/>
      <c r="B78" s="139" t="s">
        <v>146</v>
      </c>
      <c r="C78" s="477">
        <f>DMIN('9_1'!A$12:L$37,'9_1'!$K$12,F72:F73)</f>
        <v>42976.470853650259</v>
      </c>
      <c r="D78" s="478"/>
      <c r="E78" s="190">
        <f>WEEKDAY(C78)</f>
        <v>3</v>
      </c>
      <c r="F78" s="453"/>
    </row>
    <row r="79" spans="1:6" ht="15.75">
      <c r="A79" s="81"/>
      <c r="B79" s="139" t="s">
        <v>147</v>
      </c>
      <c r="C79" s="477">
        <f>DMAX('9_1'!A$12:N$37,'9_1'!$L$12,F72:F73)</f>
        <v>42976.477798094704</v>
      </c>
      <c r="D79" s="478"/>
      <c r="E79" s="190">
        <f>WEEKDAY(C79)</f>
        <v>3</v>
      </c>
      <c r="F79" s="453"/>
    </row>
    <row r="80" spans="1:6">
      <c r="A80" s="323"/>
      <c r="B80" s="324"/>
      <c r="C80" s="81"/>
      <c r="D80" s="81"/>
      <c r="E80" s="584"/>
      <c r="F80" s="583"/>
    </row>
    <row r="81" spans="1:6">
      <c r="A81" s="606"/>
      <c r="B81" s="606"/>
      <c r="C81" s="81"/>
      <c r="D81" s="81"/>
      <c r="E81" s="81"/>
      <c r="F81" s="451"/>
    </row>
    <row r="82" spans="1:6">
      <c r="A82" s="476">
        <f>+Mensajes!$B$7</f>
        <v>0</v>
      </c>
      <c r="B82" s="10"/>
      <c r="C82" s="81"/>
      <c r="D82" s="81"/>
      <c r="E82" s="81"/>
      <c r="F82" s="451"/>
    </row>
    <row r="83" spans="1:6">
      <c r="A83" s="476">
        <f>+Mensajes!$B$12</f>
        <v>0</v>
      </c>
      <c r="B83" s="81"/>
      <c r="C83" s="81"/>
      <c r="D83" s="81"/>
      <c r="E83" s="81"/>
      <c r="F83" s="451"/>
    </row>
    <row r="84" spans="1:6" ht="13.5" thickBot="1">
      <c r="A84" s="474"/>
      <c r="B84" s="455"/>
      <c r="C84" s="455"/>
      <c r="D84" s="454" t="str">
        <f>IF(DSUM('9_1'!$A$12:$Q$87,16,F72:F73)=COUNTIF('9_1'!$A$13:$A$87,F73),"","Regularice su Deuda")</f>
        <v>Regularice su Deuda</v>
      </c>
      <c r="E84" s="455"/>
      <c r="F84" s="456"/>
    </row>
    <row r="85" spans="1:6" ht="13.5" thickBot="1"/>
    <row r="86" spans="1:6">
      <c r="A86" s="448"/>
      <c r="B86" s="448"/>
      <c r="C86" s="448"/>
      <c r="D86" s="448"/>
      <c r="E86" s="448"/>
      <c r="F86" s="449"/>
    </row>
    <row r="87" spans="1:6">
      <c r="A87" s="147" t="s">
        <v>64</v>
      </c>
      <c r="B87" s="81"/>
      <c r="C87" s="81"/>
      <c r="D87" s="81"/>
      <c r="E87" s="81"/>
      <c r="F87" s="451"/>
    </row>
    <row r="88" spans="1:6">
      <c r="A88" s="81"/>
      <c r="B88" s="81"/>
      <c r="C88" s="81"/>
      <c r="D88" s="81"/>
      <c r="E88" s="81"/>
      <c r="F88" s="451"/>
    </row>
    <row r="89" spans="1:6">
      <c r="A89" s="81" t="s">
        <v>139</v>
      </c>
      <c r="B89" s="81" t="str">
        <f>VLOOKUP(F90,'9_1'!$A$13:$G$37,7,0)</f>
        <v>CICHINELLI, RAFAEL ALB</v>
      </c>
      <c r="C89" s="81"/>
      <c r="D89" s="81"/>
      <c r="E89" s="81"/>
      <c r="F89" s="452" t="s">
        <v>102</v>
      </c>
    </row>
    <row r="90" spans="1:6">
      <c r="A90" s="81" t="s">
        <v>72</v>
      </c>
      <c r="B90" s="81" t="str">
        <f>+'9_1'!$H$2</f>
        <v>Hijuela Nuñez</v>
      </c>
      <c r="C90" s="81"/>
      <c r="D90" s="81"/>
      <c r="E90" s="81"/>
      <c r="F90" s="452">
        <v>6</v>
      </c>
    </row>
    <row r="91" spans="1:6">
      <c r="A91" s="81"/>
      <c r="B91" s="81"/>
      <c r="C91" s="81"/>
      <c r="D91" s="81"/>
      <c r="E91" s="81"/>
      <c r="F91" s="451"/>
    </row>
    <row r="92" spans="1:6">
      <c r="A92" s="139" t="s">
        <v>140</v>
      </c>
      <c r="B92" s="458">
        <f>VLOOKUP(F90,'9_1'!$A$13:$B$37,2,0)</f>
        <v>1208</v>
      </c>
      <c r="C92" s="81"/>
      <c r="D92" s="139" t="s">
        <v>141</v>
      </c>
      <c r="E92" s="460">
        <f>DSUM('9_1'!A$12:J$37,'9_1'!$J$12,F89:F90)</f>
        <v>0.2832141070883164</v>
      </c>
      <c r="F92" s="451"/>
    </row>
    <row r="93" spans="1:6">
      <c r="A93" s="139" t="s">
        <v>142</v>
      </c>
      <c r="B93" s="461">
        <v>18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139" t="s">
        <v>144</v>
      </c>
      <c r="B94" s="462">
        <f>DSUM('9_1'!$A$12:$H$37,'9_1'!$H$12,F89:F90)</f>
        <v>11.116899999999999</v>
      </c>
      <c r="C94" s="81"/>
      <c r="D94" s="139" t="s">
        <v>145</v>
      </c>
      <c r="E94" s="458" t="str">
        <f>IF(VLOOKUP(F90,'9_1'!$A$13:$D$47,4,0)=1, "Definitivo 100%", "Eventual 80%")</f>
        <v>Definitivo 100%</v>
      </c>
      <c r="F94" s="583"/>
    </row>
    <row r="95" spans="1:6" ht="15.75">
      <c r="A95" s="81"/>
      <c r="B95" s="139" t="s">
        <v>146</v>
      </c>
      <c r="C95" s="477">
        <f>DMIN('9_1'!A$12:L$37,'9_1'!$K$12,F89:F90)</f>
        <v>42976.187639543168</v>
      </c>
      <c r="D95" s="478"/>
      <c r="E95" s="190">
        <f>WEEKDAY(C95)</f>
        <v>3</v>
      </c>
      <c r="F95" s="453"/>
    </row>
    <row r="96" spans="1:6" ht="15.75">
      <c r="A96" s="81"/>
      <c r="B96" s="139" t="s">
        <v>147</v>
      </c>
      <c r="C96" s="477">
        <f>DMAX('9_1'!A$12:N$37,'9_1'!$L$12,F89:F90)</f>
        <v>42976.470853650259</v>
      </c>
      <c r="D96" s="478"/>
      <c r="E96" s="190">
        <f>WEEKDAY(C96)</f>
        <v>3</v>
      </c>
      <c r="F96" s="453"/>
    </row>
    <row r="97" spans="1:6">
      <c r="A97" s="323"/>
      <c r="B97" s="324"/>
      <c r="C97" s="81"/>
      <c r="D97" s="81"/>
      <c r="E97" s="584"/>
      <c r="F97" s="583"/>
    </row>
    <row r="98" spans="1:6">
      <c r="A98" s="606"/>
      <c r="B98" s="606"/>
      <c r="C98" s="81"/>
      <c r="D98" s="81"/>
      <c r="E98" s="81"/>
      <c r="F98" s="451"/>
    </row>
    <row r="99" spans="1:6">
      <c r="A99" s="476">
        <f>+Mensajes!$B$7</f>
        <v>0</v>
      </c>
      <c r="B99" s="10"/>
      <c r="C99" s="81"/>
      <c r="D99" s="81"/>
      <c r="E99" s="81"/>
      <c r="F99" s="451"/>
    </row>
    <row r="100" spans="1:6">
      <c r="A100" s="476">
        <f>+Mensajes!$B$12</f>
        <v>0</v>
      </c>
      <c r="B100" s="81"/>
      <c r="C100" s="81"/>
      <c r="D100" s="81"/>
      <c r="E100" s="81"/>
      <c r="F100" s="451"/>
    </row>
    <row r="101" spans="1:6" ht="13.5" thickBot="1">
      <c r="A101" s="474"/>
      <c r="B101" s="455"/>
      <c r="C101" s="455"/>
      <c r="D101" s="454" t="str">
        <f>IF(DSUM('9_1'!$A$12:$Q$87,16,F89:F90)=COUNTIF('9_1'!$A$13:$A$87,F90),"","Regularice su Deuda")</f>
        <v>Regularice su Deuda</v>
      </c>
      <c r="E101" s="455"/>
      <c r="F101" s="456"/>
    </row>
    <row r="102" spans="1:6" ht="13.5" thickBot="1"/>
    <row r="103" spans="1:6">
      <c r="A103" s="448"/>
      <c r="B103" s="448"/>
      <c r="C103" s="448"/>
      <c r="D103" s="448"/>
      <c r="E103" s="448"/>
      <c r="F103" s="449"/>
    </row>
    <row r="104" spans="1:6">
      <c r="A104" s="147" t="s">
        <v>64</v>
      </c>
      <c r="B104" s="81"/>
      <c r="C104" s="81"/>
      <c r="D104" s="81"/>
      <c r="E104" s="81"/>
      <c r="F104" s="451"/>
    </row>
    <row r="105" spans="1:6">
      <c r="A105" s="81"/>
      <c r="B105" s="81"/>
      <c r="C105" s="81"/>
      <c r="D105" s="81"/>
      <c r="E105" s="81"/>
      <c r="F105" s="451"/>
    </row>
    <row r="106" spans="1:6">
      <c r="A106" s="81" t="s">
        <v>139</v>
      </c>
      <c r="B106" s="81" t="str">
        <f>VLOOKUP(F107,'9_1'!$A$13:$G$37,7,0)</f>
        <v>GUIÑAZU, ARALDO AMIL</v>
      </c>
      <c r="C106" s="81"/>
      <c r="D106" s="81"/>
      <c r="E106" s="81"/>
      <c r="F106" s="452" t="s">
        <v>102</v>
      </c>
    </row>
    <row r="107" spans="1:6">
      <c r="A107" s="81" t="s">
        <v>72</v>
      </c>
      <c r="B107" s="81" t="str">
        <f>+'9_1'!$H$2</f>
        <v>Hijuela Nuñez</v>
      </c>
      <c r="C107" s="81"/>
      <c r="D107" s="81"/>
      <c r="E107" s="81"/>
      <c r="F107" s="452">
        <v>7</v>
      </c>
    </row>
    <row r="108" spans="1:6">
      <c r="A108" s="81"/>
      <c r="B108" s="81"/>
      <c r="C108" s="81"/>
      <c r="D108" s="81"/>
      <c r="E108" s="81"/>
      <c r="F108" s="451"/>
    </row>
    <row r="109" spans="1:6">
      <c r="A109" s="139" t="s">
        <v>140</v>
      </c>
      <c r="B109" s="458">
        <f>VLOOKUP(F107,'9_1'!$A$13:$B$37,2,0)</f>
        <v>1208</v>
      </c>
      <c r="C109" s="81"/>
      <c r="D109" s="139" t="s">
        <v>141</v>
      </c>
      <c r="E109" s="460">
        <f>DSUM('9_1'!A$12:J$37,'9_1'!$J$12,F106:F107)</f>
        <v>3.2726465288493309E-2</v>
      </c>
      <c r="F109" s="451"/>
    </row>
    <row r="110" spans="1:6">
      <c r="A110" s="139" t="s">
        <v>142</v>
      </c>
      <c r="B110" s="461">
        <v>4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139" t="s">
        <v>144</v>
      </c>
      <c r="B111" s="462">
        <f>DSUM('9_1'!$A$12:$H$37,'9_1'!$H$12,F106:F107)</f>
        <v>1.2846</v>
      </c>
      <c r="C111" s="81"/>
      <c r="D111" s="139" t="s">
        <v>145</v>
      </c>
      <c r="E111" s="458" t="str">
        <f>IF(VLOOKUP(F107,'9_1'!$A$13:$D$47,4,0)=1, "Definitivo 100%", "Eventual 80%")</f>
        <v>Definitivo 100%</v>
      </c>
      <c r="F111" s="583"/>
    </row>
    <row r="112" spans="1:6" ht="15.75">
      <c r="A112" s="81"/>
      <c r="B112" s="139" t="s">
        <v>146</v>
      </c>
      <c r="C112" s="477">
        <f>DMIN('9_1'!A$12:L$37,'9_1'!$K$12,F106:F107)</f>
        <v>42976.15491307788</v>
      </c>
      <c r="D112" s="478"/>
      <c r="E112" s="190">
        <f>WEEKDAY(C112)</f>
        <v>3</v>
      </c>
      <c r="F112" s="453"/>
    </row>
    <row r="113" spans="1:6" ht="15.75">
      <c r="A113" s="81"/>
      <c r="B113" s="139" t="s">
        <v>147</v>
      </c>
      <c r="C113" s="477">
        <f>DMAX('9_1'!A$12:N$37,'9_1'!$L$12,F106:F107)</f>
        <v>42976.187639543168</v>
      </c>
      <c r="D113" s="478"/>
      <c r="E113" s="190">
        <f>WEEKDAY(C113)</f>
        <v>3</v>
      </c>
      <c r="F113" s="453"/>
    </row>
    <row r="114" spans="1:6">
      <c r="A114" s="323"/>
      <c r="B114" s="324"/>
      <c r="C114" s="81"/>
      <c r="D114" s="81"/>
      <c r="E114" s="584"/>
      <c r="F114" s="583"/>
    </row>
    <row r="115" spans="1:6">
      <c r="A115" s="606"/>
      <c r="B115" s="606"/>
      <c r="C115" s="81"/>
      <c r="D115" s="81"/>
      <c r="E115" s="81"/>
      <c r="F115" s="451"/>
    </row>
    <row r="116" spans="1:6">
      <c r="A116" s="476">
        <f>+Mensajes!$B$7</f>
        <v>0</v>
      </c>
      <c r="B116" s="10"/>
      <c r="C116" s="81"/>
      <c r="D116" s="81"/>
      <c r="E116" s="81"/>
      <c r="F116" s="451"/>
    </row>
    <row r="117" spans="1:6">
      <c r="A117" s="476">
        <f>+Mensajes!$B$12</f>
        <v>0</v>
      </c>
      <c r="B117" s="81"/>
      <c r="C117" s="81"/>
      <c r="D117" s="81"/>
      <c r="E117" s="81"/>
      <c r="F117" s="451"/>
    </row>
    <row r="118" spans="1:6" ht="13.5" thickBot="1">
      <c r="A118" s="474"/>
      <c r="B118" s="455"/>
      <c r="C118" s="455"/>
      <c r="D118" s="454" t="str">
        <f>IF(DSUM('9_1'!$A$12:$Q$87,16,F106:F107)=COUNTIF('9_1'!$A$13:$A$87,F107),"","Regularice su Deuda")</f>
        <v>Regularice su Deuda</v>
      </c>
      <c r="E118" s="455"/>
      <c r="F118" s="456"/>
    </row>
    <row r="119" spans="1:6" ht="13.5" thickBot="1"/>
    <row r="120" spans="1:6">
      <c r="A120" s="448"/>
      <c r="B120" s="448"/>
      <c r="C120" s="448"/>
      <c r="D120" s="448"/>
      <c r="E120" s="448"/>
      <c r="F120" s="449"/>
    </row>
    <row r="121" spans="1:6">
      <c r="A121" s="147" t="s">
        <v>64</v>
      </c>
      <c r="B121" s="81"/>
      <c r="C121" s="81"/>
      <c r="D121" s="81"/>
      <c r="E121" s="81"/>
      <c r="F121" s="451"/>
    </row>
    <row r="122" spans="1:6">
      <c r="A122" s="81"/>
      <c r="B122" s="81"/>
      <c r="C122" s="81"/>
      <c r="D122" s="81"/>
      <c r="E122" s="81"/>
      <c r="F122" s="451"/>
    </row>
    <row r="123" spans="1:6">
      <c r="A123" s="81" t="s">
        <v>139</v>
      </c>
      <c r="B123" s="81" t="str">
        <f>VLOOKUP(F124,'9_1'!$A$13:$G$37,7,0)</f>
        <v>GATANI, JUAN Y GATANI</v>
      </c>
      <c r="C123" s="81"/>
      <c r="D123" s="81"/>
      <c r="E123" s="81"/>
      <c r="F123" s="452" t="s">
        <v>102</v>
      </c>
    </row>
    <row r="124" spans="1:6">
      <c r="A124" s="81" t="s">
        <v>72</v>
      </c>
      <c r="B124" s="81" t="str">
        <f>+'9_1'!$H$2</f>
        <v>Hijuela Nuñez</v>
      </c>
      <c r="C124" s="81"/>
      <c r="D124" s="81"/>
      <c r="E124" s="81"/>
      <c r="F124" s="452">
        <v>8</v>
      </c>
    </row>
    <row r="125" spans="1:6">
      <c r="A125" s="81"/>
      <c r="B125" s="81"/>
      <c r="C125" s="81"/>
      <c r="D125" s="81"/>
      <c r="E125" s="81"/>
      <c r="F125" s="451"/>
    </row>
    <row r="126" spans="1:6">
      <c r="A126" s="139" t="s">
        <v>140</v>
      </c>
      <c r="B126" s="458">
        <f>VLOOKUP(F124,'9_1'!$A$13:$B$37,2,0)</f>
        <v>1208</v>
      </c>
      <c r="C126" s="81"/>
      <c r="D126" s="139" t="s">
        <v>141</v>
      </c>
      <c r="E126" s="460">
        <f>DSUM('9_1'!A$12:J$37,'9_1'!$J$12,F123:F124)</f>
        <v>0</v>
      </c>
      <c r="F126" s="451"/>
    </row>
    <row r="127" spans="1:6">
      <c r="A127" s="139" t="s">
        <v>142</v>
      </c>
      <c r="B127" s="461">
        <v>38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139" t="s">
        <v>144</v>
      </c>
      <c r="B128" s="462">
        <f>DSUM('9_1'!$A$12:$H$37,'9_1'!$H$12,F123:F124)</f>
        <v>0</v>
      </c>
      <c r="C128" s="81"/>
      <c r="D128" s="139" t="s">
        <v>145</v>
      </c>
      <c r="E128" s="458" t="str">
        <f>IF(VLOOKUP(F124,'9_1'!$A$13:$D$47,4,0)=1, "Definitivo 100%", "Eventual 80%")</f>
        <v>Definitivo 100%</v>
      </c>
      <c r="F128" s="583"/>
    </row>
    <row r="129" spans="1:6" ht="15.75">
      <c r="A129" s="81"/>
      <c r="B129" s="139" t="s">
        <v>146</v>
      </c>
      <c r="C129" s="477">
        <f>DMIN('9_1'!A$12:L$37,'9_1'!$K$12,F123:F124)</f>
        <v>42976.15491307788</v>
      </c>
      <c r="D129" s="478"/>
      <c r="E129" s="190">
        <f>WEEKDAY(C129)</f>
        <v>3</v>
      </c>
      <c r="F129" s="453"/>
    </row>
    <row r="130" spans="1:6" ht="15.75">
      <c r="A130" s="81"/>
      <c r="B130" s="139" t="s">
        <v>147</v>
      </c>
      <c r="C130" s="477">
        <f>DMAX('9_1'!A$12:N$37,'9_1'!$L$12,F123:F124)</f>
        <v>42976.15491307788</v>
      </c>
      <c r="D130" s="478"/>
      <c r="E130" s="190">
        <f>WEEKDAY(C130)</f>
        <v>3</v>
      </c>
      <c r="F130" s="453"/>
    </row>
    <row r="131" spans="1:6">
      <c r="A131" s="323"/>
      <c r="B131" s="324"/>
      <c r="C131" s="81"/>
      <c r="D131" s="81"/>
      <c r="E131" s="584"/>
      <c r="F131" s="583"/>
    </row>
    <row r="132" spans="1:6">
      <c r="A132" s="606"/>
      <c r="B132" s="606"/>
      <c r="C132" s="81"/>
      <c r="D132" s="81"/>
      <c r="E132" s="81"/>
      <c r="F132" s="451"/>
    </row>
    <row r="133" spans="1:6">
      <c r="A133" s="476">
        <f>+Mensajes!$B$7</f>
        <v>0</v>
      </c>
      <c r="B133" s="10"/>
      <c r="C133" s="81"/>
      <c r="D133" s="81"/>
      <c r="E133" s="81"/>
      <c r="F133" s="451"/>
    </row>
    <row r="134" spans="1:6">
      <c r="A134" s="476">
        <f>+Mensajes!$B$12</f>
        <v>0</v>
      </c>
      <c r="B134" s="81"/>
      <c r="C134" s="81"/>
      <c r="D134" s="81"/>
      <c r="E134" s="81"/>
      <c r="F134" s="451"/>
    </row>
    <row r="135" spans="1:6" ht="13.5" thickBot="1">
      <c r="A135" s="474"/>
      <c r="B135" s="455"/>
      <c r="C135" s="455"/>
      <c r="D135" s="454" t="str">
        <f>IF(DSUM('9_1'!$A$12:$Q$87,16,F123:F124)=COUNTIF('9_1'!$A$13:$A$87,F124),"","Regularice su Deuda")</f>
        <v>Regularice su Deuda</v>
      </c>
      <c r="E135" s="455"/>
      <c r="F135" s="456"/>
    </row>
    <row r="136" spans="1:6" ht="13.5" thickBot="1"/>
    <row r="137" spans="1:6">
      <c r="A137" s="448"/>
      <c r="B137" s="448"/>
      <c r="C137" s="448"/>
      <c r="D137" s="448"/>
      <c r="E137" s="448"/>
      <c r="F137" s="449"/>
    </row>
    <row r="138" spans="1:6">
      <c r="A138" s="147" t="s">
        <v>64</v>
      </c>
      <c r="B138" s="81"/>
      <c r="C138" s="81"/>
      <c r="D138" s="81"/>
      <c r="E138" s="81"/>
      <c r="F138" s="451"/>
    </row>
    <row r="139" spans="1:6">
      <c r="A139" s="81"/>
      <c r="B139" s="81"/>
      <c r="C139" s="81"/>
      <c r="D139" s="81"/>
      <c r="E139" s="81"/>
      <c r="F139" s="451"/>
    </row>
    <row r="140" spans="1:6">
      <c r="A140" s="81" t="s">
        <v>139</v>
      </c>
      <c r="B140" s="81" t="str">
        <f>VLOOKUP(F141,'9_1'!$A$13:$G$37,7,0)</f>
        <v>PELEGRINA, DIEGO</v>
      </c>
      <c r="C140" s="81"/>
      <c r="D140" s="81"/>
      <c r="E140" s="81"/>
      <c r="F140" s="452" t="s">
        <v>102</v>
      </c>
    </row>
    <row r="141" spans="1:6">
      <c r="A141" s="81" t="s">
        <v>72</v>
      </c>
      <c r="B141" s="81" t="str">
        <f>+'9_1'!$H$2</f>
        <v>Hijuela Nuñez</v>
      </c>
      <c r="C141" s="81"/>
      <c r="D141" s="81"/>
      <c r="E141" s="81"/>
      <c r="F141" s="452">
        <v>9</v>
      </c>
    </row>
    <row r="142" spans="1:6">
      <c r="A142" s="81"/>
      <c r="B142" s="81"/>
      <c r="C142" s="81"/>
      <c r="D142" s="81"/>
      <c r="E142" s="81"/>
      <c r="F142" s="451"/>
    </row>
    <row r="143" spans="1:6">
      <c r="A143" s="139" t="s">
        <v>140</v>
      </c>
      <c r="B143" s="458">
        <f>VLOOKUP(F141,'9_1'!$A$13:$B$37,2,0)</f>
        <v>1208</v>
      </c>
      <c r="C143" s="81"/>
      <c r="D143" s="139" t="s">
        <v>141</v>
      </c>
      <c r="E143" s="460">
        <f>DSUM('9_1'!A$12:J$37,'9_1'!$J$12,F140:F141)</f>
        <v>7.4950382125756904E-3</v>
      </c>
      <c r="F143" s="451"/>
    </row>
    <row r="144" spans="1:6">
      <c r="A144" s="139" t="s">
        <v>142</v>
      </c>
      <c r="B144" s="461">
        <v>42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139" t="s">
        <v>144</v>
      </c>
      <c r="B145" s="462">
        <f>DSUM('9_1'!$A$12:$H$37,'9_1'!$H$12,F140:F141)</f>
        <v>0.29420000000000002</v>
      </c>
      <c r="C145" s="81"/>
      <c r="D145" s="139" t="s">
        <v>145</v>
      </c>
      <c r="E145" s="458" t="str">
        <f>IF(VLOOKUP(F141,'9_1'!$A$13:$D$47,4,0)=1, "Definitivo 100%", "Eventual 80%")</f>
        <v>Definitivo 100%</v>
      </c>
      <c r="F145" s="583"/>
    </row>
    <row r="146" spans="1:6" ht="15.75">
      <c r="A146" s="81"/>
      <c r="B146" s="139" t="s">
        <v>146</v>
      </c>
      <c r="C146" s="477">
        <f>DMIN('9_1'!A$12:L$37,'9_1'!$K$12,F140:F141)</f>
        <v>42976.147418039669</v>
      </c>
      <c r="D146" s="478"/>
      <c r="E146" s="190">
        <f>WEEKDAY(C146)</f>
        <v>3</v>
      </c>
      <c r="F146" s="453"/>
    </row>
    <row r="147" spans="1:6" ht="15.75">
      <c r="A147" s="81"/>
      <c r="B147" s="139" t="s">
        <v>147</v>
      </c>
      <c r="C147" s="477">
        <f>DMAX('9_1'!A$12:N$37,'9_1'!$L$12,F140:F141)</f>
        <v>42976.15491307788</v>
      </c>
      <c r="D147" s="478"/>
      <c r="E147" s="190">
        <f>WEEKDAY(C147)</f>
        <v>3</v>
      </c>
      <c r="F147" s="453"/>
    </row>
    <row r="148" spans="1:6">
      <c r="A148" s="323"/>
      <c r="B148" s="324"/>
      <c r="C148" s="81"/>
      <c r="D148" s="81"/>
      <c r="E148" s="584"/>
      <c r="F148" s="583"/>
    </row>
    <row r="149" spans="1:6">
      <c r="A149" s="606"/>
      <c r="B149" s="606"/>
      <c r="C149" s="81"/>
      <c r="D149" s="81"/>
      <c r="E149" s="81"/>
      <c r="F149" s="451"/>
    </row>
    <row r="150" spans="1:6">
      <c r="A150" s="476">
        <f>+Mensajes!$B$7</f>
        <v>0</v>
      </c>
      <c r="B150" s="10"/>
      <c r="C150" s="81"/>
      <c r="D150" s="81"/>
      <c r="E150" s="81"/>
      <c r="F150" s="451"/>
    </row>
    <row r="151" spans="1:6">
      <c r="A151" s="476">
        <f>+Mensajes!$B$12</f>
        <v>0</v>
      </c>
      <c r="B151" s="81"/>
      <c r="C151" s="81"/>
      <c r="D151" s="81"/>
      <c r="E151" s="81"/>
      <c r="F151" s="451"/>
    </row>
    <row r="152" spans="1:6" ht="13.5" thickBot="1">
      <c r="A152" s="474"/>
      <c r="B152" s="455"/>
      <c r="C152" s="455"/>
      <c r="D152" s="454" t="str">
        <f>IF(DSUM('9_1'!$A$12:$Q$87,16,F140:F141)=COUNTIF('9_1'!$A$13:$A$87,F141),"","Regularice su Deuda")</f>
        <v>Regularice su Deuda</v>
      </c>
      <c r="E152" s="455"/>
      <c r="F152" s="456"/>
    </row>
    <row r="153" spans="1:6" ht="13.5" thickBot="1"/>
    <row r="154" spans="1:6">
      <c r="A154" s="448"/>
      <c r="B154" s="448"/>
      <c r="C154" s="448"/>
      <c r="D154" s="448"/>
      <c r="E154" s="448"/>
      <c r="F154" s="449"/>
    </row>
    <row r="155" spans="1:6">
      <c r="A155" s="147" t="s">
        <v>64</v>
      </c>
      <c r="B155" s="81"/>
      <c r="C155" s="81"/>
      <c r="D155" s="81"/>
      <c r="E155" s="81"/>
      <c r="F155" s="451"/>
    </row>
    <row r="156" spans="1:6">
      <c r="A156" s="81"/>
      <c r="B156" s="81"/>
      <c r="C156" s="81"/>
      <c r="D156" s="81"/>
      <c r="E156" s="81"/>
      <c r="F156" s="451"/>
    </row>
    <row r="157" spans="1:6">
      <c r="A157" s="81" t="s">
        <v>139</v>
      </c>
      <c r="B157" s="81" t="str">
        <f>VLOOKUP(F158,'9_1'!$A$13:$G$37,7,0)</f>
        <v>NAVARRO,  ARMANDO MIGUEL</v>
      </c>
      <c r="C157" s="81"/>
      <c r="D157" s="81"/>
      <c r="E157" s="81"/>
      <c r="F157" s="452" t="s">
        <v>102</v>
      </c>
    </row>
    <row r="158" spans="1:6">
      <c r="A158" s="81" t="s">
        <v>72</v>
      </c>
      <c r="B158" s="81" t="str">
        <f>+'9_1'!$H$2</f>
        <v>Hijuela Nuñez</v>
      </c>
      <c r="C158" s="81"/>
      <c r="D158" s="81"/>
      <c r="E158" s="81"/>
      <c r="F158" s="452">
        <v>10</v>
      </c>
    </row>
    <row r="159" spans="1:6">
      <c r="A159" s="81"/>
      <c r="B159" s="81"/>
      <c r="C159" s="81"/>
      <c r="D159" s="81"/>
      <c r="E159" s="81"/>
      <c r="F159" s="451"/>
    </row>
    <row r="160" spans="1:6">
      <c r="A160" s="139" t="s">
        <v>140</v>
      </c>
      <c r="B160" s="458">
        <f>VLOOKUP(F158,'9_1'!$A$13:$B$37,2,0)</f>
        <v>1208</v>
      </c>
      <c r="C160" s="81"/>
      <c r="D160" s="139" t="s">
        <v>141</v>
      </c>
      <c r="E160" s="460">
        <f>DSUM('9_1'!A$12:J$37,'9_1'!$J$12,F157:F158)</f>
        <v>0.18790585604458115</v>
      </c>
      <c r="F160" s="451"/>
    </row>
    <row r="161" spans="1:6">
      <c r="A161" s="139" t="s">
        <v>142</v>
      </c>
      <c r="B161" s="461" t="s">
        <v>301</v>
      </c>
      <c r="C161" s="81"/>
      <c r="D161" s="139" t="s">
        <v>143</v>
      </c>
      <c r="E161" s="459" t="str">
        <f>+Hijuelas!$G$7</f>
        <v>POR FRACCIÓN</v>
      </c>
      <c r="F161" s="451"/>
    </row>
    <row r="162" spans="1:6">
      <c r="A162" s="139" t="s">
        <v>144</v>
      </c>
      <c r="B162" s="462">
        <f>DSUM('9_1'!$A$12:$H$37,'9_1'!$H$12,F157:F158)</f>
        <v>7.3757999999999999</v>
      </c>
      <c r="C162" s="81"/>
      <c r="D162" s="139" t="s">
        <v>145</v>
      </c>
      <c r="E162" s="458" t="str">
        <f>IF(VLOOKUP(F158,'9_1'!$A$13:$D$47,4,0)=1, "Definitivo 100%", "Eventual 80%")</f>
        <v>Definitivo 100%</v>
      </c>
      <c r="F162" s="583"/>
    </row>
    <row r="163" spans="1:6" ht="15.75">
      <c r="A163" s="81"/>
      <c r="B163" s="139" t="s">
        <v>146</v>
      </c>
      <c r="C163" s="477">
        <f>DMIN('9_1'!A$12:L$37,'9_1'!$K$12,F157:F158)</f>
        <v>42975.910901072515</v>
      </c>
      <c r="D163" s="478"/>
      <c r="E163" s="190">
        <f>WEEKDAY(C163)</f>
        <v>2</v>
      </c>
      <c r="F163" s="453"/>
    </row>
    <row r="164" spans="1:6" ht="15.75">
      <c r="A164" s="81"/>
      <c r="B164" s="139" t="s">
        <v>147</v>
      </c>
      <c r="C164" s="477">
        <f>DMAX('9_1'!A$12:N$37,'9_1'!$L$12,F157:F158)</f>
        <v>42976.147418039669</v>
      </c>
      <c r="D164" s="478"/>
      <c r="E164" s="190">
        <f>WEEKDAY(C164)</f>
        <v>3</v>
      </c>
      <c r="F164" s="453"/>
    </row>
    <row r="165" spans="1:6">
      <c r="A165" s="323"/>
      <c r="B165" s="324"/>
      <c r="C165" s="81"/>
      <c r="D165" s="81"/>
      <c r="E165" s="584"/>
      <c r="F165" s="583"/>
    </row>
    <row r="166" spans="1:6">
      <c r="A166" s="606"/>
      <c r="B166" s="606"/>
      <c r="C166" s="81"/>
      <c r="D166" s="81"/>
      <c r="E166" s="81"/>
      <c r="F166" s="451"/>
    </row>
    <row r="167" spans="1:6">
      <c r="A167" s="476">
        <f>+Mensajes!$B$7</f>
        <v>0</v>
      </c>
      <c r="B167" s="10"/>
      <c r="C167" s="81"/>
      <c r="D167" s="81"/>
      <c r="E167" s="81"/>
      <c r="F167" s="451"/>
    </row>
    <row r="168" spans="1:6">
      <c r="A168" s="476">
        <f>+Mensajes!$B$12</f>
        <v>0</v>
      </c>
      <c r="B168" s="81"/>
      <c r="C168" s="81"/>
      <c r="D168" s="81"/>
      <c r="E168" s="81"/>
      <c r="F168" s="451"/>
    </row>
    <row r="169" spans="1:6" ht="13.5" thickBot="1">
      <c r="A169" s="474"/>
      <c r="B169" s="455"/>
      <c r="C169" s="455"/>
      <c r="D169" s="454" t="str">
        <f>IF(DSUM('9_1'!$A$12:$Q$87,16,F157:F158)=COUNTIF('9_1'!$A$13:$A$87,F158),"","Regularice su Deuda")</f>
        <v>Regularice su Deuda</v>
      </c>
      <c r="E169" s="455"/>
      <c r="F169" s="456"/>
    </row>
    <row r="170" spans="1:6" ht="13.5" thickBot="1"/>
    <row r="171" spans="1:6">
      <c r="A171" s="448"/>
      <c r="B171" s="448"/>
      <c r="C171" s="448"/>
      <c r="D171" s="448"/>
      <c r="E171" s="448"/>
      <c r="F171" s="449"/>
    </row>
    <row r="172" spans="1:6">
      <c r="A172" s="147" t="s">
        <v>64</v>
      </c>
      <c r="B172" s="81"/>
      <c r="C172" s="81"/>
      <c r="D172" s="81"/>
      <c r="E172" s="81"/>
      <c r="F172" s="451"/>
    </row>
    <row r="173" spans="1:6">
      <c r="A173" s="81"/>
      <c r="B173" s="81"/>
      <c r="C173" s="81"/>
      <c r="D173" s="81"/>
      <c r="E173" s="81"/>
      <c r="F173" s="451"/>
    </row>
    <row r="174" spans="1:6">
      <c r="A174" s="81" t="s">
        <v>139</v>
      </c>
      <c r="B174" s="81" t="str">
        <f>VLOOKUP(F175,'9_1'!$A$13:$G$37,7,0)</f>
        <v>OJEDA, RUFINO-SUCES</v>
      </c>
      <c r="C174" s="81"/>
      <c r="D174" s="81"/>
      <c r="E174" s="81"/>
      <c r="F174" s="452" t="s">
        <v>102</v>
      </c>
    </row>
    <row r="175" spans="1:6">
      <c r="A175" s="81" t="s">
        <v>72</v>
      </c>
      <c r="B175" s="81" t="str">
        <f>+'9_1'!$H$2</f>
        <v>Hijuela Nuñez</v>
      </c>
      <c r="C175" s="81"/>
      <c r="D175" s="81"/>
      <c r="E175" s="81"/>
      <c r="F175" s="452">
        <v>11</v>
      </c>
    </row>
    <row r="176" spans="1:6">
      <c r="A176" s="81"/>
      <c r="B176" s="81"/>
      <c r="C176" s="81"/>
      <c r="D176" s="81"/>
      <c r="E176" s="81"/>
      <c r="F176" s="451"/>
    </row>
    <row r="177" spans="1:6">
      <c r="A177" s="139" t="s">
        <v>140</v>
      </c>
      <c r="B177" s="458">
        <f>VLOOKUP(F175,'9_1'!$A$13:$B$37,2,0)</f>
        <v>1208</v>
      </c>
      <c r="C177" s="81"/>
      <c r="D177" s="139" t="s">
        <v>141</v>
      </c>
      <c r="E177" s="460">
        <f>DSUM('9_1'!A$12:J$37,'9_1'!$J$12,F174:F175)</f>
        <v>0</v>
      </c>
      <c r="F177" s="451"/>
    </row>
    <row r="178" spans="1:6">
      <c r="A178" s="139" t="s">
        <v>142</v>
      </c>
      <c r="B178" s="461">
        <v>6</v>
      </c>
      <c r="C178" s="81"/>
      <c r="D178" s="139" t="s">
        <v>143</v>
      </c>
      <c r="E178" s="459" t="str">
        <f>+Hijuelas!$G$7</f>
        <v>POR FRACCIÓN</v>
      </c>
      <c r="F178" s="451"/>
    </row>
    <row r="179" spans="1:6">
      <c r="A179" s="139" t="s">
        <v>144</v>
      </c>
      <c r="B179" s="462">
        <f>DSUM('9_1'!$A$12:$H$37,'9_1'!$H$12,F174:F175)</f>
        <v>0</v>
      </c>
      <c r="C179" s="81"/>
      <c r="D179" s="139" t="s">
        <v>145</v>
      </c>
      <c r="E179" s="458" t="str">
        <f>IF(VLOOKUP(F175,'9_1'!$A$13:$D$47,4,0)=1, "Definitivo 100%", "Eventual 80%")</f>
        <v>Definitivo 100%</v>
      </c>
      <c r="F179" s="583"/>
    </row>
    <row r="180" spans="1:6" ht="15.75">
      <c r="A180" s="81"/>
      <c r="B180" s="139" t="s">
        <v>146</v>
      </c>
      <c r="C180" s="477">
        <f>DMIN('9_1'!A$12:L$37,'9_1'!$K$12,F174:F175)</f>
        <v>42975.910901072515</v>
      </c>
      <c r="D180" s="478"/>
      <c r="E180" s="190">
        <f>WEEKDAY(C180)</f>
        <v>2</v>
      </c>
      <c r="F180" s="453"/>
    </row>
    <row r="181" spans="1:6" ht="15.75">
      <c r="A181" s="81"/>
      <c r="B181" s="139" t="s">
        <v>147</v>
      </c>
      <c r="C181" s="477">
        <f>DMAX('9_1'!A$12:N$37,'9_1'!$L$12,F174:F175)</f>
        <v>42975.910901072515</v>
      </c>
      <c r="D181" s="478"/>
      <c r="E181" s="190">
        <f>WEEKDAY(C181)</f>
        <v>2</v>
      </c>
      <c r="F181" s="453"/>
    </row>
    <row r="182" spans="1:6">
      <c r="A182" s="323"/>
      <c r="B182" s="324"/>
      <c r="C182" s="81"/>
      <c r="D182" s="81"/>
      <c r="E182" s="584"/>
      <c r="F182" s="583"/>
    </row>
    <row r="183" spans="1:6">
      <c r="A183" s="606"/>
      <c r="B183" s="606"/>
      <c r="C183" s="81"/>
      <c r="D183" s="81"/>
      <c r="E183" s="81"/>
      <c r="F183" s="451"/>
    </row>
    <row r="184" spans="1:6">
      <c r="A184" s="476">
        <f>+Mensajes!$B$7</f>
        <v>0</v>
      </c>
      <c r="B184" s="10"/>
      <c r="C184" s="81"/>
      <c r="D184" s="81"/>
      <c r="E184" s="81"/>
      <c r="F184" s="451"/>
    </row>
    <row r="185" spans="1:6">
      <c r="A185" s="476">
        <f>+Mensajes!$B$12</f>
        <v>0</v>
      </c>
      <c r="B185" s="81"/>
      <c r="C185" s="81"/>
      <c r="D185" s="81"/>
      <c r="E185" s="81"/>
      <c r="F185" s="451"/>
    </row>
    <row r="186" spans="1:6" ht="13.5" thickBot="1">
      <c r="A186" s="474"/>
      <c r="B186" s="455"/>
      <c r="C186" s="455"/>
      <c r="D186" s="454" t="str">
        <f>IF(DSUM('9_1'!$A$12:$Q$87,16,F174:F175)=COUNTIF('9_1'!$A$13:$A$87,F175),"","Regularice su Deuda")</f>
        <v>Regularice su Deuda</v>
      </c>
      <c r="E186" s="455"/>
      <c r="F186" s="456"/>
    </row>
    <row r="187" spans="1:6" ht="13.5" thickBot="1"/>
    <row r="188" spans="1:6">
      <c r="A188" s="448"/>
      <c r="B188" s="448"/>
      <c r="C188" s="448"/>
      <c r="D188" s="448"/>
      <c r="E188" s="448"/>
      <c r="F188" s="449"/>
    </row>
    <row r="189" spans="1:6">
      <c r="A189" s="147" t="s">
        <v>64</v>
      </c>
      <c r="B189" s="81"/>
      <c r="C189" s="81"/>
      <c r="D189" s="81"/>
      <c r="E189" s="81"/>
      <c r="F189" s="451"/>
    </row>
    <row r="190" spans="1:6">
      <c r="A190" s="81"/>
      <c r="B190" s="81"/>
      <c r="C190" s="81"/>
      <c r="D190" s="81"/>
      <c r="E190" s="81"/>
      <c r="F190" s="451"/>
    </row>
    <row r="191" spans="1:6">
      <c r="A191" s="81" t="s">
        <v>139</v>
      </c>
      <c r="B191" s="81" t="str">
        <f>VLOOKUP(F192,'9_1'!$A$13:$G$37,7,0)</f>
        <v>OJEDA, RUFINO-SUCES</v>
      </c>
      <c r="C191" s="81"/>
      <c r="D191" s="81"/>
      <c r="E191" s="81"/>
      <c r="F191" s="452" t="s">
        <v>102</v>
      </c>
    </row>
    <row r="192" spans="1:6">
      <c r="A192" s="81" t="s">
        <v>72</v>
      </c>
      <c r="B192" s="81" t="str">
        <f>+'9_1'!$H$2</f>
        <v>Hijuela Nuñez</v>
      </c>
      <c r="C192" s="81"/>
      <c r="D192" s="81"/>
      <c r="E192" s="81"/>
      <c r="F192" s="452">
        <v>12</v>
      </c>
    </row>
    <row r="193" spans="1:6">
      <c r="A193" s="81"/>
      <c r="B193" s="81"/>
      <c r="C193" s="81"/>
      <c r="D193" s="81"/>
      <c r="E193" s="81"/>
      <c r="F193" s="451"/>
    </row>
    <row r="194" spans="1:6">
      <c r="A194" s="139" t="s">
        <v>140</v>
      </c>
      <c r="B194" s="458">
        <f>VLOOKUP(F192,'9_1'!$A$13:$B$37,2,0)</f>
        <v>1208</v>
      </c>
      <c r="C194" s="81"/>
      <c r="D194" s="139" t="s">
        <v>141</v>
      </c>
      <c r="E194" s="460">
        <f>DSUM('9_1'!A$12:J$37,'9_1'!$J$12,F191:F192)</f>
        <v>0.11336563746478778</v>
      </c>
      <c r="F194" s="451"/>
    </row>
    <row r="195" spans="1:6">
      <c r="A195" s="139" t="s">
        <v>142</v>
      </c>
      <c r="B195" s="461">
        <v>14</v>
      </c>
      <c r="C195" s="81"/>
      <c r="D195" s="139" t="s">
        <v>143</v>
      </c>
      <c r="E195" s="459" t="str">
        <f>+Hijuelas!$G$7</f>
        <v>POR FRACCIÓN</v>
      </c>
      <c r="F195" s="451"/>
    </row>
    <row r="196" spans="1:6">
      <c r="A196" s="139" t="s">
        <v>144</v>
      </c>
      <c r="B196" s="462">
        <f>DSUM('9_1'!$A$12:$H$37,'9_1'!$H$12,F191:F192)</f>
        <v>4.4499000000000004</v>
      </c>
      <c r="C196" s="81"/>
      <c r="D196" s="139" t="s">
        <v>145</v>
      </c>
      <c r="E196" s="458" t="str">
        <f>IF(VLOOKUP(F192,'9_1'!$A$13:$D$47,4,0)=1, "Definitivo 100%", "Eventual 80%")</f>
        <v>Definitivo 100%</v>
      </c>
      <c r="F196" s="583"/>
    </row>
    <row r="197" spans="1:6" ht="15.75">
      <c r="A197" s="81"/>
      <c r="B197" s="139" t="s">
        <v>146</v>
      </c>
      <c r="C197" s="477">
        <f>DMIN('9_1'!A$12:L$37,'9_1'!$K$12,F191:F192)</f>
        <v>42975.797535435049</v>
      </c>
      <c r="D197" s="478"/>
      <c r="E197" s="190">
        <f>WEEKDAY(C197)</f>
        <v>2</v>
      </c>
      <c r="F197" s="453"/>
    </row>
    <row r="198" spans="1:6" ht="15.75">
      <c r="A198" s="81"/>
      <c r="B198" s="139" t="s">
        <v>147</v>
      </c>
      <c r="C198" s="477">
        <f>DMAX('9_1'!A$12:N$37,'9_1'!$L$12,F191:F192)</f>
        <v>42975.910901072515</v>
      </c>
      <c r="D198" s="478"/>
      <c r="E198" s="190">
        <f>WEEKDAY(C198)</f>
        <v>2</v>
      </c>
      <c r="F198" s="453"/>
    </row>
    <row r="199" spans="1:6">
      <c r="A199" s="323"/>
      <c r="B199" s="324"/>
      <c r="C199" s="81"/>
      <c r="D199" s="81"/>
      <c r="E199" s="584"/>
      <c r="F199" s="583"/>
    </row>
    <row r="200" spans="1:6">
      <c r="A200" s="606"/>
      <c r="B200" s="606"/>
      <c r="C200" s="81"/>
      <c r="D200" s="81"/>
      <c r="E200" s="81"/>
      <c r="F200" s="451"/>
    </row>
    <row r="201" spans="1:6">
      <c r="A201" s="476">
        <f>+Mensajes!$B$7</f>
        <v>0</v>
      </c>
      <c r="B201" s="10"/>
      <c r="C201" s="81"/>
      <c r="D201" s="81"/>
      <c r="E201" s="81"/>
      <c r="F201" s="451"/>
    </row>
    <row r="202" spans="1:6">
      <c r="A202" s="476">
        <f>+Mensajes!$B$12</f>
        <v>0</v>
      </c>
      <c r="B202" s="81"/>
      <c r="C202" s="81"/>
      <c r="D202" s="81"/>
      <c r="E202" s="81"/>
      <c r="F202" s="451"/>
    </row>
    <row r="203" spans="1:6" ht="13.5" thickBot="1">
      <c r="A203" s="474"/>
      <c r="B203" s="455"/>
      <c r="C203" s="455"/>
      <c r="D203" s="454" t="str">
        <f>IF(DSUM('9_1'!$A$12:$Q$87,16,F191:F192)=COUNTIF('9_1'!$A$13:$A$87,F192),"","Regularice su Deuda")</f>
        <v>Regularice su Deuda</v>
      </c>
      <c r="E203" s="455"/>
      <c r="F203" s="456"/>
    </row>
    <row r="204" spans="1:6" ht="13.5" thickBot="1"/>
    <row r="205" spans="1:6">
      <c r="A205" s="448"/>
      <c r="B205" s="448"/>
      <c r="C205" s="448"/>
      <c r="D205" s="448"/>
      <c r="E205" s="448"/>
      <c r="F205" s="449"/>
    </row>
    <row r="206" spans="1:6">
      <c r="A206" s="147" t="s">
        <v>64</v>
      </c>
      <c r="B206" s="81"/>
      <c r="C206" s="81"/>
      <c r="D206" s="81"/>
      <c r="E206" s="81"/>
      <c r="F206" s="451"/>
    </row>
    <row r="207" spans="1:6">
      <c r="A207" s="81"/>
      <c r="B207" s="81"/>
      <c r="C207" s="81"/>
      <c r="D207" s="81"/>
      <c r="E207" s="81"/>
      <c r="F207" s="451"/>
    </row>
    <row r="208" spans="1:6">
      <c r="A208" s="81" t="s">
        <v>139</v>
      </c>
      <c r="B208" s="81" t="str">
        <f>VLOOKUP(F209,'9_1'!$A$13:$G$37,7,0)</f>
        <v>MILLAN, ANDRES ANTON</v>
      </c>
      <c r="C208" s="81"/>
      <c r="D208" s="81"/>
      <c r="E208" s="81"/>
      <c r="F208" s="452" t="s">
        <v>102</v>
      </c>
    </row>
    <row r="209" spans="1:6">
      <c r="A209" s="81" t="s">
        <v>72</v>
      </c>
      <c r="B209" s="81" t="str">
        <f>+'9_1'!$H$2</f>
        <v>Hijuela Nuñez</v>
      </c>
      <c r="C209" s="81"/>
      <c r="D209" s="81"/>
      <c r="E209" s="81"/>
      <c r="F209" s="452">
        <v>13</v>
      </c>
    </row>
    <row r="210" spans="1:6">
      <c r="A210" s="81"/>
      <c r="B210" s="81"/>
      <c r="C210" s="81"/>
      <c r="D210" s="81"/>
      <c r="E210" s="81"/>
      <c r="F210" s="451"/>
    </row>
    <row r="211" spans="1:6">
      <c r="A211" s="139" t="s">
        <v>140</v>
      </c>
      <c r="B211" s="458">
        <f>VLOOKUP(F209,'9_1'!$A$13:$B$37,2,0)</f>
        <v>1208</v>
      </c>
      <c r="C211" s="81"/>
      <c r="D211" s="139" t="s">
        <v>141</v>
      </c>
      <c r="E211" s="460">
        <f>DSUM('9_1'!A$12:J$37,'9_1'!$J$12,F208:F209)</f>
        <v>0.1787421400518433</v>
      </c>
      <c r="F211" s="451"/>
    </row>
    <row r="212" spans="1:6">
      <c r="A212" s="139" t="s">
        <v>142</v>
      </c>
      <c r="B212" s="461">
        <v>47</v>
      </c>
      <c r="C212" s="81"/>
      <c r="D212" s="139" t="s">
        <v>143</v>
      </c>
      <c r="E212" s="459" t="str">
        <f>+Hijuelas!$G$7</f>
        <v>POR FRACCIÓN</v>
      </c>
      <c r="F212" s="451"/>
    </row>
    <row r="213" spans="1:6">
      <c r="A213" s="139" t="s">
        <v>144</v>
      </c>
      <c r="B213" s="462">
        <f>DSUM('9_1'!$A$12:$H$37,'9_1'!$H$12,F208:F209)</f>
        <v>7.0160999999999998</v>
      </c>
      <c r="C213" s="81"/>
      <c r="D213" s="139" t="s">
        <v>145</v>
      </c>
      <c r="E213" s="458" t="str">
        <f>IF(VLOOKUP(F209,'9_1'!$A$13:$D$47,4,0)=1, "Definitivo 100%", "Eventual 80%")</f>
        <v>Definitivo 100%</v>
      </c>
      <c r="F213" s="583"/>
    </row>
    <row r="214" spans="1:6" ht="15.75">
      <c r="A214" s="81"/>
      <c r="B214" s="139" t="s">
        <v>146</v>
      </c>
      <c r="C214" s="477">
        <f>DMIN('9_1'!A$12:L$37,'9_1'!$K$12,F208:F209)</f>
        <v>42975.618793294998</v>
      </c>
      <c r="D214" s="478"/>
      <c r="E214" s="190">
        <f>WEEKDAY(C214)</f>
        <v>2</v>
      </c>
      <c r="F214" s="453"/>
    </row>
    <row r="215" spans="1:6" ht="15.75">
      <c r="A215" s="81"/>
      <c r="B215" s="139" t="s">
        <v>147</v>
      </c>
      <c r="C215" s="477">
        <f>DMAX('9_1'!A$12:N$37,'9_1'!$L$12,F208:F209)</f>
        <v>42975.797535435049</v>
      </c>
      <c r="D215" s="478"/>
      <c r="E215" s="190">
        <f>WEEKDAY(C215)</f>
        <v>2</v>
      </c>
      <c r="F215" s="453"/>
    </row>
    <row r="216" spans="1:6">
      <c r="A216" s="323"/>
      <c r="B216" s="324"/>
      <c r="C216" s="81"/>
      <c r="D216" s="81"/>
      <c r="E216" s="584"/>
      <c r="F216" s="583"/>
    </row>
    <row r="217" spans="1:6">
      <c r="A217" s="606"/>
      <c r="B217" s="606"/>
      <c r="C217" s="81"/>
      <c r="D217" s="81"/>
      <c r="E217" s="81"/>
      <c r="F217" s="451"/>
    </row>
    <row r="218" spans="1:6">
      <c r="A218" s="476">
        <f>+Mensajes!$B$7</f>
        <v>0</v>
      </c>
      <c r="B218" s="10"/>
      <c r="C218" s="81"/>
      <c r="D218" s="81"/>
      <c r="E218" s="81"/>
      <c r="F218" s="451"/>
    </row>
    <row r="219" spans="1:6">
      <c r="A219" s="476">
        <f>+Mensajes!$B$12</f>
        <v>0</v>
      </c>
      <c r="B219" s="81"/>
      <c r="C219" s="81"/>
      <c r="D219" s="81"/>
      <c r="E219" s="81"/>
      <c r="F219" s="451"/>
    </row>
    <row r="220" spans="1:6" ht="13.5" thickBot="1">
      <c r="A220" s="474"/>
      <c r="B220" s="455"/>
      <c r="C220" s="455"/>
      <c r="D220" s="454" t="str">
        <f>IF(DSUM('9_1'!$A$12:$Q$87,16,F208:F209)=COUNTIF('9_1'!$A$13:$A$87,F209),"","Regularice su Deuda")</f>
        <v>Regularice su Deuda</v>
      </c>
      <c r="E220" s="455"/>
      <c r="F220" s="456"/>
    </row>
    <row r="221" spans="1:6" ht="13.5" thickBot="1"/>
    <row r="222" spans="1:6">
      <c r="A222" s="448"/>
      <c r="B222" s="448"/>
      <c r="C222" s="448"/>
      <c r="D222" s="448"/>
      <c r="E222" s="448"/>
      <c r="F222" s="449"/>
    </row>
    <row r="223" spans="1:6">
      <c r="A223" s="147" t="s">
        <v>64</v>
      </c>
      <c r="B223" s="81"/>
      <c r="C223" s="81"/>
      <c r="D223" s="81"/>
      <c r="E223" s="81"/>
      <c r="F223" s="451"/>
    </row>
    <row r="224" spans="1:6">
      <c r="A224" s="81"/>
      <c r="B224" s="81"/>
      <c r="C224" s="81"/>
      <c r="D224" s="81"/>
      <c r="E224" s="81"/>
      <c r="F224" s="451"/>
    </row>
    <row r="225" spans="1:6">
      <c r="A225" s="81" t="s">
        <v>139</v>
      </c>
      <c r="B225" s="81" t="str">
        <f>VLOOKUP(F226,'9_1'!$A$13:$G$37,7,0)</f>
        <v>PEÑAFORT, PEDRO MAR</v>
      </c>
      <c r="C225" s="81"/>
      <c r="D225" s="81"/>
      <c r="E225" s="81"/>
      <c r="F225" s="452" t="s">
        <v>102</v>
      </c>
    </row>
    <row r="226" spans="1:6">
      <c r="A226" s="81" t="s">
        <v>72</v>
      </c>
      <c r="B226" s="81" t="str">
        <f>+'9_1'!$H$2</f>
        <v>Hijuela Nuñez</v>
      </c>
      <c r="C226" s="81"/>
      <c r="D226" s="81"/>
      <c r="E226" s="81"/>
      <c r="F226" s="452">
        <v>14</v>
      </c>
    </row>
    <row r="227" spans="1:6">
      <c r="A227" s="81"/>
      <c r="B227" s="81"/>
      <c r="C227" s="81"/>
      <c r="D227" s="81"/>
      <c r="E227" s="81"/>
      <c r="F227" s="451"/>
    </row>
    <row r="228" spans="1:6">
      <c r="A228" s="139" t="s">
        <v>140</v>
      </c>
      <c r="B228" s="458">
        <f>VLOOKUP(F226,'9_1'!$A$13:$B$37,2,0)</f>
        <v>1208</v>
      </c>
      <c r="C228" s="81"/>
      <c r="D228" s="139" t="s">
        <v>141</v>
      </c>
      <c r="E228" s="460">
        <f>DSUM('9_1'!A$12:J$37,'9_1'!$J$12,F225:F226)</f>
        <v>0.2625225026143056</v>
      </c>
      <c r="F228" s="451"/>
    </row>
    <row r="229" spans="1:6">
      <c r="A229" s="139" t="s">
        <v>142</v>
      </c>
      <c r="B229" s="461">
        <v>13</v>
      </c>
      <c r="C229" s="81"/>
      <c r="D229" s="139" t="s">
        <v>143</v>
      </c>
      <c r="E229" s="459" t="str">
        <f>+Hijuelas!$G$7</f>
        <v>POR FRACCIÓN</v>
      </c>
      <c r="F229" s="451"/>
    </row>
    <row r="230" spans="1:6">
      <c r="A230" s="139" t="s">
        <v>144</v>
      </c>
      <c r="B230" s="462">
        <f>DSUM('9_1'!$A$12:$H$37,'9_1'!$H$12,F225:F226)</f>
        <v>10.3047</v>
      </c>
      <c r="C230" s="81"/>
      <c r="D230" s="139" t="s">
        <v>145</v>
      </c>
      <c r="E230" s="458" t="str">
        <f>IF(VLOOKUP(F226,'9_1'!$A$13:$D$47,4,0)=1, "Definitivo 100%", "Eventual 80%")</f>
        <v>Definitivo 100%</v>
      </c>
      <c r="F230" s="583"/>
    </row>
    <row r="231" spans="1:6" ht="15.75">
      <c r="A231" s="81"/>
      <c r="B231" s="139" t="s">
        <v>146</v>
      </c>
      <c r="C231" s="477">
        <f>DMIN('9_1'!A$12:L$37,'9_1'!$K$12,F225:F226)</f>
        <v>42975.293770792385</v>
      </c>
      <c r="D231" s="478"/>
      <c r="E231" s="190">
        <f>WEEKDAY(C231)</f>
        <v>2</v>
      </c>
      <c r="F231" s="453"/>
    </row>
    <row r="232" spans="1:6" ht="15.75">
      <c r="A232" s="81"/>
      <c r="B232" s="139" t="s">
        <v>147</v>
      </c>
      <c r="C232" s="477">
        <f>DMAX('9_1'!A$12:N$37,'9_1'!$L$12,F225:F226)</f>
        <v>42975.618793294998</v>
      </c>
      <c r="D232" s="478"/>
      <c r="E232" s="190">
        <f>WEEKDAY(C232)</f>
        <v>2</v>
      </c>
      <c r="F232" s="453"/>
    </row>
    <row r="233" spans="1:6">
      <c r="A233" s="323"/>
      <c r="B233" s="324"/>
      <c r="C233" s="81"/>
      <c r="D233" s="81"/>
      <c r="E233" s="584"/>
      <c r="F233" s="583"/>
    </row>
    <row r="234" spans="1:6">
      <c r="A234" s="606"/>
      <c r="B234" s="606"/>
      <c r="C234" s="81"/>
      <c r="D234" s="81"/>
      <c r="E234" s="81"/>
      <c r="F234" s="451"/>
    </row>
    <row r="235" spans="1:6">
      <c r="A235" s="476">
        <f>+Mensajes!$B$7</f>
        <v>0</v>
      </c>
      <c r="B235" s="10"/>
      <c r="C235" s="81"/>
      <c r="D235" s="81"/>
      <c r="E235" s="81"/>
      <c r="F235" s="451"/>
    </row>
    <row r="236" spans="1:6">
      <c r="A236" s="476">
        <f>+Mensajes!$B$12</f>
        <v>0</v>
      </c>
      <c r="B236" s="81"/>
      <c r="C236" s="81"/>
      <c r="D236" s="81"/>
      <c r="E236" s="81"/>
      <c r="F236" s="451"/>
    </row>
    <row r="237" spans="1:6" ht="13.5" thickBot="1">
      <c r="A237" s="474"/>
      <c r="B237" s="455"/>
      <c r="C237" s="455"/>
      <c r="D237" s="454" t="str">
        <f>IF(DSUM('9_1'!$A$12:$Q$87,16,F225:F226)=COUNTIF('9_1'!$A$13:$A$87,F226),"","Regularice su Deuda")</f>
        <v>Regularice su Deuda</v>
      </c>
      <c r="E237" s="455"/>
      <c r="F237" s="456"/>
    </row>
    <row r="238" spans="1:6" ht="13.5" thickBot="1"/>
    <row r="239" spans="1:6">
      <c r="A239" s="448"/>
      <c r="B239" s="448"/>
      <c r="C239" s="448"/>
      <c r="D239" s="448"/>
      <c r="E239" s="448"/>
      <c r="F239" s="449"/>
    </row>
    <row r="240" spans="1:6">
      <c r="A240" s="147" t="s">
        <v>64</v>
      </c>
      <c r="B240" s="81"/>
      <c r="C240" s="81"/>
      <c r="D240" s="81"/>
      <c r="E240" s="81"/>
      <c r="F240" s="451"/>
    </row>
    <row r="241" spans="1:6">
      <c r="A241" s="81"/>
      <c r="B241" s="81"/>
      <c r="C241" s="81"/>
      <c r="D241" s="81"/>
      <c r="E241" s="81"/>
      <c r="F241" s="451"/>
    </row>
    <row r="242" spans="1:6">
      <c r="A242" s="81" t="s">
        <v>139</v>
      </c>
      <c r="B242" s="81" t="str">
        <f>VLOOKUP(F243,'9_1'!$A$13:$G$37,7,0)</f>
        <v>CICHINELLI, ANGEL RAM</v>
      </c>
      <c r="C242" s="81"/>
      <c r="D242" s="81"/>
      <c r="E242" s="81"/>
      <c r="F242" s="452" t="s">
        <v>102</v>
      </c>
    </row>
    <row r="243" spans="1:6">
      <c r="A243" s="81" t="s">
        <v>72</v>
      </c>
      <c r="B243" s="81" t="str">
        <f>+'9_1'!$H$2</f>
        <v>Hijuela Nuñez</v>
      </c>
      <c r="C243" s="81"/>
      <c r="D243" s="81"/>
      <c r="E243" s="81"/>
      <c r="F243" s="452">
        <v>15</v>
      </c>
    </row>
    <row r="244" spans="1:6">
      <c r="A244" s="81"/>
      <c r="B244" s="81"/>
      <c r="C244" s="81"/>
      <c r="D244" s="81"/>
      <c r="E244" s="81"/>
      <c r="F244" s="451"/>
    </row>
    <row r="245" spans="1:6">
      <c r="A245" s="139" t="s">
        <v>140</v>
      </c>
      <c r="B245" s="458">
        <f>VLOOKUP(F243,'9_1'!$A$13:$B$37,2,0)</f>
        <v>1208</v>
      </c>
      <c r="C245" s="81"/>
      <c r="D245" s="139" t="s">
        <v>141</v>
      </c>
      <c r="E245" s="460">
        <f>DSUM('9_1'!A$12:J$37,'9_1'!$J$12,F242:F243)</f>
        <v>0</v>
      </c>
      <c r="F245" s="451"/>
    </row>
    <row r="246" spans="1:6">
      <c r="A246" s="139" t="s">
        <v>142</v>
      </c>
      <c r="B246" s="461">
        <v>44</v>
      </c>
      <c r="C246" s="81"/>
      <c r="D246" s="139" t="s">
        <v>143</v>
      </c>
      <c r="E246" s="459" t="str">
        <f>+Hijuelas!$G$7</f>
        <v>POR FRACCIÓN</v>
      </c>
      <c r="F246" s="451"/>
    </row>
    <row r="247" spans="1:6">
      <c r="A247" s="139" t="s">
        <v>144</v>
      </c>
      <c r="B247" s="462">
        <f>DSUM('9_1'!$A$12:$H$37,'9_1'!$H$12,F242:F243)</f>
        <v>0</v>
      </c>
      <c r="C247" s="81"/>
      <c r="D247" s="139" t="s">
        <v>145</v>
      </c>
      <c r="E247" s="458" t="str">
        <f>IF(VLOOKUP(F243,'9_1'!$A$13:$D$47,4,0)=1, "Definitivo 100%", "Eventual 80%")</f>
        <v>Definitivo 100%</v>
      </c>
      <c r="F247" s="583"/>
    </row>
    <row r="248" spans="1:6" ht="15.75">
      <c r="A248" s="81"/>
      <c r="B248" s="139" t="s">
        <v>146</v>
      </c>
      <c r="C248" s="477">
        <f>DMIN('9_1'!A$12:L$37,'9_1'!$K$12,F242:F243)</f>
        <v>42975.293770792385</v>
      </c>
      <c r="D248" s="478"/>
      <c r="E248" s="190">
        <f>WEEKDAY(C248)</f>
        <v>2</v>
      </c>
      <c r="F248" s="453"/>
    </row>
    <row r="249" spans="1:6" ht="15.75">
      <c r="A249" s="81"/>
      <c r="B249" s="139" t="s">
        <v>147</v>
      </c>
      <c r="C249" s="477">
        <f>DMAX('9_1'!A$12:N$37,'9_1'!$L$12,F242:F243)</f>
        <v>42975.293770792385</v>
      </c>
      <c r="D249" s="478"/>
      <c r="E249" s="190">
        <f>WEEKDAY(C249)</f>
        <v>2</v>
      </c>
      <c r="F249" s="453"/>
    </row>
    <row r="250" spans="1:6">
      <c r="A250" s="323"/>
      <c r="B250" s="324"/>
      <c r="C250" s="81"/>
      <c r="D250" s="81"/>
      <c r="E250" s="584"/>
      <c r="F250" s="583"/>
    </row>
    <row r="251" spans="1:6">
      <c r="A251" s="606"/>
      <c r="B251" s="606"/>
      <c r="C251" s="81"/>
      <c r="D251" s="81"/>
      <c r="E251" s="81"/>
      <c r="F251" s="451"/>
    </row>
    <row r="252" spans="1:6">
      <c r="A252" s="476">
        <f>+Mensajes!$B$7</f>
        <v>0</v>
      </c>
      <c r="B252" s="10"/>
      <c r="C252" s="81"/>
      <c r="D252" s="81"/>
      <c r="E252" s="81"/>
      <c r="F252" s="451"/>
    </row>
    <row r="253" spans="1:6">
      <c r="A253" s="476">
        <f>+Mensajes!$B$12</f>
        <v>0</v>
      </c>
      <c r="B253" s="81"/>
      <c r="C253" s="81"/>
      <c r="D253" s="81"/>
      <c r="E253" s="81"/>
      <c r="F253" s="451"/>
    </row>
    <row r="254" spans="1:6" ht="13.5" thickBot="1">
      <c r="A254" s="474"/>
      <c r="B254" s="455"/>
      <c r="C254" s="455"/>
      <c r="D254" s="454" t="str">
        <f>IF(DSUM('9_1'!$A$12:$Q$87,16,F242:F243)=COUNTIF('9_1'!$A$13:$A$87,F243),"","Regularice su Deuda")</f>
        <v>Regularice su Deuda</v>
      </c>
      <c r="E254" s="455"/>
      <c r="F254" s="456"/>
    </row>
    <row r="255" spans="1:6" ht="13.5" thickBot="1"/>
    <row r="256" spans="1:6">
      <c r="A256" s="448"/>
      <c r="B256" s="448"/>
      <c r="C256" s="448"/>
      <c r="D256" s="448"/>
      <c r="E256" s="448"/>
      <c r="F256" s="449"/>
    </row>
    <row r="257" spans="1:6">
      <c r="A257" s="147" t="s">
        <v>64</v>
      </c>
      <c r="B257" s="81"/>
      <c r="C257" s="81"/>
      <c r="D257" s="81"/>
      <c r="E257" s="81"/>
      <c r="F257" s="451"/>
    </row>
    <row r="258" spans="1:6">
      <c r="A258" s="81"/>
      <c r="B258" s="81"/>
      <c r="C258" s="81"/>
      <c r="D258" s="81"/>
      <c r="E258" s="81"/>
      <c r="F258" s="451"/>
    </row>
    <row r="259" spans="1:6">
      <c r="A259" s="81" t="s">
        <v>139</v>
      </c>
      <c r="B259" s="81" t="str">
        <f>VLOOKUP(F260,'9_1'!$A$13:$G$37,7,0)</f>
        <v>CICHINELLI, ANGEL RAM</v>
      </c>
      <c r="C259" s="81"/>
      <c r="D259" s="81"/>
      <c r="E259" s="81"/>
      <c r="F259" s="452" t="s">
        <v>102</v>
      </c>
    </row>
    <row r="260" spans="1:6">
      <c r="A260" s="81" t="s">
        <v>72</v>
      </c>
      <c r="B260" s="81" t="str">
        <f>+'9_1'!$H$2</f>
        <v>Hijuela Nuñez</v>
      </c>
      <c r="C260" s="81"/>
      <c r="D260" s="81"/>
      <c r="E260" s="81"/>
      <c r="F260" s="452">
        <v>16</v>
      </c>
    </row>
    <row r="261" spans="1:6">
      <c r="A261" s="81"/>
      <c r="B261" s="81"/>
      <c r="C261" s="81"/>
      <c r="D261" s="81"/>
      <c r="E261" s="81"/>
      <c r="F261" s="451"/>
    </row>
    <row r="262" spans="1:6">
      <c r="A262" s="139" t="s">
        <v>140</v>
      </c>
      <c r="B262" s="458">
        <f>VLOOKUP(F260,'9_1'!$A$13:$B$37,2,0)</f>
        <v>1208</v>
      </c>
      <c r="C262" s="81"/>
      <c r="D262" s="139" t="s">
        <v>141</v>
      </c>
      <c r="E262" s="460">
        <f>DSUM('9_1'!A$12:J$37,'9_1'!$J$12,F259:F260)</f>
        <v>0.24473261415801195</v>
      </c>
      <c r="F262" s="451"/>
    </row>
    <row r="263" spans="1:6">
      <c r="A263" s="139" t="s">
        <v>142</v>
      </c>
      <c r="B263" s="461">
        <v>5</v>
      </c>
      <c r="C263" s="81"/>
      <c r="D263" s="139" t="s">
        <v>143</v>
      </c>
      <c r="E263" s="459" t="str">
        <f>+Hijuelas!$G$7</f>
        <v>POR FRACCIÓN</v>
      </c>
      <c r="F263" s="451"/>
    </row>
    <row r="264" spans="1:6">
      <c r="A264" s="139" t="s">
        <v>144</v>
      </c>
      <c r="B264" s="462">
        <f>DSUM('9_1'!$A$12:$H$37,'9_1'!$H$12,F259:F260)</f>
        <v>9.6064000000000007</v>
      </c>
      <c r="C264" s="81"/>
      <c r="D264" s="139" t="s">
        <v>145</v>
      </c>
      <c r="E264" s="458" t="str">
        <f>IF(VLOOKUP(F260,'9_1'!$A$13:$D$47,4,0)=1, "Definitivo 100%", "Eventual 80%")</f>
        <v>Definitivo 100%</v>
      </c>
      <c r="F264" s="583"/>
    </row>
    <row r="265" spans="1:6" ht="15.75">
      <c r="A265" s="81"/>
      <c r="B265" s="139" t="s">
        <v>146</v>
      </c>
      <c r="C265" s="477">
        <f>DMIN('9_1'!A$12:L$37,'9_1'!$K$12,F259:F260)</f>
        <v>42975.049038178229</v>
      </c>
      <c r="D265" s="478"/>
      <c r="E265" s="190">
        <f>WEEKDAY(C265)</f>
        <v>2</v>
      </c>
      <c r="F265" s="453"/>
    </row>
    <row r="266" spans="1:6" ht="15.75">
      <c r="A266" s="81"/>
      <c r="B266" s="139" t="s">
        <v>147</v>
      </c>
      <c r="C266" s="477">
        <f>DMAX('9_1'!A$12:N$37,'9_1'!$L$12,F259:F260)</f>
        <v>42975.293770792385</v>
      </c>
      <c r="D266" s="478"/>
      <c r="E266" s="190">
        <f>WEEKDAY(C266)</f>
        <v>2</v>
      </c>
      <c r="F266" s="453"/>
    </row>
    <row r="267" spans="1:6">
      <c r="A267" s="323"/>
      <c r="B267" s="324"/>
      <c r="C267" s="81"/>
      <c r="D267" s="81"/>
      <c r="E267" s="584"/>
      <c r="F267" s="583"/>
    </row>
    <row r="268" spans="1:6">
      <c r="A268" s="606"/>
      <c r="B268" s="606"/>
      <c r="C268" s="81"/>
      <c r="D268" s="81"/>
      <c r="E268" s="81"/>
      <c r="F268" s="451"/>
    </row>
    <row r="269" spans="1:6">
      <c r="A269" s="476">
        <f>+Mensajes!$B$7</f>
        <v>0</v>
      </c>
      <c r="B269" s="10"/>
      <c r="C269" s="81"/>
      <c r="D269" s="81"/>
      <c r="E269" s="81"/>
      <c r="F269" s="451"/>
    </row>
    <row r="270" spans="1:6">
      <c r="A270" s="476">
        <f>+Mensajes!$B$12</f>
        <v>0</v>
      </c>
      <c r="B270" s="81"/>
      <c r="C270" s="81"/>
      <c r="D270" s="81"/>
      <c r="E270" s="81"/>
      <c r="F270" s="451"/>
    </row>
    <row r="271" spans="1:6" ht="13.5" thickBot="1">
      <c r="A271" s="474"/>
      <c r="B271" s="455"/>
      <c r="C271" s="455"/>
      <c r="D271" s="454" t="str">
        <f>IF(DSUM('9_1'!$A$12:$Q$87,16,F259:F260)=COUNTIF('9_1'!$A$13:$A$87,F260),"","Regularice su Deuda")</f>
        <v>Regularice su Deuda</v>
      </c>
      <c r="E271" s="455"/>
      <c r="F271" s="456"/>
    </row>
    <row r="272" spans="1:6" ht="13.5" thickBot="1"/>
    <row r="273" spans="1:6">
      <c r="A273" s="448"/>
      <c r="B273" s="448"/>
      <c r="C273" s="448"/>
      <c r="D273" s="448"/>
      <c r="E273" s="448"/>
      <c r="F273" s="449"/>
    </row>
    <row r="274" spans="1:6">
      <c r="A274" s="147" t="s">
        <v>64</v>
      </c>
      <c r="B274" s="81"/>
      <c r="C274" s="81"/>
      <c r="D274" s="81"/>
      <c r="E274" s="81"/>
      <c r="F274" s="451"/>
    </row>
    <row r="275" spans="1:6">
      <c r="A275" s="81"/>
      <c r="B275" s="81"/>
      <c r="C275" s="81"/>
      <c r="D275" s="81"/>
      <c r="E275" s="81"/>
      <c r="F275" s="451"/>
    </row>
    <row r="276" spans="1:6">
      <c r="A276" s="81" t="s">
        <v>139</v>
      </c>
      <c r="B276" s="81" t="str">
        <f>VLOOKUP(F277,'9_1'!$A$13:$G$37,7,0)</f>
        <v>CICHINELLI, PEDRO INOC</v>
      </c>
      <c r="C276" s="81"/>
      <c r="D276" s="81"/>
      <c r="E276" s="81"/>
      <c r="F276" s="452" t="s">
        <v>102</v>
      </c>
    </row>
    <row r="277" spans="1:6">
      <c r="A277" s="81" t="s">
        <v>72</v>
      </c>
      <c r="B277" s="81" t="str">
        <f>+'9_1'!$H$2</f>
        <v>Hijuela Nuñez</v>
      </c>
      <c r="C277" s="81"/>
      <c r="D277" s="81"/>
      <c r="E277" s="81"/>
      <c r="F277" s="452">
        <v>17</v>
      </c>
    </row>
    <row r="278" spans="1:6">
      <c r="A278" s="81"/>
      <c r="B278" s="81"/>
      <c r="C278" s="81"/>
      <c r="D278" s="81"/>
      <c r="E278" s="81"/>
      <c r="F278" s="451"/>
    </row>
    <row r="279" spans="1:6">
      <c r="A279" s="139" t="s">
        <v>140</v>
      </c>
      <c r="B279" s="458">
        <f>VLOOKUP(F277,'9_1'!$A$13:$B$37,2,0)</f>
        <v>1208</v>
      </c>
      <c r="C279" s="81"/>
      <c r="D279" s="139" t="s">
        <v>141</v>
      </c>
      <c r="E279" s="460">
        <f>DSUM('9_1'!A$12:J$37,'9_1'!$J$12,F276:F277)</f>
        <v>0</v>
      </c>
      <c r="F279" s="451"/>
    </row>
    <row r="280" spans="1:6">
      <c r="A280" s="139" t="s">
        <v>142</v>
      </c>
      <c r="B280" s="461">
        <v>48</v>
      </c>
      <c r="C280" s="81"/>
      <c r="D280" s="139" t="s">
        <v>143</v>
      </c>
      <c r="E280" s="459" t="str">
        <f>+Hijuelas!$G$7</f>
        <v>POR FRACCIÓN</v>
      </c>
      <c r="F280" s="451"/>
    </row>
    <row r="281" spans="1:6">
      <c r="A281" s="139" t="s">
        <v>144</v>
      </c>
      <c r="B281" s="462">
        <f>DSUM('9_1'!$A$12:$H$37,'9_1'!$H$12,F276:F277)</f>
        <v>0</v>
      </c>
      <c r="C281" s="81"/>
      <c r="D281" s="139" t="s">
        <v>145</v>
      </c>
      <c r="E281" s="458" t="str">
        <f>IF(VLOOKUP(F277,'9_1'!$A$13:$D$47,4,0)=1, "Definitivo 100%", "Eventual 80%")</f>
        <v>Definitivo 100%</v>
      </c>
      <c r="F281" s="583"/>
    </row>
    <row r="282" spans="1:6" ht="15.75">
      <c r="A282" s="81"/>
      <c r="B282" s="139" t="s">
        <v>146</v>
      </c>
      <c r="C282" s="477">
        <f>DMIN('9_1'!A$12:L$37,'9_1'!$K$12,F276:F277)</f>
        <v>42975.042093733784</v>
      </c>
      <c r="D282" s="478"/>
      <c r="E282" s="190">
        <f>WEEKDAY(C282)</f>
        <v>2</v>
      </c>
      <c r="F282" s="453"/>
    </row>
    <row r="283" spans="1:6" ht="15.75">
      <c r="A283" s="81"/>
      <c r="B283" s="139" t="s">
        <v>147</v>
      </c>
      <c r="C283" s="477">
        <f>DMAX('9_1'!A$12:N$37,'9_1'!$L$12,F276:F277)</f>
        <v>42975.049038178229</v>
      </c>
      <c r="D283" s="478"/>
      <c r="E283" s="190">
        <f>WEEKDAY(C283)</f>
        <v>2</v>
      </c>
      <c r="F283" s="453"/>
    </row>
    <row r="284" spans="1:6">
      <c r="A284" s="323"/>
      <c r="B284" s="324"/>
      <c r="C284" s="81"/>
      <c r="D284" s="81"/>
      <c r="E284" s="584"/>
      <c r="F284" s="583"/>
    </row>
    <row r="285" spans="1:6">
      <c r="A285" s="606"/>
      <c r="B285" s="606"/>
      <c r="C285" s="81"/>
      <c r="D285" s="81"/>
      <c r="E285" s="81"/>
      <c r="F285" s="451"/>
    </row>
    <row r="286" spans="1:6">
      <c r="A286" s="476">
        <f>+Mensajes!$B$7</f>
        <v>0</v>
      </c>
      <c r="B286" s="10"/>
      <c r="C286" s="81"/>
      <c r="D286" s="81"/>
      <c r="E286" s="81"/>
      <c r="F286" s="451"/>
    </row>
    <row r="287" spans="1:6">
      <c r="A287" s="476">
        <f>+Mensajes!$B$12</f>
        <v>0</v>
      </c>
      <c r="B287" s="81"/>
      <c r="C287" s="81"/>
      <c r="D287" s="81"/>
      <c r="E287" s="81"/>
      <c r="F287" s="451"/>
    </row>
    <row r="288" spans="1:6" ht="13.5" thickBot="1">
      <c r="A288" s="474"/>
      <c r="B288" s="455"/>
      <c r="C288" s="455"/>
      <c r="D288" s="454" t="str">
        <f>IF(DSUM('9_1'!$A$12:$Q$87,16,F276:F277)=COUNTIF('9_1'!$A$13:$A$87,F277),"","Regularice su Deuda")</f>
        <v>Regularice su Deuda</v>
      </c>
      <c r="E288" s="455"/>
      <c r="F288" s="456"/>
    </row>
    <row r="289" spans="1:6" ht="13.5" thickBot="1"/>
    <row r="290" spans="1:6">
      <c r="A290" s="448"/>
      <c r="B290" s="448"/>
      <c r="C290" s="448"/>
      <c r="D290" s="448"/>
      <c r="E290" s="448"/>
      <c r="F290" s="449"/>
    </row>
    <row r="291" spans="1:6">
      <c r="A291" s="147" t="s">
        <v>64</v>
      </c>
      <c r="B291" s="81"/>
      <c r="C291" s="81"/>
      <c r="D291" s="81"/>
      <c r="E291" s="81"/>
      <c r="F291" s="451"/>
    </row>
    <row r="292" spans="1:6">
      <c r="A292" s="81"/>
      <c r="B292" s="81"/>
      <c r="C292" s="81"/>
      <c r="D292" s="81"/>
      <c r="E292" s="81"/>
      <c r="F292" s="451"/>
    </row>
    <row r="293" spans="1:6">
      <c r="A293" s="81" t="s">
        <v>139</v>
      </c>
      <c r="B293" s="81" t="str">
        <f>VLOOKUP(F294,'9_1'!$A$13:$G$37,7,0)</f>
        <v>GIANGIULIO, VIRGILIO</v>
      </c>
      <c r="C293" s="81"/>
      <c r="D293" s="81"/>
      <c r="E293" s="81"/>
      <c r="F293" s="452" t="s">
        <v>102</v>
      </c>
    </row>
    <row r="294" spans="1:6">
      <c r="A294" s="81" t="s">
        <v>72</v>
      </c>
      <c r="B294" s="81" t="str">
        <f>+'9_1'!$H$2</f>
        <v>Hijuela Nuñez</v>
      </c>
      <c r="C294" s="81"/>
      <c r="D294" s="81"/>
      <c r="E294" s="81"/>
      <c r="F294" s="452">
        <v>18</v>
      </c>
    </row>
    <row r="295" spans="1:6">
      <c r="A295" s="81"/>
      <c r="B295" s="81"/>
      <c r="C295" s="81"/>
      <c r="D295" s="81"/>
      <c r="E295" s="81"/>
      <c r="F295" s="451"/>
    </row>
    <row r="296" spans="1:6">
      <c r="A296" s="139" t="s">
        <v>140</v>
      </c>
      <c r="B296" s="458">
        <f>VLOOKUP(F294,'9_1'!$A$13:$B$37,2,0)</f>
        <v>1208</v>
      </c>
      <c r="C296" s="81"/>
      <c r="D296" s="139" t="s">
        <v>141</v>
      </c>
      <c r="E296" s="460">
        <f>DSUM('9_1'!A$12:J$37,'9_1'!$J$12,F293:F294)</f>
        <v>0.28023596308066823</v>
      </c>
      <c r="F296" s="451"/>
    </row>
    <row r="297" spans="1:6">
      <c r="A297" s="139" t="s">
        <v>142</v>
      </c>
      <c r="B297" s="461">
        <v>36</v>
      </c>
      <c r="C297" s="81"/>
      <c r="D297" s="139" t="s">
        <v>143</v>
      </c>
      <c r="E297" s="459" t="str">
        <f>+Hijuelas!$G$7</f>
        <v>POR FRACCIÓN</v>
      </c>
      <c r="F297" s="451"/>
    </row>
    <row r="298" spans="1:6">
      <c r="A298" s="139" t="s">
        <v>144</v>
      </c>
      <c r="B298" s="462">
        <f>DSUM('9_1'!$A$12:$H$37,'9_1'!$H$12,F293:F294)</f>
        <v>11</v>
      </c>
      <c r="C298" s="81"/>
      <c r="D298" s="139" t="s">
        <v>145</v>
      </c>
      <c r="E298" s="458" t="str">
        <f>IF(VLOOKUP(F294,'9_1'!$A$13:$D$47,4,0)=1, "Definitivo 100%", "Eventual 80%")</f>
        <v>Definitivo 100%</v>
      </c>
      <c r="F298" s="583"/>
    </row>
    <row r="299" spans="1:6" ht="15.75">
      <c r="A299" s="81"/>
      <c r="B299" s="139" t="s">
        <v>146</v>
      </c>
      <c r="C299" s="477">
        <f>DMIN('9_1'!A$12:L$37,'9_1'!$K$12,F293:F294)</f>
        <v>42974.761857770704</v>
      </c>
      <c r="D299" s="478"/>
      <c r="E299" s="190">
        <f>WEEKDAY(C299)</f>
        <v>1</v>
      </c>
      <c r="F299" s="453"/>
    </row>
    <row r="300" spans="1:6" ht="15.75">
      <c r="A300" s="81"/>
      <c r="B300" s="139" t="s">
        <v>147</v>
      </c>
      <c r="C300" s="477">
        <f>DMAX('9_1'!A$12:N$37,'9_1'!$L$12,F293:F294)</f>
        <v>42975.042093733784</v>
      </c>
      <c r="D300" s="478"/>
      <c r="E300" s="190">
        <f>WEEKDAY(C300)</f>
        <v>2</v>
      </c>
      <c r="F300" s="453"/>
    </row>
    <row r="301" spans="1:6">
      <c r="A301" s="323"/>
      <c r="B301" s="324"/>
      <c r="C301" s="81"/>
      <c r="D301" s="81"/>
      <c r="E301" s="584"/>
      <c r="F301" s="583"/>
    </row>
    <row r="302" spans="1:6">
      <c r="A302" s="606"/>
      <c r="B302" s="606"/>
      <c r="C302" s="81"/>
      <c r="D302" s="81"/>
      <c r="E302" s="81"/>
      <c r="F302" s="451"/>
    </row>
    <row r="303" spans="1:6">
      <c r="A303" s="476">
        <f>+Mensajes!$B$7</f>
        <v>0</v>
      </c>
      <c r="B303" s="10"/>
      <c r="C303" s="81"/>
      <c r="D303" s="81"/>
      <c r="E303" s="81"/>
      <c r="F303" s="451"/>
    </row>
    <row r="304" spans="1:6">
      <c r="A304" s="476">
        <f>+Mensajes!$B$12</f>
        <v>0</v>
      </c>
      <c r="B304" s="81"/>
      <c r="C304" s="81"/>
      <c r="D304" s="81"/>
      <c r="E304" s="81"/>
      <c r="F304" s="451"/>
    </row>
    <row r="305" spans="1:6" ht="13.5" thickBot="1">
      <c r="A305" s="474"/>
      <c r="B305" s="455"/>
      <c r="C305" s="455"/>
      <c r="D305" s="454" t="str">
        <f>IF(DSUM('9_1'!$A$12:$Q$87,16,F293:F294)=COUNTIF('9_1'!$A$13:$A$87,F294),"","Regularice su Deuda")</f>
        <v>Regularice su Deuda</v>
      </c>
      <c r="E305" s="455"/>
      <c r="F305" s="456"/>
    </row>
    <row r="306" spans="1:6" ht="13.5" thickBot="1"/>
    <row r="307" spans="1:6">
      <c r="A307" s="448"/>
      <c r="B307" s="448"/>
      <c r="C307" s="448"/>
      <c r="D307" s="448"/>
      <c r="E307" s="448"/>
      <c r="F307" s="449"/>
    </row>
    <row r="308" spans="1:6">
      <c r="A308" s="147" t="s">
        <v>64</v>
      </c>
      <c r="B308" s="81"/>
      <c r="C308" s="81"/>
      <c r="D308" s="81"/>
      <c r="E308" s="81"/>
      <c r="F308" s="451"/>
    </row>
    <row r="309" spans="1:6">
      <c r="A309" s="81"/>
      <c r="B309" s="81"/>
      <c r="C309" s="81"/>
      <c r="D309" s="81"/>
      <c r="E309" s="81"/>
      <c r="F309" s="451"/>
    </row>
    <row r="310" spans="1:6">
      <c r="A310" s="81" t="s">
        <v>139</v>
      </c>
      <c r="B310" s="81" t="str">
        <f>VLOOKUP(F311,'9_1'!$A$13:$G$37,7,0)</f>
        <v>VANRELL, JOSEFINA</v>
      </c>
      <c r="C310" s="81"/>
      <c r="D310" s="81"/>
      <c r="E310" s="81"/>
      <c r="F310" s="452" t="s">
        <v>102</v>
      </c>
    </row>
    <row r="311" spans="1:6">
      <c r="A311" s="81" t="s">
        <v>72</v>
      </c>
      <c r="B311" s="81" t="str">
        <f>+'9_1'!$H$2</f>
        <v>Hijuela Nuñez</v>
      </c>
      <c r="C311" s="81"/>
      <c r="D311" s="81"/>
      <c r="E311" s="81"/>
      <c r="F311" s="452">
        <v>19</v>
      </c>
    </row>
    <row r="312" spans="1:6">
      <c r="A312" s="81"/>
      <c r="B312" s="81"/>
      <c r="C312" s="81"/>
      <c r="D312" s="81"/>
      <c r="E312" s="81"/>
      <c r="F312" s="451"/>
    </row>
    <row r="313" spans="1:6">
      <c r="A313" s="139" t="s">
        <v>140</v>
      </c>
      <c r="B313" s="458">
        <f>VLOOKUP(F311,'9_1'!$A$13:$B$37,2,0)</f>
        <v>1208</v>
      </c>
      <c r="C313" s="81"/>
      <c r="D313" s="139" t="s">
        <v>141</v>
      </c>
      <c r="E313" s="460">
        <f>DSUM('9_1'!A$12:J$37,'9_1'!$J$12,F310:F311)</f>
        <v>0.41283088281211855</v>
      </c>
      <c r="F313" s="451"/>
    </row>
    <row r="314" spans="1:6">
      <c r="A314" s="139" t="s">
        <v>142</v>
      </c>
      <c r="B314" s="461">
        <v>29</v>
      </c>
      <c r="C314" s="81"/>
      <c r="D314" s="139" t="s">
        <v>143</v>
      </c>
      <c r="E314" s="459" t="str">
        <f>+Hijuelas!$G$7</f>
        <v>POR FRACCIÓN</v>
      </c>
      <c r="F314" s="451"/>
    </row>
    <row r="315" spans="1:6">
      <c r="A315" s="139" t="s">
        <v>144</v>
      </c>
      <c r="B315" s="462">
        <f>DSUM('9_1'!$A$12:$H$37,'9_1'!$H$12,F310:F311)</f>
        <v>16.204699999999999</v>
      </c>
      <c r="C315" s="81"/>
      <c r="D315" s="139" t="s">
        <v>145</v>
      </c>
      <c r="E315" s="458" t="str">
        <f>IF(VLOOKUP(F311,'9_1'!$A$13:$D$47,4,0)=1, "Definitivo 100%", "Eventual 80%")</f>
        <v>Definitivo 100%</v>
      </c>
      <c r="F315" s="583"/>
    </row>
    <row r="316" spans="1:6" ht="15.75">
      <c r="A316" s="81"/>
      <c r="B316" s="139" t="s">
        <v>146</v>
      </c>
      <c r="C316" s="477">
        <f>DMIN('9_1'!A$12:L$37,'9_1'!$K$12,F310:F311)</f>
        <v>42974.349026887889</v>
      </c>
      <c r="D316" s="478"/>
      <c r="E316" s="190">
        <f>WEEKDAY(C316)</f>
        <v>1</v>
      </c>
      <c r="F316" s="453"/>
    </row>
    <row r="317" spans="1:6" ht="15.75">
      <c r="A317" s="81"/>
      <c r="B317" s="139" t="s">
        <v>147</v>
      </c>
      <c r="C317" s="477">
        <f>DMAX('9_1'!A$12:N$37,'9_1'!$L$12,F310:F311)</f>
        <v>42974.761857770704</v>
      </c>
      <c r="D317" s="478"/>
      <c r="E317" s="190">
        <f>WEEKDAY(C317)</f>
        <v>1</v>
      </c>
      <c r="F317" s="453"/>
    </row>
    <row r="318" spans="1:6">
      <c r="A318" s="323"/>
      <c r="B318" s="324"/>
      <c r="C318" s="81"/>
      <c r="D318" s="81"/>
      <c r="E318" s="584"/>
      <c r="F318" s="583"/>
    </row>
    <row r="319" spans="1:6">
      <c r="A319" s="606"/>
      <c r="B319" s="606"/>
      <c r="C319" s="81"/>
      <c r="D319" s="81"/>
      <c r="E319" s="81"/>
      <c r="F319" s="451"/>
    </row>
    <row r="320" spans="1:6">
      <c r="A320" s="476">
        <f>+Mensajes!$B$7</f>
        <v>0</v>
      </c>
      <c r="B320" s="10"/>
      <c r="C320" s="81"/>
      <c r="D320" s="81"/>
      <c r="E320" s="81"/>
      <c r="F320" s="451"/>
    </row>
    <row r="321" spans="1:6">
      <c r="A321" s="476">
        <f>+Mensajes!$B$12</f>
        <v>0</v>
      </c>
      <c r="B321" s="81"/>
      <c r="C321" s="81"/>
      <c r="D321" s="81"/>
      <c r="E321" s="81"/>
      <c r="F321" s="451"/>
    </row>
    <row r="322" spans="1:6" ht="13.5" thickBot="1">
      <c r="A322" s="474"/>
      <c r="B322" s="455"/>
      <c r="C322" s="455"/>
      <c r="D322" s="454" t="str">
        <f>IF(DSUM('9_1'!$A$12:$Q$87,16,F310:F311)=COUNTIF('9_1'!$A$13:$A$87,F311),"","Regularice su Deuda")</f>
        <v>Regularice su Deuda</v>
      </c>
      <c r="E322" s="455"/>
      <c r="F322" s="456"/>
    </row>
    <row r="323" spans="1:6" ht="13.5" thickBot="1"/>
    <row r="324" spans="1:6">
      <c r="A324" s="448"/>
      <c r="B324" s="448"/>
      <c r="C324" s="448"/>
      <c r="D324" s="448"/>
      <c r="E324" s="448"/>
      <c r="F324" s="449"/>
    </row>
    <row r="325" spans="1:6">
      <c r="A325" s="147" t="s">
        <v>64</v>
      </c>
      <c r="B325" s="81"/>
      <c r="C325" s="81"/>
      <c r="D325" s="81"/>
      <c r="E325" s="81"/>
      <c r="F325" s="451"/>
    </row>
    <row r="326" spans="1:6">
      <c r="A326" s="81"/>
      <c r="B326" s="81"/>
      <c r="C326" s="81"/>
      <c r="D326" s="81"/>
      <c r="E326" s="81"/>
      <c r="F326" s="451"/>
    </row>
    <row r="327" spans="1:6">
      <c r="A327" s="81" t="s">
        <v>139</v>
      </c>
      <c r="B327" s="81" t="str">
        <f>VLOOKUP(F328,'9_1'!$A$13:$G$37,7,0)</f>
        <v>SANCHO, EDUARDO RA</v>
      </c>
      <c r="C327" s="81"/>
      <c r="D327" s="81"/>
      <c r="E327" s="81"/>
      <c r="F327" s="452" t="s">
        <v>102</v>
      </c>
    </row>
    <row r="328" spans="1:6">
      <c r="A328" s="81" t="s">
        <v>72</v>
      </c>
      <c r="B328" s="81" t="str">
        <f>+'9_1'!$H$2</f>
        <v>Hijuela Nuñez</v>
      </c>
      <c r="C328" s="81"/>
      <c r="D328" s="81"/>
      <c r="E328" s="81"/>
      <c r="F328" s="452">
        <v>20</v>
      </c>
    </row>
    <row r="329" spans="1:6">
      <c r="A329" s="81"/>
      <c r="B329" s="81"/>
      <c r="C329" s="81"/>
      <c r="D329" s="81"/>
      <c r="E329" s="81"/>
      <c r="F329" s="451"/>
    </row>
    <row r="330" spans="1:6">
      <c r="A330" s="139" t="s">
        <v>140</v>
      </c>
      <c r="B330" s="458">
        <f>VLOOKUP(F328,'9_1'!$A$13:$B$37,2,0)</f>
        <v>1208</v>
      </c>
      <c r="C330" s="81"/>
      <c r="D330" s="139" t="s">
        <v>141</v>
      </c>
      <c r="E330" s="460">
        <f>DSUM('9_1'!A$12:J$37,'9_1'!$J$12,F327:F328)</f>
        <v>0.70319355455865629</v>
      </c>
      <c r="F330" s="451"/>
    </row>
    <row r="331" spans="1:6">
      <c r="A331" s="139" t="s">
        <v>142</v>
      </c>
      <c r="B331" s="461">
        <v>27</v>
      </c>
      <c r="C331" s="81"/>
      <c r="D331" s="139" t="s">
        <v>143</v>
      </c>
      <c r="E331" s="459" t="str">
        <f>+Hijuelas!$G$7</f>
        <v>POR FRACCIÓN</v>
      </c>
      <c r="F331" s="451"/>
    </row>
    <row r="332" spans="1:6">
      <c r="A332" s="139" t="s">
        <v>144</v>
      </c>
      <c r="B332" s="462">
        <f>DSUM('9_1'!$A$12:$H$37,'9_1'!$H$12,F327:F328)</f>
        <v>27.602199999999996</v>
      </c>
      <c r="C332" s="81"/>
      <c r="D332" s="139" t="s">
        <v>145</v>
      </c>
      <c r="E332" s="458" t="str">
        <f>IF(VLOOKUP(F328,'9_1'!$A$13:$D$47,4,0)=1, "Definitivo 100%", "Eventual 80%")</f>
        <v>Definitivo 100%</v>
      </c>
      <c r="F332" s="583"/>
    </row>
    <row r="333" spans="1:6" ht="15.75">
      <c r="A333" s="81"/>
      <c r="B333" s="139" t="s">
        <v>146</v>
      </c>
      <c r="C333" s="477">
        <f>DMIN('9_1'!A$12:L$37,'9_1'!$K$12,F327:F328)</f>
        <v>42973.645833333336</v>
      </c>
      <c r="D333" s="478"/>
      <c r="E333" s="190">
        <f>WEEKDAY(C333)</f>
        <v>7</v>
      </c>
      <c r="F333" s="453"/>
    </row>
    <row r="334" spans="1:6" ht="15.75">
      <c r="A334" s="81"/>
      <c r="B334" s="139" t="s">
        <v>147</v>
      </c>
      <c r="C334" s="477">
        <f>DMAX('9_1'!A$12:N$37,'9_1'!$L$12,F327:F328)</f>
        <v>42974.349026887889</v>
      </c>
      <c r="D334" s="478"/>
      <c r="E334" s="190">
        <f>WEEKDAY(C334)</f>
        <v>1</v>
      </c>
      <c r="F334" s="453"/>
    </row>
    <row r="335" spans="1:6">
      <c r="A335" s="323"/>
      <c r="B335" s="324"/>
      <c r="C335" s="81"/>
      <c r="D335" s="81"/>
      <c r="E335" s="584"/>
      <c r="F335" s="583"/>
    </row>
    <row r="336" spans="1:6">
      <c r="A336" s="606"/>
      <c r="B336" s="606"/>
      <c r="C336" s="81"/>
      <c r="D336" s="81"/>
      <c r="E336" s="81"/>
      <c r="F336" s="451"/>
    </row>
    <row r="337" spans="1:6">
      <c r="A337" s="476">
        <f>+Mensajes!$B$7</f>
        <v>0</v>
      </c>
      <c r="B337" s="10"/>
      <c r="C337" s="81"/>
      <c r="D337" s="81"/>
      <c r="E337" s="81"/>
      <c r="F337" s="451"/>
    </row>
    <row r="338" spans="1:6">
      <c r="A338" s="476">
        <f>+Mensajes!$B$12</f>
        <v>0</v>
      </c>
      <c r="B338" s="81"/>
      <c r="C338" s="81"/>
      <c r="D338" s="81"/>
      <c r="E338" s="81"/>
      <c r="F338" s="451"/>
    </row>
    <row r="339" spans="1:6" ht="13.5" thickBot="1">
      <c r="A339" s="474"/>
      <c r="B339" s="455"/>
      <c r="C339" s="455"/>
      <c r="D339" s="454" t="str">
        <f>IF(DSUM('9_1'!$A$12:$Q$87,16,F327:F328)=COUNTIF('9_1'!$A$13:$A$87,F328),"","Regularice su Deuda")</f>
        <v>Regularice su Deuda</v>
      </c>
      <c r="E339" s="455"/>
      <c r="F339" s="456"/>
    </row>
    <row r="340" spans="1:6" ht="13.5" thickBot="1"/>
    <row r="341" spans="1:6">
      <c r="A341" s="448"/>
      <c r="B341" s="448"/>
      <c r="C341" s="448"/>
      <c r="D341" s="448"/>
      <c r="E341" s="448"/>
      <c r="F341" s="449"/>
    </row>
    <row r="342" spans="1:6">
      <c r="A342" s="147" t="s">
        <v>64</v>
      </c>
      <c r="B342" s="81"/>
      <c r="C342" s="81"/>
      <c r="D342" s="81"/>
      <c r="E342" s="81"/>
      <c r="F342" s="451"/>
    </row>
    <row r="343" spans="1:6">
      <c r="A343" s="81"/>
      <c r="B343" s="81"/>
      <c r="C343" s="81"/>
      <c r="D343" s="81"/>
      <c r="E343" s="81"/>
      <c r="F343" s="451"/>
    </row>
    <row r="344" spans="1:6">
      <c r="A344" s="81" t="s">
        <v>139</v>
      </c>
      <c r="B344" s="81" t="e">
        <f>VLOOKUP(F345,'9_1'!$A$13:$G$37,7,0)</f>
        <v>#N/A</v>
      </c>
      <c r="C344" s="81"/>
      <c r="D344" s="81"/>
      <c r="E344" s="81"/>
      <c r="F344" s="452" t="s">
        <v>102</v>
      </c>
    </row>
    <row r="345" spans="1:6">
      <c r="A345" s="81" t="s">
        <v>72</v>
      </c>
      <c r="B345" s="81" t="str">
        <f>+'9_1'!$H$2</f>
        <v>Hijuela Nuñez</v>
      </c>
      <c r="C345" s="81"/>
      <c r="D345" s="81"/>
      <c r="E345" s="81"/>
      <c r="F345" s="452">
        <v>21</v>
      </c>
    </row>
    <row r="346" spans="1:6">
      <c r="A346" s="81"/>
      <c r="B346" s="81"/>
      <c r="C346" s="81"/>
      <c r="D346" s="81"/>
      <c r="E346" s="81"/>
      <c r="F346" s="451"/>
    </row>
    <row r="347" spans="1:6">
      <c r="A347" s="139" t="s">
        <v>140</v>
      </c>
      <c r="B347" s="458" t="e">
        <f>VLOOKUP(F345,'9_1'!$A$13:$B$37,2,0)</f>
        <v>#N/A</v>
      </c>
      <c r="C347" s="81"/>
      <c r="D347" s="139" t="s">
        <v>141</v>
      </c>
      <c r="E347" s="460">
        <f>DSUM('9_1'!A$12:J$37,'9_1'!$J$12,F344:F345)</f>
        <v>0</v>
      </c>
      <c r="F347" s="451"/>
    </row>
    <row r="348" spans="1:6">
      <c r="A348" s="139" t="s">
        <v>142</v>
      </c>
      <c r="B348" s="461" t="s">
        <v>302</v>
      </c>
      <c r="C348" s="81"/>
      <c r="D348" s="139" t="s">
        <v>143</v>
      </c>
      <c r="E348" s="459" t="str">
        <f>+Hijuelas!$G$7</f>
        <v>POR FRACCIÓN</v>
      </c>
      <c r="F348" s="451"/>
    </row>
    <row r="349" spans="1:6">
      <c r="A349" s="139" t="s">
        <v>144</v>
      </c>
      <c r="B349" s="462">
        <f>DSUM('9_1'!$A$12:$H$37,'9_1'!$H$12,F344:F345)</f>
        <v>0</v>
      </c>
      <c r="C349" s="81"/>
      <c r="D349" s="139" t="s">
        <v>145</v>
      </c>
      <c r="E349" s="458" t="e">
        <f>IF(VLOOKUP(F345,'9_1'!$A$13:$D$47,4,0)=1, "Definitivo 100%", "Eventual 80%")</f>
        <v>#N/A</v>
      </c>
      <c r="F349" s="583"/>
    </row>
    <row r="350" spans="1:6" ht="15.75">
      <c r="A350" s="81"/>
      <c r="B350" s="139" t="s">
        <v>146</v>
      </c>
      <c r="C350" s="477">
        <f>DMIN('9_1'!A$12:L$37,'9_1'!$K$12,F344:F345)</f>
        <v>0</v>
      </c>
      <c r="D350" s="478"/>
      <c r="E350" s="190">
        <f>WEEKDAY(C350)</f>
        <v>7</v>
      </c>
      <c r="F350" s="453"/>
    </row>
    <row r="351" spans="1:6" ht="15.75">
      <c r="A351" s="81"/>
      <c r="B351" s="139" t="s">
        <v>147</v>
      </c>
      <c r="C351" s="477">
        <f>DMAX('9_1'!A$12:N$37,'9_1'!$L$12,F344:F345)</f>
        <v>0</v>
      </c>
      <c r="D351" s="478"/>
      <c r="E351" s="190">
        <f>WEEKDAY(C351)</f>
        <v>7</v>
      </c>
      <c r="F351" s="453"/>
    </row>
    <row r="352" spans="1:6">
      <c r="A352" s="323"/>
      <c r="B352" s="324"/>
      <c r="C352" s="81"/>
      <c r="D352" s="81"/>
      <c r="E352" s="584"/>
      <c r="F352" s="583"/>
    </row>
    <row r="353" spans="1:6">
      <c r="A353" s="606"/>
      <c r="B353" s="606"/>
      <c r="C353" s="81"/>
      <c r="D353" s="81"/>
      <c r="E353" s="81"/>
      <c r="F353" s="451"/>
    </row>
    <row r="354" spans="1:6">
      <c r="A354" s="476">
        <f>+Mensajes!$B$7</f>
        <v>0</v>
      </c>
      <c r="B354" s="10"/>
      <c r="C354" s="81"/>
      <c r="D354" s="81"/>
      <c r="E354" s="81"/>
      <c r="F354" s="451"/>
    </row>
    <row r="355" spans="1:6">
      <c r="A355" s="476">
        <f>+Mensajes!$B$12</f>
        <v>0</v>
      </c>
      <c r="B355" s="81"/>
      <c r="C355" s="81"/>
      <c r="D355" s="81"/>
      <c r="E355" s="81"/>
      <c r="F355" s="451"/>
    </row>
    <row r="356" spans="1:6" ht="13.5" thickBot="1">
      <c r="A356" s="474"/>
      <c r="B356" s="455"/>
      <c r="C356" s="455"/>
      <c r="D356" s="454" t="str">
        <f>IF(DSUM('9_1'!$A$12:$Q$87,16,F344:F345)=COUNTIF('9_1'!$A$13:$A$87,F345),"","Regularice su Deuda")</f>
        <v/>
      </c>
      <c r="E356" s="455"/>
      <c r="F356" s="456"/>
    </row>
  </sheetData>
  <phoneticPr fontId="0" type="noConversion"/>
  <pageMargins left="0.62992125984251968" right="0.51181102362204722" top="0.15748031496062992" bottom="0.19685039370078741" header="0" footer="0"/>
  <pageSetup paperSize="281" scale="83" orientation="portrait" r:id="rId1"/>
  <headerFooter alignWithMargins="0"/>
  <rowBreaks count="4" manualBreakCount="4">
    <brk id="85" max="5" man="1"/>
    <brk id="170" max="5" man="1"/>
    <brk id="255" max="5" man="1"/>
    <brk id="340" max="5" man="1"/>
  </rowBreaks>
  <colBreaks count="1" manualBreakCount="1">
    <brk id="7" max="1048575" man="1"/>
  </col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5"/>
  <dimension ref="A1:U33"/>
  <sheetViews>
    <sheetView view="pageBreakPreview" zoomScale="75" zoomScaleNormal="75" workbookViewId="0" xr3:uid="{2C1BA805-FFAE-53D9-94C0-3D95D45B0C9C}">
      <selection activeCell="M1" sqref="M1:M1048576"/>
    </sheetView>
  </sheetViews>
  <sheetFormatPr defaultColWidth="11.42578125" defaultRowHeight="12.75"/>
  <cols>
    <col min="1" max="1" width="7.28515625" customWidth="1"/>
    <col min="2" max="2" width="7.140625" customWidth="1"/>
    <col min="3" max="3" width="4.7109375" bestFit="1" customWidth="1"/>
    <col min="4" max="4" width="5" bestFit="1" customWidth="1"/>
    <col min="5" max="5" width="11.140625" bestFit="1" customWidth="1"/>
    <col min="6" max="6" width="13.5703125" bestFit="1" customWidth="1"/>
    <col min="7" max="7" width="30.28515625" customWidth="1"/>
    <col min="8" max="8" width="13.85546875" bestFit="1" customWidth="1"/>
    <col min="9" max="9" width="10.42578125" bestFit="1" customWidth="1"/>
    <col min="10" max="10" width="8.42578125" bestFit="1" customWidth="1"/>
    <col min="11" max="12" width="17.5703125" bestFit="1" customWidth="1"/>
    <col min="13" max="13" width="18" customWidth="1"/>
    <col min="14" max="14" width="23.140625" customWidth="1"/>
    <col min="15" max="15" width="17.7109375" bestFit="1" customWidth="1"/>
    <col min="16" max="16" width="7" bestFit="1" customWidth="1"/>
    <col min="17" max="17" width="8.42578125" bestFit="1" customWidth="1"/>
    <col min="18" max="18" width="7.7109375" bestFit="1" customWidth="1"/>
    <col min="19" max="19" width="8.28515625" bestFit="1" customWidth="1"/>
    <col min="20" max="20" width="12.28515625" bestFit="1" customWidth="1"/>
    <col min="21" max="21" width="11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2" spans="1:21">
      <c r="A2" s="137"/>
      <c r="B2" s="144" t="s">
        <v>187</v>
      </c>
      <c r="C2" s="137"/>
      <c r="D2" s="137"/>
      <c r="E2" s="137"/>
      <c r="F2" s="137"/>
      <c r="G2" s="137"/>
      <c r="H2" s="137" t="s">
        <v>303</v>
      </c>
      <c r="I2" s="137"/>
      <c r="J2" s="137"/>
      <c r="K2" s="137"/>
      <c r="L2" s="137"/>
      <c r="M2" s="137"/>
      <c r="N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</row>
    <row r="5" spans="1:21">
      <c r="A5" s="669" t="s">
        <v>92</v>
      </c>
      <c r="B5" s="670"/>
      <c r="C5" s="662">
        <f>+Hijuelas!D20</f>
        <v>42973.541666666664</v>
      </c>
      <c r="D5" s="663"/>
      <c r="E5" s="664"/>
      <c r="F5" s="344"/>
      <c r="G5" s="345" t="s">
        <v>93</v>
      </c>
      <c r="H5" s="346">
        <f>+Hijuelas!G6</f>
        <v>3.9895833333333335</v>
      </c>
      <c r="I5" s="137"/>
      <c r="J5" s="137"/>
      <c r="K5" s="137"/>
      <c r="L5" s="137"/>
      <c r="M5" s="137"/>
      <c r="N5" s="137"/>
    </row>
    <row r="6" spans="1:21" ht="13.5" thickBot="1">
      <c r="A6" s="671" t="s">
        <v>94</v>
      </c>
      <c r="B6" s="672"/>
      <c r="C6" s="665">
        <f>+C5+H5</f>
        <v>42977.53125</v>
      </c>
      <c r="D6" s="666"/>
      <c r="E6" s="667"/>
      <c r="F6" s="344"/>
      <c r="G6" s="347" t="s">
        <v>95</v>
      </c>
      <c r="H6" s="354">
        <v>8.3333333333333329E-2</v>
      </c>
      <c r="I6" s="344"/>
      <c r="J6" s="137"/>
      <c r="K6" s="578"/>
      <c r="L6" s="137"/>
      <c r="M6" s="578"/>
      <c r="N6" s="137"/>
    </row>
    <row r="7" spans="1:21" ht="13.5" thickBot="1">
      <c r="A7" s="137"/>
      <c r="B7" s="137"/>
      <c r="C7" s="137"/>
      <c r="D7" s="137"/>
      <c r="E7" s="137"/>
      <c r="F7" s="137"/>
      <c r="G7" s="348" t="s">
        <v>96</v>
      </c>
      <c r="H7" s="349">
        <v>0</v>
      </c>
      <c r="I7" s="137"/>
      <c r="J7" s="137"/>
      <c r="K7" s="137"/>
      <c r="L7" s="137"/>
      <c r="M7" s="137"/>
      <c r="N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</row>
    <row r="9" spans="1:21">
      <c r="A9" s="668" t="s">
        <v>97</v>
      </c>
      <c r="B9" s="668"/>
      <c r="C9" s="681">
        <f>+H5-H6</f>
        <v>3.90625</v>
      </c>
      <c r="D9" s="681"/>
      <c r="E9" s="555" t="s">
        <v>98</v>
      </c>
      <c r="F9" s="350">
        <f>+C9*60</f>
        <v>234.375</v>
      </c>
      <c r="G9" s="555" t="s">
        <v>99</v>
      </c>
      <c r="H9" s="439">
        <f>+H22</f>
        <v>45.232900000000001</v>
      </c>
      <c r="I9" s="555" t="s">
        <v>100</v>
      </c>
      <c r="J9" s="556">
        <f>IF(H9=0,0,F9/H9)</f>
        <v>5.1815161088499746</v>
      </c>
      <c r="K9" s="137"/>
      <c r="L9" s="137"/>
      <c r="M9" s="137"/>
      <c r="N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</row>
    <row r="12" spans="1:21" ht="24.75" thickBot="1">
      <c r="A12" s="357" t="s">
        <v>102</v>
      </c>
      <c r="B12" s="336" t="s">
        <v>103</v>
      </c>
      <c r="C12" s="336" t="s">
        <v>104</v>
      </c>
      <c r="D12" s="336" t="s">
        <v>276</v>
      </c>
      <c r="E12" s="336" t="s">
        <v>106</v>
      </c>
      <c r="F12" s="336" t="s">
        <v>153</v>
      </c>
      <c r="G12" s="336" t="s">
        <v>108</v>
      </c>
      <c r="H12" s="336" t="s">
        <v>154</v>
      </c>
      <c r="I12" s="336" t="s">
        <v>304</v>
      </c>
      <c r="J12" s="336" t="s">
        <v>110</v>
      </c>
      <c r="K12" s="336" t="s">
        <v>156</v>
      </c>
      <c r="L12" s="336" t="s">
        <v>157</v>
      </c>
      <c r="M12" s="554" t="s">
        <v>113</v>
      </c>
      <c r="N12" s="336" t="s">
        <v>114</v>
      </c>
      <c r="O12" s="336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336" t="s">
        <v>121</v>
      </c>
      <c r="U12" s="337" t="s">
        <v>122</v>
      </c>
    </row>
    <row r="13" spans="1:21" ht="30" customHeight="1" thickTop="1">
      <c r="A13" s="51">
        <v>1</v>
      </c>
      <c r="B13" s="52">
        <v>1209</v>
      </c>
      <c r="C13" s="52">
        <v>3</v>
      </c>
      <c r="D13" s="52">
        <v>1</v>
      </c>
      <c r="E13" s="103">
        <v>5.8000999999999996</v>
      </c>
      <c r="F13" s="103" t="str">
        <f>IF(Q13=0,"NO",IF(Q13=1,"SI",IF(Q13=3,"cede turno","CONDICIONAL")))</f>
        <v>SI</v>
      </c>
      <c r="G13" s="52" t="s">
        <v>305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5.8000999999999996</v>
      </c>
      <c r="I13" s="629">
        <f>+H13*$J$9</f>
        <v>30.053311582940736</v>
      </c>
      <c r="J13" s="580">
        <f>+I13/60</f>
        <v>0.5008885263823456</v>
      </c>
      <c r="K13" s="125">
        <f t="shared" ref="K13:K19" si="0">+L14</f>
        <v>42977.030361473626</v>
      </c>
      <c r="L13" s="125">
        <f t="shared" ref="L13:L19" si="1">+K13+J13</f>
        <v>42977.531250000007</v>
      </c>
      <c r="M13" s="174"/>
      <c r="N13" s="52"/>
      <c r="O13" s="52"/>
      <c r="P13" s="52" t="str">
        <f>+CONCATENATE(B13,C13)</f>
        <v>12093</v>
      </c>
      <c r="Q13" s="150">
        <f>VLOOKUP(P13,deuda!A$1:H$550,4,0)</f>
        <v>1</v>
      </c>
      <c r="R13" s="150">
        <f>VLOOKUP(P13,deuda!A$1:H$550,5,0)</f>
        <v>1</v>
      </c>
      <c r="S13" s="150">
        <f>IF(VLOOKUP(P13,deuda!A$1:H$550,6,0)=0,"",VLOOKUP(P13,deuda!A$1:H$550,6,0))</f>
        <v>1325.04</v>
      </c>
      <c r="T13" s="151" t="str">
        <f>IF((VLOOKUP(P13,deuda!A$1:H$550,7,0))=0,"",VLOOKUP(P13,deuda!A$1:H$550,7,0))</f>
        <v/>
      </c>
      <c r="U13" s="152" t="str">
        <f>IF((VLOOKUP(P13,deuda!A$1:H$550,8,0))=0,"",VLOOKUP(P13,deuda!A$1:H$550,8,0))</f>
        <v/>
      </c>
    </row>
    <row r="14" spans="1:21" ht="30" customHeight="1">
      <c r="A14" s="35">
        <v>2</v>
      </c>
      <c r="B14" s="5">
        <v>1209</v>
      </c>
      <c r="C14" s="5">
        <v>21</v>
      </c>
      <c r="D14" s="5">
        <v>1</v>
      </c>
      <c r="E14" s="9">
        <v>1.5177</v>
      </c>
      <c r="F14" s="103" t="str">
        <f t="shared" ref="F14:F21" si="2">IF(Q14=0,"NO",IF(Q14=1,"SI",IF(Q14=3,"cede turno","CONDICIONAL")))</f>
        <v>SI</v>
      </c>
      <c r="G14" s="5" t="s">
        <v>306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1.5177</v>
      </c>
      <c r="I14" s="629">
        <f t="shared" ref="I14:I21" si="3">+H14*$J$9</f>
        <v>7.8639869984016064</v>
      </c>
      <c r="J14" s="580">
        <f t="shared" ref="J14:J21" si="4">+I14/60</f>
        <v>0.13106644997336012</v>
      </c>
      <c r="K14" s="125">
        <f t="shared" si="0"/>
        <v>42976.89929502365</v>
      </c>
      <c r="L14" s="125">
        <f t="shared" si="1"/>
        <v>42977.030361473626</v>
      </c>
      <c r="M14" s="174"/>
      <c r="N14" s="5"/>
      <c r="O14" s="5"/>
      <c r="P14" s="52" t="str">
        <f t="shared" ref="P14:P21" si="5">+CONCATENATE(B14,C14)</f>
        <v>120921</v>
      </c>
      <c r="Q14" s="150">
        <f>VLOOKUP(P14,deuda!A$1:H$550,4,0)</f>
        <v>1</v>
      </c>
      <c r="R14" s="150">
        <f>VLOOKUP(P14,deuda!A$1:H$550,5,0)</f>
        <v>0</v>
      </c>
      <c r="S14" s="150">
        <f>IF(VLOOKUP(P14,deuda!A$1:H$550,6,0)=0,"",VLOOKUP(P14,deuda!A$1:H$550,6,0))</f>
        <v>4.0199999999999996</v>
      </c>
      <c r="T14" s="151" t="str">
        <f>IF((VLOOKUP(P14,deuda!A$1:H$550,7,0))=0,"",VLOOKUP(P14,deuda!A$1:H$550,7,0))</f>
        <v/>
      </c>
      <c r="U14" s="152" t="str">
        <f>IF((VLOOKUP(P14,deuda!A$1:H$550,8,0))=0,"",VLOOKUP(P14,deuda!A$1:H$550,8,0))</f>
        <v/>
      </c>
    </row>
    <row r="15" spans="1:21" ht="30" customHeight="1">
      <c r="A15" s="35">
        <v>3</v>
      </c>
      <c r="B15" s="5">
        <v>1209</v>
      </c>
      <c r="C15" s="5">
        <v>4</v>
      </c>
      <c r="D15" s="5">
        <v>1</v>
      </c>
      <c r="E15" s="9">
        <v>1.2824</v>
      </c>
      <c r="F15" s="103" t="str">
        <f t="shared" si="2"/>
        <v>NO</v>
      </c>
      <c r="G15" s="5" t="s">
        <v>307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0</v>
      </c>
      <c r="I15" s="629">
        <f t="shared" si="3"/>
        <v>0</v>
      </c>
      <c r="J15" s="580">
        <f t="shared" si="4"/>
        <v>0</v>
      </c>
      <c r="K15" s="125">
        <f t="shared" si="0"/>
        <v>42976.89929502365</v>
      </c>
      <c r="L15" s="125">
        <f t="shared" si="1"/>
        <v>42976.89929502365</v>
      </c>
      <c r="M15" s="174"/>
      <c r="N15" s="5"/>
      <c r="O15" s="5"/>
      <c r="P15" s="52" t="str">
        <f t="shared" si="5"/>
        <v>12094</v>
      </c>
      <c r="Q15" s="150">
        <f>VLOOKUP(P15,deuda!A$1:H$550,4,0)</f>
        <v>0</v>
      </c>
      <c r="R15" s="150">
        <f>VLOOKUP(P15,deuda!A$1:H$550,5,0)</f>
        <v>27</v>
      </c>
      <c r="S15" s="150">
        <f>IF(VLOOKUP(P15,deuda!A$1:H$550,6,0)=0,"",VLOOKUP(P15,deuda!A$1:H$550,6,0))</f>
        <v>14509.53</v>
      </c>
      <c r="T15" s="151" t="str">
        <f>IF((VLOOKUP(P15,deuda!A$1:H$550,7,0))=0,"",VLOOKUP(P15,deuda!A$1:H$550,7,0))</f>
        <v/>
      </c>
      <c r="U15" s="152" t="str">
        <f>IF((VLOOKUP(P15,deuda!A$1:H$550,8,0))=0,"",VLOOKUP(P15,deuda!A$1:H$550,8,0))</f>
        <v/>
      </c>
    </row>
    <row r="16" spans="1:21" ht="30" customHeight="1">
      <c r="A16" s="35">
        <v>4</v>
      </c>
      <c r="B16" s="5">
        <v>1209</v>
      </c>
      <c r="C16" s="5">
        <v>22</v>
      </c>
      <c r="D16" s="5">
        <v>1</v>
      </c>
      <c r="E16" s="9">
        <v>9.4882000000000009</v>
      </c>
      <c r="F16" s="103" t="str">
        <f t="shared" si="2"/>
        <v>SI</v>
      </c>
      <c r="G16" s="5" t="s">
        <v>308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9.4882000000000009</v>
      </c>
      <c r="I16" s="629">
        <f>+H16*$J$9</f>
        <v>49.163261143990333</v>
      </c>
      <c r="J16" s="580">
        <f>+I16/60</f>
        <v>0.81938768573317222</v>
      </c>
      <c r="K16" s="125">
        <f t="shared" si="0"/>
        <v>42976.079907337917</v>
      </c>
      <c r="L16" s="125">
        <f t="shared" si="1"/>
        <v>42976.89929502365</v>
      </c>
      <c r="M16" s="125"/>
      <c r="N16" s="5"/>
      <c r="O16" s="5"/>
      <c r="P16" s="52" t="str">
        <f>+CONCATENATE(B16,C16)</f>
        <v>120922</v>
      </c>
      <c r="Q16" s="150">
        <f>VLOOKUP(P16,deuda!A$1:H$550,4,0)</f>
        <v>1</v>
      </c>
      <c r="R16" s="150">
        <f>VLOOKUP(P16,deuda!A$1:H$550,5,0)</f>
        <v>1</v>
      </c>
      <c r="S16" s="150">
        <f>IF(VLOOKUP(P16,deuda!A$1:H$550,6,0)=0,"",VLOOKUP(P16,deuda!A$1:H$550,6,0))</f>
        <v>2171.7600000000002</v>
      </c>
      <c r="T16" s="151" t="str">
        <f>IF((VLOOKUP(P16,deuda!A$1:H$550,7,0))=0,"",VLOOKUP(P16,deuda!A$1:H$550,7,0))</f>
        <v/>
      </c>
      <c r="U16" s="152" t="str">
        <f>IF((VLOOKUP(P16,deuda!A$1:H$550,8,0))=0,"",VLOOKUP(P16,deuda!A$1:H$550,8,0))</f>
        <v/>
      </c>
    </row>
    <row r="17" spans="1:21" ht="30" customHeight="1">
      <c r="A17" s="35">
        <v>5</v>
      </c>
      <c r="B17" s="5">
        <v>1209</v>
      </c>
      <c r="C17" s="5">
        <v>23</v>
      </c>
      <c r="D17" s="5">
        <v>1</v>
      </c>
      <c r="E17" s="9">
        <v>11.0886</v>
      </c>
      <c r="F17" s="103" t="str">
        <f t="shared" si="2"/>
        <v>SI</v>
      </c>
      <c r="G17" s="5" t="s">
        <v>309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11.0886</v>
      </c>
      <c r="I17" s="629">
        <f t="shared" si="3"/>
        <v>57.455759524593823</v>
      </c>
      <c r="J17" s="580">
        <f t="shared" si="4"/>
        <v>0.95759599207656376</v>
      </c>
      <c r="K17" s="125">
        <f t="shared" si="0"/>
        <v>42975.12231134584</v>
      </c>
      <c r="L17" s="125">
        <f t="shared" si="1"/>
        <v>42976.079907337917</v>
      </c>
      <c r="M17" s="125"/>
      <c r="N17" s="5"/>
      <c r="O17" s="5"/>
      <c r="P17" s="52" t="str">
        <f t="shared" si="5"/>
        <v>120923</v>
      </c>
      <c r="Q17" s="150">
        <f>VLOOKUP(P17,deuda!A$1:H$550,4,0)</f>
        <v>1</v>
      </c>
      <c r="R17" s="150">
        <f>VLOOKUP(P17,deuda!A$1:H$550,5,0)</f>
        <v>2</v>
      </c>
      <c r="S17" s="150">
        <f>IF(VLOOKUP(P17,deuda!A$1:H$550,6,0)=0,"",VLOOKUP(P17,deuda!A$1:H$550,6,0))</f>
        <v>5286.27</v>
      </c>
      <c r="T17" s="151" t="str">
        <f>IF((VLOOKUP(P17,deuda!A$1:H$550,7,0))=0,"",VLOOKUP(P17,deuda!A$1:H$550,7,0))</f>
        <v/>
      </c>
      <c r="U17" s="152" t="str">
        <f>IF((VLOOKUP(P17,deuda!A$1:H$550,8,0))=0,"",VLOOKUP(P17,deuda!A$1:H$550,8,0))</f>
        <v/>
      </c>
    </row>
    <row r="18" spans="1:21" ht="30" customHeight="1">
      <c r="A18" s="35">
        <v>6</v>
      </c>
      <c r="B18" s="5">
        <v>1209</v>
      </c>
      <c r="C18" s="5">
        <v>17</v>
      </c>
      <c r="D18" s="5">
        <v>1</v>
      </c>
      <c r="E18" s="9">
        <v>4.6467000000000001</v>
      </c>
      <c r="F18" s="103" t="str">
        <f t="shared" si="2"/>
        <v>SI</v>
      </c>
      <c r="G18" s="5" t="s">
        <v>310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4.6467000000000001</v>
      </c>
      <c r="I18" s="629">
        <f t="shared" si="3"/>
        <v>24.076950902993179</v>
      </c>
      <c r="J18" s="580">
        <f t="shared" si="4"/>
        <v>0.40128251504988632</v>
      </c>
      <c r="K18" s="125">
        <f t="shared" si="0"/>
        <v>42974.721028830791</v>
      </c>
      <c r="L18" s="125">
        <f t="shared" si="1"/>
        <v>42975.12231134584</v>
      </c>
      <c r="M18" s="125"/>
      <c r="N18" s="5"/>
      <c r="O18" s="5"/>
      <c r="P18" s="52" t="str">
        <f t="shared" si="5"/>
        <v>120917</v>
      </c>
      <c r="Q18" s="150">
        <f>VLOOKUP(P18,deuda!A$1:H$550,4,0)</f>
        <v>1</v>
      </c>
      <c r="R18" s="150">
        <f>VLOOKUP(P18,deuda!A$1:H$550,5,0)</f>
        <v>1</v>
      </c>
      <c r="S18" s="150">
        <f>IF(VLOOKUP(P18,deuda!A$1:H$550,6,0)=0,"",VLOOKUP(P18,deuda!A$1:H$550,6,0))</f>
        <v>630.62</v>
      </c>
      <c r="T18" s="151" t="str">
        <f>IF((VLOOKUP(P18,deuda!A$1:H$550,7,0))=0,"",VLOOKUP(P18,deuda!A$1:H$550,7,0))</f>
        <v/>
      </c>
      <c r="U18" s="152" t="str">
        <f>IF((VLOOKUP(P18,deuda!A$1:H$550,8,0))=0,"",VLOOKUP(P18,deuda!A$1:H$550,8,0))</f>
        <v/>
      </c>
    </row>
    <row r="19" spans="1:21" ht="30" customHeight="1">
      <c r="A19" s="35">
        <v>7</v>
      </c>
      <c r="B19" s="5">
        <v>1209</v>
      </c>
      <c r="C19" s="5">
        <v>16</v>
      </c>
      <c r="D19" s="5">
        <v>1</v>
      </c>
      <c r="E19" s="9">
        <v>4</v>
      </c>
      <c r="F19" s="103" t="str">
        <f t="shared" si="2"/>
        <v>SI</v>
      </c>
      <c r="G19" s="5" t="s">
        <v>311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4</v>
      </c>
      <c r="I19" s="629">
        <f t="shared" si="3"/>
        <v>20.726064435399898</v>
      </c>
      <c r="J19" s="580">
        <f t="shared" si="4"/>
        <v>0.34543440725666497</v>
      </c>
      <c r="K19" s="125">
        <f t="shared" si="0"/>
        <v>42974.375594423531</v>
      </c>
      <c r="L19" s="125">
        <f t="shared" si="1"/>
        <v>42974.721028830791</v>
      </c>
      <c r="M19" s="125"/>
      <c r="N19" s="5"/>
      <c r="O19" s="5"/>
      <c r="P19" s="52" t="str">
        <f t="shared" si="5"/>
        <v>120916</v>
      </c>
      <c r="Q19" s="150">
        <f>VLOOKUP(P19,deuda!A$1:H$550,4,0)</f>
        <v>1</v>
      </c>
      <c r="R19" s="150">
        <f>VLOOKUP(P19,deuda!A$1:H$550,5,0)</f>
        <v>0</v>
      </c>
      <c r="S19" s="150">
        <f>IF(VLOOKUP(P19,deuda!A$1:H$550,6,0)=0,"",VLOOKUP(P19,deuda!A$1:H$550,6,0))</f>
        <v>14.89</v>
      </c>
      <c r="T19" s="151" t="str">
        <f>IF((VLOOKUP(P19,deuda!A$1:H$550,7,0))=0,"",VLOOKUP(P19,deuda!A$1:H$550,7,0))</f>
        <v/>
      </c>
      <c r="U19" s="152" t="str">
        <f>IF((VLOOKUP(P19,deuda!A$1:H$550,8,0))=0,"",VLOOKUP(P19,deuda!A$1:H$550,8,0))</f>
        <v/>
      </c>
    </row>
    <row r="20" spans="1:21" ht="30" customHeight="1">
      <c r="A20" s="35">
        <v>8</v>
      </c>
      <c r="B20" s="5">
        <v>1209</v>
      </c>
      <c r="C20" s="5">
        <v>15</v>
      </c>
      <c r="D20" s="5">
        <v>1</v>
      </c>
      <c r="E20" s="9">
        <v>5.3906000000000001</v>
      </c>
      <c r="F20" s="103" t="str">
        <f t="shared" si="2"/>
        <v>SI</v>
      </c>
      <c r="G20" s="5" t="s">
        <v>312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5.3906000000000001</v>
      </c>
      <c r="I20" s="629">
        <f t="shared" si="3"/>
        <v>27.931480736366673</v>
      </c>
      <c r="J20" s="580">
        <f t="shared" si="4"/>
        <v>0.46552467893944455</v>
      </c>
      <c r="K20" s="125">
        <f>+L21</f>
        <v>42973.91006974459</v>
      </c>
      <c r="L20" s="125">
        <f>+K20+J20</f>
        <v>42974.375594423531</v>
      </c>
      <c r="M20" s="125"/>
      <c r="N20" s="5"/>
      <c r="O20" s="5"/>
      <c r="P20" s="52" t="str">
        <f t="shared" si="5"/>
        <v>120915</v>
      </c>
      <c r="Q20" s="150">
        <f>VLOOKUP(P20,deuda!A$1:H$550,4,0)</f>
        <v>1</v>
      </c>
      <c r="R20" s="150">
        <f>VLOOKUP(P20,deuda!A$1:H$550,5,0)</f>
        <v>0</v>
      </c>
      <c r="S20" s="150" t="str">
        <f>IF(VLOOKUP(P20,deuda!A$1:H$550,6,0)=0,"",VLOOKUP(P20,deuda!A$1:H$550,6,0))</f>
        <v/>
      </c>
      <c r="T20" s="151" t="str">
        <f>IF((VLOOKUP(P20,deuda!A$1:H$550,7,0))=0,"",VLOOKUP(P20,deuda!A$1:H$550,7,0))</f>
        <v/>
      </c>
      <c r="U20" s="152" t="str">
        <f>IF((VLOOKUP(P20,deuda!A$1:H$550,8,0))=0,"",VLOOKUP(P20,deuda!A$1:H$550,8,0))</f>
        <v/>
      </c>
    </row>
    <row r="21" spans="1:21" ht="30" customHeight="1" thickBot="1">
      <c r="A21" s="36">
        <v>9</v>
      </c>
      <c r="B21" s="29">
        <v>1209</v>
      </c>
      <c r="C21" s="29">
        <v>2</v>
      </c>
      <c r="D21" s="29">
        <v>1</v>
      </c>
      <c r="E21" s="40">
        <v>3.3010000000000002</v>
      </c>
      <c r="F21" s="103" t="str">
        <f t="shared" si="2"/>
        <v>SI</v>
      </c>
      <c r="G21" s="29" t="s">
        <v>313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3.3010000000000002</v>
      </c>
      <c r="I21" s="629">
        <f t="shared" si="3"/>
        <v>17.104184675313768</v>
      </c>
      <c r="J21" s="580">
        <f t="shared" si="4"/>
        <v>0.28506974458856277</v>
      </c>
      <c r="K21" s="125">
        <f>+C5+H6</f>
        <v>42973.625</v>
      </c>
      <c r="L21" s="125">
        <f>+K21+J21</f>
        <v>42973.91006974459</v>
      </c>
      <c r="M21" s="125"/>
      <c r="N21" s="29"/>
      <c r="O21" s="29"/>
      <c r="P21" s="52" t="str">
        <f t="shared" si="5"/>
        <v>12092</v>
      </c>
      <c r="Q21" s="150">
        <f>VLOOKUP(P21,deuda!A$1:H$550,4,0)</f>
        <v>1</v>
      </c>
      <c r="R21" s="150">
        <f>VLOOKUP(P21,deuda!A$1:H$550,5,0)</f>
        <v>1</v>
      </c>
      <c r="S21" s="150">
        <f>IF(VLOOKUP(P21,deuda!A$1:H$550,6,0)=0,"",VLOOKUP(P21,deuda!A$1:H$550,6,0))</f>
        <v>615.22</v>
      </c>
      <c r="T21" s="151" t="str">
        <f>IF((VLOOKUP(P21,deuda!A$1:H$550,7,0))=0,"",VLOOKUP(P21,deuda!A$1:H$550,7,0))</f>
        <v/>
      </c>
      <c r="U21" s="152" t="str">
        <f>IF((VLOOKUP(P21,deuda!A$1:H$550,8,0))=0,"",VLOOKUP(P21,deuda!A$1:H$550,8,0))</f>
        <v/>
      </c>
    </row>
    <row r="22" spans="1:21">
      <c r="E22" s="358">
        <f>SUM(E13:E21)</f>
        <v>46.515300000000003</v>
      </c>
      <c r="F22" s="358"/>
      <c r="G22" s="211"/>
      <c r="H22" s="359">
        <f>SUM(H13:H21)</f>
        <v>45.232900000000001</v>
      </c>
      <c r="I22" s="12">
        <f>SUM(I13:I21)</f>
        <v>234.37500000000003</v>
      </c>
      <c r="J22" s="88"/>
      <c r="M22" s="125"/>
    </row>
    <row r="23" spans="1:21">
      <c r="I23" s="4"/>
      <c r="J23" s="3"/>
      <c r="M23" s="125"/>
    </row>
    <row r="24" spans="1:21">
      <c r="M24" s="125"/>
    </row>
    <row r="25" spans="1:21">
      <c r="M25" s="125"/>
    </row>
    <row r="26" spans="1:21">
      <c r="M26" s="125"/>
    </row>
    <row r="27" spans="1:21">
      <c r="M27" s="125"/>
    </row>
    <row r="28" spans="1:21">
      <c r="M28" s="125"/>
    </row>
    <row r="29" spans="1:21">
      <c r="M29" s="125"/>
    </row>
    <row r="30" spans="1:21">
      <c r="M30" s="125"/>
    </row>
    <row r="31" spans="1:21">
      <c r="M31" s="125"/>
    </row>
    <row r="32" spans="1:21">
      <c r="M32" s="125"/>
    </row>
    <row r="33" spans="13:13">
      <c r="M33" s="10"/>
    </row>
  </sheetData>
  <mergeCells count="6">
    <mergeCell ref="A9:B9"/>
    <mergeCell ref="A5:B5"/>
    <mergeCell ref="C5:E5"/>
    <mergeCell ref="A6:B6"/>
    <mergeCell ref="C6:E6"/>
    <mergeCell ref="C9:D9"/>
  </mergeCells>
  <phoneticPr fontId="0" type="noConversion"/>
  <dataValidations disablePrompts="1" count="1">
    <dataValidation type="list" allowBlank="1" showInputMessage="1" showErrorMessage="1" errorTitle="ATENCIÓN" error="NO PUEDEN INGRESARSE VALORES" promptTitle="RECORDAR" prompt="NO OLVIDE VOLVER A PEGAR LA FORMULA PARA QUE LA PLANILLA LEA AUTOMATICAMENTE LOS DATOS " sqref="Q13:Q21" xr:uid="{00000000-0002-0000-1800-000000000000}">
      <formula1>"2, 3"</formula1>
    </dataValidation>
  </dataValidations>
  <pageMargins left="0.15748031496062992" right="0.15748031496062992" top="0.98425196850393704" bottom="0.98425196850393704" header="0" footer="0"/>
  <pageSetup paperSize="281" scale="85" orientation="landscape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35"/>
  <dimension ref="A1:G152"/>
  <sheetViews>
    <sheetView view="pageBreakPreview" topLeftCell="A124" zoomScale="75" zoomScaleNormal="100" workbookViewId="0" xr3:uid="{94BC7849-1D55-59FD-A4A3-F33B65D9F6CB}">
      <selection activeCell="F83" sqref="F83:F85"/>
    </sheetView>
  </sheetViews>
  <sheetFormatPr defaultColWidth="11.42578125" defaultRowHeight="12.75"/>
  <cols>
    <col min="2" max="2" width="11.5703125" bestFit="1" customWidth="1"/>
    <col min="3" max="3" width="21.85546875" bestFit="1" customWidth="1"/>
    <col min="5" max="5" width="11.5703125" bestFit="1" customWidth="1"/>
    <col min="6" max="6" width="17.7109375" customWidth="1"/>
  </cols>
  <sheetData>
    <row r="1" spans="1:7">
      <c r="A1" s="447"/>
      <c r="B1" s="448"/>
      <c r="C1" s="448"/>
      <c r="D1" s="448"/>
      <c r="E1" s="448"/>
      <c r="F1" s="449"/>
      <c r="G1" s="81"/>
    </row>
    <row r="2" spans="1:7">
      <c r="A2" s="465" t="s">
        <v>64</v>
      </c>
      <c r="B2" s="81"/>
      <c r="C2" s="81"/>
      <c r="D2" s="81"/>
      <c r="E2" s="81"/>
      <c r="F2" s="451"/>
      <c r="G2" s="81"/>
    </row>
    <row r="3" spans="1:7">
      <c r="A3" s="450"/>
      <c r="B3" s="81"/>
      <c r="C3" s="81"/>
      <c r="D3" s="81"/>
      <c r="E3" s="81"/>
      <c r="F3" s="451"/>
      <c r="G3" s="81"/>
    </row>
    <row r="4" spans="1:7">
      <c r="A4" s="450" t="s">
        <v>139</v>
      </c>
      <c r="B4" s="81" t="str">
        <f>VLOOKUP(F5,'10_1'!$A$13:$G$32,7,0)</f>
        <v>SARDI, ALEJANDRO JUAN Y SARDI, ALDO MARIO</v>
      </c>
      <c r="C4" s="81"/>
      <c r="D4" s="81"/>
      <c r="E4" s="81"/>
      <c r="F4" s="452" t="s">
        <v>102</v>
      </c>
      <c r="G4" s="81"/>
    </row>
    <row r="5" spans="1:7">
      <c r="A5" s="450" t="s">
        <v>72</v>
      </c>
      <c r="B5" s="81" t="str">
        <f>+'10_1'!$H$2</f>
        <v>Hijuela Villegas</v>
      </c>
      <c r="C5" s="81"/>
      <c r="D5" s="81"/>
      <c r="E5" s="81"/>
      <c r="F5" s="452">
        <v>1</v>
      </c>
      <c r="G5" s="81"/>
    </row>
    <row r="6" spans="1:7">
      <c r="A6" s="450"/>
      <c r="B6" s="81"/>
      <c r="C6" s="81"/>
      <c r="D6" s="81"/>
      <c r="E6" s="81"/>
      <c r="F6" s="451"/>
      <c r="G6" s="81"/>
    </row>
    <row r="7" spans="1:7">
      <c r="A7" s="466" t="s">
        <v>140</v>
      </c>
      <c r="B7" s="458">
        <f>VLOOKUP(F5,'10_1'!$A$13:$B$32,2,0)</f>
        <v>1209</v>
      </c>
      <c r="C7" s="81"/>
      <c r="D7" s="139" t="s">
        <v>141</v>
      </c>
      <c r="E7" s="460">
        <f>DSUM('10_1'!A$12:J$32,'10_1'!$J$12,F4:F5)</f>
        <v>0.5008885263823456</v>
      </c>
      <c r="F7" s="451"/>
      <c r="G7" s="81"/>
    </row>
    <row r="8" spans="1:7">
      <c r="A8" s="466" t="s">
        <v>142</v>
      </c>
      <c r="B8" s="461">
        <v>3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466" t="s">
        <v>144</v>
      </c>
      <c r="B9" s="462">
        <f>DSUM('10_1'!$A$12:$H$32,'10_1'!$H$12,F4:F5)</f>
        <v>5.8000999999999996</v>
      </c>
      <c r="C9" s="81"/>
      <c r="D9" s="139" t="s">
        <v>145</v>
      </c>
      <c r="E9" s="458" t="str">
        <f>IF(VLOOKUP(F5,'10_1'!$A$13:$D$50,4,0)=1, "Definitivo 100%", "Eventual 80%")</f>
        <v>Definitivo 100%</v>
      </c>
      <c r="F9" s="583"/>
      <c r="G9" s="81"/>
    </row>
    <row r="10" spans="1:7" ht="15.75">
      <c r="A10" s="450"/>
      <c r="B10" s="139" t="s">
        <v>146</v>
      </c>
      <c r="C10" s="477">
        <f>DMIN('10_1'!A$12:L$38,'10_1'!$K$12,F4:F5)</f>
        <v>42977.030361473626</v>
      </c>
      <c r="D10" s="189"/>
      <c r="E10" s="190">
        <f>WEEKDAY(C10)</f>
        <v>4</v>
      </c>
      <c r="F10" s="453" t="s">
        <v>62</v>
      </c>
      <c r="G10" s="81"/>
    </row>
    <row r="11" spans="1:7" ht="15.75">
      <c r="A11" s="450"/>
      <c r="B11" s="139" t="s">
        <v>147</v>
      </c>
      <c r="C11" s="477">
        <f>DMAX('10_1'!A$12:N$38,'10_1'!$L$12,F4:F5)</f>
        <v>42977.531250000007</v>
      </c>
      <c r="D11" s="189"/>
      <c r="E11" s="190">
        <f>WEEKDAY(C11)</f>
        <v>4</v>
      </c>
      <c r="F11" s="453">
        <f>WEEKDAY(C11)</f>
        <v>4</v>
      </c>
      <c r="G11" s="81"/>
    </row>
    <row r="12" spans="1:7">
      <c r="A12" s="323" t="str">
        <f>+'planilla caudales'!$J$14</f>
        <v>Caudal l/s</v>
      </c>
      <c r="B12" s="324" t="str">
        <f>+'planilla caudales'!$K$3</f>
        <v>Escala cm</v>
      </c>
      <c r="C12" s="81"/>
      <c r="D12" s="81"/>
      <c r="E12" s="584"/>
      <c r="F12" s="583"/>
      <c r="G12" s="81"/>
    </row>
    <row r="13" spans="1:7">
      <c r="A13" s="606">
        <f>+'planilla caudales'!$J$21</f>
        <v>72.372640000000004</v>
      </c>
      <c r="B13" s="606">
        <f>+'planilla caudales'!$K$21</f>
        <v>29.121648102145109</v>
      </c>
      <c r="C13" s="81"/>
      <c r="D13" s="81"/>
      <c r="E13" s="81"/>
      <c r="F13" s="451"/>
      <c r="G13" s="81">
        <f>9*17</f>
        <v>153</v>
      </c>
    </row>
    <row r="14" spans="1:7">
      <c r="A14" s="472">
        <f>+Mensajes!$B$7</f>
        <v>0</v>
      </c>
      <c r="B14" s="10"/>
      <c r="C14" s="81"/>
      <c r="D14" s="81"/>
      <c r="E14" s="81"/>
      <c r="F14" s="451"/>
      <c r="G14" s="81"/>
    </row>
    <row r="15" spans="1:7">
      <c r="A15" s="472">
        <f>+Mensajes!$B$12</f>
        <v>0</v>
      </c>
      <c r="B15" s="81"/>
      <c r="C15" s="81"/>
      <c r="D15" s="81"/>
      <c r="E15" s="81"/>
      <c r="F15" s="451"/>
      <c r="G15" s="81"/>
    </row>
    <row r="16" spans="1:7" ht="13.5" thickBot="1">
      <c r="A16" s="468"/>
      <c r="B16" s="455"/>
      <c r="C16" s="455"/>
      <c r="D16" s="454" t="str">
        <f>IF(DSUM('10_1'!$A$12:$Q$89,16,F4:F5)=COUNTIF('10_1'!$A$13:$A$89,F5),"","Regularice su Deuda")</f>
        <v>Regularice su Deuda</v>
      </c>
      <c r="E16" s="455"/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VLOOKUP(F22,'10_1'!$A$13:$G$32,7,0)</f>
        <v>ALVAREZ, ORLANDO ALEJANDRO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+'10_1'!$H$2</f>
        <v>Hijuela Villegas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66" t="s">
        <v>140</v>
      </c>
      <c r="B24" s="458">
        <f>VLOOKUP(F22,'10_1'!$A$13:$B$32,2,0)</f>
        <v>1209</v>
      </c>
      <c r="C24" s="81"/>
      <c r="D24" s="139" t="s">
        <v>141</v>
      </c>
      <c r="E24" s="460">
        <f>DSUM('10_1'!A$12:J$32,'10_1'!$J$12,F21:F22)</f>
        <v>0.13106644997336012</v>
      </c>
      <c r="F24" s="451"/>
    </row>
    <row r="25" spans="1:6">
      <c r="A25" s="466" t="s">
        <v>142</v>
      </c>
      <c r="B25" s="461">
        <v>21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66" t="s">
        <v>144</v>
      </c>
      <c r="B26" s="462">
        <f>DSUM('10_1'!$A$12:$H$32,'10_1'!$H$12,F21:F22)</f>
        <v>1.5177</v>
      </c>
      <c r="C26" s="81"/>
      <c r="D26" s="139" t="s">
        <v>145</v>
      </c>
      <c r="E26" s="458" t="str">
        <f>IF(VLOOKUP(F22,'10_1'!$A$13:$D$50,4,0)=1, "Definitivo 100%", "Eventual 80%")</f>
        <v>Definitivo 100%</v>
      </c>
      <c r="F26" s="583"/>
    </row>
    <row r="27" spans="1:6" ht="15.75">
      <c r="A27" s="450"/>
      <c r="B27" s="139" t="s">
        <v>146</v>
      </c>
      <c r="C27" s="477">
        <f>DMIN('10_1'!A$12:L$38,'10_1'!$K$12,F21:F22)</f>
        <v>42976.89929502365</v>
      </c>
      <c r="D27" s="189"/>
      <c r="E27" s="190">
        <f>WEEKDAY(C27)</f>
        <v>3</v>
      </c>
      <c r="F27" s="453" t="s">
        <v>62</v>
      </c>
    </row>
    <row r="28" spans="1:6" ht="15.75">
      <c r="A28" s="450"/>
      <c r="B28" s="139" t="s">
        <v>147</v>
      </c>
      <c r="C28" s="477">
        <f>DMAX('10_1'!A$12:N$38,'10_1'!$L$12,F21:F22)</f>
        <v>42977.030361473626</v>
      </c>
      <c r="D28" s="189"/>
      <c r="E28" s="190">
        <f>WEEKDAY(C28)</f>
        <v>4</v>
      </c>
      <c r="F28" s="453">
        <f>WEEKDAY(C28)</f>
        <v>4</v>
      </c>
    </row>
    <row r="29" spans="1:6">
      <c r="A29" s="323" t="str">
        <f>+'planilla caudales'!$J$14</f>
        <v>Caudal l/s</v>
      </c>
      <c r="B29" s="324" t="str">
        <f>+'planilla caudales'!$K$3</f>
        <v>Escala cm</v>
      </c>
      <c r="C29" s="81"/>
      <c r="D29" s="81"/>
      <c r="E29" s="584"/>
      <c r="F29" s="583"/>
    </row>
    <row r="30" spans="1:6">
      <c r="A30" s="606">
        <f>+'planilla caudales'!$J$21</f>
        <v>72.372640000000004</v>
      </c>
      <c r="B30" s="606">
        <f>+'planilla caudales'!$K$21</f>
        <v>29.121648102145109</v>
      </c>
      <c r="C30" s="81"/>
      <c r="D30" s="81"/>
      <c r="E30" s="81"/>
      <c r="F30" s="451"/>
    </row>
    <row r="31" spans="1:6">
      <c r="A31" s="472">
        <f>+Mensajes!$B$7</f>
        <v>0</v>
      </c>
      <c r="B31" s="10"/>
      <c r="C31" s="81"/>
      <c r="D31" s="81"/>
      <c r="E31" s="81"/>
      <c r="F31" s="451"/>
    </row>
    <row r="32" spans="1:6">
      <c r="A32" s="472">
        <f>+Mensajes!$B$12</f>
        <v>0</v>
      </c>
      <c r="B32" s="81"/>
      <c r="C32" s="81"/>
      <c r="D32" s="81"/>
      <c r="E32" s="81"/>
      <c r="F32" s="451"/>
    </row>
    <row r="33" spans="1:6" ht="13.5" thickBot="1">
      <c r="A33" s="468"/>
      <c r="B33" s="455"/>
      <c r="C33" s="455"/>
      <c r="D33" s="454" t="str">
        <f>IF(DSUM('10_1'!$A$12:$Q$89,16,F21:F22)=COUNTIF('10_1'!$A$13:$A$89,F22),"","Regularice su Deuda")</f>
        <v>Regularice su Deuda</v>
      </c>
      <c r="E33" s="455"/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VLOOKUP(F39,'10_1'!$A$13:$G$32,7,0)</f>
        <v>MATEU DE LOTTERO, ANTONIA MIRTA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+'10_1'!$H$2</f>
        <v>Hijuela Villegas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VLOOKUP(F39,'10_1'!$A$13:$B$32,2,0)</f>
        <v>1209</v>
      </c>
      <c r="C41" s="81"/>
      <c r="D41" s="139" t="s">
        <v>141</v>
      </c>
      <c r="E41" s="460">
        <f>DSUM('10_1'!A$12:J$32,'10_1'!$J$12,F38:F39)</f>
        <v>0</v>
      </c>
      <c r="F41" s="451"/>
    </row>
    <row r="42" spans="1:6">
      <c r="A42" s="466" t="s">
        <v>142</v>
      </c>
      <c r="B42" s="461">
        <v>4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DSUM('10_1'!$A$12:$H$32,'10_1'!$H$12,F38:F39)</f>
        <v>0</v>
      </c>
      <c r="C43" s="81"/>
      <c r="D43" s="139" t="s">
        <v>145</v>
      </c>
      <c r="E43" s="458" t="str">
        <f>IF(VLOOKUP(F39,'10_1'!$A$13:$D$50,4,0)=1, "Definitivo 100%", "Eventual 80%")</f>
        <v>Definitivo 100%</v>
      </c>
      <c r="F43" s="583"/>
    </row>
    <row r="44" spans="1:6" ht="15.75">
      <c r="A44" s="450"/>
      <c r="B44" s="139" t="s">
        <v>146</v>
      </c>
      <c r="C44" s="477">
        <f>DMIN('10_1'!A$12:L$38,'10_1'!$K$12,F38:F39)</f>
        <v>42976.89929502365</v>
      </c>
      <c r="D44" s="189"/>
      <c r="E44" s="190">
        <f>WEEKDAY(C44)</f>
        <v>3</v>
      </c>
      <c r="F44" s="453" t="s">
        <v>62</v>
      </c>
    </row>
    <row r="45" spans="1:6" ht="15.75">
      <c r="A45" s="450"/>
      <c r="B45" s="139" t="s">
        <v>147</v>
      </c>
      <c r="C45" s="477">
        <f>DMAX('10_1'!A$12:N$38,'10_1'!$L$12,F38:F39)</f>
        <v>42976.89929502365</v>
      </c>
      <c r="D45" s="189"/>
      <c r="E45" s="190">
        <f>WEEKDAY(C45)</f>
        <v>3</v>
      </c>
      <c r="F45" s="453">
        <f>WEEKDAY(C45)</f>
        <v>3</v>
      </c>
    </row>
    <row r="46" spans="1:6">
      <c r="A46" s="323" t="str">
        <f>+'planilla caudales'!$J$14</f>
        <v>Caudal l/s</v>
      </c>
      <c r="B46" s="324" t="str">
        <f>+'planilla caudales'!$K$3</f>
        <v>Escala cm</v>
      </c>
      <c r="C46" s="81"/>
      <c r="D46" s="81"/>
      <c r="E46" s="584"/>
      <c r="F46" s="583"/>
    </row>
    <row r="47" spans="1:6">
      <c r="A47" s="606">
        <f>+'planilla caudales'!$J$21</f>
        <v>72.372640000000004</v>
      </c>
      <c r="B47" s="606">
        <f>+'planilla caudales'!$K$21</f>
        <v>29.121648102145109</v>
      </c>
      <c r="C47" s="81"/>
      <c r="D47" s="81"/>
      <c r="E47" s="81"/>
      <c r="F47" s="451"/>
    </row>
    <row r="48" spans="1:6">
      <c r="A48" s="472">
        <f>+Mensajes!$B$7</f>
        <v>0</v>
      </c>
      <c r="B48" s="10"/>
      <c r="C48" s="81"/>
      <c r="D48" s="81"/>
      <c r="E48" s="81"/>
      <c r="F48" s="451"/>
    </row>
    <row r="49" spans="1:6">
      <c r="A49" s="472">
        <f>+Mensajes!$B$12</f>
        <v>0</v>
      </c>
      <c r="B49" s="81"/>
      <c r="C49" s="81"/>
      <c r="D49" s="81"/>
      <c r="E49" s="81"/>
      <c r="F49" s="451"/>
    </row>
    <row r="50" spans="1:6" ht="13.5" thickBot="1">
      <c r="A50" s="468"/>
      <c r="B50" s="455"/>
      <c r="C50" s="455"/>
      <c r="D50" s="454" t="str">
        <f>IF(DSUM('10_1'!$A$12:$Q$89,16,F38:F39)=COUNTIF('10_1'!$A$13:$A$89,F39),"","Regularice su Deuda")</f>
        <v>Regularice su Deuda</v>
      </c>
      <c r="E50" s="455"/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VLOOKUP(F56,'10_1'!$A$13:$G$32,7,0)</f>
        <v>PATACÓN S.R.L.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+'10_1'!$H$2</f>
        <v>Hijuela Villegas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VLOOKUP(F56,'10_1'!$A$13:$B$32,2,0)</f>
        <v>1209</v>
      </c>
      <c r="C58" s="81"/>
      <c r="D58" s="139" t="s">
        <v>141</v>
      </c>
      <c r="E58" s="460">
        <f>DSUM('10_1'!A$12:J$32,'10_1'!$J$12,F55:F56)</f>
        <v>0.81938768573317222</v>
      </c>
      <c r="F58" s="451"/>
    </row>
    <row r="59" spans="1:6">
      <c r="A59" s="466" t="s">
        <v>142</v>
      </c>
      <c r="B59" s="461">
        <v>22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DSUM('10_1'!$A$12:$H$32,'10_1'!$H$12,F55:F56)</f>
        <v>9.4882000000000009</v>
      </c>
      <c r="C60" s="81"/>
      <c r="D60" s="139" t="s">
        <v>145</v>
      </c>
      <c r="E60" s="458" t="str">
        <f>IF(VLOOKUP(F56,'10_1'!$A$13:$D$50,4,0)=1, "Definitivo 100%", "Eventual 80%")</f>
        <v>Definitivo 100%</v>
      </c>
      <c r="F60" s="583"/>
    </row>
    <row r="61" spans="1:6" ht="15.75">
      <c r="A61" s="450"/>
      <c r="B61" s="139" t="s">
        <v>146</v>
      </c>
      <c r="C61" s="477">
        <f>DMIN('10_1'!A$12:L$38,'10_1'!$K$12,F55:F56)</f>
        <v>42976.079907337917</v>
      </c>
      <c r="D61" s="189"/>
      <c r="E61" s="190">
        <f>WEEKDAY(C61)</f>
        <v>3</v>
      </c>
      <c r="F61" s="453" t="s">
        <v>62</v>
      </c>
    </row>
    <row r="62" spans="1:6" ht="15.75">
      <c r="A62" s="450"/>
      <c r="B62" s="139" t="s">
        <v>147</v>
      </c>
      <c r="C62" s="477">
        <f>DMAX('10_1'!A$12:N$38,'10_1'!$L$12,F55:F56)</f>
        <v>42976.89929502365</v>
      </c>
      <c r="D62" s="189"/>
      <c r="E62" s="190">
        <f>WEEKDAY(C62)</f>
        <v>3</v>
      </c>
      <c r="F62" s="453">
        <f>WEEKDAY(C62)</f>
        <v>3</v>
      </c>
    </row>
    <row r="63" spans="1:6">
      <c r="A63" s="323" t="str">
        <f>+'planilla caudales'!$J$14</f>
        <v>Caudal l/s</v>
      </c>
      <c r="B63" s="324" t="str">
        <f>+'planilla caudales'!$K$3</f>
        <v>Escala cm</v>
      </c>
      <c r="C63" s="81"/>
      <c r="D63" s="81"/>
      <c r="E63" s="584"/>
      <c r="F63" s="583"/>
    </row>
    <row r="64" spans="1:6">
      <c r="A64" s="606">
        <f>+'planilla caudales'!$J$21</f>
        <v>72.372640000000004</v>
      </c>
      <c r="B64" s="606">
        <f>+'planilla caudales'!$K$21</f>
        <v>29.121648102145109</v>
      </c>
      <c r="C64" s="81"/>
      <c r="D64" s="81"/>
      <c r="E64" s="81"/>
      <c r="F64" s="451"/>
    </row>
    <row r="65" spans="1:6">
      <c r="A65" s="472">
        <f>+Mensajes!$B$7</f>
        <v>0</v>
      </c>
      <c r="B65" s="10"/>
      <c r="C65" s="81"/>
      <c r="D65" s="81"/>
      <c r="E65" s="81"/>
      <c r="F65" s="451"/>
    </row>
    <row r="66" spans="1:6">
      <c r="A66" s="472">
        <f>+Mensajes!$B$12</f>
        <v>0</v>
      </c>
      <c r="B66" s="81"/>
      <c r="C66" s="81"/>
      <c r="D66" s="81"/>
      <c r="E66" s="81"/>
      <c r="F66" s="451"/>
    </row>
    <row r="67" spans="1:6" ht="13.5" thickBot="1">
      <c r="A67" s="468"/>
      <c r="B67" s="455"/>
      <c r="C67" s="455"/>
      <c r="D67" s="454" t="str">
        <f>IF(DSUM('10_1'!$A$12:$Q$89,16,F55:F56)=COUNTIF('10_1'!$A$13:$A$89,F56),"","Regularice su Deuda")</f>
        <v>Regularice su Deuda</v>
      </c>
      <c r="E67" s="455"/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VLOOKUP(F73,'10_1'!$A$13:$G$32,7,0)</f>
        <v>MATEU DE ARIZU, ESPERANZA ALICIA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+'10_1'!$H$2</f>
        <v>Hijuela Villegas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VLOOKUP(F73,'10_1'!$A$13:$B$32,2,0)</f>
        <v>1209</v>
      </c>
      <c r="C75" s="81"/>
      <c r="D75" s="139" t="s">
        <v>141</v>
      </c>
      <c r="E75" s="460">
        <f>DSUM('10_1'!A$12:J$32,'10_1'!$J$12,F72:F73)</f>
        <v>0.95759599207656376</v>
      </c>
      <c r="F75" s="451"/>
    </row>
    <row r="76" spans="1:6">
      <c r="A76" s="466" t="s">
        <v>142</v>
      </c>
      <c r="B76" s="461">
        <v>23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DSUM('10_1'!$A$12:$H$32,'10_1'!$H$12,F72:F73)</f>
        <v>11.0886</v>
      </c>
      <c r="C77" s="81"/>
      <c r="D77" s="139" t="s">
        <v>145</v>
      </c>
      <c r="E77" s="458" t="str">
        <f>IF(VLOOKUP(F73,'10_1'!$A$13:$D$50,4,0)=1, "Definitivo 100%", "Eventual 80%")</f>
        <v>Definitivo 100%</v>
      </c>
      <c r="F77" s="583"/>
    </row>
    <row r="78" spans="1:6" ht="15.75">
      <c r="A78" s="450"/>
      <c r="B78" s="139" t="s">
        <v>146</v>
      </c>
      <c r="C78" s="477">
        <f>DMIN('10_1'!A$12:L$38,'10_1'!$K$12,F72:F73)</f>
        <v>42975.12231134584</v>
      </c>
      <c r="D78" s="189"/>
      <c r="E78" s="190">
        <f>WEEKDAY(C78)</f>
        <v>2</v>
      </c>
      <c r="F78" s="453" t="s">
        <v>62</v>
      </c>
    </row>
    <row r="79" spans="1:6" ht="15.75">
      <c r="A79" s="450"/>
      <c r="B79" s="139" t="s">
        <v>147</v>
      </c>
      <c r="C79" s="477">
        <f>DMAX('10_1'!A$12:N$38,'10_1'!$L$12,F72:F73)</f>
        <v>42976.079907337917</v>
      </c>
      <c r="D79" s="189"/>
      <c r="E79" s="190">
        <f>WEEKDAY(C79)</f>
        <v>3</v>
      </c>
      <c r="F79" s="453">
        <f>WEEKDAY(C79)</f>
        <v>3</v>
      </c>
    </row>
    <row r="80" spans="1:6">
      <c r="A80" s="323" t="str">
        <f>+'planilla caudales'!$J$14</f>
        <v>Caudal l/s</v>
      </c>
      <c r="B80" s="324" t="str">
        <f>+'planilla caudales'!$K$3</f>
        <v>Escala cm</v>
      </c>
      <c r="C80" s="81"/>
      <c r="D80" s="81"/>
      <c r="E80" s="584"/>
      <c r="F80" s="583"/>
    </row>
    <row r="81" spans="1:6">
      <c r="A81" s="606">
        <f>+'planilla caudales'!$J$21</f>
        <v>72.372640000000004</v>
      </c>
      <c r="B81" s="606">
        <f>+'planilla caudales'!$K$21</f>
        <v>29.121648102145109</v>
      </c>
      <c r="C81" s="81"/>
      <c r="D81" s="81"/>
      <c r="E81" s="81"/>
      <c r="F81" s="451"/>
    </row>
    <row r="82" spans="1:6">
      <c r="A82" s="472">
        <f>+Mensajes!$B$7</f>
        <v>0</v>
      </c>
      <c r="B82" s="10"/>
      <c r="C82" s="81"/>
      <c r="D82" s="81"/>
      <c r="E82" s="81"/>
      <c r="F82" s="451"/>
    </row>
    <row r="83" spans="1:6">
      <c r="A83" s="472">
        <f>+Mensajes!$B$12</f>
        <v>0</v>
      </c>
      <c r="B83" s="81"/>
      <c r="C83" s="81"/>
      <c r="D83" s="81"/>
      <c r="E83" s="81"/>
      <c r="F83" s="451"/>
    </row>
    <row r="84" spans="1:6" ht="13.5" thickBot="1">
      <c r="A84" s="468"/>
      <c r="B84" s="455"/>
      <c r="C84" s="455"/>
      <c r="D84" s="454" t="str">
        <f>IF(DSUM('10_1'!$A$12:$Q$89,16,F72:F73)=COUNTIF('10_1'!$A$13:$A$89,F73),"","Regularice su Deuda")</f>
        <v>Regularice su Deuda</v>
      </c>
      <c r="E84" s="455"/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VLOOKUP(F90,'10_1'!$A$13:$G$32,7,0)</f>
        <v>ARGUMEDO MORALES JUAN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+'10_1'!$H$2</f>
        <v>Hijuela Villegas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VLOOKUP(F90,'10_1'!$A$13:$B$32,2,0)</f>
        <v>1209</v>
      </c>
      <c r="C92" s="81"/>
      <c r="D92" s="139" t="s">
        <v>141</v>
      </c>
      <c r="E92" s="460">
        <f>DSUM('10_1'!A$12:J$32,'10_1'!$J$12,F89:F90)</f>
        <v>0.40128251504988632</v>
      </c>
      <c r="F92" s="451"/>
    </row>
    <row r="93" spans="1:6">
      <c r="A93" s="466" t="s">
        <v>142</v>
      </c>
      <c r="B93" s="461">
        <v>17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DSUM('10_1'!$A$12:$H$32,'10_1'!$H$12,F89:F90)</f>
        <v>4.6467000000000001</v>
      </c>
      <c r="C94" s="81"/>
      <c r="D94" s="139" t="s">
        <v>145</v>
      </c>
      <c r="E94" s="458" t="str">
        <f>IF(VLOOKUP(F90,'10_1'!$A$13:$D$50,4,0)=1, "Definitivo 100%", "Eventual 80%")</f>
        <v>Definitivo 100%</v>
      </c>
      <c r="F94" s="583"/>
    </row>
    <row r="95" spans="1:6" ht="15.75">
      <c r="A95" s="450"/>
      <c r="B95" s="139" t="s">
        <v>146</v>
      </c>
      <c r="C95" s="477">
        <f>DMIN('10_1'!A$12:L$38,'10_1'!$K$12,F89:F90)</f>
        <v>42974.721028830791</v>
      </c>
      <c r="D95" s="189"/>
      <c r="E95" s="190">
        <f>WEEKDAY(C95)</f>
        <v>1</v>
      </c>
      <c r="F95" s="453" t="s">
        <v>62</v>
      </c>
    </row>
    <row r="96" spans="1:6" ht="15.75">
      <c r="A96" s="450"/>
      <c r="B96" s="139" t="s">
        <v>147</v>
      </c>
      <c r="C96" s="477">
        <f>DMAX('10_1'!A$12:N$38,'10_1'!$L$12,F89:F90)</f>
        <v>42975.12231134584</v>
      </c>
      <c r="D96" s="189"/>
      <c r="E96" s="190">
        <f>WEEKDAY(C96)</f>
        <v>2</v>
      </c>
      <c r="F96" s="453">
        <f>WEEKDAY(C96)</f>
        <v>2</v>
      </c>
    </row>
    <row r="97" spans="1:6">
      <c r="A97" s="323" t="str">
        <f>+'planilla caudales'!$J$14</f>
        <v>Caudal l/s</v>
      </c>
      <c r="B97" s="324" t="str">
        <f>+'planilla caudales'!$K$3</f>
        <v>Escala cm</v>
      </c>
      <c r="C97" s="81"/>
      <c r="D97" s="81"/>
      <c r="E97" s="584"/>
      <c r="F97" s="583"/>
    </row>
    <row r="98" spans="1:6">
      <c r="A98" s="606">
        <f>+'planilla caudales'!$J$21</f>
        <v>72.372640000000004</v>
      </c>
      <c r="B98" s="606">
        <f>+'planilla caudales'!$K$21</f>
        <v>29.121648102145109</v>
      </c>
      <c r="C98" s="81"/>
      <c r="D98" s="81"/>
      <c r="E98" s="81"/>
      <c r="F98" s="451"/>
    </row>
    <row r="99" spans="1:6">
      <c r="A99" s="472">
        <f>+Mensajes!$B$7</f>
        <v>0</v>
      </c>
      <c r="B99" s="10"/>
      <c r="C99" s="81"/>
      <c r="D99" s="81"/>
      <c r="E99" s="81"/>
      <c r="F99" s="451"/>
    </row>
    <row r="100" spans="1:6">
      <c r="A100" s="472">
        <f>+Mensajes!$B$12</f>
        <v>0</v>
      </c>
      <c r="B100" s="81"/>
      <c r="C100" s="81"/>
      <c r="D100" s="81"/>
      <c r="E100" s="81"/>
      <c r="F100" s="451"/>
    </row>
    <row r="101" spans="1:6" ht="13.5" thickBot="1">
      <c r="A101" s="468"/>
      <c r="B101" s="455"/>
      <c r="C101" s="455"/>
      <c r="D101" s="454" t="str">
        <f>IF(DSUM('10_1'!$A$12:$Q$89,16,F89:F90)=COUNTIF('10_1'!$A$13:$A$89,F90),"","Regularice su Deuda")</f>
        <v>Regularice su Deuda</v>
      </c>
      <c r="E101" s="455"/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VLOOKUP(F107,'10_1'!$A$13:$G$32,7,0)</f>
        <v>ARGUMEDO MORALES DE ROSSI, BLANCA FIOLETA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+'10_1'!$H$2</f>
        <v>Hijuela Villegas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66" t="s">
        <v>140</v>
      </c>
      <c r="B109" s="458">
        <f>VLOOKUP(F107,'10_1'!$A$13:$B$32,2,0)</f>
        <v>1209</v>
      </c>
      <c r="C109" s="81"/>
      <c r="D109" s="139" t="s">
        <v>141</v>
      </c>
      <c r="E109" s="460">
        <f>DSUM('10_1'!A$12:J$32,'10_1'!$J$12,F106:F107)</f>
        <v>0.34543440725666497</v>
      </c>
      <c r="F109" s="451"/>
    </row>
    <row r="110" spans="1:6">
      <c r="A110" s="466" t="s">
        <v>142</v>
      </c>
      <c r="B110" s="461">
        <v>16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66" t="s">
        <v>144</v>
      </c>
      <c r="B111" s="462">
        <f>DSUM('10_1'!$A$12:$H$32,'10_1'!$H$12,F106:F107)</f>
        <v>4</v>
      </c>
      <c r="C111" s="81"/>
      <c r="D111" s="139" t="s">
        <v>145</v>
      </c>
      <c r="E111" s="458" t="str">
        <f>IF(VLOOKUP(F107,'10_1'!$A$13:$D$50,4,0)=1, "Definitivo 100%", "Eventual 80%")</f>
        <v>Definitivo 100%</v>
      </c>
      <c r="F111" s="583"/>
    </row>
    <row r="112" spans="1:6" ht="15.75">
      <c r="A112" s="450"/>
      <c r="B112" s="139" t="s">
        <v>146</v>
      </c>
      <c r="C112" s="477">
        <f>DMIN('10_1'!A$12:L$38,'10_1'!$K$12,F106:F107)</f>
        <v>42974.375594423531</v>
      </c>
      <c r="D112" s="189"/>
      <c r="E112" s="190">
        <f>WEEKDAY(C112)</f>
        <v>1</v>
      </c>
      <c r="F112" s="453" t="s">
        <v>62</v>
      </c>
    </row>
    <row r="113" spans="1:6" ht="15.75">
      <c r="A113" s="450"/>
      <c r="B113" s="139" t="s">
        <v>147</v>
      </c>
      <c r="C113" s="477">
        <f>DMAX('10_1'!A$12:N$38,'10_1'!$L$12,F106:F107)</f>
        <v>42974.721028830791</v>
      </c>
      <c r="D113" s="189"/>
      <c r="E113" s="190">
        <f>WEEKDAY(C113)</f>
        <v>1</v>
      </c>
      <c r="F113" s="453">
        <f>WEEKDAY(C113)</f>
        <v>1</v>
      </c>
    </row>
    <row r="114" spans="1:6">
      <c r="A114" s="323" t="str">
        <f>+'planilla caudales'!$J$14</f>
        <v>Caudal l/s</v>
      </c>
      <c r="B114" s="324" t="str">
        <f>+'planilla caudales'!$K$3</f>
        <v>Escala cm</v>
      </c>
      <c r="C114" s="81"/>
      <c r="D114" s="81"/>
      <c r="E114" s="584"/>
      <c r="F114" s="583"/>
    </row>
    <row r="115" spans="1:6">
      <c r="A115" s="606">
        <f>+'planilla caudales'!$J$21</f>
        <v>72.372640000000004</v>
      </c>
      <c r="B115" s="606">
        <f>+'planilla caudales'!$K$21</f>
        <v>29.121648102145109</v>
      </c>
      <c r="C115" s="81"/>
      <c r="D115" s="81"/>
      <c r="E115" s="81"/>
      <c r="F115" s="451"/>
    </row>
    <row r="116" spans="1:6">
      <c r="A116" s="472">
        <f>+Mensajes!$B$7</f>
        <v>0</v>
      </c>
      <c r="B116" s="10"/>
      <c r="C116" s="81"/>
      <c r="D116" s="81"/>
      <c r="E116" s="81"/>
      <c r="F116" s="451"/>
    </row>
    <row r="117" spans="1:6">
      <c r="A117" s="472">
        <f>+Mensajes!$B$12</f>
        <v>0</v>
      </c>
      <c r="B117" s="81"/>
      <c r="C117" s="81"/>
      <c r="D117" s="81"/>
      <c r="E117" s="81"/>
      <c r="F117" s="451"/>
    </row>
    <row r="118" spans="1:6" ht="13.5" thickBot="1">
      <c r="A118" s="468"/>
      <c r="B118" s="455"/>
      <c r="C118" s="455"/>
      <c r="D118" s="454" t="str">
        <f>IF(DSUM('10_1'!$A$12:$Q$89,16,F106:F107)=COUNTIF('10_1'!$A$13:$A$89,F107),"","Regularice su Deuda")</f>
        <v>Regularice su Deuda</v>
      </c>
      <c r="E118" s="455"/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str">
        <f>VLOOKUP(F124,'10_1'!$A$13:$G$32,7,0)</f>
        <v>PELLEGRINA, JUAN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+'10_1'!$H$2</f>
        <v>Hijuela Villegas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66" t="s">
        <v>140</v>
      </c>
      <c r="B126" s="458">
        <f>VLOOKUP(F124,'10_1'!$A$13:$B$32,2,0)</f>
        <v>1209</v>
      </c>
      <c r="C126" s="81"/>
      <c r="D126" s="139" t="s">
        <v>141</v>
      </c>
      <c r="E126" s="460">
        <f>DSUM('10_1'!A$12:J$32,'10_1'!$J$12,F123:F124)</f>
        <v>0.46552467893944455</v>
      </c>
      <c r="F126" s="451"/>
    </row>
    <row r="127" spans="1:6">
      <c r="A127" s="466" t="s">
        <v>142</v>
      </c>
      <c r="B127" s="461">
        <v>15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66" t="s">
        <v>144</v>
      </c>
      <c r="B128" s="462">
        <f>DSUM('10_1'!$A$12:$H$32,'10_1'!$H$12,F123:F124)</f>
        <v>5.3906000000000001</v>
      </c>
      <c r="C128" s="81"/>
      <c r="D128" s="139" t="s">
        <v>145</v>
      </c>
      <c r="E128" s="458" t="str">
        <f>IF(VLOOKUP(F124,'10_1'!$A$13:$D$50,4,0)=1, "Definitivo 100%", "Eventual 80%")</f>
        <v>Definitivo 100%</v>
      </c>
      <c r="F128" s="583"/>
    </row>
    <row r="129" spans="1:6" ht="15.75">
      <c r="A129" s="450"/>
      <c r="B129" s="139" t="s">
        <v>146</v>
      </c>
      <c r="C129" s="477">
        <f>DMIN('10_1'!A$12:L$38,'10_1'!$K$12,F123:F124)</f>
        <v>42973.91006974459</v>
      </c>
      <c r="D129" s="189"/>
      <c r="E129" s="190">
        <f>WEEKDAY(C129)</f>
        <v>7</v>
      </c>
      <c r="F129" s="453" t="s">
        <v>62</v>
      </c>
    </row>
    <row r="130" spans="1:6" ht="15.75">
      <c r="A130" s="450"/>
      <c r="B130" s="139" t="s">
        <v>147</v>
      </c>
      <c r="C130" s="477">
        <f>DMAX('10_1'!A$12:N$38,'10_1'!$L$12,F123:F124)</f>
        <v>42974.375594423531</v>
      </c>
      <c r="D130" s="189"/>
      <c r="E130" s="190">
        <f>WEEKDAY(C130)</f>
        <v>1</v>
      </c>
      <c r="F130" s="453">
        <f>WEEKDAY(C130)</f>
        <v>1</v>
      </c>
    </row>
    <row r="131" spans="1:6">
      <c r="A131" s="323" t="str">
        <f>+'planilla caudales'!$J$14</f>
        <v>Caudal l/s</v>
      </c>
      <c r="B131" s="324" t="str">
        <f>+'planilla caudales'!$K$3</f>
        <v>Escala cm</v>
      </c>
      <c r="C131" s="81"/>
      <c r="D131" s="81"/>
      <c r="E131" s="584"/>
      <c r="F131" s="583"/>
    </row>
    <row r="132" spans="1:6">
      <c r="A132" s="606">
        <f>+'planilla caudales'!$J$21</f>
        <v>72.372640000000004</v>
      </c>
      <c r="B132" s="606">
        <f>+'planilla caudales'!$K$21</f>
        <v>29.121648102145109</v>
      </c>
      <c r="C132" s="81"/>
      <c r="D132" s="81"/>
      <c r="E132" s="81"/>
      <c r="F132" s="451"/>
    </row>
    <row r="133" spans="1:6">
      <c r="A133" s="472">
        <f>+Mensajes!$B$7</f>
        <v>0</v>
      </c>
      <c r="B133" s="10"/>
      <c r="C133" s="81"/>
      <c r="D133" s="81"/>
      <c r="E133" s="81"/>
      <c r="F133" s="451"/>
    </row>
    <row r="134" spans="1:6">
      <c r="A134" s="472">
        <f>+Mensajes!$B$12</f>
        <v>0</v>
      </c>
      <c r="B134" s="81"/>
      <c r="C134" s="81"/>
      <c r="D134" s="81"/>
      <c r="E134" s="81"/>
      <c r="F134" s="451"/>
    </row>
    <row r="135" spans="1:6" ht="13.5" thickBot="1">
      <c r="A135" s="468"/>
      <c r="B135" s="455"/>
      <c r="C135" s="455"/>
      <c r="D135" s="454" t="str">
        <f>IF(DSUM('10_1'!$A$12:$Q$89,16,F123:F124)=COUNTIF('10_1'!$A$13:$A$89,F124),"","Regularice su Deuda")</f>
        <v>Regularice su Deuda</v>
      </c>
      <c r="E135" s="455"/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50" t="s">
        <v>139</v>
      </c>
      <c r="B140" s="81" t="str">
        <f>VLOOKUP(F141,'10_1'!$A$13:$G$32,7,0)</f>
        <v>MORALES VDA.DE NU#EZ, JUANA MARIA</v>
      </c>
      <c r="C140" s="81"/>
      <c r="D140" s="81"/>
      <c r="E140" s="81"/>
      <c r="F140" s="452" t="s">
        <v>102</v>
      </c>
    </row>
    <row r="141" spans="1:6">
      <c r="A141" s="450" t="s">
        <v>72</v>
      </c>
      <c r="B141" s="81" t="str">
        <f>+'10_1'!$H$2</f>
        <v>Hijuela Villegas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66" t="s">
        <v>140</v>
      </c>
      <c r="B143" s="458">
        <f>VLOOKUP(F141,'10_1'!$A$13:$B$32,2,0)</f>
        <v>1209</v>
      </c>
      <c r="C143" s="81"/>
      <c r="D143" s="139" t="s">
        <v>141</v>
      </c>
      <c r="E143" s="460">
        <f>DSUM('10_1'!A$12:J$32,'10_1'!$J$12,F140:F141)</f>
        <v>0.28506974458856277</v>
      </c>
      <c r="F143" s="451"/>
    </row>
    <row r="144" spans="1:6">
      <c r="A144" s="466" t="s">
        <v>142</v>
      </c>
      <c r="B144" s="461">
        <v>2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466" t="s">
        <v>144</v>
      </c>
      <c r="B145" s="462">
        <f>DSUM('10_1'!$A$12:$H$32,'10_1'!$H$12,F140:F141)</f>
        <v>3.3010000000000002</v>
      </c>
      <c r="C145" s="81"/>
      <c r="D145" s="139" t="s">
        <v>145</v>
      </c>
      <c r="E145" s="458" t="str">
        <f>IF(VLOOKUP(F141,'10_1'!$A$13:$D$50,4,0)=1, "Definitivo 100%", "Eventual 80%")</f>
        <v>Definitivo 100%</v>
      </c>
      <c r="F145" s="583"/>
    </row>
    <row r="146" spans="1:6" ht="15.75">
      <c r="A146" s="450"/>
      <c r="B146" s="139" t="s">
        <v>146</v>
      </c>
      <c r="C146" s="477">
        <f>DMIN('10_1'!A$12:L$38,'10_1'!$K$12,F140:F141)</f>
        <v>42973.625</v>
      </c>
      <c r="D146" s="189"/>
      <c r="E146" s="190">
        <f>WEEKDAY(C146)</f>
        <v>7</v>
      </c>
      <c r="F146" s="453" t="s">
        <v>62</v>
      </c>
    </row>
    <row r="147" spans="1:6" ht="15.75">
      <c r="A147" s="450"/>
      <c r="B147" s="139" t="s">
        <v>147</v>
      </c>
      <c r="C147" s="477">
        <f>DMAX('10_1'!A$12:N$38,'10_1'!$L$12,F140:F141)</f>
        <v>42973.91006974459</v>
      </c>
      <c r="D147" s="189"/>
      <c r="E147" s="190">
        <f>WEEKDAY(C147)</f>
        <v>7</v>
      </c>
      <c r="F147" s="453">
        <f>WEEKDAY(C147)</f>
        <v>7</v>
      </c>
    </row>
    <row r="148" spans="1:6">
      <c r="A148" s="323" t="str">
        <f>+'planilla caudales'!$J$14</f>
        <v>Caudal l/s</v>
      </c>
      <c r="B148" s="324" t="str">
        <f>+'planilla caudales'!$K$3</f>
        <v>Escala cm</v>
      </c>
      <c r="C148" s="81"/>
      <c r="D148" s="81"/>
      <c r="E148" s="584"/>
      <c r="F148" s="583"/>
    </row>
    <row r="149" spans="1:6">
      <c r="A149" s="606">
        <f>+'planilla caudales'!$J$21</f>
        <v>72.372640000000004</v>
      </c>
      <c r="B149" s="606">
        <f>+'planilla caudales'!$K$21</f>
        <v>29.121648102145109</v>
      </c>
      <c r="C149" s="81"/>
      <c r="D149" s="81"/>
      <c r="E149" s="81"/>
      <c r="F149" s="451"/>
    </row>
    <row r="150" spans="1:6">
      <c r="A150" s="472">
        <f>+Mensajes!$B$7</f>
        <v>0</v>
      </c>
      <c r="B150" s="10"/>
      <c r="C150" s="81"/>
      <c r="D150" s="81"/>
      <c r="E150" s="81"/>
      <c r="F150" s="451"/>
    </row>
    <row r="151" spans="1:6">
      <c r="A151" s="472">
        <f>+Mensajes!$B$12</f>
        <v>0</v>
      </c>
      <c r="B151" s="81"/>
      <c r="C151" s="81"/>
      <c r="D151" s="81"/>
      <c r="E151" s="81"/>
      <c r="F151" s="451"/>
    </row>
    <row r="152" spans="1:6" ht="13.5" thickBot="1">
      <c r="A152" s="468"/>
      <c r="B152" s="455"/>
      <c r="C152" s="455"/>
      <c r="D152" s="454" t="str">
        <f>IF(DSUM('10_1'!$A$12:$Q$89,16,F140:F141)=COUNTIF('10_1'!$A$13:$A$89,F141),"","Regularice su Deuda")</f>
        <v>Regularice su Deuda</v>
      </c>
      <c r="E152" s="455"/>
      <c r="F152" s="456"/>
    </row>
  </sheetData>
  <phoneticPr fontId="0" type="noConversion"/>
  <pageMargins left="0.55118110236220474" right="0.55118110236220474" top="0.15748031496062992" bottom="0.19685039370078741" header="0" footer="0"/>
  <pageSetup paperSize="281" scale="83" orientation="portrait" r:id="rId1"/>
  <headerFooter alignWithMargins="0"/>
  <rowBreaks count="1" manualBreakCount="1">
    <brk id="85" max="5" man="1"/>
  </rowBreaks>
  <colBreaks count="1" manualBreakCount="1">
    <brk id="7" max="1048575" man="1"/>
  </col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6"/>
  <dimension ref="A1:U33"/>
  <sheetViews>
    <sheetView view="pageBreakPreview" zoomScale="75" zoomScaleNormal="85" workbookViewId="0" xr3:uid="{F4A53677-9E12-59C4-BAB1-211CDE2C826E}">
      <selection activeCell="M1" sqref="M1:M1048576"/>
    </sheetView>
  </sheetViews>
  <sheetFormatPr defaultColWidth="11.42578125" defaultRowHeight="12.75"/>
  <cols>
    <col min="1" max="1" width="8" bestFit="1" customWidth="1"/>
    <col min="2" max="2" width="8.5703125" customWidth="1"/>
    <col min="3" max="3" width="9.5703125" customWidth="1"/>
    <col min="4" max="4" width="6.7109375" customWidth="1"/>
    <col min="5" max="5" width="10.85546875" bestFit="1" customWidth="1"/>
    <col min="6" max="6" width="15.85546875" bestFit="1" customWidth="1"/>
    <col min="7" max="7" width="43.85546875" customWidth="1"/>
    <col min="8" max="8" width="13.140625" customWidth="1"/>
    <col min="9" max="9" width="9.28515625" customWidth="1"/>
    <col min="10" max="10" width="8.140625" customWidth="1"/>
    <col min="11" max="12" width="17.5703125" bestFit="1" customWidth="1"/>
    <col min="13" max="13" width="18" customWidth="1"/>
    <col min="14" max="14" width="20" customWidth="1"/>
    <col min="15" max="15" width="22.5703125" customWidth="1"/>
    <col min="16" max="16" width="7.140625" bestFit="1" customWidth="1"/>
    <col min="17" max="17" width="8.28515625" bestFit="1" customWidth="1"/>
    <col min="18" max="18" width="7.5703125" bestFit="1" customWidth="1"/>
    <col min="19" max="19" width="8.140625" bestFit="1" customWidth="1"/>
    <col min="20" max="20" width="12" bestFit="1" customWidth="1"/>
    <col min="21" max="21" width="10.7109375" bestFit="1" customWidth="1"/>
    <col min="22" max="22" width="10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21">
      <c r="A2" s="137"/>
      <c r="B2" s="144" t="s">
        <v>187</v>
      </c>
      <c r="C2" s="137"/>
      <c r="D2" s="137"/>
      <c r="E2" s="137"/>
      <c r="F2" s="137"/>
      <c r="G2" s="137"/>
      <c r="H2" s="137" t="s">
        <v>314</v>
      </c>
      <c r="I2" s="137"/>
      <c r="J2" s="137"/>
      <c r="K2" s="137"/>
      <c r="L2" s="137"/>
      <c r="M2" s="137"/>
      <c r="N2" s="137"/>
      <c r="O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</row>
    <row r="5" spans="1:21">
      <c r="A5" s="669" t="s">
        <v>92</v>
      </c>
      <c r="B5" s="670"/>
      <c r="C5" s="662">
        <v>42975.65625</v>
      </c>
      <c r="D5" s="663"/>
      <c r="E5" s="664"/>
      <c r="F5" s="344"/>
      <c r="G5" s="344"/>
      <c r="H5" s="345" t="s">
        <v>93</v>
      </c>
      <c r="I5" s="346">
        <v>1.875</v>
      </c>
      <c r="J5" s="137"/>
      <c r="K5" s="137"/>
      <c r="L5" s="137"/>
      <c r="M5" s="137"/>
      <c r="N5" s="137"/>
      <c r="O5" s="137"/>
    </row>
    <row r="6" spans="1:21" ht="13.5" thickBot="1">
      <c r="A6" s="671" t="s">
        <v>94</v>
      </c>
      <c r="B6" s="672"/>
      <c r="C6" s="665">
        <f>+L13</f>
        <v>42977.53125</v>
      </c>
      <c r="D6" s="666"/>
      <c r="E6" s="667"/>
      <c r="F6" s="556"/>
      <c r="G6" s="344"/>
      <c r="H6" s="347" t="s">
        <v>95</v>
      </c>
      <c r="I6" s="354"/>
      <c r="J6" s="344"/>
      <c r="K6" s="137"/>
      <c r="L6" s="578"/>
      <c r="M6" s="578"/>
      <c r="N6" s="137"/>
      <c r="O6" s="137"/>
    </row>
    <row r="7" spans="1:21" ht="13.5" thickBot="1">
      <c r="A7" s="137"/>
      <c r="B7" s="137"/>
      <c r="C7" s="137"/>
      <c r="D7" s="137"/>
      <c r="E7" s="137"/>
      <c r="F7" s="556">
        <f>+C6-C5</f>
        <v>1.875</v>
      </c>
      <c r="G7" s="137"/>
      <c r="H7" s="348" t="s">
        <v>96</v>
      </c>
      <c r="I7" s="349">
        <v>0</v>
      </c>
      <c r="J7" s="137"/>
      <c r="K7" s="137"/>
      <c r="L7" s="137"/>
      <c r="M7" s="137"/>
      <c r="N7" s="137"/>
      <c r="O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</row>
    <row r="9" spans="1:21">
      <c r="A9" s="668" t="s">
        <v>97</v>
      </c>
      <c r="B9" s="668"/>
      <c r="C9" s="556">
        <f>+I5</f>
        <v>1.875</v>
      </c>
      <c r="D9" s="556"/>
      <c r="E9" s="555" t="s">
        <v>98</v>
      </c>
      <c r="F9" s="350">
        <f>+C9*60</f>
        <v>112.5</v>
      </c>
      <c r="G9" s="555" t="s">
        <v>99</v>
      </c>
      <c r="H9" s="351">
        <f>+I18</f>
        <v>14.763500000000001</v>
      </c>
      <c r="I9" s="555" t="s">
        <v>100</v>
      </c>
      <c r="J9" s="556">
        <f>IF(H9=0,0,F9/H9)</f>
        <v>7.6201442747316017</v>
      </c>
      <c r="K9" s="137"/>
      <c r="L9" s="137"/>
      <c r="M9" s="137"/>
      <c r="N9" s="137"/>
      <c r="O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</row>
    <row r="12" spans="1:21" ht="24.75" thickBot="1">
      <c r="A12" s="428" t="s">
        <v>102</v>
      </c>
      <c r="B12" s="336" t="s">
        <v>103</v>
      </c>
      <c r="C12" s="336" t="s">
        <v>104</v>
      </c>
      <c r="D12" s="336" t="s">
        <v>315</v>
      </c>
      <c r="E12" s="429" t="s">
        <v>106</v>
      </c>
      <c r="F12" s="336" t="s">
        <v>153</v>
      </c>
      <c r="G12" s="336" t="s">
        <v>108</v>
      </c>
      <c r="H12" s="336" t="s">
        <v>154</v>
      </c>
      <c r="I12" s="336" t="s">
        <v>316</v>
      </c>
      <c r="J12" s="336" t="s">
        <v>110</v>
      </c>
      <c r="K12" s="429" t="s">
        <v>156</v>
      </c>
      <c r="L12" s="429" t="s">
        <v>157</v>
      </c>
      <c r="M12" s="554" t="s">
        <v>113</v>
      </c>
      <c r="N12" s="336" t="s">
        <v>114</v>
      </c>
      <c r="O12" s="336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336" t="s">
        <v>121</v>
      </c>
      <c r="U12" s="337" t="s">
        <v>122</v>
      </c>
    </row>
    <row r="13" spans="1:21" ht="30" customHeight="1" thickTop="1">
      <c r="A13" s="51">
        <v>1</v>
      </c>
      <c r="B13" s="52">
        <v>1209</v>
      </c>
      <c r="C13" s="52">
        <v>17</v>
      </c>
      <c r="D13" s="52">
        <v>1</v>
      </c>
      <c r="E13" s="93">
        <v>4.6467000000000001</v>
      </c>
      <c r="F13" s="103" t="str">
        <f>IF(Q13=0,"NO",IF(Q13=1,"SI",IF(Q13=3,"cede turno","CONDICIONAL")))</f>
        <v>SI</v>
      </c>
      <c r="G13" s="52" t="s">
        <v>317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4.6467000000000001</v>
      </c>
      <c r="I13" s="629">
        <f>+H13*$J$9</f>
        <v>35.408524401395333</v>
      </c>
      <c r="J13" s="580">
        <f>+I13/60</f>
        <v>0.59014207335658886</v>
      </c>
      <c r="K13" s="125">
        <f t="shared" ref="K13:K15" si="0">+L14</f>
        <v>42976.941107926643</v>
      </c>
      <c r="L13" s="125">
        <f t="shared" ref="L13:L15" si="1">+K13+J13</f>
        <v>42977.53125</v>
      </c>
      <c r="M13" s="174"/>
      <c r="N13" s="52"/>
      <c r="O13" s="52"/>
      <c r="P13" s="52" t="str">
        <f>+CONCATENATE(B13,C13)</f>
        <v>120917</v>
      </c>
      <c r="Q13" s="150">
        <f>VLOOKUP(P13,deuda!A$1:H$550,4,0)</f>
        <v>1</v>
      </c>
      <c r="R13" s="150">
        <f>VLOOKUP(P13,deuda!A$1:H$550,5,0)</f>
        <v>1</v>
      </c>
      <c r="S13" s="150">
        <f>IF(VLOOKUP(P13,deuda!A$1:H$550,6,0)=0,"",VLOOKUP(P13,deuda!A$1:H$550,6,0))</f>
        <v>630.62</v>
      </c>
      <c r="T13" s="151" t="str">
        <f>IF((VLOOKUP(P13,deuda!A$1:H$550,7,0))=0,"",VLOOKUP(P13,deuda!A$1:H$550,7,0))</f>
        <v/>
      </c>
      <c r="U13" s="152" t="str">
        <f>IF((VLOOKUP(P13,deuda!A$1:H$550,8,0))=0,"",VLOOKUP(P13,deuda!A$1:H$550,8,0))</f>
        <v/>
      </c>
    </row>
    <row r="14" spans="1:21" ht="30" customHeight="1">
      <c r="A14" s="35">
        <v>2</v>
      </c>
      <c r="B14" s="5">
        <v>1209</v>
      </c>
      <c r="C14" s="5">
        <v>16</v>
      </c>
      <c r="D14" s="5">
        <v>1</v>
      </c>
      <c r="E14" s="27">
        <v>2.4055</v>
      </c>
      <c r="F14" s="103" t="str">
        <f>IF(Q14=0,"NO",IF(Q14=1,"SI",IF(Q14=3,"cede turno","CONDICIONAL")))</f>
        <v>SI</v>
      </c>
      <c r="G14" s="5" t="s">
        <v>311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2.4055</v>
      </c>
      <c r="I14" s="620">
        <f>+H14*$J$9</f>
        <v>18.330257052866866</v>
      </c>
      <c r="J14" s="618">
        <f>+I14/60</f>
        <v>0.30550428421444775</v>
      </c>
      <c r="K14" s="125">
        <f t="shared" si="0"/>
        <v>42976.635603642426</v>
      </c>
      <c r="L14" s="125">
        <f t="shared" si="1"/>
        <v>42976.941107926643</v>
      </c>
      <c r="M14" s="174"/>
      <c r="N14" s="5"/>
      <c r="O14" s="5"/>
      <c r="P14" s="5" t="str">
        <f>+CONCATENATE(B14,C14)</f>
        <v>120916</v>
      </c>
      <c r="Q14" s="150">
        <f>VLOOKUP(P14,deuda!A$1:H$550,4,0)</f>
        <v>1</v>
      </c>
      <c r="R14" s="6">
        <f>VLOOKUP(P14,deuda!A$1:H$550,5,0)</f>
        <v>0</v>
      </c>
      <c r="S14" s="6">
        <f>IF(VLOOKUP(P14,deuda!A$1:H$550,6,0)=0,"",VLOOKUP(P14,deuda!A$1:H$550,6,0))</f>
        <v>14.89</v>
      </c>
      <c r="T14" s="149" t="str">
        <f>IF((VLOOKUP(P14,deuda!A$1:H$550,7,0))=0,"",VLOOKUP(P14,deuda!A$1:H$550,7,0))</f>
        <v/>
      </c>
      <c r="U14" s="153" t="str">
        <f>IF((VLOOKUP(P14,deuda!A$1:H$550,8,0))=0,"",VLOOKUP(P14,deuda!A$1:H$550,8,0))</f>
        <v/>
      </c>
    </row>
    <row r="15" spans="1:21" ht="30" customHeight="1">
      <c r="A15" s="35">
        <v>3</v>
      </c>
      <c r="B15" s="5">
        <v>1209</v>
      </c>
      <c r="C15" s="5">
        <v>14</v>
      </c>
      <c r="D15" s="5">
        <v>1</v>
      </c>
      <c r="E15" s="9">
        <v>2.9123000000000001</v>
      </c>
      <c r="F15" s="103" t="str">
        <f>IF(Q15=0,"NO",IF(Q15=1,"SI",IF(Q15=3,"cede turno","CONDICIONAL")))</f>
        <v>SI</v>
      </c>
      <c r="G15" s="5" t="s">
        <v>312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2.9123000000000001</v>
      </c>
      <c r="I15" s="620">
        <f>+H15*$J$9</f>
        <v>22.192146171300845</v>
      </c>
      <c r="J15" s="618">
        <f>+I15/60</f>
        <v>0.36986910285501406</v>
      </c>
      <c r="K15" s="125">
        <f t="shared" si="0"/>
        <v>42976.265734539571</v>
      </c>
      <c r="L15" s="125">
        <f t="shared" si="1"/>
        <v>42976.635603642426</v>
      </c>
      <c r="M15" s="174"/>
      <c r="N15" s="5"/>
      <c r="O15" s="5"/>
      <c r="P15" s="5" t="str">
        <f>+CONCATENATE(B15,C15)</f>
        <v>120914</v>
      </c>
      <c r="Q15" s="150">
        <f>VLOOKUP(P15,deuda!A$1:H$550,4,0)</f>
        <v>1</v>
      </c>
      <c r="R15" s="6">
        <f>VLOOKUP(P15,deuda!A$1:H$550,5,0)</f>
        <v>0</v>
      </c>
      <c r="S15" s="6" t="str">
        <f>IF(VLOOKUP(P15,deuda!A$1:H$550,6,0)=0,"",VLOOKUP(P15,deuda!A$1:H$550,6,0))</f>
        <v/>
      </c>
      <c r="T15" s="149" t="str">
        <f>IF((VLOOKUP(P15,deuda!A$1:H$550,7,0))=0,"",VLOOKUP(P15,deuda!A$1:H$550,7,0))</f>
        <v/>
      </c>
      <c r="U15" s="153" t="str">
        <f>IF((VLOOKUP(P15,deuda!A$1:H$550,8,0))=0,"",VLOOKUP(P15,deuda!A$1:H$550,8,0))</f>
        <v/>
      </c>
    </row>
    <row r="16" spans="1:21" ht="30" customHeight="1">
      <c r="A16" s="35">
        <v>4</v>
      </c>
      <c r="B16" s="5">
        <v>1209</v>
      </c>
      <c r="C16" s="5">
        <v>13</v>
      </c>
      <c r="D16" s="5">
        <v>1</v>
      </c>
      <c r="E16" s="9">
        <v>3.7216</v>
      </c>
      <c r="F16" s="103" t="str">
        <f>IF(Q16=0,"NO",IF(Q16=1,"SI",IF(Q16=3,"cede turno","CONDICIONAL")))</f>
        <v>SI</v>
      </c>
      <c r="G16" s="5" t="s">
        <v>318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3.7216</v>
      </c>
      <c r="I16" s="620">
        <f>+H16*$J$9</f>
        <v>28.359128932841131</v>
      </c>
      <c r="J16" s="618">
        <f>+I16/60</f>
        <v>0.47265214888068552</v>
      </c>
      <c r="K16" s="125">
        <f>+L17</f>
        <v>42975.793082390694</v>
      </c>
      <c r="L16" s="125">
        <f>+K16+J16</f>
        <v>42976.265734539571</v>
      </c>
      <c r="M16" s="125"/>
      <c r="N16" s="5"/>
      <c r="O16" s="5"/>
      <c r="P16" s="5" t="str">
        <f>+CONCATENATE(B16,C16)</f>
        <v>120913</v>
      </c>
      <c r="Q16" s="150">
        <f>VLOOKUP(P16,deuda!A$1:H$550,4,0)</f>
        <v>1</v>
      </c>
      <c r="R16" s="6">
        <f>VLOOKUP(P16,deuda!A$1:H$550,5,0)</f>
        <v>0</v>
      </c>
      <c r="S16" s="6" t="str">
        <f>IF(VLOOKUP(P16,deuda!A$1:H$550,6,0)=0,"",VLOOKUP(P16,deuda!A$1:H$550,6,0))</f>
        <v/>
      </c>
      <c r="T16" s="149" t="str">
        <f>IF((VLOOKUP(P16,deuda!A$1:H$550,7,0))=0,"",VLOOKUP(P16,deuda!A$1:H$550,7,0))</f>
        <v/>
      </c>
      <c r="U16" s="153" t="str">
        <f>IF((VLOOKUP(P16,deuda!A$1:H$550,8,0))=0,"",VLOOKUP(P16,deuda!A$1:H$550,8,0))</f>
        <v/>
      </c>
    </row>
    <row r="17" spans="1:21" ht="30" customHeight="1" thickBot="1">
      <c r="A17" s="36">
        <v>4</v>
      </c>
      <c r="B17" s="29">
        <v>1209</v>
      </c>
      <c r="C17" s="29">
        <v>19</v>
      </c>
      <c r="D17" s="29">
        <v>1</v>
      </c>
      <c r="E17" s="40">
        <v>1.0773999999999999</v>
      </c>
      <c r="F17" s="103" t="str">
        <f>IF(Q17=0,"NO",IF(Q17=1,"SI",IF(Q17=3,"cede turno","CONDICIONAL")))</f>
        <v>SI</v>
      </c>
      <c r="G17" s="29" t="s">
        <v>319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1.0773999999999999</v>
      </c>
      <c r="I17" s="630">
        <f>+H17*$J$9</f>
        <v>8.2099434415958275</v>
      </c>
      <c r="J17" s="621">
        <f>+I17/60</f>
        <v>0.13683239069326378</v>
      </c>
      <c r="K17" s="125">
        <f>+C5</f>
        <v>42975.65625</v>
      </c>
      <c r="L17" s="125">
        <f>+K17+J17</f>
        <v>42975.793082390694</v>
      </c>
      <c r="M17" s="125"/>
      <c r="N17" s="29"/>
      <c r="O17" s="29"/>
      <c r="P17" s="29" t="str">
        <f>+CONCATENATE(B17,C17)</f>
        <v>120919</v>
      </c>
      <c r="Q17" s="150">
        <f>VLOOKUP(P17,deuda!A$1:H$550,4,0)</f>
        <v>1</v>
      </c>
      <c r="R17" s="33">
        <f>VLOOKUP(P17,deuda!A$1:H$550,5,0)</f>
        <v>0</v>
      </c>
      <c r="S17" s="33" t="str">
        <f>IF(VLOOKUP(P17,deuda!A$1:H$550,6,0)=0,"",VLOOKUP(P17,deuda!A$1:H$550,6,0))</f>
        <v/>
      </c>
      <c r="T17" s="154" t="str">
        <f>IF((VLOOKUP(P17,deuda!A$1:H$550,7,0))=0,"",VLOOKUP(P17,deuda!A$1:H$550,7,0))</f>
        <v/>
      </c>
      <c r="U17" s="155" t="str">
        <f>IF((VLOOKUP(P17,deuda!A$1:H$550,8,0))=0,"",VLOOKUP(P17,deuda!A$1:H$550,8,0))</f>
        <v/>
      </c>
    </row>
    <row r="18" spans="1:21">
      <c r="E18" s="15">
        <f>SUM(E13:E17)</f>
        <v>14.763500000000001</v>
      </c>
      <c r="F18" s="15"/>
      <c r="H18" s="15">
        <f>SUM(H13:H17)</f>
        <v>14.763500000000001</v>
      </c>
      <c r="I18" s="15">
        <f>SUM(H13:H17)</f>
        <v>14.763500000000001</v>
      </c>
      <c r="J18" s="4">
        <f>SUM(I13:I17)</f>
        <v>112.5</v>
      </c>
      <c r="K18" s="3"/>
      <c r="M18" s="125"/>
      <c r="Q18" t="str">
        <f>+CONCATENATE(B18,C18)</f>
        <v/>
      </c>
    </row>
    <row r="19" spans="1:21">
      <c r="M19" s="125"/>
    </row>
    <row r="20" spans="1:21">
      <c r="M20" s="125"/>
    </row>
    <row r="21" spans="1:21">
      <c r="M21" s="125"/>
    </row>
    <row r="22" spans="1:21">
      <c r="M22" s="125"/>
    </row>
    <row r="23" spans="1:21">
      <c r="M23" s="125"/>
    </row>
    <row r="24" spans="1:21">
      <c r="M24" s="125"/>
    </row>
    <row r="25" spans="1:21">
      <c r="M25" s="125"/>
    </row>
    <row r="26" spans="1:21">
      <c r="M26" s="125"/>
    </row>
    <row r="27" spans="1:21">
      <c r="M27" s="125"/>
    </row>
    <row r="28" spans="1:21">
      <c r="M28" s="125"/>
    </row>
    <row r="29" spans="1:21">
      <c r="M29" s="125"/>
    </row>
    <row r="30" spans="1:21">
      <c r="M30" s="125"/>
    </row>
    <row r="31" spans="1:21">
      <c r="M31" s="125"/>
    </row>
    <row r="32" spans="1:21">
      <c r="M32" s="125"/>
    </row>
    <row r="33" spans="13:13">
      <c r="M33" s="10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1">
    <dataValidation type="list" allowBlank="1" showInputMessage="1" showErrorMessage="1" errorTitle="ATENCIÓN" error="NO PUEDEN INGRESARSE VALORES" promptTitle="RECORDAR" prompt="NO OLVIDE VOLVER A PEGAR LA FORMULA PARA QUE LA PLANILLA LEA AUTOMATICAMENTE LOS DATOS " sqref="Q13:Q17" xr:uid="{00000000-0002-0000-1A00-000000000000}">
      <formula1>"2, 3"</formula1>
    </dataValidation>
  </dataValidations>
  <pageMargins left="0.19685039370078741" right="0.15748031496062992" top="0.98425196850393704" bottom="0.98425196850393704" header="0" footer="0"/>
  <pageSetup paperSize="281" scale="75" orientation="landscape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6"/>
  <dimension ref="A1:G67"/>
  <sheetViews>
    <sheetView view="pageBreakPreview" zoomScale="75" zoomScaleNormal="100" workbookViewId="0" xr3:uid="{23B2C380-326F-580B-8990-D38B2516F165}">
      <selection activeCell="F69" sqref="F69"/>
    </sheetView>
  </sheetViews>
  <sheetFormatPr defaultColWidth="11.42578125" defaultRowHeight="12.75"/>
  <cols>
    <col min="2" max="2" width="11.5703125" bestFit="1" customWidth="1"/>
    <col min="3" max="3" width="21.85546875" bestFit="1" customWidth="1"/>
    <col min="5" max="6" width="11.5703125" bestFit="1" customWidth="1"/>
  </cols>
  <sheetData>
    <row r="1" spans="1:7">
      <c r="A1" s="447"/>
      <c r="B1" s="448"/>
      <c r="C1" s="448"/>
      <c r="D1" s="448"/>
      <c r="E1" s="448"/>
      <c r="F1" s="449"/>
      <c r="G1" s="81"/>
    </row>
    <row r="2" spans="1:7">
      <c r="A2" s="465" t="s">
        <v>64</v>
      </c>
      <c r="B2" s="81"/>
      <c r="C2" s="81"/>
      <c r="D2" s="81"/>
      <c r="E2" s="81"/>
      <c r="F2" s="451"/>
      <c r="G2" s="81"/>
    </row>
    <row r="3" spans="1:7">
      <c r="A3" s="450"/>
      <c r="B3" s="81"/>
      <c r="C3" s="81"/>
      <c r="D3" s="81"/>
      <c r="E3" s="81"/>
      <c r="F3" s="451"/>
      <c r="G3" s="81"/>
    </row>
    <row r="4" spans="1:7">
      <c r="A4" s="450" t="s">
        <v>139</v>
      </c>
      <c r="B4" s="81" t="str">
        <f>VLOOKUP(F5,'11_1'!$A$13:$G$32,7,0)</f>
        <v>ARGUMEDO MORALES, JUAN IGNACIO</v>
      </c>
      <c r="C4" s="81"/>
      <c r="D4" s="81"/>
      <c r="E4" s="81"/>
      <c r="F4" s="452" t="s">
        <v>102</v>
      </c>
      <c r="G4" s="81"/>
    </row>
    <row r="5" spans="1:7">
      <c r="A5" s="450" t="s">
        <v>72</v>
      </c>
      <c r="B5" s="81" t="str">
        <f>+'11_1'!$H$2</f>
        <v>Hijuela ARGUMEDO</v>
      </c>
      <c r="C5" s="81"/>
      <c r="D5" s="81"/>
      <c r="E5" s="81"/>
      <c r="F5" s="452">
        <v>1</v>
      </c>
      <c r="G5" s="81"/>
    </row>
    <row r="6" spans="1:7">
      <c r="A6" s="450"/>
      <c r="B6" s="81"/>
      <c r="C6" s="81"/>
      <c r="D6" s="81"/>
      <c r="E6" s="81"/>
      <c r="F6" s="451"/>
      <c r="G6" s="81"/>
    </row>
    <row r="7" spans="1:7">
      <c r="A7" s="631" t="s">
        <v>140</v>
      </c>
      <c r="B7" s="458">
        <f>VLOOKUP(F5,'11_1'!$A$13:$B$32,2,0)</f>
        <v>1209</v>
      </c>
      <c r="C7" s="81"/>
      <c r="D7" s="139" t="s">
        <v>141</v>
      </c>
      <c r="E7" s="457">
        <f>DSUM('11_1'!A$12:K$32,'11_1'!$J$12,F4:F5)</f>
        <v>0.59014207335658886</v>
      </c>
      <c r="F7" s="451"/>
      <c r="G7" s="81"/>
    </row>
    <row r="8" spans="1:7">
      <c r="A8" s="631" t="s">
        <v>142</v>
      </c>
      <c r="B8" s="461">
        <v>17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631" t="s">
        <v>144</v>
      </c>
      <c r="B9" s="462">
        <f>DSUM('11_1'!$A$12:$I$32,'11_1'!$H$12,F4:F5)</f>
        <v>4.6467000000000001</v>
      </c>
      <c r="C9" s="81"/>
      <c r="D9" s="139" t="s">
        <v>145</v>
      </c>
      <c r="E9" s="458" t="str">
        <f>IF(VLOOKUP(F5,'11_1'!$A$13:$D$50,4,0)=1, "Definitivo 100%", "Eventual 80%")</f>
        <v>Definitivo 100%</v>
      </c>
      <c r="F9" s="583"/>
      <c r="G9" s="81"/>
    </row>
    <row r="10" spans="1:7" ht="15.75">
      <c r="A10" s="450"/>
      <c r="B10" s="139" t="s">
        <v>146</v>
      </c>
      <c r="C10" s="145"/>
      <c r="D10" s="189" t="str">
        <f>IF(E10=1,"Domingo",IF(E10=2,"Lunes",IF(E10=3,"Martes",IF(E10=4,"Miercoles",IF(E10=5,"Jueves",IF(E10=6,"Viernes",IF(E10=7,"Sábado",0)))))))</f>
        <v>Sábado</v>
      </c>
      <c r="E10" s="190">
        <f>WEEKDAY(C10)</f>
        <v>7</v>
      </c>
      <c r="F10" s="453" t="s">
        <v>62</v>
      </c>
      <c r="G10" s="81"/>
    </row>
    <row r="11" spans="1:7" ht="15.75">
      <c r="A11" s="450"/>
      <c r="B11" s="139" t="s">
        <v>147</v>
      </c>
      <c r="C11" s="145"/>
      <c r="D11" s="189" t="str">
        <f>IF(E11=1,"Domingo",IF(E11=2,"Lunes",IF(E11=3,"Martes",IF(E11=4,"Miercoles",IF(E11=5,"Jueves",IF(E11=6,"Viernes",IF(E11=7,"Sábado",0)))))))</f>
        <v>Sábado</v>
      </c>
      <c r="E11" s="190">
        <f>WEEKDAY(C11)</f>
        <v>7</v>
      </c>
      <c r="F11" s="453">
        <f>WEEKDAY(C11)</f>
        <v>7</v>
      </c>
      <c r="G11" s="81"/>
    </row>
    <row r="12" spans="1:7">
      <c r="A12" s="450"/>
      <c r="B12" s="81"/>
      <c r="C12" s="81"/>
      <c r="D12" s="81"/>
      <c r="E12" s="584"/>
      <c r="F12" s="583"/>
      <c r="G12" s="81"/>
    </row>
    <row r="13" spans="1:7">
      <c r="A13" s="472">
        <f>+Mensajes!$B$7</f>
        <v>0</v>
      </c>
      <c r="B13" s="81"/>
      <c r="C13" s="81"/>
      <c r="D13" s="81"/>
      <c r="E13" s="81"/>
      <c r="F13" s="451"/>
      <c r="G13" s="81"/>
    </row>
    <row r="14" spans="1:7">
      <c r="A14" s="472">
        <f>+Mensajes!$B$12</f>
        <v>0</v>
      </c>
      <c r="B14" s="81"/>
      <c r="C14" s="81"/>
      <c r="D14" s="81"/>
      <c r="E14" s="81"/>
      <c r="F14" s="451"/>
      <c r="G14" s="81"/>
    </row>
    <row r="15" spans="1:7">
      <c r="A15" s="471" t="str">
        <f>IF(VLOOKUP(F5,'11_1'!$A$13:$O$32,14,0)=0,"",VLOOKUP(F5,'11_1'!$A$13:$O$32,14,0))</f>
        <v/>
      </c>
      <c r="B15" s="81"/>
      <c r="C15" s="81"/>
      <c r="D15" s="81"/>
      <c r="E15" s="81"/>
      <c r="F15" s="451"/>
      <c r="G15" s="81"/>
    </row>
    <row r="16" spans="1:7" ht="13.5" thickBot="1">
      <c r="A16" s="468"/>
      <c r="B16" s="455"/>
      <c r="C16" s="455"/>
      <c r="D16" s="454" t="str">
        <f>IF(DSUM('11_1'!$A$12:$Q$89,16,F4:F5)=COUNTIF('11_1'!$A$13:$A$89,F5),"","Regularice su Deuda")</f>
        <v>Regularice su Deuda</v>
      </c>
      <c r="E16" s="455"/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VLOOKUP(F22,'11_1'!$A$13:$G$32,7,0)</f>
        <v>ARGUMEDO MORALES DE ROSSI, BLANCA FIOLETA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+'11_1'!$H$2</f>
        <v>Hijuela ARGUMEDO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631" t="s">
        <v>140</v>
      </c>
      <c r="B24" s="458">
        <f>VLOOKUP(F22,'11_1'!$A$13:$B$32,2,0)</f>
        <v>1209</v>
      </c>
      <c r="C24" s="81"/>
      <c r="D24" s="139" t="s">
        <v>141</v>
      </c>
      <c r="E24" s="457">
        <f>DSUM('11_1'!A$12:K$32,'11_1'!$J$12,F21:F22)</f>
        <v>0.30550428421444775</v>
      </c>
      <c r="F24" s="451"/>
    </row>
    <row r="25" spans="1:6">
      <c r="A25" s="631" t="s">
        <v>142</v>
      </c>
      <c r="B25" s="461">
        <v>16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631" t="s">
        <v>144</v>
      </c>
      <c r="B26" s="462">
        <f>DSUM('11_1'!$A$12:$I$32,'11_1'!$H$12,F21:F22)</f>
        <v>2.4055</v>
      </c>
      <c r="C26" s="81"/>
      <c r="D26" s="139" t="s">
        <v>145</v>
      </c>
      <c r="E26" s="458" t="str">
        <f>IF(VLOOKUP(F22,'11_1'!$A$13:$D$50,4,0)=1, "Definitivo 100%", "Eventual 80%")</f>
        <v>Definitivo 100%</v>
      </c>
      <c r="F26" s="583"/>
    </row>
    <row r="27" spans="1:6" ht="15.75">
      <c r="A27" s="450"/>
      <c r="B27" s="139" t="s">
        <v>146</v>
      </c>
      <c r="C27" s="145"/>
      <c r="D27" s="189" t="str">
        <f>IF(E27=1,"Domingo",IF(E27=2,"Lunes",IF(E27=3,"Martes",IF(E27=4,"Miercoles",IF(E27=5,"Jueves",IF(E27=6,"Viernes",IF(E27=7,"Sábado",0)))))))</f>
        <v>Sábado</v>
      </c>
      <c r="E27" s="190">
        <f>WEEKDAY(C27)</f>
        <v>7</v>
      </c>
      <c r="F27" s="453" t="s">
        <v>62</v>
      </c>
    </row>
    <row r="28" spans="1:6" ht="15.75">
      <c r="A28" s="450"/>
      <c r="B28" s="139" t="s">
        <v>147</v>
      </c>
      <c r="C28" s="145"/>
      <c r="D28" s="189" t="str">
        <f>IF(E28=1,"Domingo",IF(E28=2,"Lunes",IF(E28=3,"Martes",IF(E28=4,"Miercoles",IF(E28=5,"Jueves",IF(E28=6,"Viernes",IF(E28=7,"Sábado",0)))))))</f>
        <v>Sábado</v>
      </c>
      <c r="E28" s="190">
        <f>WEEKDAY(C28)</f>
        <v>7</v>
      </c>
      <c r="F28" s="453">
        <f>WEEKDAY(C28)</f>
        <v>7</v>
      </c>
    </row>
    <row r="29" spans="1:6">
      <c r="A29" s="450"/>
      <c r="B29" s="81"/>
      <c r="C29" s="81"/>
      <c r="D29" s="81"/>
      <c r="E29" s="584"/>
      <c r="F29" s="583"/>
    </row>
    <row r="30" spans="1:6">
      <c r="A30" s="472">
        <f>+Mensajes!$B$7</f>
        <v>0</v>
      </c>
      <c r="B30" s="81"/>
      <c r="C30" s="81"/>
      <c r="D30" s="81"/>
      <c r="E30" s="81"/>
      <c r="F30" s="451"/>
    </row>
    <row r="31" spans="1:6">
      <c r="A31" s="472">
        <f>+Mensajes!$B$12</f>
        <v>0</v>
      </c>
      <c r="B31" s="81"/>
      <c r="C31" s="81"/>
      <c r="D31" s="81"/>
      <c r="E31" s="81"/>
      <c r="F31" s="451"/>
    </row>
    <row r="32" spans="1:6">
      <c r="A32" s="471" t="str">
        <f>IF(VLOOKUP(F22,'11_1'!$A$13:$O$32,14,0)=0,"",VLOOKUP(F22,'11_1'!$A$13:$O$32,14,0))</f>
        <v/>
      </c>
      <c r="B32" s="81"/>
      <c r="C32" s="81"/>
      <c r="D32" s="81"/>
      <c r="E32" s="81"/>
      <c r="F32" s="451"/>
    </row>
    <row r="33" spans="1:6" ht="13.5" thickBot="1">
      <c r="A33" s="468"/>
      <c r="B33" s="455"/>
      <c r="C33" s="455"/>
      <c r="D33" s="454" t="str">
        <f>IF(DSUM('11_1'!$A$12:$Q$89,16,F21:F22)=COUNTIF('11_1'!$A$13:$A$89,F22),"","Regularice su Deuda")</f>
        <v>Regularice su Deuda</v>
      </c>
      <c r="E33" s="455"/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VLOOKUP(F39,'11_1'!$A$13:$G$32,7,0)</f>
        <v>PELLEGRINA, JUAN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+'11_1'!$H$2</f>
        <v>Hijuela ARGUMEDO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631" t="s">
        <v>140</v>
      </c>
      <c r="B41" s="458">
        <f>VLOOKUP(F39,'11_1'!$A$13:$B$32,2,0)</f>
        <v>1209</v>
      </c>
      <c r="C41" s="81"/>
      <c r="D41" s="139" t="s">
        <v>141</v>
      </c>
      <c r="E41" s="457">
        <f>DSUM('11_1'!A$12:K$32,'11_1'!$J$12,F38:F39)</f>
        <v>0.36986910285501406</v>
      </c>
      <c r="F41" s="451"/>
    </row>
    <row r="42" spans="1:6">
      <c r="A42" s="631" t="s">
        <v>142</v>
      </c>
      <c r="B42" s="461">
        <v>14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631" t="s">
        <v>144</v>
      </c>
      <c r="B43" s="462">
        <f>DSUM('11_1'!$A$12:$I$32,'11_1'!$H$12,F38:F39)</f>
        <v>2.9123000000000001</v>
      </c>
      <c r="C43" s="81"/>
      <c r="D43" s="139" t="s">
        <v>145</v>
      </c>
      <c r="E43" s="458" t="str">
        <f>IF(VLOOKUP(F39,'11_1'!$A$13:$D$50,4,0)=1, "Definitivo 100%", "Eventual 80%")</f>
        <v>Definitivo 100%</v>
      </c>
      <c r="F43" s="583"/>
    </row>
    <row r="44" spans="1:6" ht="15.75">
      <c r="A44" s="450"/>
      <c r="B44" s="139" t="s">
        <v>146</v>
      </c>
      <c r="C44" s="145"/>
      <c r="D44" s="189" t="str">
        <f>IF(E44=1,"Domingo",IF(E44=2,"Lunes",IF(E44=3,"Martes",IF(E44=4,"Miercoles",IF(E44=5,"Jueves",IF(E44=6,"Viernes",IF(E44=7,"Sábado",0)))))))</f>
        <v>Sábado</v>
      </c>
      <c r="E44" s="190">
        <f>WEEKDAY(C44)</f>
        <v>7</v>
      </c>
      <c r="F44" s="453" t="s">
        <v>62</v>
      </c>
    </row>
    <row r="45" spans="1:6" ht="15.75">
      <c r="A45" s="450"/>
      <c r="B45" s="139" t="s">
        <v>147</v>
      </c>
      <c r="C45" s="145"/>
      <c r="D45" s="189" t="str">
        <f>IF(E45=1,"Domingo",IF(E45=2,"Lunes",IF(E45=3,"Martes",IF(E45=4,"Miercoles",IF(E45=5,"Jueves",IF(E45=6,"Viernes",IF(E45=7,"Sábado",0)))))))</f>
        <v>Sábado</v>
      </c>
      <c r="E45" s="190">
        <f>WEEKDAY(C45)</f>
        <v>7</v>
      </c>
      <c r="F45" s="453">
        <f>WEEKDAY(C45)</f>
        <v>7</v>
      </c>
    </row>
    <row r="46" spans="1:6">
      <c r="A46" s="450"/>
      <c r="B46" s="81"/>
      <c r="C46" s="81"/>
      <c r="D46" s="81"/>
      <c r="E46" s="584"/>
      <c r="F46" s="583"/>
    </row>
    <row r="47" spans="1:6">
      <c r="A47" s="472">
        <f>+Mensajes!$B$7</f>
        <v>0</v>
      </c>
      <c r="B47" s="81"/>
      <c r="C47" s="81"/>
      <c r="D47" s="81"/>
      <c r="E47" s="81"/>
      <c r="F47" s="451"/>
    </row>
    <row r="48" spans="1:6">
      <c r="A48" s="472">
        <f>+Mensajes!$B$12</f>
        <v>0</v>
      </c>
      <c r="B48" s="81"/>
      <c r="C48" s="81"/>
      <c r="D48" s="81"/>
      <c r="E48" s="81"/>
      <c r="F48" s="451"/>
    </row>
    <row r="49" spans="1:6">
      <c r="A49" s="471" t="str">
        <f>IF(VLOOKUP(F39,'11_1'!$A$13:$O$32,14,0)=0,"",VLOOKUP(F39,'11_1'!$A$13:$O$32,14,0))</f>
        <v/>
      </c>
      <c r="B49" s="81"/>
      <c r="C49" s="81"/>
      <c r="D49" s="81"/>
      <c r="E49" s="81"/>
      <c r="F49" s="451"/>
    </row>
    <row r="50" spans="1:6" ht="13.5" thickBot="1">
      <c r="A50" s="468"/>
      <c r="B50" s="455"/>
      <c r="C50" s="455"/>
      <c r="D50" s="454" t="str">
        <f>IF(DSUM('11_1'!$A$12:$Q$89,16,F38:F39)=COUNTIF('11_1'!$A$13:$A$89,F39),"","Regularice su Deuda")</f>
        <v>Regularice su Deuda</v>
      </c>
      <c r="E50" s="455"/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VLOOKUP(F56,'11_1'!$A$13:$G$32,7,0)</f>
        <v>SANJURJO, JUAN MANUEL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+'11_1'!$H$2</f>
        <v>Hijuela ARGUMEDO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631" t="s">
        <v>140</v>
      </c>
      <c r="B58" s="458">
        <f>VLOOKUP(F56,'11_1'!$A$13:$B$32,2,0)</f>
        <v>1209</v>
      </c>
      <c r="C58" s="81"/>
      <c r="D58" s="139" t="s">
        <v>141</v>
      </c>
      <c r="E58" s="457">
        <f>DSUM('11_1'!A$12:K$32,'11_1'!$J$12,F55:F56)</f>
        <v>0.60948453957394932</v>
      </c>
      <c r="F58" s="451"/>
    </row>
    <row r="59" spans="1:6">
      <c r="A59" s="631" t="s">
        <v>142</v>
      </c>
      <c r="B59" s="461" t="s">
        <v>320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631" t="s">
        <v>144</v>
      </c>
      <c r="B60" s="462">
        <f>DSUM('11_1'!$A$12:$I$32,'11_1'!$H$12,F55:F56)</f>
        <v>4.7989999999999995</v>
      </c>
      <c r="C60" s="81"/>
      <c r="D60" s="139" t="s">
        <v>145</v>
      </c>
      <c r="E60" s="458" t="str">
        <f>IF(VLOOKUP(F56,'11_1'!$A$13:$D$50,4,0)=1, "Definitivo 100%", "Eventual 80%")</f>
        <v>Definitivo 100%</v>
      </c>
      <c r="F60" s="583"/>
    </row>
    <row r="61" spans="1:6" ht="15.75">
      <c r="A61" s="450"/>
      <c r="B61" s="139" t="s">
        <v>146</v>
      </c>
      <c r="C61" s="145"/>
      <c r="D61" s="189" t="str">
        <f>IF(E61=1,"Domingo",IF(E61=2,"Lunes",IF(E61=3,"Martes",IF(E61=4,"Miercoles",IF(E61=5,"Jueves",IF(E61=6,"Viernes",IF(E61=7,"Sábado",0)))))))</f>
        <v>Sábado</v>
      </c>
      <c r="E61" s="190">
        <f>WEEKDAY(C61)</f>
        <v>7</v>
      </c>
      <c r="F61" s="453" t="s">
        <v>62</v>
      </c>
    </row>
    <row r="62" spans="1:6" ht="15.75">
      <c r="A62" s="450"/>
      <c r="B62" s="139" t="s">
        <v>147</v>
      </c>
      <c r="C62" s="145"/>
      <c r="D62" s="189" t="str">
        <f>IF(E62=1,"Domingo",IF(E62=2,"Lunes",IF(E62=3,"Martes",IF(E62=4,"Miercoles",IF(E62=5,"Jueves",IF(E62=6,"Viernes",IF(E62=7,"Sábado",0)))))))</f>
        <v>Sábado</v>
      </c>
      <c r="E62" s="190">
        <f>WEEKDAY(C62)</f>
        <v>7</v>
      </c>
      <c r="F62" s="453">
        <f>WEEKDAY(C62)</f>
        <v>7</v>
      </c>
    </row>
    <row r="63" spans="1:6">
      <c r="A63" s="450"/>
      <c r="B63" s="81"/>
      <c r="C63" s="81"/>
      <c r="D63" s="81"/>
      <c r="E63" s="584"/>
      <c r="F63" s="583"/>
    </row>
    <row r="64" spans="1:6">
      <c r="A64" s="472">
        <f>+Mensajes!$B$7</f>
        <v>0</v>
      </c>
      <c r="B64" s="81"/>
      <c r="C64" s="81"/>
      <c r="D64" s="81"/>
      <c r="E64" s="81"/>
      <c r="F64" s="451"/>
    </row>
    <row r="65" spans="1:6">
      <c r="A65" s="472">
        <f>+Mensajes!$B$12</f>
        <v>0</v>
      </c>
      <c r="B65" s="81"/>
      <c r="C65" s="81"/>
      <c r="D65" s="81"/>
      <c r="E65" s="81"/>
      <c r="F65" s="451"/>
    </row>
    <row r="66" spans="1:6">
      <c r="A66" s="471" t="str">
        <f>IF(VLOOKUP(F56,'11_1'!$A$13:$O$32,14,0)=0,"",VLOOKUP(F56,'11_1'!$A$13:$O$32,14,0))</f>
        <v/>
      </c>
      <c r="B66" s="81"/>
      <c r="C66" s="81"/>
      <c r="D66" s="81"/>
      <c r="E66" s="81"/>
      <c r="F66" s="451"/>
    </row>
    <row r="67" spans="1:6" ht="13.5" thickBot="1">
      <c r="A67" s="468"/>
      <c r="B67" s="455"/>
      <c r="C67" s="455"/>
      <c r="D67" s="454" t="str">
        <f>IF(DSUM('11_1'!$A$12:$Q$89,16,F55:F56)=COUNTIF('11_1'!$A$13:$A$89,F56),"","Regularice su Deuda")</f>
        <v>Regularice su Deuda</v>
      </c>
      <c r="E67" s="455"/>
      <c r="F67" s="456"/>
    </row>
  </sheetData>
  <phoneticPr fontId="0" type="noConversion"/>
  <pageMargins left="0.55118110236220474" right="0.47244094488188981" top="0.19685039370078741" bottom="0.19685039370078741" header="0" footer="0"/>
  <pageSetup paperSize="281" scale="85" orientation="portrait" r:id="rId1"/>
  <headerFooter alignWithMargins="0"/>
  <colBreaks count="1" manualBreakCount="1">
    <brk id="7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7"/>
  <dimension ref="A1:U33"/>
  <sheetViews>
    <sheetView view="pageBreakPreview" zoomScaleNormal="100" workbookViewId="0" xr3:uid="{EE242A16-C6B8-5192-B120-522BC795EE76}">
      <selection activeCell="M1" sqref="M1:M1048576"/>
    </sheetView>
  </sheetViews>
  <sheetFormatPr defaultColWidth="11.42578125" defaultRowHeight="12.75"/>
  <cols>
    <col min="1" max="1" width="7.140625" customWidth="1"/>
    <col min="2" max="2" width="5.140625" customWidth="1"/>
    <col min="3" max="4" width="6.5703125" customWidth="1"/>
    <col min="5" max="5" width="10.140625" customWidth="1"/>
    <col min="6" max="6" width="12.5703125" customWidth="1"/>
    <col min="7" max="7" width="22.42578125" bestFit="1" customWidth="1"/>
    <col min="8" max="8" width="14.28515625" bestFit="1" customWidth="1"/>
    <col min="9" max="9" width="7.7109375" bestFit="1" customWidth="1"/>
    <col min="10" max="10" width="8.5703125" bestFit="1" customWidth="1"/>
    <col min="11" max="12" width="16.85546875" bestFit="1" customWidth="1"/>
    <col min="13" max="13" width="18" customWidth="1"/>
    <col min="14" max="14" width="19.7109375" customWidth="1"/>
    <col min="15" max="15" width="13.85546875" bestFit="1" customWidth="1"/>
    <col min="16" max="16" width="7" bestFit="1" customWidth="1"/>
    <col min="17" max="17" width="7.28515625" bestFit="1" customWidth="1"/>
    <col min="18" max="18" width="6.42578125" bestFit="1" customWidth="1"/>
    <col min="19" max="19" width="10.140625" bestFit="1" customWidth="1"/>
    <col min="20" max="20" width="12.28515625" bestFit="1" customWidth="1"/>
    <col min="21" max="21" width="10.140625" bestFit="1" customWidth="1"/>
    <col min="22" max="22" width="9.5703125" bestFit="1" customWidth="1"/>
  </cols>
  <sheetData>
    <row r="1" spans="1:21">
      <c r="M1" s="137"/>
    </row>
    <row r="2" spans="1:21">
      <c r="A2" s="144" t="s">
        <v>187</v>
      </c>
      <c r="B2" s="137"/>
      <c r="C2" s="137"/>
      <c r="D2" s="137"/>
      <c r="E2" s="137"/>
      <c r="F2" s="137"/>
      <c r="G2" s="137"/>
      <c r="H2" s="137" t="s">
        <v>321</v>
      </c>
      <c r="I2" s="137"/>
      <c r="J2" s="137"/>
      <c r="K2" s="137"/>
      <c r="L2" s="137"/>
      <c r="M2" s="137"/>
      <c r="N2" s="137"/>
      <c r="O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</row>
    <row r="5" spans="1:21">
      <c r="A5" s="669" t="s">
        <v>92</v>
      </c>
      <c r="B5" s="670"/>
      <c r="C5" s="662">
        <f>+Hijuelas!D22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137"/>
      <c r="K5" s="137"/>
      <c r="L5" s="137"/>
      <c r="M5" s="137"/>
      <c r="N5" s="137"/>
      <c r="O5" s="137"/>
    </row>
    <row r="6" spans="1:21" ht="13.5" thickBot="1">
      <c r="A6" s="671" t="s">
        <v>94</v>
      </c>
      <c r="B6" s="672"/>
      <c r="C6" s="665">
        <f>+L22</f>
        <v>42977.53125</v>
      </c>
      <c r="D6" s="666"/>
      <c r="E6" s="667"/>
      <c r="F6" s="344"/>
      <c r="G6" s="344"/>
      <c r="H6" s="347" t="s">
        <v>95</v>
      </c>
      <c r="I6" s="354">
        <v>8.3333333333333329E-2</v>
      </c>
      <c r="J6" s="344"/>
      <c r="K6" s="137"/>
      <c r="L6" s="578"/>
      <c r="M6" s="578"/>
      <c r="N6" s="137"/>
      <c r="O6" s="137"/>
    </row>
    <row r="7" spans="1:21" ht="13.5" thickBot="1">
      <c r="A7" s="137"/>
      <c r="B7" s="137"/>
      <c r="C7" s="137"/>
      <c r="D7" s="137"/>
      <c r="E7" s="137"/>
      <c r="F7" s="137"/>
      <c r="G7" s="137"/>
      <c r="H7" s="348" t="s">
        <v>96</v>
      </c>
      <c r="I7" s="349">
        <f>+I23</f>
        <v>0</v>
      </c>
      <c r="J7" s="137"/>
      <c r="K7" s="137"/>
      <c r="L7" s="137"/>
      <c r="M7" s="137"/>
      <c r="N7" s="137"/>
      <c r="O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</row>
    <row r="9" spans="1:21">
      <c r="A9" s="668" t="s">
        <v>97</v>
      </c>
      <c r="B9" s="668"/>
      <c r="C9" s="556">
        <f>I5-(I6+I7)</f>
        <v>3.90625</v>
      </c>
      <c r="D9" s="556"/>
      <c r="E9" s="555" t="s">
        <v>98</v>
      </c>
      <c r="F9" s="350">
        <f>+C9*60</f>
        <v>234.375</v>
      </c>
      <c r="G9" s="555" t="s">
        <v>99</v>
      </c>
      <c r="H9" s="351">
        <f>+H23</f>
        <v>68.96802000000001</v>
      </c>
      <c r="I9" s="555" t="s">
        <v>100</v>
      </c>
      <c r="J9" s="556">
        <f>IF(H9=0,0,F9/H9)</f>
        <v>3.3983141751785824</v>
      </c>
      <c r="K9" s="137"/>
      <c r="L9" s="137"/>
      <c r="M9" s="137"/>
      <c r="N9" s="137"/>
      <c r="O9" s="137"/>
    </row>
    <row r="10" spans="1:21">
      <c r="A10" s="555"/>
      <c r="B10" s="555"/>
      <c r="C10" s="556"/>
      <c r="D10" s="556"/>
      <c r="E10" s="555"/>
      <c r="F10" s="350"/>
      <c r="G10" s="555"/>
      <c r="H10" s="351"/>
      <c r="I10" s="555"/>
      <c r="J10" s="556"/>
      <c r="K10" s="137"/>
      <c r="L10" s="137"/>
      <c r="M10" s="137"/>
      <c r="N10" s="137"/>
      <c r="O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</row>
    <row r="12" spans="1:21" ht="24.75" thickBot="1">
      <c r="A12" s="357" t="s">
        <v>102</v>
      </c>
      <c r="B12" s="336" t="s">
        <v>103</v>
      </c>
      <c r="C12" s="336" t="s">
        <v>104</v>
      </c>
      <c r="D12" s="336" t="s">
        <v>322</v>
      </c>
      <c r="E12" s="336" t="s">
        <v>106</v>
      </c>
      <c r="F12" s="336" t="s">
        <v>153</v>
      </c>
      <c r="G12" s="336" t="s">
        <v>108</v>
      </c>
      <c r="H12" s="336" t="s">
        <v>154</v>
      </c>
      <c r="I12" s="336" t="s">
        <v>200</v>
      </c>
      <c r="J12" s="336" t="s">
        <v>110</v>
      </c>
      <c r="K12" s="336" t="s">
        <v>156</v>
      </c>
      <c r="L12" s="336" t="s">
        <v>157</v>
      </c>
      <c r="M12" s="554" t="s">
        <v>113</v>
      </c>
      <c r="N12" s="336" t="s">
        <v>114</v>
      </c>
      <c r="O12" s="336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336" t="s">
        <v>121</v>
      </c>
      <c r="U12" s="337" t="s">
        <v>122</v>
      </c>
    </row>
    <row r="13" spans="1:21" ht="30" customHeight="1" thickTop="1">
      <c r="A13" s="51">
        <v>1</v>
      </c>
      <c r="B13" s="52">
        <v>1200</v>
      </c>
      <c r="C13" s="52">
        <v>16</v>
      </c>
      <c r="D13" s="52">
        <v>1</v>
      </c>
      <c r="E13" s="103">
        <v>125</v>
      </c>
      <c r="F13" s="103" t="str">
        <f t="shared" ref="F13:F22" si="0">IF(Q13=0,"NO",IF(Q13=1,"SI",IF(Q13=3,"cede turno","CONDICIONAL")))</f>
        <v>NO</v>
      </c>
      <c r="G13" s="52" t="s">
        <v>323</v>
      </c>
      <c r="H13" s="579">
        <v>0</v>
      </c>
      <c r="I13" s="434">
        <v>0</v>
      </c>
      <c r="J13" s="90">
        <f t="shared" ref="J13:J22" si="1">+$J$9/60*H13</f>
        <v>0</v>
      </c>
      <c r="K13" s="174">
        <f>+C5+I6</f>
        <v>42973.625</v>
      </c>
      <c r="L13" s="174">
        <f>+K13+J13</f>
        <v>42973.625</v>
      </c>
      <c r="M13" s="174"/>
      <c r="N13" s="52"/>
      <c r="O13" s="52"/>
      <c r="P13" s="52" t="str">
        <f t="shared" ref="P13:P22" si="2">+CONCATENATE(B13,C13)</f>
        <v>120016</v>
      </c>
      <c r="Q13" s="150">
        <v>0</v>
      </c>
      <c r="R13" s="150">
        <v>177</v>
      </c>
      <c r="S13" s="150" t="s">
        <v>324</v>
      </c>
      <c r="T13" s="151" t="e">
        <v>#REF!</v>
      </c>
      <c r="U13" s="152" t="e">
        <v>#REF!</v>
      </c>
    </row>
    <row r="14" spans="1:21" ht="30" customHeight="1">
      <c r="A14" s="535">
        <v>1</v>
      </c>
      <c r="B14" s="536">
        <v>1202</v>
      </c>
      <c r="C14" s="536">
        <v>40</v>
      </c>
      <c r="D14" s="536">
        <v>1</v>
      </c>
      <c r="E14" s="537">
        <v>1.8097000000000001</v>
      </c>
      <c r="F14" s="103" t="str">
        <f t="shared" si="0"/>
        <v>NO</v>
      </c>
      <c r="G14" s="536" t="s">
        <v>253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0</v>
      </c>
      <c r="I14" s="434">
        <v>0</v>
      </c>
      <c r="J14" s="90">
        <f t="shared" si="1"/>
        <v>0</v>
      </c>
      <c r="K14" s="538">
        <f>+L13</f>
        <v>42973.625</v>
      </c>
      <c r="L14" s="538">
        <f>+K14+J14</f>
        <v>42973.625</v>
      </c>
      <c r="M14" s="174"/>
      <c r="N14" s="536"/>
      <c r="O14" s="536"/>
      <c r="P14" s="52" t="str">
        <f t="shared" si="2"/>
        <v>120240</v>
      </c>
      <c r="Q14" s="150">
        <f>VLOOKUP(P14,deuda!A$1:H$586,4,0)</f>
        <v>0</v>
      </c>
      <c r="R14" s="150">
        <f>VLOOKUP(P14,deuda!A$1:H$5586,5,0)</f>
        <v>27</v>
      </c>
      <c r="S14" s="150">
        <f>IF(VLOOKUP(P14,deuda!A$1:H$586,6,0)=0,"",VLOOKUP(P14,deuda!A$1:H$586,6,0))</f>
        <v>13413.35</v>
      </c>
      <c r="T14" s="151" t="str">
        <f>IF((VLOOKUP(P14,deuda!A$1:H$586,7,0))=0,"",VLOOKUP(P14,deuda!A$1:H$586,7,0))</f>
        <v/>
      </c>
      <c r="U14" s="152" t="str">
        <f>IF((VLOOKUP(P14,deuda!A$1:H$586,8,0))=0,"",VLOOKUP(P14,deuda!A$1:H$586,8,0))</f>
        <v/>
      </c>
    </row>
    <row r="15" spans="1:21" ht="30" customHeight="1">
      <c r="A15" s="535">
        <v>1</v>
      </c>
      <c r="B15" s="536">
        <v>1202</v>
      </c>
      <c r="C15" s="536">
        <v>42</v>
      </c>
      <c r="D15" s="536">
        <v>1</v>
      </c>
      <c r="E15" s="537">
        <v>1.4769000000000001</v>
      </c>
      <c r="F15" s="103" t="str">
        <f t="shared" si="0"/>
        <v>NO</v>
      </c>
      <c r="G15" s="536" t="s">
        <v>253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0</v>
      </c>
      <c r="I15" s="434">
        <v>0</v>
      </c>
      <c r="J15" s="90">
        <f t="shared" si="1"/>
        <v>0</v>
      </c>
      <c r="K15" s="538">
        <f t="shared" ref="K15:K22" si="3">+L14</f>
        <v>42973.625</v>
      </c>
      <c r="L15" s="538">
        <f t="shared" ref="L15:L22" si="4">+K15+J15</f>
        <v>42973.625</v>
      </c>
      <c r="M15" s="174"/>
      <c r="N15" s="536"/>
      <c r="O15" s="536"/>
      <c r="P15" s="52" t="str">
        <f t="shared" si="2"/>
        <v>120242</v>
      </c>
      <c r="Q15" s="150">
        <f>VLOOKUP(P15,deuda!A$1:H$586,4,0)</f>
        <v>0</v>
      </c>
      <c r="R15" s="150">
        <f>VLOOKUP(P15,deuda!A$1:H$5586,5,0)</f>
        <v>27</v>
      </c>
      <c r="S15" s="150">
        <f>IF(VLOOKUP(P15,deuda!A$1:H$586,6,0)=0,"",VLOOKUP(P15,deuda!A$1:H$586,6,0))</f>
        <v>13421.01</v>
      </c>
      <c r="T15" s="151" t="str">
        <f>IF((VLOOKUP(P15,deuda!A$1:H$586,7,0))=0,"",VLOOKUP(P15,deuda!A$1:H$586,7,0))</f>
        <v/>
      </c>
      <c r="U15" s="152" t="str">
        <f>IF((VLOOKUP(P15,deuda!A$1:H$586,8,0))=0,"",VLOOKUP(P15,deuda!A$1:H$586,8,0))</f>
        <v/>
      </c>
    </row>
    <row r="16" spans="1:21" ht="30" customHeight="1">
      <c r="A16" s="535">
        <v>1</v>
      </c>
      <c r="B16" s="536">
        <v>1202</v>
      </c>
      <c r="C16" s="536">
        <v>44</v>
      </c>
      <c r="D16" s="536">
        <v>1</v>
      </c>
      <c r="E16" s="537">
        <v>1.4769000000000001</v>
      </c>
      <c r="F16" s="103" t="str">
        <f t="shared" si="0"/>
        <v>NO</v>
      </c>
      <c r="G16" s="536" t="s">
        <v>253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0</v>
      </c>
      <c r="I16" s="434">
        <v>0</v>
      </c>
      <c r="J16" s="90">
        <f t="shared" si="1"/>
        <v>0</v>
      </c>
      <c r="K16" s="538">
        <f t="shared" si="3"/>
        <v>42973.625</v>
      </c>
      <c r="L16" s="538">
        <f t="shared" si="4"/>
        <v>42973.625</v>
      </c>
      <c r="M16" s="125"/>
      <c r="N16" s="536"/>
      <c r="O16" s="536"/>
      <c r="P16" s="52" t="str">
        <f t="shared" si="2"/>
        <v>120244</v>
      </c>
      <c r="Q16" s="150">
        <f>VLOOKUP(P16,deuda!A$1:H$586,4,0)</f>
        <v>0</v>
      </c>
      <c r="R16" s="150">
        <f>VLOOKUP(P16,deuda!A$1:H$5586,5,0)</f>
        <v>27</v>
      </c>
      <c r="S16" s="150">
        <f>IF(VLOOKUP(P16,deuda!A$1:H$586,6,0)=0,"",VLOOKUP(P16,deuda!A$1:H$586,6,0))</f>
        <v>13421.01</v>
      </c>
      <c r="T16" s="151" t="str">
        <f>IF((VLOOKUP(P16,deuda!A$1:H$586,7,0))=0,"",VLOOKUP(P16,deuda!A$1:H$586,7,0))</f>
        <v/>
      </c>
      <c r="U16" s="152" t="str">
        <f>IF((VLOOKUP(P16,deuda!A$1:H$586,8,0))=0,"",VLOOKUP(P16,deuda!A$1:H$586,8,0))</f>
        <v/>
      </c>
    </row>
    <row r="17" spans="1:21" ht="30" customHeight="1">
      <c r="A17" s="535">
        <v>1</v>
      </c>
      <c r="B17" s="536">
        <v>1202</v>
      </c>
      <c r="C17" s="536">
        <v>41</v>
      </c>
      <c r="D17" s="536">
        <v>1</v>
      </c>
      <c r="E17" s="537">
        <v>1.4770000000000001</v>
      </c>
      <c r="F17" s="103" t="str">
        <f t="shared" si="0"/>
        <v>NO</v>
      </c>
      <c r="G17" s="536" t="s">
        <v>253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0</v>
      </c>
      <c r="I17" s="434">
        <v>0</v>
      </c>
      <c r="J17" s="434">
        <f>+H17*$J$9/60</f>
        <v>0</v>
      </c>
      <c r="K17" s="538">
        <f t="shared" si="3"/>
        <v>42973.625</v>
      </c>
      <c r="L17" s="538">
        <f t="shared" si="4"/>
        <v>42973.625</v>
      </c>
      <c r="M17" s="125"/>
      <c r="N17" s="536"/>
      <c r="O17" s="536"/>
      <c r="P17" s="52" t="str">
        <f>+CONCATENATE(B17,C17)</f>
        <v>120241</v>
      </c>
      <c r="Q17" s="150">
        <f>VLOOKUP(P17,deuda!A$1:H$606,4,0)</f>
        <v>0</v>
      </c>
      <c r="R17" s="150">
        <f>VLOOKUP(P17,deuda!A$1:H$606,5,0)</f>
        <v>15</v>
      </c>
      <c r="S17" s="150">
        <f>IF(VLOOKUP(P17,deuda!A$1:H$606,6,0)=0,"",VLOOKUP(P17,deuda!A$1:H$606,6,0))</f>
        <v>6939.48</v>
      </c>
      <c r="T17" s="151" t="str">
        <f>IF((VLOOKUP(P17,deuda!A$1:H$606,7,0))=0,"",VLOOKUP(P17,deuda!A$1:H$606,7,0))</f>
        <v/>
      </c>
      <c r="U17" s="152" t="str">
        <f>IF((VLOOKUP(P17,deuda!A$1:H$606,8,0))=0,"",VLOOKUP(P17,deuda!A$1:H$606,8,0))</f>
        <v/>
      </c>
    </row>
    <row r="18" spans="1:21" ht="30" customHeight="1">
      <c r="A18" s="535">
        <v>1</v>
      </c>
      <c r="B18" s="536">
        <v>1202</v>
      </c>
      <c r="C18" s="536">
        <v>43</v>
      </c>
      <c r="D18" s="536">
        <v>1</v>
      </c>
      <c r="E18" s="537">
        <v>1.4769000000000001</v>
      </c>
      <c r="F18" s="103" t="str">
        <f t="shared" si="0"/>
        <v>NO</v>
      </c>
      <c r="G18" s="536" t="s">
        <v>253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0</v>
      </c>
      <c r="I18" s="434">
        <v>0</v>
      </c>
      <c r="J18" s="434">
        <f>+H18*$J$9/60</f>
        <v>0</v>
      </c>
      <c r="K18" s="538">
        <f t="shared" si="3"/>
        <v>42973.625</v>
      </c>
      <c r="L18" s="538">
        <f t="shared" si="4"/>
        <v>42973.625</v>
      </c>
      <c r="M18" s="125"/>
      <c r="N18" s="536"/>
      <c r="O18" s="536"/>
      <c r="P18" s="52" t="str">
        <f>+CONCATENATE(B18,C18)</f>
        <v>120243</v>
      </c>
      <c r="Q18" s="150">
        <f>VLOOKUP(P18,deuda!A$1:H$606,4,0)</f>
        <v>0</v>
      </c>
      <c r="R18" s="150">
        <f>VLOOKUP(P18,deuda!A$1:H$606,5,0)</f>
        <v>15</v>
      </c>
      <c r="S18" s="150">
        <f>IF(VLOOKUP(P18,deuda!A$1:H$606,6,0)=0,"",VLOOKUP(P18,deuda!A$1:H$606,6,0))</f>
        <v>6939.48</v>
      </c>
      <c r="T18" s="151" t="str">
        <f>IF((VLOOKUP(P18,deuda!A$1:H$606,7,0))=0,"",VLOOKUP(P18,deuda!A$1:H$606,7,0))</f>
        <v/>
      </c>
      <c r="U18" s="152" t="str">
        <f>IF((VLOOKUP(P18,deuda!A$1:H$606,8,0))=0,"",VLOOKUP(P18,deuda!A$1:H$606,8,0))</f>
        <v/>
      </c>
    </row>
    <row r="19" spans="1:21" ht="30" customHeight="1">
      <c r="A19" s="535">
        <v>1</v>
      </c>
      <c r="B19" s="536">
        <v>1202</v>
      </c>
      <c r="C19" s="536">
        <v>45</v>
      </c>
      <c r="D19" s="536">
        <v>1</v>
      </c>
      <c r="E19" s="537">
        <v>1.4769000000000001</v>
      </c>
      <c r="F19" s="103" t="str">
        <f t="shared" si="0"/>
        <v>NO</v>
      </c>
      <c r="G19" s="536" t="s">
        <v>253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0</v>
      </c>
      <c r="I19" s="434">
        <v>0</v>
      </c>
      <c r="J19" s="434">
        <f>+H19*$J$9/60</f>
        <v>0</v>
      </c>
      <c r="K19" s="538">
        <f t="shared" si="3"/>
        <v>42973.625</v>
      </c>
      <c r="L19" s="538">
        <f t="shared" si="4"/>
        <v>42973.625</v>
      </c>
      <c r="M19" s="125"/>
      <c r="N19" s="536"/>
      <c r="O19" s="536"/>
      <c r="P19" s="52" t="str">
        <f>+CONCATENATE(B19,C19)</f>
        <v>120245</v>
      </c>
      <c r="Q19" s="150">
        <f>VLOOKUP(P19,deuda!A$1:H$606,4,0)</f>
        <v>0</v>
      </c>
      <c r="R19" s="150">
        <f>VLOOKUP(P19,deuda!A$1:H$606,5,0)</f>
        <v>15</v>
      </c>
      <c r="S19" s="150">
        <f>IF(VLOOKUP(P19,deuda!A$1:H$606,6,0)=0,"",VLOOKUP(P19,deuda!A$1:H$606,6,0))</f>
        <v>6939.48</v>
      </c>
      <c r="T19" s="151" t="str">
        <f>IF((VLOOKUP(P19,deuda!A$1:H$606,7,0))=0,"",VLOOKUP(P19,deuda!A$1:H$606,7,0))</f>
        <v/>
      </c>
      <c r="U19" s="152" t="str">
        <f>IF((VLOOKUP(P19,deuda!A$1:H$606,8,0))=0,"",VLOOKUP(P19,deuda!A$1:H$606,8,0))</f>
        <v/>
      </c>
    </row>
    <row r="20" spans="1:21" ht="30" customHeight="1">
      <c r="A20" s="535">
        <v>1</v>
      </c>
      <c r="B20" s="536">
        <v>1202</v>
      </c>
      <c r="C20" s="536">
        <v>47</v>
      </c>
      <c r="D20" s="536">
        <v>1</v>
      </c>
      <c r="E20" s="537">
        <v>1.4769000000000001</v>
      </c>
      <c r="F20" s="103" t="str">
        <f t="shared" si="0"/>
        <v>SI</v>
      </c>
      <c r="G20" s="536" t="s">
        <v>253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1.4769000000000001</v>
      </c>
      <c r="I20" s="434">
        <v>0</v>
      </c>
      <c r="J20" s="434">
        <f>+H20*$J$9/60</f>
        <v>8.3649503422020807E-2</v>
      </c>
      <c r="K20" s="538">
        <f t="shared" si="3"/>
        <v>42973.625</v>
      </c>
      <c r="L20" s="538">
        <f t="shared" si="4"/>
        <v>42973.708649503424</v>
      </c>
      <c r="M20" s="125"/>
      <c r="N20" s="536"/>
      <c r="O20" s="536"/>
      <c r="P20" s="52" t="str">
        <f>+CONCATENATE(B20,C20)</f>
        <v>120247</v>
      </c>
      <c r="Q20" s="150">
        <f>VLOOKUP(P20,deuda!A$1:H$606,4,0)</f>
        <v>1</v>
      </c>
      <c r="R20" s="150">
        <f>VLOOKUP(P20,deuda!A$1:H$606,5,0)</f>
        <v>0</v>
      </c>
      <c r="S20" s="150">
        <f>IF(VLOOKUP(P20,deuda!A$1:H$606,6,0)=0,"",VLOOKUP(P20,deuda!A$1:H$606,6,0))</f>
        <v>2000.69</v>
      </c>
      <c r="T20" s="151" t="str">
        <f>IF((VLOOKUP(P20,deuda!A$1:H$606,7,0))=0,"",VLOOKUP(P20,deuda!A$1:H$606,7,0))</f>
        <v/>
      </c>
      <c r="U20" s="152" t="str">
        <f>IF((VLOOKUP(P20,deuda!A$1:H$606,8,0))=0,"",VLOOKUP(P20,deuda!A$1:H$606,8,0))</f>
        <v/>
      </c>
    </row>
    <row r="21" spans="1:21" ht="30" customHeight="1">
      <c r="A21" s="535">
        <v>1</v>
      </c>
      <c r="B21" s="536">
        <v>1202</v>
      </c>
      <c r="C21" s="536">
        <v>46</v>
      </c>
      <c r="D21" s="536">
        <v>1</v>
      </c>
      <c r="E21" s="537">
        <v>1.4769000000000001</v>
      </c>
      <c r="F21" s="103" t="str">
        <f t="shared" si="0"/>
        <v>NO</v>
      </c>
      <c r="G21" s="536" t="s">
        <v>253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0</v>
      </c>
      <c r="I21" s="434">
        <v>0</v>
      </c>
      <c r="J21" s="90">
        <f t="shared" si="1"/>
        <v>0</v>
      </c>
      <c r="K21" s="538">
        <f t="shared" si="3"/>
        <v>42973.708649503424</v>
      </c>
      <c r="L21" s="538">
        <f t="shared" si="4"/>
        <v>42973.708649503424</v>
      </c>
      <c r="M21" s="125"/>
      <c r="N21" s="536"/>
      <c r="O21" s="536"/>
      <c r="P21" s="52" t="str">
        <f t="shared" si="2"/>
        <v>120246</v>
      </c>
      <c r="Q21" s="150">
        <f>VLOOKUP(P21,deuda!A$1:H$586,4,0)</f>
        <v>0</v>
      </c>
      <c r="R21" s="150">
        <f>VLOOKUP(P21,deuda!A$1:H$5586,5,0)</f>
        <v>27</v>
      </c>
      <c r="S21" s="150">
        <f>IF(VLOOKUP(P21,deuda!A$1:H$586,6,0)=0,"",VLOOKUP(P21,deuda!A$1:H$586,6,0))</f>
        <v>13421.01</v>
      </c>
      <c r="T21" s="151" t="str">
        <f>IF((VLOOKUP(P21,deuda!A$1:H$586,7,0))=0,"",VLOOKUP(P21,deuda!A$1:H$586,7,0))</f>
        <v/>
      </c>
      <c r="U21" s="152" t="str">
        <f>IF((VLOOKUP(P21,deuda!A$1:H$586,8,0))=0,"",VLOOKUP(P21,deuda!A$1:H$586,8,0))</f>
        <v/>
      </c>
    </row>
    <row r="22" spans="1:21" ht="30" customHeight="1" thickBot="1">
      <c r="A22" s="36">
        <v>1</v>
      </c>
      <c r="B22" s="29">
        <v>1200</v>
      </c>
      <c r="C22" s="29">
        <v>41</v>
      </c>
      <c r="D22" s="29">
        <v>2</v>
      </c>
      <c r="E22" s="40">
        <v>84.363900000000001</v>
      </c>
      <c r="F22" s="103" t="str">
        <f t="shared" si="0"/>
        <v>SI</v>
      </c>
      <c r="G22" s="29" t="s">
        <v>325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67.491120000000009</v>
      </c>
      <c r="I22" s="434">
        <v>0</v>
      </c>
      <c r="J22" s="90">
        <f t="shared" si="1"/>
        <v>3.8226004965779796</v>
      </c>
      <c r="K22" s="538">
        <f t="shared" si="3"/>
        <v>42973.708649503424</v>
      </c>
      <c r="L22" s="538">
        <f t="shared" si="4"/>
        <v>42977.53125</v>
      </c>
      <c r="M22" s="125"/>
      <c r="N22" s="29"/>
      <c r="O22" s="29"/>
      <c r="P22" s="52" t="str">
        <f t="shared" si="2"/>
        <v>120041</v>
      </c>
      <c r="Q22" s="150">
        <f>VLOOKUP(P22,deuda!A$1:H$586,4,0)</f>
        <v>1</v>
      </c>
      <c r="R22" s="150">
        <f>VLOOKUP(P22,deuda!A$1:H$5586,5,0)</f>
        <v>2</v>
      </c>
      <c r="S22" s="150">
        <f>IF(VLOOKUP(P22,deuda!A$1:H$586,6,0)=0,"",VLOOKUP(P22,deuda!A$1:H$586,6,0))</f>
        <v>73213.47</v>
      </c>
      <c r="T22" s="151" t="str">
        <f>IF((VLOOKUP(P22,deuda!A$1:H$586,7,0))=0,"",VLOOKUP(P22,deuda!A$1:H$586,7,0))</f>
        <v/>
      </c>
      <c r="U22" s="152" t="str">
        <f>IF((VLOOKUP(P22,deuda!A$1:H$586,8,0))=0,"",VLOOKUP(P22,deuda!A$1:H$586,8,0))</f>
        <v/>
      </c>
    </row>
    <row r="23" spans="1:21" ht="13.5" thickBot="1">
      <c r="E23" s="358">
        <f>SUM(E22:E22)</f>
        <v>84.363900000000001</v>
      </c>
      <c r="F23" s="358"/>
      <c r="G23" s="211"/>
      <c r="H23" s="360">
        <f>SUM(H13:H22)</f>
        <v>68.96802000000001</v>
      </c>
      <c r="I23" s="441">
        <f>SUM(I22:I22)</f>
        <v>0</v>
      </c>
      <c r="J23" s="254">
        <f>SUM(J13:J22)</f>
        <v>3.9062500000000004</v>
      </c>
      <c r="K23" s="538"/>
      <c r="L23" s="538"/>
      <c r="M23" s="125"/>
      <c r="R23" s="11" t="str">
        <f>+CONCATENATE(B23,C23)</f>
        <v/>
      </c>
    </row>
    <row r="24" spans="1:21">
      <c r="M24" s="125"/>
    </row>
    <row r="25" spans="1:21">
      <c r="M25" s="125"/>
    </row>
    <row r="26" spans="1:21">
      <c r="M26" s="125"/>
    </row>
    <row r="27" spans="1:21">
      <c r="M27" s="125"/>
    </row>
    <row r="28" spans="1:21">
      <c r="M28" s="125"/>
    </row>
    <row r="29" spans="1:21">
      <c r="M29" s="125"/>
    </row>
    <row r="30" spans="1:21">
      <c r="M30" s="125"/>
    </row>
    <row r="31" spans="1:21">
      <c r="M31" s="125"/>
    </row>
    <row r="32" spans="1:21">
      <c r="M32" s="125"/>
    </row>
    <row r="33" spans="13:13">
      <c r="M33" s="10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2">
    <dataValidation allowBlank="1" showInputMessage="1" showErrorMessage="1" errorTitle="ATENCIÓN" error="NO PUEDEN INGRESARSE VALORES" promptTitle="RECORDAR" prompt="NO OLVIDE VOLVER A PEGAR LA FORMULA PARA QUE LA PLANILLA LEA AUTOMATICAMENTE LOS DATOS " sqref="Q14:U22" xr:uid="{00000000-0002-0000-1C00-000000000000}"/>
    <dataValidation type="list" allowBlank="1" showInputMessage="1" showErrorMessage="1" errorTitle="ATENCIÓN" error="NO PUEDEN INGRESARSE VALORES" promptTitle="RECORDAR" prompt="NO OLVIDE VOLVER A PEGAR LA FORMULA PARA QUE LA PLANILLA LEA AUTOMATICAMENTE LOS DATOS " sqref="Q13" xr:uid="{00000000-0002-0000-1C00-000001000000}">
      <formula1>"2, 3"</formula1>
    </dataValidation>
  </dataValidations>
  <pageMargins left="0.15748031496062992" right="0.15748031496062992" top="1.0629921259842521" bottom="0.98425196850393704" header="0" footer="0"/>
  <pageSetup paperSize="281" scale="90" orientation="landscape" r:id="rId1"/>
  <headerFooter alignWithMargins="0"/>
  <colBreaks count="1" manualBreakCount="1">
    <brk id="15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7"/>
  <dimension ref="A1:G33"/>
  <sheetViews>
    <sheetView view="pageBreakPreview" zoomScale="75" zoomScaleNormal="100" workbookViewId="0" xr3:uid="{7075697D-051A-5480-9A35-AA80E904E1A1}">
      <selection activeCell="I19" sqref="I19"/>
    </sheetView>
  </sheetViews>
  <sheetFormatPr defaultColWidth="11.42578125" defaultRowHeight="12.75"/>
  <cols>
    <col min="1" max="1" width="11.5703125" bestFit="1" customWidth="1"/>
    <col min="2" max="2" width="12" bestFit="1" customWidth="1"/>
    <col min="3" max="3" width="22.28515625" bestFit="1" customWidth="1"/>
    <col min="5" max="6" width="11.7109375" bestFit="1" customWidth="1"/>
  </cols>
  <sheetData>
    <row r="1" spans="1:7">
      <c r="A1" s="447"/>
      <c r="B1" s="448"/>
      <c r="C1" s="448"/>
      <c r="D1" s="448"/>
      <c r="E1" s="448"/>
      <c r="F1" s="449"/>
      <c r="G1" s="81"/>
    </row>
    <row r="2" spans="1:7">
      <c r="A2" s="465" t="s">
        <v>64</v>
      </c>
      <c r="B2" s="81"/>
      <c r="C2" s="81"/>
      <c r="D2" s="81"/>
      <c r="E2" s="81"/>
      <c r="F2" s="451"/>
      <c r="G2" s="81"/>
    </row>
    <row r="3" spans="1:7">
      <c r="A3" s="450"/>
      <c r="B3" s="81"/>
      <c r="C3" s="81"/>
      <c r="D3" s="81"/>
      <c r="E3" s="81"/>
      <c r="F3" s="451"/>
      <c r="G3" s="81"/>
    </row>
    <row r="4" spans="1:7">
      <c r="A4" s="450" t="s">
        <v>139</v>
      </c>
      <c r="B4" s="81" t="str">
        <f>VLOOKUP(F5,'12_1'!$A$22:$G$39,7,0)</f>
        <v>PATACON SA</v>
      </c>
      <c r="C4" s="81"/>
      <c r="D4" s="81"/>
      <c r="E4" s="81"/>
      <c r="F4" s="452" t="s">
        <v>102</v>
      </c>
      <c r="G4" s="81"/>
    </row>
    <row r="5" spans="1:7">
      <c r="A5" s="450" t="s">
        <v>72</v>
      </c>
      <c r="B5" s="81" t="str">
        <f>+'12_1'!$H$2</f>
        <v>Hijuela Lourdes</v>
      </c>
      <c r="C5" s="81"/>
      <c r="D5" s="81"/>
      <c r="E5" s="81"/>
      <c r="F5" s="452">
        <v>1</v>
      </c>
      <c r="G5" s="81"/>
    </row>
    <row r="6" spans="1:7">
      <c r="A6" s="450"/>
      <c r="B6" s="81"/>
      <c r="C6" s="81"/>
      <c r="D6" s="81"/>
      <c r="E6" s="81"/>
      <c r="F6" s="451"/>
      <c r="G6" s="81"/>
    </row>
    <row r="7" spans="1:7">
      <c r="A7" s="466" t="s">
        <v>140</v>
      </c>
      <c r="B7" s="458">
        <f>VLOOKUP(F5,'12_1'!$A$22:$B$39,2,0)</f>
        <v>1200</v>
      </c>
      <c r="C7" s="81"/>
      <c r="D7" s="139" t="s">
        <v>141</v>
      </c>
      <c r="E7" s="479">
        <f>DSUM('12_1'!A$12:K$39,'12_1'!$J$12,F4:F5)</f>
        <v>3.9062500000000004</v>
      </c>
      <c r="F7" s="451"/>
      <c r="G7" s="81"/>
    </row>
    <row r="8" spans="1:7">
      <c r="A8" s="466" t="s">
        <v>142</v>
      </c>
      <c r="B8" s="461" t="s">
        <v>326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466" t="s">
        <v>144</v>
      </c>
      <c r="B9" s="462">
        <f>DSUM('12_1'!$A$12:$I$39,'12_1'!$H$12,F4:F5)</f>
        <v>68.96802000000001</v>
      </c>
      <c r="C9" s="81"/>
      <c r="D9" s="139" t="s">
        <v>145</v>
      </c>
      <c r="E9" s="458" t="str">
        <f>IF(VLOOKUP(F5,'12_1'!$A$22:$D$58,4,0)=1, "Definitivo 100%", "Eventual 80%")</f>
        <v>Eventual 80%</v>
      </c>
      <c r="F9" s="583"/>
      <c r="G9" s="81"/>
    </row>
    <row r="10" spans="1:7" ht="15.75">
      <c r="A10" s="450"/>
      <c r="B10" s="139" t="s">
        <v>146</v>
      </c>
      <c r="C10" s="145" t="e">
        <f>+'12_1'!#REF!</f>
        <v>#REF!</v>
      </c>
      <c r="D10" s="189" t="e">
        <f>IF(E10=1,"Domingo",IF(E10=2,"Lunes",IF(E10=3,"Martes",IF(E10=4,"Miercoles",IF(E10=5,"Jueves",IF(E10=6,"Viernes",IF(E10=7,"Sábado",0)))))))</f>
        <v>#REF!</v>
      </c>
      <c r="E10" s="190" t="e">
        <f>WEEKDAY(C10)</f>
        <v>#REF!</v>
      </c>
      <c r="F10" s="453"/>
      <c r="G10" s="81"/>
    </row>
    <row r="11" spans="1:7" ht="15.75">
      <c r="A11" s="450"/>
      <c r="B11" s="139" t="s">
        <v>147</v>
      </c>
      <c r="C11" s="145">
        <f>DMAX('12_1'!A$12:N$39,'12_1'!$L$12,F4:F5)</f>
        <v>42977.53125</v>
      </c>
      <c r="D11" s="189" t="str">
        <f>IF(E11=1,"Domingo",IF(E11=2,"Lunes",IF(E11=3,"Martes",IF(E11=4,"Miercoles",IF(E11=5,"Jueves",IF(E11=6,"Viernes",IF(E11=7,"Sábado",0)))))))</f>
        <v>Miercoles</v>
      </c>
      <c r="E11" s="190">
        <f>WEEKDAY(C11)</f>
        <v>4</v>
      </c>
      <c r="F11" s="453"/>
      <c r="G11" s="81"/>
    </row>
    <row r="12" spans="1:7">
      <c r="A12" s="323" t="str">
        <f>+'planilla caudales'!$J$14</f>
        <v>Caudal l/s</v>
      </c>
      <c r="B12" s="324" t="str">
        <f>+'planilla caudales'!$K$14</f>
        <v>Escala cm</v>
      </c>
      <c r="C12" s="81"/>
      <c r="D12" s="81"/>
      <c r="E12" s="584"/>
      <c r="F12" s="583"/>
      <c r="G12" s="81"/>
    </row>
    <row r="13" spans="1:7">
      <c r="A13" s="606">
        <f>+'planilla caudales'!$J$22</f>
        <v>110.34883200000002</v>
      </c>
      <c r="B13" s="606">
        <f>+'planilla caudales'!$K$22</f>
        <v>40.976431001744444</v>
      </c>
      <c r="C13" s="81"/>
      <c r="D13" s="81"/>
      <c r="E13" s="81"/>
      <c r="F13" s="451"/>
      <c r="G13" s="81"/>
    </row>
    <row r="14" spans="1:7">
      <c r="A14" s="472">
        <f>+Mensajes!$B$7</f>
        <v>0</v>
      </c>
      <c r="C14" s="81"/>
      <c r="D14" s="81"/>
      <c r="E14" s="81"/>
      <c r="F14" s="451"/>
      <c r="G14" s="81"/>
    </row>
    <row r="15" spans="1:7">
      <c r="A15" s="472">
        <f>+Mensajes!$B$12</f>
        <v>0</v>
      </c>
      <c r="C15" s="81"/>
      <c r="D15" s="81"/>
      <c r="E15" s="81"/>
      <c r="F15" s="451"/>
      <c r="G15" s="81"/>
    </row>
    <row r="16" spans="1:7" ht="13.5" thickBot="1">
      <c r="A16" s="473"/>
      <c r="B16" s="455"/>
      <c r="C16" s="455"/>
      <c r="D16" s="454" t="str">
        <f>IF(DSUM('12_1'!$A$12:$Q$97,16,F4:F5)=COUNTIF('12_1'!$A$22:$A$97,F5),"","Regularice su Deuda")</f>
        <v>Regularice su Deuda</v>
      </c>
      <c r="E16" s="455"/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e">
        <f>VLOOKUP(F22,'12_1'!$A$22:$G$39,7,0)</f>
        <v>#N/A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+'12_1'!$H$2</f>
        <v>Hijuela Lourdes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66" t="s">
        <v>140</v>
      </c>
      <c r="B24" s="458" t="e">
        <f>VLOOKUP(F22,'12_1'!$A$22:$B$39,2,0)</f>
        <v>#N/A</v>
      </c>
      <c r="C24" s="81"/>
      <c r="D24" s="139" t="s">
        <v>141</v>
      </c>
      <c r="E24" s="479">
        <f>DSUM('12_1'!A$12:K$39,'12_1'!$J$12,F21:F22)</f>
        <v>0</v>
      </c>
      <c r="F24" s="451"/>
    </row>
    <row r="25" spans="1:6">
      <c r="A25" s="466" t="s">
        <v>142</v>
      </c>
      <c r="B25" s="461">
        <v>41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66" t="s">
        <v>144</v>
      </c>
      <c r="B26" s="462">
        <f>DSUM('12_1'!$A$12:$I$39,'12_1'!$H$12,F21:F22)</f>
        <v>0</v>
      </c>
      <c r="C26" s="81"/>
      <c r="D26" s="139" t="s">
        <v>145</v>
      </c>
      <c r="E26" s="458" t="e">
        <f>IF(VLOOKUP(F22,'12_1'!$A$22:$D$58,4,0)=1, "Definitivo 100%", "Eventual 80%")</f>
        <v>#N/A</v>
      </c>
      <c r="F26" s="583"/>
    </row>
    <row r="27" spans="1:6" ht="15.75">
      <c r="A27" s="450"/>
      <c r="B27" s="139" t="s">
        <v>146</v>
      </c>
      <c r="C27" s="145">
        <f>+'12_1'!K38</f>
        <v>0</v>
      </c>
      <c r="D27" s="189" t="str">
        <f>IF(E27=1,"Domingo",IF(E27=2,"Lunes",IF(E27=3,"Martes",IF(E27=4,"Miercoles",IF(E27=5,"Jueves",IF(E27=6,"Viernes",IF(E27=7,"Sábado",0)))))))</f>
        <v>Sábado</v>
      </c>
      <c r="E27" s="190">
        <f>WEEKDAY(C27)</f>
        <v>7</v>
      </c>
      <c r="F27" s="453"/>
    </row>
    <row r="28" spans="1:6" ht="15.75">
      <c r="A28" s="450"/>
      <c r="B28" s="139" t="s">
        <v>147</v>
      </c>
      <c r="C28" s="145">
        <f>DMAX('12_1'!A$12:N$39,'12_1'!$L$12,F21:F22)</f>
        <v>0</v>
      </c>
      <c r="D28" s="189" t="str">
        <f>IF(E28=1,"Domingo",IF(E28=2,"Lunes",IF(E28=3,"Martes",IF(E28=4,"Miercoles",IF(E28=5,"Jueves",IF(E28=6,"Viernes",IF(E28=7,"Sábado",0)))))))</f>
        <v>Sábado</v>
      </c>
      <c r="E28" s="190">
        <f>WEEKDAY(C28)</f>
        <v>7</v>
      </c>
      <c r="F28" s="453"/>
    </row>
    <row r="29" spans="1:6">
      <c r="A29" s="323" t="str">
        <f>+'planilla caudales'!$J$14</f>
        <v>Caudal l/s</v>
      </c>
      <c r="B29" s="324" t="str">
        <f>+'planilla caudales'!$K$14</f>
        <v>Escala cm</v>
      </c>
      <c r="C29" s="81"/>
      <c r="D29" s="81"/>
      <c r="E29" s="584"/>
      <c r="F29" s="583"/>
    </row>
    <row r="30" spans="1:6">
      <c r="A30" s="606">
        <f>+'planilla caudales'!$J$22</f>
        <v>110.34883200000002</v>
      </c>
      <c r="B30" s="606">
        <f>+'planilla caudales'!$K$22</f>
        <v>40.976431001744444</v>
      </c>
      <c r="C30" s="81"/>
      <c r="D30" s="81"/>
      <c r="E30" s="81"/>
      <c r="F30" s="451"/>
    </row>
    <row r="31" spans="1:6">
      <c r="A31" s="472">
        <f>+Mensajes!$B$7</f>
        <v>0</v>
      </c>
      <c r="C31" s="81"/>
      <c r="D31" s="81"/>
      <c r="E31" s="81"/>
      <c r="F31" s="451"/>
    </row>
    <row r="32" spans="1:6">
      <c r="A32" s="472">
        <f>+Mensajes!$B$12</f>
        <v>0</v>
      </c>
      <c r="C32" s="81"/>
      <c r="D32" s="81"/>
      <c r="E32" s="81"/>
      <c r="F32" s="451"/>
    </row>
    <row r="33" spans="1:6" ht="13.5" thickBot="1">
      <c r="A33" s="473"/>
      <c r="B33" s="455"/>
      <c r="C33" s="455"/>
      <c r="D33" s="454" t="str">
        <f>IF(DSUM('12_1'!$A$12:$Q$97,16,F21:F22)=COUNTIF('12_1'!$A$22:$A$97,F22),"","Regularice su Deuda")</f>
        <v/>
      </c>
      <c r="E33" s="455"/>
      <c r="F33" s="456"/>
    </row>
  </sheetData>
  <phoneticPr fontId="0" type="noConversion"/>
  <pageMargins left="0.59055118110236227" right="0.39370078740157483" top="0.15748031496062992" bottom="0.19685039370078741" header="0" footer="0"/>
  <pageSetup paperSize="9" orientation="portrait" r:id="rId1"/>
  <headerFooter alignWithMargins="0"/>
  <colBreaks count="1" manualBreakCount="1">
    <brk id="7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8"/>
  <dimension ref="A1:U34"/>
  <sheetViews>
    <sheetView view="pageBreakPreview" zoomScale="75" zoomScaleNormal="75" workbookViewId="0" xr3:uid="{C7A11F4D-6E51-5B1A-9CF2-8FFD2B06F078}">
      <selection activeCell="K12" sqref="K12"/>
    </sheetView>
  </sheetViews>
  <sheetFormatPr defaultColWidth="11.42578125" defaultRowHeight="12.75"/>
  <cols>
    <col min="1" max="1" width="9.28515625" bestFit="1" customWidth="1"/>
    <col min="2" max="2" width="6.28515625" customWidth="1"/>
    <col min="3" max="3" width="8.42578125" bestFit="1" customWidth="1"/>
    <col min="4" max="4" width="5.5703125" bestFit="1" customWidth="1"/>
    <col min="5" max="5" width="11" customWidth="1"/>
    <col min="6" max="6" width="11.140625" bestFit="1" customWidth="1"/>
    <col min="7" max="7" width="27.28515625" bestFit="1" customWidth="1"/>
    <col min="8" max="8" width="13.85546875" customWidth="1"/>
    <col min="9" max="9" width="7.7109375" bestFit="1" customWidth="1"/>
    <col min="10" max="10" width="8.140625" bestFit="1" customWidth="1"/>
    <col min="11" max="11" width="17.28515625" customWidth="1"/>
    <col min="12" max="12" width="17.7109375" customWidth="1"/>
    <col min="13" max="13" width="18" customWidth="1"/>
    <col min="14" max="14" width="22.28515625" customWidth="1"/>
    <col min="15" max="15" width="17.7109375" bestFit="1" customWidth="1"/>
    <col min="16" max="16" width="6.5703125" bestFit="1" customWidth="1"/>
    <col min="17" max="17" width="8.28515625" customWidth="1"/>
    <col min="18" max="18" width="7.7109375" bestFit="1" customWidth="1"/>
    <col min="19" max="19" width="8.42578125" bestFit="1" customWidth="1"/>
    <col min="20" max="20" width="11.140625" bestFit="1" customWidth="1"/>
    <col min="21" max="21" width="10.140625" bestFit="1" customWidth="1"/>
    <col min="22" max="22" width="9.8554687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21">
      <c r="A2" s="137"/>
      <c r="B2" s="144" t="s">
        <v>187</v>
      </c>
      <c r="C2" s="137"/>
      <c r="D2" s="137"/>
      <c r="E2" s="137"/>
      <c r="F2" s="137"/>
      <c r="G2" s="137"/>
      <c r="H2" s="137" t="s">
        <v>327</v>
      </c>
      <c r="I2" s="137"/>
      <c r="J2" s="137"/>
      <c r="K2" s="137"/>
      <c r="L2" s="137"/>
      <c r="M2" s="137"/>
      <c r="N2" s="137"/>
      <c r="O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</row>
    <row r="5" spans="1:21">
      <c r="A5" s="669" t="s">
        <v>92</v>
      </c>
      <c r="B5" s="670"/>
      <c r="C5" s="662">
        <f>+Hijuelas!G5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137"/>
      <c r="K5" s="137"/>
      <c r="L5" s="137"/>
      <c r="M5" s="137"/>
      <c r="N5" s="137"/>
      <c r="O5" s="137"/>
    </row>
    <row r="6" spans="1:21" ht="13.5" thickBot="1">
      <c r="A6" s="671" t="s">
        <v>94</v>
      </c>
      <c r="B6" s="672"/>
      <c r="C6" s="665">
        <f>+L33</f>
        <v>42977.531249999993</v>
      </c>
      <c r="D6" s="666"/>
      <c r="E6" s="667"/>
      <c r="F6" s="344"/>
      <c r="G6" s="344"/>
      <c r="H6" s="347" t="s">
        <v>95</v>
      </c>
      <c r="I6" s="354">
        <v>8.3333333333333329E-2</v>
      </c>
      <c r="J6" s="344"/>
      <c r="K6" s="137"/>
      <c r="L6" s="578"/>
      <c r="M6" s="578"/>
      <c r="N6" s="137"/>
      <c r="O6" s="137"/>
    </row>
    <row r="7" spans="1:21" ht="13.5" thickBot="1">
      <c r="A7" s="137"/>
      <c r="B7" s="137"/>
      <c r="C7" s="137"/>
      <c r="D7" s="137"/>
      <c r="E7" s="137"/>
      <c r="F7" s="137"/>
      <c r="G7" s="137"/>
      <c r="H7" s="348" t="s">
        <v>96</v>
      </c>
      <c r="I7" s="349">
        <v>9.7222222222222224E-2</v>
      </c>
      <c r="J7" s="137"/>
      <c r="K7" s="137"/>
      <c r="L7" s="137"/>
      <c r="M7" s="137"/>
      <c r="N7" s="137"/>
      <c r="O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</row>
    <row r="9" spans="1:21">
      <c r="A9" s="668" t="s">
        <v>97</v>
      </c>
      <c r="B9" s="668"/>
      <c r="C9" s="556">
        <f>I5-(I6+I7)</f>
        <v>3.8090277777777781</v>
      </c>
      <c r="D9" s="556"/>
      <c r="E9" s="555" t="s">
        <v>98</v>
      </c>
      <c r="F9" s="350">
        <f>+C9*60</f>
        <v>228.54166666666669</v>
      </c>
      <c r="G9" s="555" t="s">
        <v>99</v>
      </c>
      <c r="H9" s="351">
        <f>+H34</f>
        <v>75.830600000000004</v>
      </c>
      <c r="I9" s="555" t="s">
        <v>100</v>
      </c>
      <c r="J9" s="556">
        <f>IF(H9=0,0,F9/H9)</f>
        <v>3.0138448946291692</v>
      </c>
      <c r="K9" s="137"/>
      <c r="L9" s="137"/>
      <c r="M9" s="137"/>
      <c r="N9" s="137"/>
      <c r="O9" s="137"/>
    </row>
    <row r="10" spans="1:21" ht="13.5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</row>
    <row r="11" spans="1:21" s="10" customFormat="1" ht="24.75" thickBot="1">
      <c r="A11" s="440" t="s">
        <v>102</v>
      </c>
      <c r="B11" s="336" t="s">
        <v>103</v>
      </c>
      <c r="C11" s="336" t="s">
        <v>104</v>
      </c>
      <c r="D11" s="336" t="s">
        <v>322</v>
      </c>
      <c r="E11" s="336" t="s">
        <v>106</v>
      </c>
      <c r="F11" s="336" t="s">
        <v>153</v>
      </c>
      <c r="G11" s="442" t="s">
        <v>108</v>
      </c>
      <c r="H11" s="336" t="s">
        <v>154</v>
      </c>
      <c r="I11" s="336" t="s">
        <v>155</v>
      </c>
      <c r="J11" s="336" t="s">
        <v>110</v>
      </c>
      <c r="K11" s="336" t="s">
        <v>156</v>
      </c>
      <c r="L11" s="336" t="s">
        <v>157</v>
      </c>
      <c r="M11" s="554" t="s">
        <v>113</v>
      </c>
      <c r="N11" s="336" t="s">
        <v>114</v>
      </c>
      <c r="O11" s="336" t="s">
        <v>116</v>
      </c>
      <c r="P11" s="336" t="s">
        <v>117</v>
      </c>
      <c r="Q11" s="336" t="s">
        <v>118</v>
      </c>
      <c r="R11" s="336" t="s">
        <v>119</v>
      </c>
      <c r="S11" s="336" t="s">
        <v>120</v>
      </c>
      <c r="T11" s="336" t="s">
        <v>121</v>
      </c>
      <c r="U11" s="337" t="s">
        <v>122</v>
      </c>
    </row>
    <row r="12" spans="1:21" s="10" customFormat="1" ht="30" customHeight="1" thickTop="1" thickBot="1">
      <c r="A12" s="36">
        <v>1</v>
      </c>
      <c r="B12" s="29">
        <v>1210</v>
      </c>
      <c r="C12" s="29">
        <v>6</v>
      </c>
      <c r="D12" s="29">
        <v>1</v>
      </c>
      <c r="E12" s="361">
        <v>2.0615000000000001</v>
      </c>
      <c r="F12" s="103" t="str">
        <f>IF(Q12=0,"NO",IF(Q12=1,"SI",IF(Q12=3,"cede turno","CONDICIONAL")))</f>
        <v>SI</v>
      </c>
      <c r="G12" s="29" t="s">
        <v>328</v>
      </c>
      <c r="H12" s="579">
        <f>IF(Hijuelas!$G$7="POR FRACCIÓN",IF(F12="NO",0,IF(F12="cede turno",0,IF(Hijuelas!$G$8="si",IF(D12=1,E12,E12*0.8),E12))),IF(F12="NO",0,IF(F12="cede turno",0,IF(Hijuelas!$G$8="si",IF(D12=1,ROUNDUP(E12,0),ROUNDUP(E12*0.8,0)),ROUNDUP(E12,0)))))</f>
        <v>2.0615000000000001</v>
      </c>
      <c r="I12" s="618">
        <v>0</v>
      </c>
      <c r="J12" s="580">
        <f>+H12*$J$9/60</f>
        <v>0.10355068750463388</v>
      </c>
      <c r="K12" s="125">
        <f>+C5+I6+I7</f>
        <v>42973.722222222219</v>
      </c>
      <c r="L12" s="125">
        <f>+K12+J12</f>
        <v>42973.825772909724</v>
      </c>
      <c r="M12" s="174"/>
      <c r="N12" s="29"/>
      <c r="O12" s="29"/>
      <c r="P12" s="52" t="str">
        <f>+CONCATENATE(B12,C12)</f>
        <v>12106</v>
      </c>
      <c r="Q12" s="150">
        <f>VLOOKUP(P12,deuda!A$1:H$591,4,0)</f>
        <v>1</v>
      </c>
      <c r="R12" s="150">
        <f>VLOOKUP(P12,deuda!A$1:H$591,5,0)</f>
        <v>0</v>
      </c>
      <c r="S12" s="150">
        <f>IF(VLOOKUP(P12,deuda!A$1:H$591,6,0)=0,"",VLOOKUP(P12,deuda!A$1:H$591,6,0))</f>
        <v>-300.57</v>
      </c>
      <c r="T12" s="151" t="str">
        <f>IF((VLOOKUP(P12,deuda!A$1:H$591,7,0))=0,"",VLOOKUP(P12,deuda!A$1:H$591,7,0))</f>
        <v/>
      </c>
      <c r="U12" s="152" t="str">
        <f>IF((VLOOKUP(P12,deuda!A$1:H$591,8,0))=0,"",VLOOKUP(P12,deuda!A$1:H$591,8,0))</f>
        <v/>
      </c>
    </row>
    <row r="13" spans="1:21" s="10" customFormat="1" ht="30" customHeight="1">
      <c r="A13" s="91">
        <v>1</v>
      </c>
      <c r="B13" s="92">
        <v>1210</v>
      </c>
      <c r="C13" s="92">
        <v>24</v>
      </c>
      <c r="D13" s="92">
        <v>1</v>
      </c>
      <c r="E13" s="550">
        <v>6.1600000000000002E-2</v>
      </c>
      <c r="F13" s="103" t="str">
        <f t="shared" ref="F13:F18" si="0">IF(Q13=0,"NO",IF(Q13=1,"SI",IF(Q13=3,"cede turno","CONDICIONAL")))</f>
        <v>SI</v>
      </c>
      <c r="G13" s="92" t="s">
        <v>329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6.1600000000000002E-2</v>
      </c>
      <c r="I13" s="618">
        <v>0</v>
      </c>
      <c r="J13" s="580">
        <f t="shared" ref="J13:J33" si="1">+H13*$J$9/60</f>
        <v>3.0942140918192806E-3</v>
      </c>
      <c r="K13" s="125">
        <f>+L12</f>
        <v>42973.825772909724</v>
      </c>
      <c r="L13" s="125">
        <f>+K13+J13+I13</f>
        <v>42973.828867123819</v>
      </c>
      <c r="M13" s="174"/>
      <c r="N13" s="92"/>
      <c r="O13" s="92"/>
      <c r="P13" s="52" t="str">
        <f t="shared" ref="P13:P19" si="2">+CONCATENATE(B13,C13)</f>
        <v>121024</v>
      </c>
      <c r="Q13" s="150">
        <f>VLOOKUP(P13,deuda!A$1:H$591,4,0)</f>
        <v>1</v>
      </c>
      <c r="R13" s="150">
        <f>VLOOKUP(P13,deuda!A$1:H$591,5,0)</f>
        <v>0</v>
      </c>
      <c r="S13" s="150" t="str">
        <f>IF(VLOOKUP(P13,deuda!A$1:H$591,6,0)=0,"",VLOOKUP(P13,deuda!A$1:H$591,6,0))</f>
        <v/>
      </c>
      <c r="T13" s="151" t="str">
        <f>IF((VLOOKUP(P13,deuda!A$1:H$591,7,0))=0,"",VLOOKUP(P13,deuda!A$1:H$591,7,0))</f>
        <v/>
      </c>
      <c r="U13" s="152" t="str">
        <f>IF((VLOOKUP(P13,deuda!A$1:H$591,8,0))=0,"",VLOOKUP(P13,deuda!A$1:H$591,8,0))</f>
        <v/>
      </c>
    </row>
    <row r="14" spans="1:21" s="10" customFormat="1" ht="30" customHeight="1">
      <c r="A14" s="35">
        <v>2</v>
      </c>
      <c r="B14" s="5">
        <v>1210</v>
      </c>
      <c r="C14" s="5">
        <v>3</v>
      </c>
      <c r="D14" s="5">
        <v>1</v>
      </c>
      <c r="E14" s="45">
        <v>2.1217999999999999</v>
      </c>
      <c r="F14" s="103" t="str">
        <f t="shared" si="0"/>
        <v>SI</v>
      </c>
      <c r="G14" s="5" t="s">
        <v>330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2.1217999999999999</v>
      </c>
      <c r="I14" s="618">
        <v>0</v>
      </c>
      <c r="J14" s="580">
        <f t="shared" si="1"/>
        <v>0.10657960162373618</v>
      </c>
      <c r="K14" s="125">
        <f t="shared" ref="K14:K33" si="3">+L13</f>
        <v>42973.828867123819</v>
      </c>
      <c r="L14" s="125">
        <f t="shared" ref="L14:L33" si="4">+K14+J14+I14</f>
        <v>42973.935446725445</v>
      </c>
      <c r="M14" s="174"/>
      <c r="N14" s="5"/>
      <c r="O14" s="5"/>
      <c r="P14" s="52" t="str">
        <f t="shared" si="2"/>
        <v>12103</v>
      </c>
      <c r="Q14" s="150">
        <f>VLOOKUP(P14,deuda!A$1:H$591,4,0)</f>
        <v>1</v>
      </c>
      <c r="R14" s="150">
        <f>VLOOKUP(P14,deuda!A$1:H$591,5,0)</f>
        <v>0</v>
      </c>
      <c r="S14" s="150">
        <f>IF(VLOOKUP(P14,deuda!A$1:H$591,6,0)=0,"",VLOOKUP(P14,deuda!A$1:H$591,6,0))</f>
        <v>6.68</v>
      </c>
      <c r="T14" s="151" t="str">
        <f>IF((VLOOKUP(P14,deuda!A$1:H$591,7,0))=0,"",VLOOKUP(P14,deuda!A$1:H$591,7,0))</f>
        <v/>
      </c>
      <c r="U14" s="152" t="str">
        <f>IF((VLOOKUP(P14,deuda!A$1:H$591,8,0))=0,"",VLOOKUP(P14,deuda!A$1:H$591,8,0))</f>
        <v/>
      </c>
    </row>
    <row r="15" spans="1:21" s="10" customFormat="1" ht="30" customHeight="1">
      <c r="A15" s="35">
        <v>3</v>
      </c>
      <c r="B15" s="5">
        <v>1210</v>
      </c>
      <c r="C15" s="5">
        <v>5</v>
      </c>
      <c r="D15" s="5">
        <v>1</v>
      </c>
      <c r="E15" s="45">
        <v>2.1227</v>
      </c>
      <c r="F15" s="103" t="str">
        <f t="shared" si="0"/>
        <v>SI</v>
      </c>
      <c r="G15" s="5" t="s">
        <v>331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2.1227</v>
      </c>
      <c r="I15" s="618">
        <v>0</v>
      </c>
      <c r="J15" s="580">
        <f t="shared" si="1"/>
        <v>0.10662480929715562</v>
      </c>
      <c r="K15" s="125">
        <f t="shared" si="3"/>
        <v>42973.935446725445</v>
      </c>
      <c r="L15" s="125">
        <f t="shared" si="4"/>
        <v>42974.042071534743</v>
      </c>
      <c r="M15" s="125"/>
      <c r="N15" s="5"/>
      <c r="O15" s="5"/>
      <c r="P15" s="52" t="str">
        <f t="shared" si="2"/>
        <v>12105</v>
      </c>
      <c r="Q15" s="150">
        <f>VLOOKUP(P15,deuda!A$1:H$591,4,0)</f>
        <v>1</v>
      </c>
      <c r="R15" s="150">
        <f>VLOOKUP(P15,deuda!A$1:H$591,5,0)</f>
        <v>0</v>
      </c>
      <c r="S15" s="150" t="str">
        <f>IF(VLOOKUP(P15,deuda!A$1:H$591,6,0)=0,"",VLOOKUP(P15,deuda!A$1:H$591,6,0))</f>
        <v/>
      </c>
      <c r="T15" s="151" t="str">
        <f>IF((VLOOKUP(P15,deuda!A$1:H$591,7,0))=0,"",VLOOKUP(P15,deuda!A$1:H$591,7,0))</f>
        <v/>
      </c>
      <c r="U15" s="152" t="str">
        <f>IF((VLOOKUP(P15,deuda!A$1:H$591,8,0))=0,"",VLOOKUP(P15,deuda!A$1:H$591,8,0))</f>
        <v/>
      </c>
    </row>
    <row r="16" spans="1:21" s="10" customFormat="1" ht="30" customHeight="1">
      <c r="A16" s="35">
        <v>3</v>
      </c>
      <c r="B16" s="52">
        <v>1210</v>
      </c>
      <c r="C16" s="52">
        <v>1</v>
      </c>
      <c r="D16" s="5">
        <v>1</v>
      </c>
      <c r="E16" s="321">
        <v>0.36030000000000001</v>
      </c>
      <c r="F16" s="103" t="str">
        <f t="shared" si="0"/>
        <v>SI</v>
      </c>
      <c r="G16" s="52" t="s">
        <v>331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0.36030000000000001</v>
      </c>
      <c r="I16" s="618">
        <v>0</v>
      </c>
      <c r="J16" s="580">
        <f t="shared" si="1"/>
        <v>1.8098138592248163E-2</v>
      </c>
      <c r="K16" s="125">
        <f t="shared" si="3"/>
        <v>42974.042071534743</v>
      </c>
      <c r="L16" s="125">
        <f t="shared" si="4"/>
        <v>42974.060169673336</v>
      </c>
      <c r="M16" s="125"/>
      <c r="N16" s="5"/>
      <c r="O16" s="5"/>
      <c r="P16" s="52" t="str">
        <f t="shared" si="2"/>
        <v>12101</v>
      </c>
      <c r="Q16" s="150">
        <f>VLOOKUP(P16,deuda!A$1:H$591,4,0)</f>
        <v>1</v>
      </c>
      <c r="R16" s="150">
        <f>VLOOKUP(P16,deuda!A$1:H$591,5,0)</f>
        <v>0</v>
      </c>
      <c r="S16" s="150" t="str">
        <f>IF(VLOOKUP(P16,deuda!A$1:H$591,6,0)=0,"",VLOOKUP(P16,deuda!A$1:H$591,6,0))</f>
        <v/>
      </c>
      <c r="T16" s="151" t="str">
        <f>IF((VLOOKUP(P16,deuda!A$1:H$591,7,0))=0,"",VLOOKUP(P16,deuda!A$1:H$591,7,0))</f>
        <v/>
      </c>
      <c r="U16" s="152" t="str">
        <f>IF((VLOOKUP(P16,deuda!A$1:H$591,8,0))=0,"",VLOOKUP(P16,deuda!A$1:H$591,8,0))</f>
        <v/>
      </c>
    </row>
    <row r="17" spans="1:21" s="10" customFormat="1" ht="30" customHeight="1">
      <c r="A17" s="51">
        <v>3</v>
      </c>
      <c r="B17" s="5">
        <v>1210</v>
      </c>
      <c r="C17" s="5">
        <v>12</v>
      </c>
      <c r="D17" s="5">
        <v>1</v>
      </c>
      <c r="E17" s="45">
        <v>2.6926999999999999</v>
      </c>
      <c r="F17" s="103" t="str">
        <f t="shared" si="0"/>
        <v>SI</v>
      </c>
      <c r="G17" s="5" t="s">
        <v>332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2.6926999999999999</v>
      </c>
      <c r="I17" s="618">
        <v>0</v>
      </c>
      <c r="J17" s="580">
        <f t="shared" si="1"/>
        <v>0.13525633579613272</v>
      </c>
      <c r="K17" s="125">
        <f t="shared" si="3"/>
        <v>42974.060169673336</v>
      </c>
      <c r="L17" s="125">
        <f t="shared" si="4"/>
        <v>42974.19542600913</v>
      </c>
      <c r="M17" s="125"/>
      <c r="N17" s="5"/>
      <c r="O17" s="5"/>
      <c r="P17" s="52" t="str">
        <f t="shared" si="2"/>
        <v>121012</v>
      </c>
      <c r="Q17" s="150">
        <f>VLOOKUP(P17,deuda!A$1:H$591,4,0)</f>
        <v>1</v>
      </c>
      <c r="R17" s="150">
        <f>VLOOKUP(P17,deuda!A$1:H$591,5,0)</f>
        <v>0</v>
      </c>
      <c r="S17" s="150" t="str">
        <f>IF(VLOOKUP(P17,deuda!A$1:H$591,6,0)=0,"",VLOOKUP(P17,deuda!A$1:H$591,6,0))</f>
        <v/>
      </c>
      <c r="T17" s="151" t="str">
        <f>IF((VLOOKUP(P17,deuda!A$1:H$591,7,0))=0,"",VLOOKUP(P17,deuda!A$1:H$591,7,0))</f>
        <v/>
      </c>
      <c r="U17" s="152" t="str">
        <f>IF((VLOOKUP(P17,deuda!A$1:H$591,8,0))=0,"",VLOOKUP(P17,deuda!A$1:H$591,8,0))</f>
        <v/>
      </c>
    </row>
    <row r="18" spans="1:21" s="10" customFormat="1" ht="30" customHeight="1">
      <c r="A18" s="51">
        <v>4</v>
      </c>
      <c r="B18" s="5">
        <v>1210</v>
      </c>
      <c r="C18" s="5">
        <v>16</v>
      </c>
      <c r="D18" s="5">
        <v>1</v>
      </c>
      <c r="E18" s="45">
        <v>3.8946999999999998</v>
      </c>
      <c r="F18" s="103" t="str">
        <f t="shared" si="0"/>
        <v>SI</v>
      </c>
      <c r="G18" s="5" t="s">
        <v>333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3.8946999999999998</v>
      </c>
      <c r="I18" s="618">
        <v>0</v>
      </c>
      <c r="J18" s="580">
        <f t="shared" si="1"/>
        <v>0.19563369518520374</v>
      </c>
      <c r="K18" s="125">
        <f t="shared" si="3"/>
        <v>42974.19542600913</v>
      </c>
      <c r="L18" s="125">
        <f t="shared" si="4"/>
        <v>42974.391059704314</v>
      </c>
      <c r="M18" s="125"/>
      <c r="N18" s="5"/>
      <c r="O18" s="5"/>
      <c r="P18" s="52" t="str">
        <f t="shared" si="2"/>
        <v>121016</v>
      </c>
      <c r="Q18" s="150">
        <f>VLOOKUP(P18,deuda!A$1:H$591,4,0)</f>
        <v>1</v>
      </c>
      <c r="R18" s="150">
        <f>VLOOKUP(P18,deuda!A$1:H$591,5,0)</f>
        <v>1</v>
      </c>
      <c r="S18" s="150">
        <f>IF(VLOOKUP(P18,deuda!A$1:H$591,6,0)=0,"",VLOOKUP(P18,deuda!A$1:H$591,6,0))</f>
        <v>882.65</v>
      </c>
      <c r="T18" s="151" t="str">
        <f>IF((VLOOKUP(P18,deuda!A$1:H$591,7,0))=0,"",VLOOKUP(P18,deuda!A$1:H$591,7,0))</f>
        <v/>
      </c>
      <c r="U18" s="152" t="str">
        <f>IF((VLOOKUP(P18,deuda!A$1:H$591,8,0))=0,"",VLOOKUP(P18,deuda!A$1:H$591,8,0))</f>
        <v/>
      </c>
    </row>
    <row r="19" spans="1:21" s="10" customFormat="1" ht="30" customHeight="1">
      <c r="A19" s="51">
        <v>4</v>
      </c>
      <c r="B19" s="5">
        <v>1210</v>
      </c>
      <c r="C19" s="5">
        <v>15</v>
      </c>
      <c r="D19" s="5">
        <v>1</v>
      </c>
      <c r="E19" s="45">
        <v>2.6415000000000002</v>
      </c>
      <c r="F19" s="103" t="str">
        <f t="shared" ref="F19:F33" si="5">IF(Q19=0,"NO",IF(Q19=1,"SI",IF(Q19=3,"cede turno","CONDICIONAL")))</f>
        <v>SI</v>
      </c>
      <c r="G19" s="5" t="s">
        <v>333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2.6415000000000002</v>
      </c>
      <c r="I19" s="618">
        <v>0</v>
      </c>
      <c r="J19" s="580">
        <f t="shared" si="1"/>
        <v>0.13268452148604917</v>
      </c>
      <c r="K19" s="125">
        <f t="shared" si="3"/>
        <v>42974.391059704314</v>
      </c>
      <c r="L19" s="125">
        <f t="shared" si="4"/>
        <v>42974.5237442258</v>
      </c>
      <c r="M19" s="125"/>
      <c r="N19" s="5"/>
      <c r="O19" s="5"/>
      <c r="P19" s="52" t="str">
        <f t="shared" si="2"/>
        <v>121015</v>
      </c>
      <c r="Q19" s="150">
        <f>VLOOKUP(P19,deuda!A$1:H$591,4,0)</f>
        <v>1</v>
      </c>
      <c r="R19" s="150">
        <f>VLOOKUP(P19,deuda!A$1:H$591,5,0)</f>
        <v>0</v>
      </c>
      <c r="S19" s="150" t="str">
        <f>IF(VLOOKUP(P19,deuda!A$1:H$591,6,0)=0,"",VLOOKUP(P19,deuda!A$1:H$591,6,0))</f>
        <v/>
      </c>
      <c r="T19" s="151" t="str">
        <f>IF((VLOOKUP(P19,deuda!A$1:H$591,7,0))=0,"",VLOOKUP(P19,deuda!A$1:H$591,7,0))</f>
        <v/>
      </c>
      <c r="U19" s="152" t="str">
        <f>IF((VLOOKUP(P19,deuda!A$1:H$591,8,0))=0,"",VLOOKUP(P19,deuda!A$1:H$591,8,0))</f>
        <v/>
      </c>
    </row>
    <row r="20" spans="1:21" s="10" customFormat="1" ht="30" customHeight="1">
      <c r="A20" s="51">
        <v>5</v>
      </c>
      <c r="B20" s="5">
        <v>1210</v>
      </c>
      <c r="C20" s="5">
        <v>7</v>
      </c>
      <c r="D20" s="5">
        <v>1</v>
      </c>
      <c r="E20" s="45">
        <v>0.16489999999999999</v>
      </c>
      <c r="F20" s="103" t="str">
        <f>IF(Q20=0,"NO",IF(Q20=1,"SI",IF(Q20=3,"cede turno","CONDICIONAL")))</f>
        <v>NO</v>
      </c>
      <c r="G20" s="5" t="s">
        <v>334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0</v>
      </c>
      <c r="I20" s="618">
        <v>0</v>
      </c>
      <c r="J20" s="580">
        <f t="shared" si="1"/>
        <v>0</v>
      </c>
      <c r="K20" s="125">
        <f t="shared" si="3"/>
        <v>42974.5237442258</v>
      </c>
      <c r="L20" s="125">
        <f t="shared" si="4"/>
        <v>42974.5237442258</v>
      </c>
      <c r="M20" s="125"/>
      <c r="N20" s="5"/>
      <c r="O20" s="5"/>
      <c r="P20" s="52" t="str">
        <f t="shared" ref="P20:P24" si="6">+CONCATENATE(B20,C20)</f>
        <v>12107</v>
      </c>
      <c r="Q20" s="150">
        <f>VLOOKUP(P20,deuda!A$1:H$591,4,0)</f>
        <v>0</v>
      </c>
      <c r="R20" s="150">
        <f>VLOOKUP(P20,deuda!A$1:H$591,5,0)</f>
        <v>28</v>
      </c>
      <c r="S20" s="150">
        <f>IF(VLOOKUP(P20,deuda!A$1:H$591,6,0)=0,"",VLOOKUP(P20,deuda!A$1:H$591,6,0))</f>
        <v>10359.23</v>
      </c>
      <c r="T20" s="151" t="str">
        <f>IF((VLOOKUP(P20,deuda!A$1:H$591,7,0))=0,"",VLOOKUP(P20,deuda!A$1:H$591,7,0))</f>
        <v/>
      </c>
      <c r="U20" s="152" t="str">
        <f>IF((VLOOKUP(P20,deuda!A$1:H$591,8,0))=0,"",VLOOKUP(P20,deuda!A$1:H$591,8,0))</f>
        <v/>
      </c>
    </row>
    <row r="21" spans="1:21" s="10" customFormat="1" ht="30" customHeight="1">
      <c r="A21" s="35">
        <v>5</v>
      </c>
      <c r="B21" s="5">
        <v>1210</v>
      </c>
      <c r="C21" s="5">
        <v>17</v>
      </c>
      <c r="D21" s="5">
        <v>1</v>
      </c>
      <c r="E21" s="45">
        <v>2.3965999999999998</v>
      </c>
      <c r="F21" s="103" t="str">
        <f t="shared" si="5"/>
        <v>SI</v>
      </c>
      <c r="G21" s="5" t="s">
        <v>335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2.3965999999999998</v>
      </c>
      <c r="I21" s="618">
        <v>0</v>
      </c>
      <c r="J21" s="580">
        <f t="shared" si="1"/>
        <v>0.12038301124113777</v>
      </c>
      <c r="K21" s="125">
        <f t="shared" si="3"/>
        <v>42974.5237442258</v>
      </c>
      <c r="L21" s="125">
        <f t="shared" si="4"/>
        <v>42974.644127237043</v>
      </c>
      <c r="M21" s="125"/>
      <c r="N21" s="5"/>
      <c r="O21" s="5"/>
      <c r="P21" s="52" t="str">
        <f t="shared" si="6"/>
        <v>121017</v>
      </c>
      <c r="Q21" s="150">
        <f>VLOOKUP(P21,deuda!A$1:H$591,4,0)</f>
        <v>1</v>
      </c>
      <c r="R21" s="150">
        <f>VLOOKUP(P21,deuda!A$1:H$591,5,0)</f>
        <v>0</v>
      </c>
      <c r="S21" s="150" t="str">
        <f>IF(VLOOKUP(P21,deuda!A$1:H$591,6,0)=0,"",VLOOKUP(P21,deuda!A$1:H$591,6,0))</f>
        <v/>
      </c>
      <c r="T21" s="151" t="str">
        <f>IF((VLOOKUP(P21,deuda!A$1:H$591,7,0))=0,"",VLOOKUP(P21,deuda!A$1:H$591,7,0))</f>
        <v/>
      </c>
      <c r="U21" s="152" t="str">
        <f>IF((VLOOKUP(P21,deuda!A$1:H$591,8,0))=0,"",VLOOKUP(P21,deuda!A$1:H$591,8,0))</f>
        <v/>
      </c>
    </row>
    <row r="22" spans="1:21" s="10" customFormat="1" ht="30" customHeight="1">
      <c r="A22" s="51">
        <v>5</v>
      </c>
      <c r="B22" s="5">
        <v>1210</v>
      </c>
      <c r="C22" s="5">
        <v>19</v>
      </c>
      <c r="D22" s="5">
        <v>1</v>
      </c>
      <c r="E22" s="45">
        <v>2.1303000000000001</v>
      </c>
      <c r="F22" s="103" t="str">
        <f t="shared" si="5"/>
        <v>SI</v>
      </c>
      <c r="G22" s="5" t="s">
        <v>336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2.1303000000000001</v>
      </c>
      <c r="I22" s="618">
        <v>0</v>
      </c>
      <c r="J22" s="580">
        <f t="shared" si="1"/>
        <v>0.10700656298380866</v>
      </c>
      <c r="K22" s="125">
        <f t="shared" si="3"/>
        <v>42974.644127237043</v>
      </c>
      <c r="L22" s="125">
        <f t="shared" si="4"/>
        <v>42974.751133800026</v>
      </c>
      <c r="M22" s="125"/>
      <c r="N22" s="5"/>
      <c r="O22" s="5"/>
      <c r="P22" s="52" t="str">
        <f t="shared" si="6"/>
        <v>121019</v>
      </c>
      <c r="Q22" s="150">
        <f>VLOOKUP(P22,deuda!A$1:H$591,4,0)</f>
        <v>1</v>
      </c>
      <c r="R22" s="150">
        <f>VLOOKUP(P22,deuda!A$1:H$591,5,0)</f>
        <v>0</v>
      </c>
      <c r="S22" s="150" t="str">
        <f>IF(VLOOKUP(P22,deuda!A$1:H$591,6,0)=0,"",VLOOKUP(P22,deuda!A$1:H$591,6,0))</f>
        <v/>
      </c>
      <c r="T22" s="151" t="str">
        <f>IF((VLOOKUP(P22,deuda!A$1:H$591,7,0))=0,"",VLOOKUP(P22,deuda!A$1:H$591,7,0))</f>
        <v/>
      </c>
      <c r="U22" s="152" t="str">
        <f>IF((VLOOKUP(P22,deuda!A$1:H$591,8,0))=0,"",VLOOKUP(P22,deuda!A$1:H$591,8,0))</f>
        <v/>
      </c>
    </row>
    <row r="23" spans="1:21" s="10" customFormat="1" ht="30" customHeight="1">
      <c r="A23" s="51">
        <v>5</v>
      </c>
      <c r="B23" s="5">
        <v>1210</v>
      </c>
      <c r="C23" s="5">
        <v>14</v>
      </c>
      <c r="D23" s="5">
        <v>1</v>
      </c>
      <c r="E23" s="45">
        <v>2.6627999999999998</v>
      </c>
      <c r="F23" s="103" t="str">
        <f>IF(Q23=0,"NO",IF(Q23=1,"SI",IF(Q23=3,"cede turno","CONDICIONAL")))</f>
        <v>SI</v>
      </c>
      <c r="G23" s="5" t="s">
        <v>332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2.6627999999999998</v>
      </c>
      <c r="I23" s="618">
        <v>0</v>
      </c>
      <c r="J23" s="580">
        <f t="shared" si="1"/>
        <v>0.13375443642364254</v>
      </c>
      <c r="K23" s="125">
        <f t="shared" si="3"/>
        <v>42974.751133800026</v>
      </c>
      <c r="L23" s="125">
        <f t="shared" si="4"/>
        <v>42974.884888236447</v>
      </c>
      <c r="M23" s="125"/>
      <c r="N23" s="5"/>
      <c r="O23" s="5"/>
      <c r="P23" s="52" t="str">
        <f>+CONCATENATE(B23,C23)</f>
        <v>121014</v>
      </c>
      <c r="Q23" s="150">
        <f>VLOOKUP(P23,deuda!A$1:H$591,4,0)</f>
        <v>1</v>
      </c>
      <c r="R23" s="150">
        <f>VLOOKUP(P23,deuda!A$1:H$591,5,0)</f>
        <v>0</v>
      </c>
      <c r="S23" s="150" t="str">
        <f>IF(VLOOKUP(P23,deuda!A$1:H$591,6,0)=0,"",VLOOKUP(P23,deuda!A$1:H$591,6,0))</f>
        <v/>
      </c>
      <c r="T23" s="151" t="str">
        <f>IF((VLOOKUP(P23,deuda!A$1:H$591,7,0))=0,"",VLOOKUP(P23,deuda!A$1:H$591,7,0))</f>
        <v/>
      </c>
      <c r="U23" s="152" t="str">
        <f>IF((VLOOKUP(P23,deuda!A$1:H$591,8,0))=0,"",VLOOKUP(P23,deuda!A$1:H$591,8,0))</f>
        <v/>
      </c>
    </row>
    <row r="24" spans="1:21" s="10" customFormat="1" ht="30" customHeight="1">
      <c r="A24" s="51">
        <v>5</v>
      </c>
      <c r="B24" s="5">
        <v>1210</v>
      </c>
      <c r="C24" s="5">
        <v>13</v>
      </c>
      <c r="D24" s="5">
        <v>1</v>
      </c>
      <c r="E24" s="45">
        <v>2.6840999999999999</v>
      </c>
      <c r="F24" s="103" t="str">
        <f>IF(Q24=0,"NO",IF(Q24=1,"SI",IF(Q24=3,"cede turno","CONDICIONAL")))</f>
        <v>SI</v>
      </c>
      <c r="G24" s="5" t="s">
        <v>332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2.6840999999999999</v>
      </c>
      <c r="I24" s="618">
        <v>0</v>
      </c>
      <c r="J24" s="580">
        <f t="shared" si="1"/>
        <v>0.13482435136123586</v>
      </c>
      <c r="K24" s="125">
        <f t="shared" si="3"/>
        <v>42974.884888236447</v>
      </c>
      <c r="L24" s="125">
        <f t="shared" si="4"/>
        <v>42975.019712587811</v>
      </c>
      <c r="M24" s="125"/>
      <c r="N24" s="5"/>
      <c r="O24" s="5"/>
      <c r="P24" s="52" t="str">
        <f t="shared" si="6"/>
        <v>121013</v>
      </c>
      <c r="Q24" s="150">
        <f>VLOOKUP(P24,deuda!A$1:H$591,4,0)</f>
        <v>1</v>
      </c>
      <c r="R24" s="150">
        <f>VLOOKUP(P24,deuda!A$1:H$591,5,0)</f>
        <v>0</v>
      </c>
      <c r="S24" s="150" t="str">
        <f>IF(VLOOKUP(P24,deuda!A$1:H$591,6,0)=0,"",VLOOKUP(P24,deuda!A$1:H$591,6,0))</f>
        <v/>
      </c>
      <c r="T24" s="151" t="str">
        <f>IF((VLOOKUP(P24,deuda!A$1:H$591,7,0))=0,"",VLOOKUP(P24,deuda!A$1:H$591,7,0))</f>
        <v/>
      </c>
      <c r="U24" s="152" t="str">
        <f>IF((VLOOKUP(P24,deuda!A$1:H$591,8,0))=0,"",VLOOKUP(P24,deuda!A$1:H$591,8,0))</f>
        <v/>
      </c>
    </row>
    <row r="25" spans="1:21" s="10" customFormat="1" ht="30" customHeight="1">
      <c r="A25" s="35">
        <v>6</v>
      </c>
      <c r="B25" s="5">
        <v>1210</v>
      </c>
      <c r="C25" s="5">
        <v>2</v>
      </c>
      <c r="D25" s="5">
        <v>1</v>
      </c>
      <c r="E25" s="45">
        <v>4.1433999999999997</v>
      </c>
      <c r="F25" s="103" t="str">
        <f t="shared" si="5"/>
        <v>SI</v>
      </c>
      <c r="G25" s="5" t="s">
        <v>337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4.1433999999999997</v>
      </c>
      <c r="I25" s="618">
        <v>0</v>
      </c>
      <c r="J25" s="580">
        <f t="shared" si="1"/>
        <v>0.20812608227344162</v>
      </c>
      <c r="K25" s="125">
        <f t="shared" si="3"/>
        <v>42975.019712587811</v>
      </c>
      <c r="L25" s="125">
        <f t="shared" si="4"/>
        <v>42975.227838670085</v>
      </c>
      <c r="M25" s="125"/>
      <c r="N25" s="5"/>
      <c r="O25" s="5"/>
      <c r="P25" s="52" t="str">
        <f t="shared" ref="P25:P33" si="7">+CONCATENATE(B25,C25)</f>
        <v>12102</v>
      </c>
      <c r="Q25" s="150">
        <f>VLOOKUP(P25,deuda!A$1:H$591,4,0)</f>
        <v>1</v>
      </c>
      <c r="R25" s="150">
        <f>VLOOKUP(P25,deuda!A$1:H$591,5,0)</f>
        <v>1</v>
      </c>
      <c r="S25" s="150">
        <f>IF(VLOOKUP(P25,deuda!A$1:H$591,6,0)=0,"",VLOOKUP(P25,deuda!A$1:H$591,6,0))</f>
        <v>958.72</v>
      </c>
      <c r="T25" s="151" t="str">
        <f>IF((VLOOKUP(P25,deuda!A$1:H$591,7,0))=0,"",VLOOKUP(P25,deuda!A$1:H$591,7,0))</f>
        <v/>
      </c>
      <c r="U25" s="152" t="str">
        <f>IF((VLOOKUP(P25,deuda!A$1:H$591,8,0))=0,"",VLOOKUP(P25,deuda!A$1:H$591,8,0))</f>
        <v/>
      </c>
    </row>
    <row r="26" spans="1:21" s="10" customFormat="1" ht="30" customHeight="1">
      <c r="A26" s="35">
        <v>7</v>
      </c>
      <c r="B26" s="5">
        <v>1210</v>
      </c>
      <c r="C26" s="5">
        <v>20</v>
      </c>
      <c r="D26" s="5">
        <v>1</v>
      </c>
      <c r="E26" s="45">
        <v>4.1681999999999997</v>
      </c>
      <c r="F26" s="103" t="str">
        <f t="shared" si="5"/>
        <v>SI</v>
      </c>
      <c r="G26" s="5" t="s">
        <v>338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4.1681999999999997</v>
      </c>
      <c r="I26" s="618">
        <v>0</v>
      </c>
      <c r="J26" s="580">
        <f t="shared" si="1"/>
        <v>0.20937180482988837</v>
      </c>
      <c r="K26" s="125">
        <f t="shared" si="3"/>
        <v>42975.227838670085</v>
      </c>
      <c r="L26" s="125">
        <f t="shared" si="4"/>
        <v>42975.437210474913</v>
      </c>
      <c r="M26" s="125"/>
      <c r="N26" s="5"/>
      <c r="O26" s="5"/>
      <c r="P26" s="52" t="str">
        <f t="shared" si="7"/>
        <v>121020</v>
      </c>
      <c r="Q26" s="150">
        <f>VLOOKUP(P26,deuda!A$1:H$591,4,0)</f>
        <v>1</v>
      </c>
      <c r="R26" s="150">
        <f>VLOOKUP(P26,deuda!A$1:H$591,5,0)</f>
        <v>0</v>
      </c>
      <c r="S26" s="150" t="str">
        <f>IF(VLOOKUP(P26,deuda!A$1:H$591,6,0)=0,"",VLOOKUP(P26,deuda!A$1:H$591,6,0))</f>
        <v/>
      </c>
      <c r="T26" s="151" t="str">
        <f>IF((VLOOKUP(P26,deuda!A$1:H$591,7,0))=0,"",VLOOKUP(P26,deuda!A$1:H$591,7,0))</f>
        <v/>
      </c>
      <c r="U26" s="152" t="str">
        <f>IF((VLOOKUP(P26,deuda!A$1:H$591,8,0))=0,"",VLOOKUP(P26,deuda!A$1:H$591,8,0))</f>
        <v/>
      </c>
    </row>
    <row r="27" spans="1:21" s="10" customFormat="1" ht="30" customHeight="1">
      <c r="A27" s="35">
        <v>8</v>
      </c>
      <c r="B27" s="5">
        <v>1210</v>
      </c>
      <c r="C27" s="5">
        <v>8</v>
      </c>
      <c r="D27" s="5">
        <v>1</v>
      </c>
      <c r="E27" s="45">
        <v>4.5296000000000003</v>
      </c>
      <c r="F27" s="103" t="str">
        <f t="shared" si="5"/>
        <v>SI</v>
      </c>
      <c r="G27" s="5" t="s">
        <v>339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4.5296000000000003</v>
      </c>
      <c r="I27" s="618">
        <v>0</v>
      </c>
      <c r="J27" s="580">
        <f t="shared" si="1"/>
        <v>0.22752519724520476</v>
      </c>
      <c r="K27" s="125">
        <f t="shared" si="3"/>
        <v>42975.437210474913</v>
      </c>
      <c r="L27" s="125">
        <f t="shared" si="4"/>
        <v>42975.664735672159</v>
      </c>
      <c r="M27" s="125"/>
      <c r="N27" s="5"/>
      <c r="O27" s="5"/>
      <c r="P27" s="52" t="str">
        <f t="shared" si="7"/>
        <v>12108</v>
      </c>
      <c r="Q27" s="150">
        <f>VLOOKUP(P27,deuda!A$1:H$591,4,0)</f>
        <v>1</v>
      </c>
      <c r="R27" s="150">
        <f>VLOOKUP(P27,deuda!A$1:H$591,5,0)</f>
        <v>0</v>
      </c>
      <c r="S27" s="150" t="str">
        <f>IF(VLOOKUP(P27,deuda!A$1:H$591,6,0)=0,"",VLOOKUP(P27,deuda!A$1:H$591,6,0))</f>
        <v/>
      </c>
      <c r="T27" s="151" t="str">
        <f>IF((VLOOKUP(P27,deuda!A$1:H$591,7,0))=0,"",VLOOKUP(P27,deuda!A$1:H$591,7,0))</f>
        <v/>
      </c>
      <c r="U27" s="152" t="str">
        <f>IF((VLOOKUP(P27,deuda!A$1:H$591,8,0))=0,"",VLOOKUP(P27,deuda!A$1:H$591,8,0))</f>
        <v/>
      </c>
    </row>
    <row r="28" spans="1:21" s="10" customFormat="1" ht="30" customHeight="1">
      <c r="A28" s="35">
        <v>9</v>
      </c>
      <c r="B28" s="5">
        <v>1210</v>
      </c>
      <c r="C28" s="5">
        <v>21</v>
      </c>
      <c r="D28" s="5">
        <v>1</v>
      </c>
      <c r="E28" s="45">
        <v>3.8239999999999998</v>
      </c>
      <c r="F28" s="103" t="str">
        <f t="shared" si="5"/>
        <v>SI</v>
      </c>
      <c r="G28" s="5" t="s">
        <v>340</v>
      </c>
      <c r="H28" s="579">
        <f>IF(Hijuelas!$G$7="POR FRACCIÓN",IF(F28="NO",0,IF(F28="cede turno",0,IF(Hijuelas!$G$8="si",IF(D28=1,E28,E28*0.8),E28))),IF(F28="NO",0,IF(F28="cede turno",0,IF(Hijuelas!$G$8="si",IF(D28=1,ROUNDUP(E28,0),ROUNDUP(E28*0.8,0)),ROUNDUP(E28,0)))))</f>
        <v>3.8239999999999998</v>
      </c>
      <c r="I28" s="618">
        <v>0</v>
      </c>
      <c r="J28" s="580">
        <f t="shared" si="1"/>
        <v>0.19208238128436569</v>
      </c>
      <c r="K28" s="125">
        <f t="shared" si="3"/>
        <v>42975.664735672159</v>
      </c>
      <c r="L28" s="125">
        <f t="shared" si="4"/>
        <v>42975.856818053442</v>
      </c>
      <c r="M28" s="125"/>
      <c r="N28" s="5"/>
      <c r="O28" s="5"/>
      <c r="P28" s="52" t="str">
        <f t="shared" si="7"/>
        <v>121021</v>
      </c>
      <c r="Q28" s="150">
        <f>VLOOKUP(P28,deuda!A$1:H$591,4,0)</f>
        <v>1</v>
      </c>
      <c r="R28" s="150">
        <f>VLOOKUP(P28,deuda!A$1:H$591,5,0)</f>
        <v>0</v>
      </c>
      <c r="S28" s="150" t="str">
        <f>IF(VLOOKUP(P28,deuda!A$1:H$591,6,0)=0,"",VLOOKUP(P28,deuda!A$1:H$591,6,0))</f>
        <v/>
      </c>
      <c r="T28" s="151" t="str">
        <f>IF((VLOOKUP(P28,deuda!A$1:H$591,7,0))=0,"",VLOOKUP(P28,deuda!A$1:H$591,7,0))</f>
        <v/>
      </c>
      <c r="U28" s="152" t="str">
        <f>IF((VLOOKUP(P28,deuda!A$1:H$591,8,0))=0,"",VLOOKUP(P28,deuda!A$1:H$591,8,0))</f>
        <v/>
      </c>
    </row>
    <row r="29" spans="1:21" s="10" customFormat="1" ht="30" customHeight="1">
      <c r="A29" s="51">
        <v>9</v>
      </c>
      <c r="B29" s="5">
        <v>1210</v>
      </c>
      <c r="C29" s="5">
        <v>4</v>
      </c>
      <c r="D29" s="5">
        <v>1</v>
      </c>
      <c r="E29" s="45">
        <v>2.6391</v>
      </c>
      <c r="F29" s="103" t="str">
        <f>IF(Q29=0,"NO",IF(Q29=1,"SI",IF(Q29=3,"cede turno","CONDICIONAL")))</f>
        <v>NO</v>
      </c>
      <c r="G29" s="5" t="s">
        <v>332</v>
      </c>
      <c r="H29" s="579">
        <f>IF(Hijuelas!$G$7="POR FRACCIÓN",IF(F29="NO",0,IF(F29="cede turno",0,IF(Hijuelas!$G$8="si",IF(D29=1,E29,E29*0.8),E29))),IF(F29="NO",0,IF(F29="cede turno",0,IF(Hijuelas!$G$8="si",IF(D29=1,ROUNDUP(E29,0),ROUNDUP(E29*0.8,0)),ROUNDUP(E29,0)))))</f>
        <v>0</v>
      </c>
      <c r="I29" s="618">
        <v>0</v>
      </c>
      <c r="J29" s="580">
        <f t="shared" si="1"/>
        <v>0</v>
      </c>
      <c r="K29" s="125">
        <f t="shared" si="3"/>
        <v>42975.856818053442</v>
      </c>
      <c r="L29" s="125">
        <f t="shared" si="4"/>
        <v>42975.856818053442</v>
      </c>
      <c r="M29" s="125"/>
      <c r="N29" s="5"/>
      <c r="O29" s="5"/>
      <c r="P29" s="52" t="str">
        <f>+CONCATENATE(B29,C29)</f>
        <v>12104</v>
      </c>
      <c r="Q29" s="150">
        <f>VLOOKUP(P29,deuda!A$1:H$591,4,0)</f>
        <v>0</v>
      </c>
      <c r="R29" s="150">
        <f>VLOOKUP(P29,deuda!A$1:H$591,5,0)</f>
        <v>4</v>
      </c>
      <c r="S29" s="150">
        <f>IF(VLOOKUP(P29,deuda!A$1:H$591,6,0)=0,"",VLOOKUP(P29,deuda!A$1:H$591,6,0))</f>
        <v>2587.39</v>
      </c>
      <c r="T29" s="151" t="str">
        <f>IF((VLOOKUP(P29,deuda!A$1:H$591,7,0))=0,"",VLOOKUP(P29,deuda!A$1:H$591,7,0))</f>
        <v/>
      </c>
      <c r="U29" s="152" t="str">
        <f>IF((VLOOKUP(P29,deuda!A$1:H$591,8,0))=0,"",VLOOKUP(P29,deuda!A$1:H$591,8,0))</f>
        <v/>
      </c>
    </row>
    <row r="30" spans="1:21" s="10" customFormat="1" ht="30" customHeight="1">
      <c r="A30" s="51">
        <v>10</v>
      </c>
      <c r="B30" s="5">
        <v>1210</v>
      </c>
      <c r="C30" s="5">
        <v>9</v>
      </c>
      <c r="D30" s="52">
        <v>1</v>
      </c>
      <c r="E30" s="45">
        <v>9.0419999999999998</v>
      </c>
      <c r="F30" s="103" t="str">
        <f t="shared" si="5"/>
        <v>SI</v>
      </c>
      <c r="G30" s="5" t="s">
        <v>341</v>
      </c>
      <c r="H30" s="579">
        <f>IF(Hijuelas!$G$7="POR FRACCIÓN",IF(F30="NO",0,IF(F30="cede turno",0,IF(Hijuelas!$G$8="si",IF(D30=1,E30,E30*0.8),E30))),IF(F30="NO",0,IF(F30="cede turno",0,IF(Hijuelas!$G$8="si",IF(D30=1,ROUNDUP(E30,0),ROUNDUP(E30*0.8,0)),ROUNDUP(E30,0)))))</f>
        <v>9.0419999999999998</v>
      </c>
      <c r="I30" s="618">
        <v>0</v>
      </c>
      <c r="J30" s="580">
        <f t="shared" si="1"/>
        <v>0.45418642562061579</v>
      </c>
      <c r="K30" s="125">
        <f t="shared" si="3"/>
        <v>42975.856818053442</v>
      </c>
      <c r="L30" s="125">
        <f t="shared" si="4"/>
        <v>42976.311004479059</v>
      </c>
      <c r="M30" s="125"/>
      <c r="N30" s="52"/>
      <c r="O30" s="52"/>
      <c r="P30" s="52" t="str">
        <f t="shared" si="7"/>
        <v>12109</v>
      </c>
      <c r="Q30" s="150">
        <f>VLOOKUP(P30,deuda!A$1:H$591,4,0)</f>
        <v>1</v>
      </c>
      <c r="R30" s="150">
        <f>VLOOKUP(P30,deuda!A$1:H$591,5,0)</f>
        <v>0</v>
      </c>
      <c r="S30" s="150" t="str">
        <f>IF(VLOOKUP(P30,deuda!A$1:H$591,6,0)=0,"",VLOOKUP(P30,deuda!A$1:H$591,6,0))</f>
        <v/>
      </c>
      <c r="T30" s="151" t="str">
        <f>IF((VLOOKUP(P30,deuda!A$1:H$591,7,0))=0,"",VLOOKUP(P30,deuda!A$1:H$591,7,0))</f>
        <v/>
      </c>
      <c r="U30" s="152" t="str">
        <f>IF((VLOOKUP(P30,deuda!A$1:H$591,8,0))=0,"",VLOOKUP(P30,deuda!A$1:H$591,8,0))</f>
        <v/>
      </c>
    </row>
    <row r="31" spans="1:21" s="10" customFormat="1" ht="30" customHeight="1">
      <c r="A31" s="51">
        <v>11</v>
      </c>
      <c r="B31" s="5">
        <v>1210</v>
      </c>
      <c r="C31" s="5">
        <v>18</v>
      </c>
      <c r="D31" s="52">
        <v>1</v>
      </c>
      <c r="E31" s="45">
        <v>4.4782000000000002</v>
      </c>
      <c r="F31" s="103" t="str">
        <f t="shared" si="5"/>
        <v>SI</v>
      </c>
      <c r="G31" s="5" t="s">
        <v>342</v>
      </c>
      <c r="H31" s="579">
        <f>IF(Hijuelas!$G$7="POR FRACCIÓN",IF(F31="NO",0,IF(F31="cede turno",0,IF(Hijuelas!$G$8="si",IF(D31=1,E31,E31*0.8),E31))),IF(F31="NO",0,IF(F31="cede turno",0,IF(Hijuelas!$G$8="si",IF(D31=1,ROUNDUP(E31,0),ROUNDUP(E31*0.8,0)),ROUNDUP(E31,0)))))</f>
        <v>4.4782000000000002</v>
      </c>
      <c r="I31" s="618">
        <v>0</v>
      </c>
      <c r="J31" s="580">
        <f t="shared" si="1"/>
        <v>0.22494333678547243</v>
      </c>
      <c r="K31" s="125">
        <f t="shared" si="3"/>
        <v>42976.311004479059</v>
      </c>
      <c r="L31" s="125">
        <f t="shared" si="4"/>
        <v>42976.535947815843</v>
      </c>
      <c r="M31" s="125"/>
      <c r="N31" s="52"/>
      <c r="O31" s="52"/>
      <c r="P31" s="52" t="str">
        <f t="shared" si="7"/>
        <v>121018</v>
      </c>
      <c r="Q31" s="150">
        <f>VLOOKUP(P31,deuda!A$1:H$591,4,0)</f>
        <v>1</v>
      </c>
      <c r="R31" s="150">
        <f>VLOOKUP(P31,deuda!A$1:H$591,5,0)</f>
        <v>0</v>
      </c>
      <c r="S31" s="150" t="str">
        <f>IF(VLOOKUP(P31,deuda!A$1:H$591,6,0)=0,"",VLOOKUP(P31,deuda!A$1:H$591,6,0))</f>
        <v/>
      </c>
      <c r="T31" s="151" t="str">
        <f>IF((VLOOKUP(P31,deuda!A$1:H$591,7,0))=0,"",VLOOKUP(P31,deuda!A$1:H$591,7,0))</f>
        <v/>
      </c>
      <c r="U31" s="152" t="str">
        <f>IF((VLOOKUP(P31,deuda!A$1:H$591,8,0))=0,"",VLOOKUP(P31,deuda!A$1:H$591,8,0))</f>
        <v/>
      </c>
    </row>
    <row r="32" spans="1:21" s="10" customFormat="1" ht="30" customHeight="1">
      <c r="A32" s="51">
        <v>12</v>
      </c>
      <c r="B32" s="5">
        <v>1210</v>
      </c>
      <c r="C32" s="5">
        <v>10</v>
      </c>
      <c r="D32" s="5">
        <v>1</v>
      </c>
      <c r="E32" s="45">
        <v>12.9543</v>
      </c>
      <c r="F32" s="103" t="str">
        <f t="shared" si="5"/>
        <v>SI</v>
      </c>
      <c r="G32" s="5" t="s">
        <v>343</v>
      </c>
      <c r="H32" s="579">
        <f>IF(Hijuelas!$G$7="POR FRACCIÓN",IF(F32="NO",0,IF(F32="cede turno",0,IF(Hijuelas!$G$8="si",IF(D32=1,E32,E32*0.8),E32))),IF(F32="NO",0,IF(F32="cede turno",0,IF(Hijuelas!$G$8="si",IF(D32=1,ROUNDUP(E32,0),ROUNDUP(E32*0.8,0)),ROUNDUP(E32,0)))))</f>
        <v>12.9543</v>
      </c>
      <c r="I32" s="618">
        <v>0</v>
      </c>
      <c r="J32" s="580">
        <f t="shared" si="1"/>
        <v>0.65070418197491076</v>
      </c>
      <c r="K32" s="125">
        <f t="shared" si="3"/>
        <v>42976.535947815843</v>
      </c>
      <c r="L32" s="125">
        <f t="shared" si="4"/>
        <v>42977.186651997814</v>
      </c>
      <c r="N32" s="5"/>
      <c r="O32" s="5"/>
      <c r="P32" s="52" t="str">
        <f t="shared" si="7"/>
        <v>121010</v>
      </c>
      <c r="Q32" s="150">
        <f>VLOOKUP(P32,deuda!A$1:H$591,4,0)</f>
        <v>1</v>
      </c>
      <c r="R32" s="150">
        <f>VLOOKUP(P32,deuda!A$1:H$591,5,0)</f>
        <v>1</v>
      </c>
      <c r="S32" s="150">
        <f>IF(VLOOKUP(P32,deuda!A$1:H$591,6,0)=0,"",VLOOKUP(P32,deuda!A$1:H$591,6,0))</f>
        <v>3265.98</v>
      </c>
      <c r="T32" s="151" t="str">
        <f>IF((VLOOKUP(P32,deuda!A$1:H$591,7,0))=0,"",VLOOKUP(P32,deuda!A$1:H$591,7,0))</f>
        <v/>
      </c>
      <c r="U32" s="152" t="str">
        <f>IF((VLOOKUP(P32,deuda!A$1:H$591,8,0))=0,"",VLOOKUP(P32,deuda!A$1:H$591,8,0))</f>
        <v/>
      </c>
    </row>
    <row r="33" spans="1:21" s="10" customFormat="1" ht="30" customHeight="1">
      <c r="A33" s="51">
        <v>13</v>
      </c>
      <c r="B33" s="5">
        <v>1210</v>
      </c>
      <c r="C33" s="5">
        <v>11</v>
      </c>
      <c r="D33" s="5">
        <v>1</v>
      </c>
      <c r="E33" s="45">
        <v>6.8602999999999996</v>
      </c>
      <c r="F33" s="103" t="str">
        <f t="shared" si="5"/>
        <v>SI</v>
      </c>
      <c r="G33" s="5" t="s">
        <v>344</v>
      </c>
      <c r="H33" s="579">
        <f>IF(Hijuelas!$G$7="POR FRACCIÓN",IF(F33="NO",0,IF(F33="cede turno",0,IF(Hijuelas!$G$8="si",IF(D33=1,E33,E33*0.8),E33))),IF(F33="NO",0,IF(F33="cede turno",0,IF(Hijuelas!$G$8="si",IF(D33=1,ROUNDUP(E33,0),ROUNDUP(E33*0.8,0)),ROUNDUP(E33,0)))))</f>
        <v>6.8602999999999996</v>
      </c>
      <c r="I33" s="618">
        <v>0</v>
      </c>
      <c r="J33" s="580">
        <f t="shared" si="1"/>
        <v>0.34459800217707481</v>
      </c>
      <c r="K33" s="125">
        <f t="shared" si="3"/>
        <v>42977.186651997814</v>
      </c>
      <c r="L33" s="125">
        <f t="shared" si="4"/>
        <v>42977.531249999993</v>
      </c>
      <c r="M33"/>
      <c r="N33" s="5"/>
      <c r="O33" s="5"/>
      <c r="P33" s="52" t="str">
        <f t="shared" si="7"/>
        <v>121011</v>
      </c>
      <c r="Q33" s="150">
        <f>VLOOKUP(P33,deuda!A$1:H$591,4,0)</f>
        <v>1</v>
      </c>
      <c r="R33" s="150">
        <f>VLOOKUP(P33,deuda!A$1:H$591,5,0)</f>
        <v>0</v>
      </c>
      <c r="S33" s="150" t="str">
        <f>IF(VLOOKUP(P33,deuda!A$1:H$591,6,0)=0,"",VLOOKUP(P33,deuda!A$1:H$591,6,0))</f>
        <v/>
      </c>
      <c r="T33" s="151" t="str">
        <f>IF((VLOOKUP(P33,deuda!A$1:H$591,7,0))=0,"",VLOOKUP(P33,deuda!A$1:H$591,7,0))</f>
        <v/>
      </c>
      <c r="U33" s="152" t="str">
        <f>IF((VLOOKUP(P33,deuda!A$1:H$591,8,0))=0,"",VLOOKUP(P33,deuda!A$1:H$591,8,0))</f>
        <v/>
      </c>
    </row>
    <row r="34" spans="1:21" ht="30" customHeight="1">
      <c r="E34" s="359">
        <f>SUM(E12:E33)</f>
        <v>78.634600000000006</v>
      </c>
      <c r="F34" s="359"/>
      <c r="H34" s="15">
        <f>SUM(H12:H33)</f>
        <v>75.830600000000004</v>
      </c>
      <c r="I34" s="580">
        <f>SUM(I12:I33)</f>
        <v>0</v>
      </c>
      <c r="J34" s="580">
        <f>SUM(J15:J32)</f>
        <v>3.2512052723805138</v>
      </c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count="1">
    <dataValidation allowBlank="1" showInputMessage="1" showErrorMessage="1" errorTitle="ATENCIÓN" error="NO PUEDEN INGRESARSE VALORES" promptTitle="RECORDAR" prompt="NO OLVIDE VOLVER A PEGAR LA FORMULA PARA QUE LA PLANILLA LEA AUTOMATICAMENTE LOS DATOS " sqref="Q12:Q33" xr:uid="{00000000-0002-0000-1E00-000000000000}"/>
  </dataValidations>
  <pageMargins left="0.15748031496062992" right="0.74803149606299213" top="0.98425196850393704" bottom="0.98425196850393704" header="0" footer="0"/>
  <pageSetup paperSize="281" scale="85" orientation="landscape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8"/>
  <dimension ref="A1:H220"/>
  <sheetViews>
    <sheetView view="pageBreakPreview" topLeftCell="A199" zoomScale="75" zoomScaleNormal="100" workbookViewId="0" xr3:uid="{D979DC6D-665A-5B40-B235-9A07D260EAB6}">
      <selection activeCell="I16" sqref="I16"/>
    </sheetView>
  </sheetViews>
  <sheetFormatPr defaultColWidth="11.42578125" defaultRowHeight="12.75"/>
  <cols>
    <col min="1" max="1" width="11.5703125" bestFit="1" customWidth="1"/>
    <col min="2" max="2" width="11.7109375" bestFit="1" customWidth="1"/>
    <col min="3" max="3" width="22.28515625" bestFit="1" customWidth="1"/>
    <col min="5" max="6" width="11.7109375" bestFit="1" customWidth="1"/>
  </cols>
  <sheetData>
    <row r="1" spans="1:8">
      <c r="A1" s="447"/>
      <c r="B1" s="448"/>
      <c r="C1" s="448"/>
      <c r="D1" s="448"/>
      <c r="E1" s="448"/>
      <c r="F1" s="449"/>
      <c r="G1" s="81"/>
    </row>
    <row r="2" spans="1:8">
      <c r="A2" s="465" t="s">
        <v>64</v>
      </c>
      <c r="B2" s="81"/>
      <c r="C2" s="81"/>
      <c r="D2" s="81"/>
      <c r="E2" s="81"/>
      <c r="F2" s="451"/>
      <c r="G2" s="81"/>
    </row>
    <row r="3" spans="1:8">
      <c r="A3" s="450"/>
      <c r="B3" s="81"/>
      <c r="C3" s="81"/>
      <c r="D3" s="81"/>
      <c r="E3" s="81"/>
      <c r="F3" s="451"/>
      <c r="G3" s="81"/>
    </row>
    <row r="4" spans="1:8">
      <c r="A4" s="450" t="s">
        <v>139</v>
      </c>
      <c r="B4" s="81" t="str">
        <f>VLOOKUP(F5,'13_1'!$A$11:$G$33,7,0)</f>
        <v>SEGOVIA, ROSA CARMEN</v>
      </c>
      <c r="C4" s="81"/>
      <c r="D4" s="81"/>
      <c r="E4" s="81"/>
      <c r="F4" s="452" t="s">
        <v>102</v>
      </c>
      <c r="G4" s="81"/>
    </row>
    <row r="5" spans="1:8">
      <c r="A5" s="450" t="s">
        <v>72</v>
      </c>
      <c r="B5" s="81" t="str">
        <f>+'13_1'!$H$2</f>
        <v>Hijuela Maldonado ( Riili )</v>
      </c>
      <c r="C5" s="81"/>
      <c r="D5" s="81"/>
      <c r="E5" s="81"/>
      <c r="F5" s="452">
        <v>1</v>
      </c>
      <c r="G5" s="81"/>
    </row>
    <row r="6" spans="1:8">
      <c r="A6" s="450"/>
      <c r="B6" s="81"/>
      <c r="C6" s="81"/>
      <c r="D6" s="81"/>
      <c r="E6" s="81"/>
      <c r="F6" s="451"/>
      <c r="G6" s="81"/>
    </row>
    <row r="7" spans="1:8">
      <c r="A7" s="466" t="s">
        <v>140</v>
      </c>
      <c r="B7" s="458" t="e">
        <f>VLOOKUP(F5,'13_1'!$A$15:$B$33,2,0)</f>
        <v>#N/A</v>
      </c>
      <c r="C7" s="81"/>
      <c r="D7" s="139" t="s">
        <v>141</v>
      </c>
      <c r="E7" s="475">
        <f>DSUM('13_1'!A$11:K$33,'13_1'!$J$11,F4:F5)</f>
        <v>0.10664490159645316</v>
      </c>
      <c r="F7" s="451"/>
      <c r="G7" s="81"/>
    </row>
    <row r="8" spans="1:8">
      <c r="A8" s="466" t="s">
        <v>142</v>
      </c>
      <c r="B8" s="461">
        <v>3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8">
      <c r="A9" s="466" t="s">
        <v>144</v>
      </c>
      <c r="B9" s="462">
        <f>DSUM('13_1'!$A$11:$I$33,'13_1'!$H$11,F4:F5)</f>
        <v>2.1231</v>
      </c>
      <c r="C9" s="81"/>
      <c r="D9" s="139" t="s">
        <v>145</v>
      </c>
      <c r="E9" s="458" t="e">
        <f>IF(VLOOKUP(F5,'13_1'!$A$15:$D$50,4,0)=1, "Definitivo 100%", "Eventual 80%")</f>
        <v>#N/A</v>
      </c>
      <c r="F9" s="583"/>
      <c r="G9" s="81"/>
    </row>
    <row r="10" spans="1:8" ht="15.75">
      <c r="A10" s="450"/>
      <c r="B10" s="139" t="s">
        <v>146</v>
      </c>
      <c r="C10" s="477">
        <f>DMIN('13_1'!A$11:L$33,'13_1'!$K$11,F4:F5)</f>
        <v>42973.722222222219</v>
      </c>
      <c r="D10" s="189" t="str">
        <f>IF(E10=1,"Domingo",IF(E10=2,"Lunes",IF(E10=3,"Martes",IF(E10=4,"Miercoles",IF(E10=5,"Jueves",IF(E10=6,"Viernes",IF(E10=7,"Sábado",0)))))))</f>
        <v>Sábado</v>
      </c>
      <c r="E10" s="190">
        <f>WEEKDAY(C10)</f>
        <v>7</v>
      </c>
      <c r="F10" s="453" t="s">
        <v>62</v>
      </c>
      <c r="G10" s="81"/>
    </row>
    <row r="11" spans="1:8" ht="15.75">
      <c r="A11" s="450"/>
      <c r="B11" s="139" t="s">
        <v>147</v>
      </c>
      <c r="C11" s="477">
        <f>DMAX('13_1'!A$11:N$33,'13_1'!$L$11,F4:F5)</f>
        <v>42973.828867123819</v>
      </c>
      <c r="D11" s="189" t="str">
        <f>IF(E11=1,"Domingo",IF(E11=2,"Lunes",IF(E11=3,"Martes",IF(E11=4,"Miercoles",IF(E11=5,"Jueves",IF(E11=6,"Viernes",IF(E11=7,"Sábado",0)))))))</f>
        <v>Sábado</v>
      </c>
      <c r="E11" s="190">
        <f>WEEKDAY(C11)</f>
        <v>7</v>
      </c>
      <c r="F11" s="453">
        <f>WEEKDAY(C11)</f>
        <v>7</v>
      </c>
      <c r="G11" s="81"/>
    </row>
    <row r="12" spans="1:8">
      <c r="A12" s="323" t="str">
        <f>+'planilla caudales'!J14</f>
        <v>Caudal l/s</v>
      </c>
      <c r="B12" s="324" t="str">
        <f>+'planilla caudales'!K14</f>
        <v>Escala cm</v>
      </c>
      <c r="C12" s="81"/>
      <c r="D12" s="81"/>
      <c r="E12" s="584"/>
      <c r="F12" s="583"/>
      <c r="G12" s="81"/>
    </row>
    <row r="13" spans="1:8">
      <c r="A13" s="606">
        <f>+'planilla caudales'!J23</f>
        <v>121.32896000000001</v>
      </c>
      <c r="B13" s="606">
        <f>+'planilla caudales'!K23</f>
        <v>36.988887722436139</v>
      </c>
      <c r="C13" s="81"/>
      <c r="D13" s="81"/>
      <c r="E13" s="81"/>
      <c r="F13" s="451"/>
      <c r="G13" s="81"/>
      <c r="H13">
        <f>13*17</f>
        <v>221</v>
      </c>
    </row>
    <row r="14" spans="1:8">
      <c r="A14" s="472">
        <f>+Mensajes!$B$7</f>
        <v>0</v>
      </c>
      <c r="C14" s="81"/>
      <c r="D14" s="81"/>
      <c r="E14" s="81"/>
      <c r="F14" s="451"/>
      <c r="G14" s="81"/>
    </row>
    <row r="15" spans="1:8">
      <c r="A15" s="472">
        <f>+Mensajes!$B$12</f>
        <v>0</v>
      </c>
      <c r="B15" s="81"/>
      <c r="C15" s="81"/>
      <c r="D15" s="81"/>
      <c r="E15" s="81"/>
      <c r="F15" s="451"/>
      <c r="G15" s="81"/>
    </row>
    <row r="16" spans="1:8" ht="13.5" thickBot="1">
      <c r="A16" s="473" t="str">
        <f>IF(DSUM('13_1'!$A$11:$R$89,17,F4:F5)=COUNTIF('13_1'!$A$16:$A$89,F5),"","Regularice su Deuda")</f>
        <v>Regularice su Deuda</v>
      </c>
      <c r="B16" s="455"/>
      <c r="C16" s="455"/>
      <c r="D16" s="454" t="str">
        <f>IF(DSUM('13_1'!$A$11:$Q$89,16,F4:F5)=COUNTIF('13_1'!$A$15:$A$89,F5),"","Regularice su Deuda")</f>
        <v/>
      </c>
      <c r="E16" s="455"/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VLOOKUP(F22,'13_1'!$A$11:$G$33,7,0)</f>
        <v>SEGOVIA, JOSE MIGUEL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+'13_1'!$H$2</f>
        <v>Hijuela Maldonado ( Riili )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66" t="s">
        <v>140</v>
      </c>
      <c r="B24" s="458" t="e">
        <f>VLOOKUP(F22,'13_1'!$A$15:$B$33,2,0)</f>
        <v>#N/A</v>
      </c>
      <c r="C24" s="81"/>
      <c r="D24" s="139" t="s">
        <v>141</v>
      </c>
      <c r="E24" s="475">
        <f>DSUM('13_1'!A$11:K$33,'13_1'!$J$11,F21:F22)</f>
        <v>0.10657960162373618</v>
      </c>
      <c r="F24" s="451"/>
    </row>
    <row r="25" spans="1:6">
      <c r="A25" s="466" t="s">
        <v>142</v>
      </c>
      <c r="B25" s="461" t="s">
        <v>345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66" t="s">
        <v>144</v>
      </c>
      <c r="B26" s="462">
        <f>DSUM('13_1'!$A$11:$I$33,'13_1'!$H$11,F21:F22)</f>
        <v>2.1217999999999999</v>
      </c>
      <c r="C26" s="81"/>
      <c r="D26" s="139" t="s">
        <v>145</v>
      </c>
      <c r="E26" s="458" t="e">
        <f>IF(VLOOKUP(F22,'13_1'!$A$15:$D$50,4,0)=1, "Definitivo 100%", "Eventual 80%")</f>
        <v>#N/A</v>
      </c>
      <c r="F26" s="583"/>
    </row>
    <row r="27" spans="1:6" ht="15.75">
      <c r="A27" s="450"/>
      <c r="B27" s="139" t="s">
        <v>146</v>
      </c>
      <c r="C27" s="477">
        <f>DMIN('13_1'!A$11:L$33,'13_1'!$K$11,F21:F22)</f>
        <v>42973.828867123819</v>
      </c>
      <c r="D27" s="189" t="str">
        <f>IF(E27=1,"Domingo",IF(E27=2,"Lunes",IF(E27=3,"Martes",IF(E27=4,"Miercoles",IF(E27=5,"Jueves",IF(E27=6,"Viernes",IF(E27=7,"Sábado",0)))))))</f>
        <v>Sábado</v>
      </c>
      <c r="E27" s="190">
        <f>WEEKDAY(C27)</f>
        <v>7</v>
      </c>
      <c r="F27" s="453" t="s">
        <v>62</v>
      </c>
    </row>
    <row r="28" spans="1:6" ht="15.75">
      <c r="A28" s="450"/>
      <c r="B28" s="139" t="s">
        <v>147</v>
      </c>
      <c r="C28" s="477">
        <f>DMAX('13_1'!A$11:N$33,'13_1'!$L$11,F21:F22)</f>
        <v>42973.935446725445</v>
      </c>
      <c r="D28" s="189" t="str">
        <f>IF(E28=1,"Domingo",IF(E28=2,"Lunes",IF(E28=3,"Martes",IF(E28=4,"Miercoles",IF(E28=5,"Jueves",IF(E28=6,"Viernes",IF(E28=7,"Sábado",0)))))))</f>
        <v>Sábado</v>
      </c>
      <c r="E28" s="190">
        <f>WEEKDAY(C28)</f>
        <v>7</v>
      </c>
      <c r="F28" s="453">
        <f>WEEKDAY(C28)</f>
        <v>7</v>
      </c>
    </row>
    <row r="29" spans="1:6">
      <c r="A29" s="323">
        <f>+'planilla caudales'!J31</f>
        <v>0</v>
      </c>
      <c r="B29" s="324">
        <f>+'planilla caudales'!K31</f>
        <v>0</v>
      </c>
      <c r="C29" s="81"/>
      <c r="D29" s="81"/>
      <c r="E29" s="584"/>
      <c r="F29" s="583"/>
    </row>
    <row r="30" spans="1:6">
      <c r="A30" s="606">
        <f>+'planilla caudales'!J40</f>
        <v>889.39555199999995</v>
      </c>
      <c r="B30" s="606">
        <f>+'planilla caudales'!K40</f>
        <v>0.77539549729683555</v>
      </c>
      <c r="C30" s="81"/>
      <c r="D30" s="81"/>
      <c r="E30" s="81"/>
      <c r="F30" s="451"/>
    </row>
    <row r="31" spans="1:6">
      <c r="A31" s="472">
        <f>+Mensajes!$B$7</f>
        <v>0</v>
      </c>
      <c r="C31" s="81"/>
      <c r="D31" s="81"/>
      <c r="E31" s="81"/>
      <c r="F31" s="451"/>
    </row>
    <row r="32" spans="1:6">
      <c r="A32" s="472">
        <f>+Mensajes!$B$12</f>
        <v>0</v>
      </c>
      <c r="B32" s="81"/>
      <c r="C32" s="81"/>
      <c r="D32" s="81"/>
      <c r="E32" s="81"/>
      <c r="F32" s="451"/>
    </row>
    <row r="33" spans="1:6" ht="13.5" thickBot="1">
      <c r="A33" s="473" t="str">
        <f>IF(DSUM('13_1'!$A$11:$R$89,17,F21:F22)=COUNTIF('13_1'!$A$16:$A$89,F22),"","Regularice su Deuda")</f>
        <v>Regularice su Deuda</v>
      </c>
      <c r="B33" s="455"/>
      <c r="C33" s="455"/>
      <c r="D33" s="454" t="str">
        <f>IF(DSUM('13_1'!$A$11:$Q$89,16,F21:F22)=COUNTIF('13_1'!$A$15:$A$89,F22),"","Regularice su Deuda")</f>
        <v/>
      </c>
      <c r="E33" s="455"/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VLOOKUP(F39,'13_1'!$A$15:$G$33,7,0)</f>
        <v>SEGOVIA, CARLOS ANTONIO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+'13_1'!$H$2</f>
        <v>Hijuela Maldonado ( Riili )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VLOOKUP(F39,'13_1'!$A$15:$B$33,2,0)</f>
        <v>1210</v>
      </c>
      <c r="C41" s="81"/>
      <c r="D41" s="139" t="s">
        <v>141</v>
      </c>
      <c r="E41" s="475">
        <f>DSUM('13_1'!A$11:K$33,'13_1'!$J$11,F38:F39)</f>
        <v>0.25997928368553652</v>
      </c>
      <c r="F41" s="451"/>
    </row>
    <row r="42" spans="1:6">
      <c r="A42" s="466" t="s">
        <v>142</v>
      </c>
      <c r="B42" s="461" t="s">
        <v>346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DSUM('13_1'!$A$11:$I$33,'13_1'!$H$11,F38:F39)</f>
        <v>5.1757</v>
      </c>
      <c r="C43" s="81"/>
      <c r="D43" s="139" t="s">
        <v>145</v>
      </c>
      <c r="E43" s="458" t="str">
        <f>IF(VLOOKUP(F39,'13_1'!$A$15:$D$50,4,0)=1, "Definitivo 100%", "Eventual 80%")</f>
        <v>Definitivo 100%</v>
      </c>
      <c r="F43" s="583"/>
    </row>
    <row r="44" spans="1:6" ht="15.75">
      <c r="A44" s="450"/>
      <c r="B44" s="139" t="s">
        <v>146</v>
      </c>
      <c r="C44" s="477">
        <f>DMIN('13_1'!A$11:L$33,'13_1'!$K$11,F38:F39)</f>
        <v>42973.935446725445</v>
      </c>
      <c r="D44" s="189" t="str">
        <f>IF(E44=1,"Domingo",IF(E44=2,"Lunes",IF(E44=3,"Martes",IF(E44=4,"Miercoles",IF(E44=5,"Jueves",IF(E44=6,"Viernes",IF(E44=7,"Sábado",0)))))))</f>
        <v>Sábado</v>
      </c>
      <c r="E44" s="190">
        <f>WEEKDAY(C44)</f>
        <v>7</v>
      </c>
      <c r="F44" s="453" t="s">
        <v>62</v>
      </c>
    </row>
    <row r="45" spans="1:6" ht="15.75">
      <c r="A45" s="450"/>
      <c r="B45" s="139" t="s">
        <v>147</v>
      </c>
      <c r="C45" s="477">
        <f>DMAX('13_1'!A$11:N$33,'13_1'!$L$11,F38:F39)</f>
        <v>42974.19542600913</v>
      </c>
      <c r="D45" s="189" t="str">
        <f>IF(E45=1,"Domingo",IF(E45=2,"Lunes",IF(E45=3,"Martes",IF(E45=4,"Miercoles",IF(E45=5,"Jueves",IF(E45=6,"Viernes",IF(E45=7,"Sábado",0)))))))</f>
        <v>Domingo</v>
      </c>
      <c r="E45" s="190">
        <f>WEEKDAY(C45)</f>
        <v>1</v>
      </c>
      <c r="F45" s="453">
        <f>WEEKDAY(C45)</f>
        <v>1</v>
      </c>
    </row>
    <row r="46" spans="1:6">
      <c r="A46" s="323">
        <f>+'planilla caudales'!J48</f>
        <v>0</v>
      </c>
      <c r="B46" s="324">
        <f>+'planilla caudales'!K48</f>
        <v>0</v>
      </c>
      <c r="C46" s="81"/>
      <c r="D46" s="81"/>
      <c r="E46" s="584"/>
      <c r="F46" s="583"/>
    </row>
    <row r="47" spans="1:6">
      <c r="A47" s="606">
        <f>+'planilla caudales'!J57</f>
        <v>0</v>
      </c>
      <c r="B47" s="606">
        <f>+'planilla caudales'!K57</f>
        <v>0</v>
      </c>
      <c r="C47" s="81"/>
      <c r="D47" s="81"/>
      <c r="E47" s="81"/>
      <c r="F47" s="451"/>
    </row>
    <row r="48" spans="1:6">
      <c r="A48" s="472">
        <f>+Mensajes!$B$7</f>
        <v>0</v>
      </c>
      <c r="C48" s="81"/>
      <c r="D48" s="81"/>
      <c r="E48" s="81"/>
      <c r="F48" s="451"/>
    </row>
    <row r="49" spans="1:6">
      <c r="A49" s="472">
        <f>+Mensajes!$B$12</f>
        <v>0</v>
      </c>
      <c r="B49" s="81"/>
      <c r="C49" s="81"/>
      <c r="D49" s="81"/>
      <c r="E49" s="81"/>
      <c r="F49" s="451"/>
    </row>
    <row r="50" spans="1:6" ht="13.5" thickBot="1">
      <c r="A50" s="473" t="str">
        <f>IF(DSUM('13_1'!$A$11:$R$89,17,F38:F39)=COUNTIF('13_1'!$A$16:$A$89,F39),"","Regularice su Deuda")</f>
        <v>Regularice su Deuda</v>
      </c>
      <c r="B50" s="455"/>
      <c r="C50" s="455"/>
      <c r="D50" s="454" t="str">
        <f>IF(DSUM('13_1'!$A$11:$Q$89,16,F38:F39)=COUNTIF('13_1'!$A$15:$A$89,F39),"","Regularice su Deuda")</f>
        <v>Regularice su Deuda</v>
      </c>
      <c r="E50" s="455"/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VLOOKUP(F56,'13_1'!$A$15:$G$33,7,0)</f>
        <v>VERA, FRANCISCO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+'13_1'!$H$2</f>
        <v>Hijuela Maldonado ( Riili )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VLOOKUP(F56,'13_1'!$A$15:$B$33,2,0)</f>
        <v>1210</v>
      </c>
      <c r="C58" s="81"/>
      <c r="D58" s="139" t="s">
        <v>141</v>
      </c>
      <c r="E58" s="475">
        <f>DSUM('13_1'!A$11:K$33,'13_1'!$J$11,F55:F56)</f>
        <v>0.32831821667125294</v>
      </c>
      <c r="F58" s="451"/>
    </row>
    <row r="59" spans="1:6">
      <c r="A59" s="466" t="s">
        <v>142</v>
      </c>
      <c r="B59" s="461" t="s">
        <v>347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DSUM('13_1'!$A$11:$I$33,'13_1'!$H$11,F55:F56)</f>
        <v>6.5362</v>
      </c>
      <c r="C60" s="81"/>
      <c r="D60" s="139" t="s">
        <v>145</v>
      </c>
      <c r="E60" s="458" t="str">
        <f>IF(VLOOKUP(F56,'13_1'!$A$15:$D$50,4,0)=1, "Definitivo 100%", "Eventual 80%")</f>
        <v>Definitivo 100%</v>
      </c>
      <c r="F60" s="583"/>
    </row>
    <row r="61" spans="1:6" ht="15.75">
      <c r="A61" s="450"/>
      <c r="B61" s="139" t="s">
        <v>146</v>
      </c>
      <c r="C61" s="477">
        <f>DMIN('13_1'!A$11:L$33,'13_1'!$K$11,F55:F56)</f>
        <v>42974.19542600913</v>
      </c>
      <c r="D61" s="189" t="str">
        <f>IF(E61=1,"Domingo",IF(E61=2,"Lunes",IF(E61=3,"Martes",IF(E61=4,"Miercoles",IF(E61=5,"Jueves",IF(E61=6,"Viernes",IF(E61=7,"Sábado",0)))))))</f>
        <v>Domingo</v>
      </c>
      <c r="E61" s="190">
        <f>WEEKDAY(C61)</f>
        <v>1</v>
      </c>
      <c r="F61" s="453" t="s">
        <v>62</v>
      </c>
    </row>
    <row r="62" spans="1:6" ht="15.75">
      <c r="A62" s="450"/>
      <c r="B62" s="139" t="s">
        <v>147</v>
      </c>
      <c r="C62" s="477">
        <f>DMAX('13_1'!A$11:N$33,'13_1'!$L$11,F55:F56)</f>
        <v>42974.5237442258</v>
      </c>
      <c r="D62" s="189" t="str">
        <f>IF(E62=1,"Domingo",IF(E62=2,"Lunes",IF(E62=3,"Martes",IF(E62=4,"Miercoles",IF(E62=5,"Jueves",IF(E62=6,"Viernes",IF(E62=7,"Sábado",0)))))))</f>
        <v>Domingo</v>
      </c>
      <c r="E62" s="190">
        <f>WEEKDAY(C62)</f>
        <v>1</v>
      </c>
      <c r="F62" s="453">
        <f>WEEKDAY(C62)</f>
        <v>1</v>
      </c>
    </row>
    <row r="63" spans="1:6">
      <c r="A63" s="323">
        <f>+'planilla caudales'!J65</f>
        <v>0</v>
      </c>
      <c r="B63" s="324">
        <f>+'planilla caudales'!K65</f>
        <v>0</v>
      </c>
      <c r="C63" s="81"/>
      <c r="D63" s="81"/>
      <c r="E63" s="584"/>
      <c r="F63" s="583"/>
    </row>
    <row r="64" spans="1:6">
      <c r="A64" s="606">
        <f>+'planilla caudales'!J74</f>
        <v>0</v>
      </c>
      <c r="B64" s="606">
        <f>+'planilla caudales'!K74</f>
        <v>0</v>
      </c>
      <c r="C64" s="81"/>
      <c r="D64" s="81"/>
      <c r="E64" s="81"/>
      <c r="F64" s="451"/>
    </row>
    <row r="65" spans="1:6">
      <c r="A65" s="472">
        <f>+Mensajes!$B$7</f>
        <v>0</v>
      </c>
      <c r="C65" s="81"/>
      <c r="D65" s="81"/>
      <c r="E65" s="81"/>
      <c r="F65" s="451"/>
    </row>
    <row r="66" spans="1:6">
      <c r="A66" s="472">
        <f>+Mensajes!$B$12</f>
        <v>0</v>
      </c>
      <c r="B66" s="81"/>
      <c r="C66" s="81"/>
      <c r="D66" s="81"/>
      <c r="E66" s="81"/>
      <c r="F66" s="451"/>
    </row>
    <row r="67" spans="1:6" ht="13.5" thickBot="1">
      <c r="A67" s="473" t="str">
        <f>IF(DSUM('13_1'!$A$11:$R$89,17,F55:F56)=COUNTIF('13_1'!$A$16:$A$89,F56),"","Regularice su Deuda")</f>
        <v/>
      </c>
      <c r="B67" s="455"/>
      <c r="C67" s="455"/>
      <c r="D67" s="454" t="str">
        <f>IF(DSUM('13_1'!$A$11:$Q$89,16,F55:F56)=COUNTIF('13_1'!$A$15:$A$89,F56),"","Regularice su Deuda")</f>
        <v>Regularice su Deuda</v>
      </c>
      <c r="E67" s="455"/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VLOOKUP(F73,'13_1'!$A$15:$G$33,7,0)</f>
        <v>SANTIAGO RIILI S.E.C.P.A.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+'13_1'!$H$2</f>
        <v>Hijuela Maldonado ( Riili )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VLOOKUP(F73,'13_1'!$A$15:$B$33,2,0)</f>
        <v>1210</v>
      </c>
      <c r="C75" s="81"/>
      <c r="D75" s="139" t="s">
        <v>141</v>
      </c>
      <c r="E75" s="475">
        <f>DSUM('13_1'!A$11:K$33,'13_1'!$J$11,F72:F73)</f>
        <v>0.49596836200982486</v>
      </c>
      <c r="F75" s="451"/>
    </row>
    <row r="76" spans="1:6">
      <c r="A76" s="466" t="s">
        <v>142</v>
      </c>
      <c r="B76" s="461">
        <v>2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DSUM('13_1'!$A$11:$I$33,'13_1'!$H$11,F72:F73)</f>
        <v>9.8737999999999992</v>
      </c>
      <c r="C77" s="81"/>
      <c r="D77" s="139" t="s">
        <v>145</v>
      </c>
      <c r="E77" s="458" t="str">
        <f>IF(VLOOKUP(F73,'13_1'!$A$15:$D$50,4,0)=1, "Definitivo 100%", "Eventual 80%")</f>
        <v>Definitivo 100%</v>
      </c>
      <c r="F77" s="583"/>
    </row>
    <row r="78" spans="1:6" ht="15.75">
      <c r="A78" s="450"/>
      <c r="B78" s="139" t="s">
        <v>146</v>
      </c>
      <c r="C78" s="477">
        <f>DMIN('13_1'!A$11:L$33,'13_1'!$K$11,F72:F73)</f>
        <v>42974.5237442258</v>
      </c>
      <c r="D78" s="189" t="str">
        <f>IF(E78=1,"Domingo",IF(E78=2,"Lunes",IF(E78=3,"Martes",IF(E78=4,"Miercoles",IF(E78=5,"Jueves",IF(E78=6,"Viernes",IF(E78=7,"Sábado",0)))))))</f>
        <v>Domingo</v>
      </c>
      <c r="E78" s="190">
        <f>WEEKDAY(C78)</f>
        <v>1</v>
      </c>
      <c r="F78" s="453" t="s">
        <v>62</v>
      </c>
    </row>
    <row r="79" spans="1:6" ht="15.75">
      <c r="A79" s="450"/>
      <c r="B79" s="139" t="s">
        <v>147</v>
      </c>
      <c r="C79" s="477">
        <f>DMAX('13_1'!A$11:N$33,'13_1'!$L$11,F72:F73)</f>
        <v>42975.019712587811</v>
      </c>
      <c r="D79" s="189" t="str">
        <f>IF(E79=1,"Domingo",IF(E79=2,"Lunes",IF(E79=3,"Martes",IF(E79=4,"Miercoles",IF(E79=5,"Jueves",IF(E79=6,"Viernes",IF(E79=7,"Sábado",0)))))))</f>
        <v>Lunes</v>
      </c>
      <c r="E79" s="190">
        <f>WEEKDAY(C79)</f>
        <v>2</v>
      </c>
      <c r="F79" s="453">
        <f>WEEKDAY(C79)</f>
        <v>2</v>
      </c>
    </row>
    <row r="80" spans="1:6">
      <c r="A80" s="323">
        <f>+'planilla caudales'!J82</f>
        <v>0</v>
      </c>
      <c r="B80" s="324">
        <f>+'planilla caudales'!K82</f>
        <v>0</v>
      </c>
      <c r="C80" s="81"/>
      <c r="D80" s="81"/>
      <c r="E80" s="584"/>
      <c r="F80" s="583"/>
    </row>
    <row r="81" spans="1:6">
      <c r="A81" s="606">
        <f>+'planilla caudales'!J91</f>
        <v>0</v>
      </c>
      <c r="B81" s="606">
        <f>+'planilla caudales'!K91</f>
        <v>0</v>
      </c>
      <c r="C81" s="81"/>
      <c r="D81" s="81"/>
      <c r="E81" s="81"/>
      <c r="F81" s="451"/>
    </row>
    <row r="82" spans="1:6">
      <c r="A82" s="472">
        <f>+Mensajes!$B$7</f>
        <v>0</v>
      </c>
      <c r="C82" s="81"/>
      <c r="D82" s="81"/>
      <c r="E82" s="81"/>
      <c r="F82" s="451"/>
    </row>
    <row r="83" spans="1:6">
      <c r="A83" s="472">
        <f>+Mensajes!$B$12</f>
        <v>0</v>
      </c>
      <c r="B83" s="81"/>
      <c r="C83" s="81"/>
      <c r="D83" s="81"/>
      <c r="E83" s="81"/>
      <c r="F83" s="451"/>
    </row>
    <row r="84" spans="1:6" ht="13.5" thickBot="1">
      <c r="A84" s="473" t="str">
        <f>IF(DSUM('13_1'!$A$11:$R$89,17,F72:F73)=COUNTIF('13_1'!$A$16:$A$89,F73),"","Regularice su Deuda")</f>
        <v>Regularice su Deuda</v>
      </c>
      <c r="B84" s="455"/>
      <c r="C84" s="455"/>
      <c r="D84" s="454" t="str">
        <f>IF(DSUM('13_1'!$A$11:$Q$89,16,F72:F73)=COUNTIF('13_1'!$A$15:$A$89,F73),"","Regularice su Deuda")</f>
        <v>Regularice su Deuda</v>
      </c>
      <c r="E84" s="455"/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VLOOKUP(F90,'13_1'!$A$15:$G$33,7,0)</f>
        <v>JULIO, EDUARDO ENRIQUE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+'13_1'!$H$2</f>
        <v>Hijuela Maldonado ( Riili )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VLOOKUP(F90,'13_1'!$A$15:$B$33,2,0)</f>
        <v>1210</v>
      </c>
      <c r="C92" s="81"/>
      <c r="D92" s="139" t="s">
        <v>141</v>
      </c>
      <c r="E92" s="475">
        <f>DSUM('13_1'!A$11:K$33,'13_1'!$J$11,F89:F90)</f>
        <v>0.20812608227344162</v>
      </c>
      <c r="F92" s="451"/>
    </row>
    <row r="93" spans="1:6">
      <c r="A93" s="466" t="s">
        <v>142</v>
      </c>
      <c r="B93" s="461">
        <v>20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DSUM('13_1'!$A$11:$I$33,'13_1'!$H$11,F89:F90)</f>
        <v>4.1433999999999997</v>
      </c>
      <c r="C94" s="81"/>
      <c r="D94" s="139" t="s">
        <v>145</v>
      </c>
      <c r="E94" s="458" t="str">
        <f>IF(VLOOKUP(F90,'13_1'!$A$15:$D$50,4,0)=1, "Definitivo 100%", "Eventual 80%")</f>
        <v>Definitivo 100%</v>
      </c>
      <c r="F94" s="583"/>
    </row>
    <row r="95" spans="1:6" ht="15.75">
      <c r="A95" s="450"/>
      <c r="B95" s="139" t="s">
        <v>146</v>
      </c>
      <c r="C95" s="477">
        <f>DMIN('13_1'!A$11:L$33,'13_1'!$K$11,F89:F90)</f>
        <v>42975.019712587811</v>
      </c>
      <c r="D95" s="189" t="str">
        <f>IF(E95=1,"Domingo",IF(E95=2,"Lunes",IF(E95=3,"Martes",IF(E95=4,"Miercoles",IF(E95=5,"Jueves",IF(E95=6,"Viernes",IF(E95=7,"Sábado",0)))))))</f>
        <v>Lunes</v>
      </c>
      <c r="E95" s="190">
        <f>WEEKDAY(C95)</f>
        <v>2</v>
      </c>
      <c r="F95" s="453" t="s">
        <v>62</v>
      </c>
    </row>
    <row r="96" spans="1:6" ht="15.75">
      <c r="A96" s="450"/>
      <c r="B96" s="139" t="s">
        <v>147</v>
      </c>
      <c r="C96" s="477">
        <f>DMAX('13_1'!A$11:N$33,'13_1'!$L$11,F89:F90)</f>
        <v>42975.227838670085</v>
      </c>
      <c r="D96" s="189" t="str">
        <f>IF(E96=1,"Domingo",IF(E96=2,"Lunes",IF(E96=3,"Martes",IF(E96=4,"Miercoles",IF(E96=5,"Jueves",IF(E96=6,"Viernes",IF(E96=7,"Sábado",0)))))))</f>
        <v>Lunes</v>
      </c>
      <c r="E96" s="190">
        <f>WEEKDAY(C96)</f>
        <v>2</v>
      </c>
      <c r="F96" s="453">
        <f>WEEKDAY(C96)</f>
        <v>2</v>
      </c>
    </row>
    <row r="97" spans="1:6">
      <c r="A97" s="323">
        <f>+'planilla caudales'!J99</f>
        <v>0</v>
      </c>
      <c r="B97" s="324">
        <f>+'planilla caudales'!K99</f>
        <v>0</v>
      </c>
      <c r="C97" s="81"/>
      <c r="D97" s="81"/>
      <c r="E97" s="584"/>
      <c r="F97" s="583"/>
    </row>
    <row r="98" spans="1:6">
      <c r="A98" s="606">
        <f>+'planilla caudales'!J108</f>
        <v>0</v>
      </c>
      <c r="B98" s="606">
        <f>+'planilla caudales'!K108</f>
        <v>0</v>
      </c>
      <c r="C98" s="81"/>
      <c r="D98" s="81"/>
      <c r="E98" s="81"/>
      <c r="F98" s="451"/>
    </row>
    <row r="99" spans="1:6">
      <c r="A99" s="472">
        <f>+Mensajes!$B$7</f>
        <v>0</v>
      </c>
      <c r="C99" s="81"/>
      <c r="D99" s="81"/>
      <c r="E99" s="81"/>
      <c r="F99" s="451"/>
    </row>
    <row r="100" spans="1:6">
      <c r="A100" s="472">
        <f>+Mensajes!$B$12</f>
        <v>0</v>
      </c>
      <c r="B100" s="81"/>
      <c r="C100" s="81"/>
      <c r="D100" s="81"/>
      <c r="E100" s="81"/>
      <c r="F100" s="451"/>
    </row>
    <row r="101" spans="1:6" ht="13.5" thickBot="1">
      <c r="A101" s="473" t="str">
        <f>IF(DSUM('13_1'!$A$11:$R$89,17,F89:F90)=COUNTIF('13_1'!$A$16:$A$89,F90),"","Regularice su Deuda")</f>
        <v/>
      </c>
      <c r="B101" s="455"/>
      <c r="C101" s="455"/>
      <c r="D101" s="454" t="str">
        <f>IF(DSUM('13_1'!$A$11:$Q$89,16,F89:F90)=COUNTIF('13_1'!$A$15:$A$89,F90),"","Regularice su Deuda")</f>
        <v>Regularice su Deuda</v>
      </c>
      <c r="E101" s="455"/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VLOOKUP(F107,'13_1'!$A$15:$G$33,7,0)</f>
        <v>BRAVO, MARIO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+'13_1'!$H$2</f>
        <v>Hijuela Maldonado ( Riili )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66" t="s">
        <v>140</v>
      </c>
      <c r="B109" s="458">
        <f>VLOOKUP(F107,'13_1'!$A$15:$B$33,2,0)</f>
        <v>1210</v>
      </c>
      <c r="C109" s="81"/>
      <c r="D109" s="139" t="s">
        <v>141</v>
      </c>
      <c r="E109" s="475">
        <f>DSUM('13_1'!A$11:K$33,'13_1'!$J$11,F106:F107)</f>
        <v>0.20937180482988837</v>
      </c>
      <c r="F109" s="451"/>
    </row>
    <row r="110" spans="1:6">
      <c r="A110" s="466" t="s">
        <v>142</v>
      </c>
      <c r="B110" s="461">
        <v>8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66" t="s">
        <v>144</v>
      </c>
      <c r="B111" s="462">
        <f>DSUM('13_1'!$A$11:$I$33,'13_1'!$H$11,F106:F107)</f>
        <v>4.1681999999999997</v>
      </c>
      <c r="C111" s="81"/>
      <c r="D111" s="139" t="s">
        <v>145</v>
      </c>
      <c r="E111" s="458" t="str">
        <f>IF(VLOOKUP(F107,'13_1'!$A$15:$D$50,4,0)=1, "Definitivo 100%", "Eventual 80%")</f>
        <v>Definitivo 100%</v>
      </c>
      <c r="F111" s="583"/>
    </row>
    <row r="112" spans="1:6" ht="15.75">
      <c r="A112" s="450"/>
      <c r="B112" s="139" t="s">
        <v>146</v>
      </c>
      <c r="C112" s="477">
        <f>DMIN('13_1'!A$11:L$33,'13_1'!$K$11,F106:F107)</f>
        <v>42975.227838670085</v>
      </c>
      <c r="D112" s="189" t="str">
        <f>IF(E112=1,"Domingo",IF(E112=2,"Lunes",IF(E112=3,"Martes",IF(E112=4,"Miercoles",IF(E112=5,"Jueves",IF(E112=6,"Viernes",IF(E112=7,"Sábado",0)))))))</f>
        <v>Lunes</v>
      </c>
      <c r="E112" s="190">
        <f>WEEKDAY(C112)</f>
        <v>2</v>
      </c>
      <c r="F112" s="453" t="s">
        <v>62</v>
      </c>
    </row>
    <row r="113" spans="1:6" ht="15.75">
      <c r="A113" s="450"/>
      <c r="B113" s="139" t="s">
        <v>147</v>
      </c>
      <c r="C113" s="477">
        <f>DMAX('13_1'!A$11:N$33,'13_1'!$L$11,F106:F107)</f>
        <v>42975.437210474913</v>
      </c>
      <c r="D113" s="189" t="str">
        <f>IF(E113=1,"Domingo",IF(E113=2,"Lunes",IF(E113=3,"Martes",IF(E113=4,"Miercoles",IF(E113=5,"Jueves",IF(E113=6,"Viernes",IF(E113=7,"Sábado",0)))))))</f>
        <v>Lunes</v>
      </c>
      <c r="E113" s="190">
        <f>WEEKDAY(C113)</f>
        <v>2</v>
      </c>
      <c r="F113" s="453">
        <f>WEEKDAY(C113)</f>
        <v>2</v>
      </c>
    </row>
    <row r="114" spans="1:6">
      <c r="A114" s="323">
        <f>+'planilla caudales'!J116</f>
        <v>0</v>
      </c>
      <c r="B114" s="324">
        <f>+'planilla caudales'!K116</f>
        <v>0</v>
      </c>
      <c r="C114" s="81"/>
      <c r="D114" s="81"/>
      <c r="E114" s="584"/>
      <c r="F114" s="583"/>
    </row>
    <row r="115" spans="1:6">
      <c r="A115" s="606">
        <f>+'planilla caudales'!J125</f>
        <v>0</v>
      </c>
      <c r="B115" s="606">
        <f>+'planilla caudales'!K125</f>
        <v>0</v>
      </c>
      <c r="C115" s="81"/>
      <c r="D115" s="81"/>
      <c r="E115" s="81"/>
      <c r="F115" s="451"/>
    </row>
    <row r="116" spans="1:6">
      <c r="A116" s="472">
        <f>+Mensajes!$B$7</f>
        <v>0</v>
      </c>
      <c r="C116" s="81"/>
      <c r="D116" s="81"/>
      <c r="E116" s="81"/>
      <c r="F116" s="451"/>
    </row>
    <row r="117" spans="1:6">
      <c r="A117" s="472">
        <f>+Mensajes!$B$12</f>
        <v>0</v>
      </c>
      <c r="B117" s="81"/>
      <c r="C117" s="81"/>
      <c r="D117" s="81"/>
      <c r="E117" s="81"/>
      <c r="F117" s="451"/>
    </row>
    <row r="118" spans="1:6" ht="13.5" thickBot="1">
      <c r="A118" s="473" t="str">
        <f>IF(DSUM('13_1'!$A$11:$R$89,17,F106:F107)=COUNTIF('13_1'!$A$16:$A$89,F107),"","Regularice su Deuda")</f>
        <v/>
      </c>
      <c r="B118" s="455"/>
      <c r="C118" s="455"/>
      <c r="D118" s="454" t="str">
        <f>IF(DSUM('13_1'!$A$11:$Q$89,16,F106:F107)=COUNTIF('13_1'!$A$15:$A$89,F107),"","Regularice su Deuda")</f>
        <v>Regularice su Deuda</v>
      </c>
      <c r="E118" s="455"/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str">
        <f>VLOOKUP(F124,'13_1'!$A$15:$G$33,7,0)</f>
        <v>BUSTENCIO SAIRE ARMINDA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+'13_1'!$H$2</f>
        <v>Hijuela Maldonado ( Riili )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66" t="s">
        <v>140</v>
      </c>
      <c r="B126" s="458">
        <f>VLOOKUP(F124,'13_1'!$A$15:$B$33,2,0)</f>
        <v>1210</v>
      </c>
      <c r="C126" s="81"/>
      <c r="D126" s="139" t="s">
        <v>141</v>
      </c>
      <c r="E126" s="475">
        <f>DSUM('13_1'!A$11:K$33,'13_1'!$J$11,F123:F124)</f>
        <v>0.22752519724520476</v>
      </c>
      <c r="F126" s="451"/>
    </row>
    <row r="127" spans="1:6">
      <c r="A127" s="466" t="s">
        <v>142</v>
      </c>
      <c r="B127" s="461" t="s">
        <v>348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66" t="s">
        <v>144</v>
      </c>
      <c r="B128" s="462">
        <f>DSUM('13_1'!$A$11:$I$33,'13_1'!$H$11,F123:F124)</f>
        <v>4.5296000000000003</v>
      </c>
      <c r="C128" s="81"/>
      <c r="D128" s="139" t="s">
        <v>145</v>
      </c>
      <c r="E128" s="458" t="str">
        <f>IF(VLOOKUP(F124,'13_1'!$A$15:$D$50,4,0)=1, "Definitivo 100%", "Eventual 80%")</f>
        <v>Definitivo 100%</v>
      </c>
      <c r="F128" s="583"/>
    </row>
    <row r="129" spans="1:6" ht="15.75">
      <c r="A129" s="450"/>
      <c r="B129" s="139" t="s">
        <v>146</v>
      </c>
      <c r="C129" s="477">
        <f>DMIN('13_1'!A$11:L$33,'13_1'!$K$11,F123:F124)</f>
        <v>42975.437210474913</v>
      </c>
      <c r="D129" s="189" t="str">
        <f>IF(E129=1,"Domingo",IF(E129=2,"Lunes",IF(E129=3,"Martes",IF(E129=4,"Miercoles",IF(E129=5,"Jueves",IF(E129=6,"Viernes",IF(E129=7,"Sábado",0)))))))</f>
        <v>Lunes</v>
      </c>
      <c r="E129" s="190">
        <f>WEEKDAY(C129)</f>
        <v>2</v>
      </c>
      <c r="F129" s="453" t="s">
        <v>62</v>
      </c>
    </row>
    <row r="130" spans="1:6" ht="15.75">
      <c r="A130" s="450"/>
      <c r="B130" s="139" t="s">
        <v>147</v>
      </c>
      <c r="C130" s="477">
        <f>DMAX('13_1'!A$11:N$33,'13_1'!$L$11,F123:F124)</f>
        <v>42975.664735672159</v>
      </c>
      <c r="D130" s="189" t="str">
        <f>IF(E130=1,"Domingo",IF(E130=2,"Lunes",IF(E130=3,"Martes",IF(E130=4,"Miercoles",IF(E130=5,"Jueves",IF(E130=6,"Viernes",IF(E130=7,"Sábado",0)))))))</f>
        <v>Lunes</v>
      </c>
      <c r="E130" s="190">
        <f>WEEKDAY(C130)</f>
        <v>2</v>
      </c>
      <c r="F130" s="453">
        <f>WEEKDAY(C130)</f>
        <v>2</v>
      </c>
    </row>
    <row r="131" spans="1:6">
      <c r="A131" s="323">
        <f>+'planilla caudales'!J133</f>
        <v>0</v>
      </c>
      <c r="B131" s="324">
        <f>+'planilla caudales'!K133</f>
        <v>0</v>
      </c>
      <c r="C131" s="81"/>
      <c r="D131" s="81"/>
      <c r="E131" s="584"/>
      <c r="F131" s="583"/>
    </row>
    <row r="132" spans="1:6">
      <c r="A132" s="606">
        <f>+'planilla caudales'!J142</f>
        <v>0</v>
      </c>
      <c r="B132" s="606">
        <f>+'planilla caudales'!K142</f>
        <v>0</v>
      </c>
      <c r="C132" s="81"/>
      <c r="D132" s="81"/>
      <c r="E132" s="81"/>
      <c r="F132" s="451"/>
    </row>
    <row r="133" spans="1:6">
      <c r="A133" s="472">
        <f>+Mensajes!$B$7</f>
        <v>0</v>
      </c>
      <c r="C133" s="81"/>
      <c r="D133" s="81"/>
      <c r="E133" s="81"/>
      <c r="F133" s="451"/>
    </row>
    <row r="134" spans="1:6">
      <c r="A134" s="472">
        <f>+Mensajes!$B$12</f>
        <v>0</v>
      </c>
      <c r="B134" s="81"/>
      <c r="C134" s="81"/>
      <c r="D134" s="81"/>
      <c r="E134" s="81"/>
      <c r="F134" s="451"/>
    </row>
    <row r="135" spans="1:6" ht="13.5" thickBot="1">
      <c r="A135" s="473" t="str">
        <f>IF(DSUM('13_1'!$A$11:$R$89,17,F123:F124)=COUNTIF('13_1'!$A$16:$A$89,F124),"","Regularice su Deuda")</f>
        <v/>
      </c>
      <c r="B135" s="455"/>
      <c r="C135" s="455"/>
      <c r="D135" s="454" t="str">
        <f>IF(DSUM('13_1'!$A$11:$Q$89,16,F123:F124)=COUNTIF('13_1'!$A$15:$A$89,F124),"","Regularice su Deuda")</f>
        <v>Regularice su Deuda</v>
      </c>
      <c r="E135" s="455"/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50" t="s">
        <v>139</v>
      </c>
      <c r="B140" s="81" t="str">
        <f>VLOOKUP(F141,'13_1'!$A$15:$G$33,7,0)</f>
        <v>ROSSINI, SONIA ELIZABETH</v>
      </c>
      <c r="C140" s="81"/>
      <c r="D140" s="81"/>
      <c r="E140" s="81"/>
      <c r="F140" s="452" t="s">
        <v>102</v>
      </c>
    </row>
    <row r="141" spans="1:6">
      <c r="A141" s="450" t="s">
        <v>72</v>
      </c>
      <c r="B141" s="81" t="str">
        <f>+'13_1'!$H$2</f>
        <v>Hijuela Maldonado ( Riili )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66" t="s">
        <v>140</v>
      </c>
      <c r="B143" s="458">
        <f>VLOOKUP(F141,'13_1'!$A$15:$B$33,2,0)</f>
        <v>1210</v>
      </c>
      <c r="C143" s="81"/>
      <c r="D143" s="139" t="s">
        <v>141</v>
      </c>
      <c r="E143" s="475">
        <f>DSUM('13_1'!A$11:K$33,'13_1'!$J$11,F140:F141)</f>
        <v>0.19208238128436569</v>
      </c>
      <c r="F143" s="451"/>
    </row>
    <row r="144" spans="1:6">
      <c r="A144" s="466" t="s">
        <v>142</v>
      </c>
      <c r="B144" s="461">
        <v>9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466" t="s">
        <v>144</v>
      </c>
      <c r="B145" s="462">
        <f>DSUM('13_1'!$A$11:$I$33,'13_1'!$H$11,F140:F141)</f>
        <v>3.8239999999999998</v>
      </c>
      <c r="C145" s="81"/>
      <c r="D145" s="139" t="s">
        <v>145</v>
      </c>
      <c r="E145" s="458" t="str">
        <f>IF(VLOOKUP(F141,'13_1'!$A$15:$D$50,4,0)=1, "Definitivo 100%", "Eventual 80%")</f>
        <v>Definitivo 100%</v>
      </c>
      <c r="F145" s="583"/>
    </row>
    <row r="146" spans="1:6" ht="15.75">
      <c r="A146" s="450"/>
      <c r="B146" s="139" t="s">
        <v>146</v>
      </c>
      <c r="C146" s="477">
        <f>DMIN('13_1'!A$11:L$33,'13_1'!$K$11,F140:F141)</f>
        <v>42975.664735672159</v>
      </c>
      <c r="D146" s="189" t="str">
        <f>IF(E146=1,"Domingo",IF(E146=2,"Lunes",IF(E146=3,"Martes",IF(E146=4,"Miercoles",IF(E146=5,"Jueves",IF(E146=6,"Viernes",IF(E146=7,"Sábado",0)))))))</f>
        <v>Lunes</v>
      </c>
      <c r="E146" s="190">
        <f>WEEKDAY(C146)</f>
        <v>2</v>
      </c>
      <c r="F146" s="453" t="s">
        <v>62</v>
      </c>
    </row>
    <row r="147" spans="1:6" ht="15.75">
      <c r="A147" s="450"/>
      <c r="B147" s="139" t="s">
        <v>147</v>
      </c>
      <c r="C147" s="477">
        <f>DMAX('13_1'!A$11:N$33,'13_1'!$L$11,F140:F141)</f>
        <v>42975.856818053442</v>
      </c>
      <c r="D147" s="189" t="str">
        <f>IF(E147=1,"Domingo",IF(E147=2,"Lunes",IF(E147=3,"Martes",IF(E147=4,"Miercoles",IF(E147=5,"Jueves",IF(E147=6,"Viernes",IF(E147=7,"Sábado",0)))))))</f>
        <v>Lunes</v>
      </c>
      <c r="E147" s="190">
        <f>WEEKDAY(C147)</f>
        <v>2</v>
      </c>
      <c r="F147" s="453">
        <f>WEEKDAY(C147)</f>
        <v>2</v>
      </c>
    </row>
    <row r="148" spans="1:6">
      <c r="A148" s="323">
        <f>+'planilla caudales'!J150</f>
        <v>0</v>
      </c>
      <c r="B148" s="324">
        <f>+'planilla caudales'!K150</f>
        <v>0</v>
      </c>
      <c r="C148" s="81"/>
      <c r="D148" s="81"/>
      <c r="E148" s="584"/>
      <c r="F148" s="583"/>
    </row>
    <row r="149" spans="1:6">
      <c r="A149" s="606">
        <f>+'planilla caudales'!J159</f>
        <v>0</v>
      </c>
      <c r="B149" s="606">
        <f>+'planilla caudales'!K159</f>
        <v>0</v>
      </c>
      <c r="C149" s="81"/>
      <c r="D149" s="81"/>
      <c r="E149" s="81"/>
      <c r="F149" s="451"/>
    </row>
    <row r="150" spans="1:6">
      <c r="A150" s="472">
        <f>+Mensajes!$B$7</f>
        <v>0</v>
      </c>
      <c r="C150" s="81"/>
      <c r="D150" s="81"/>
      <c r="E150" s="81"/>
      <c r="F150" s="451"/>
    </row>
    <row r="151" spans="1:6">
      <c r="A151" s="472">
        <f>+Mensajes!$B$12</f>
        <v>0</v>
      </c>
      <c r="B151" s="81"/>
      <c r="C151" s="81"/>
      <c r="D151" s="81"/>
      <c r="E151" s="81"/>
      <c r="F151" s="451"/>
    </row>
    <row r="152" spans="1:6" ht="13.5" thickBot="1">
      <c r="A152" s="473" t="str">
        <f>IF(DSUM('13_1'!$A$11:$R$89,17,F140:F141)=COUNTIF('13_1'!$A$16:$A$89,F141),"","Regularice su Deuda")</f>
        <v>Regularice su Deuda</v>
      </c>
      <c r="B152" s="455"/>
      <c r="C152" s="455"/>
      <c r="D152" s="454" t="str">
        <f>IF(DSUM('13_1'!$A$11:$Q$89,16,F140:F141)=COUNTIF('13_1'!$A$15:$A$89,F141),"","Regularice su Deuda")</f>
        <v>Regularice su Deuda</v>
      </c>
      <c r="E152" s="455"/>
      <c r="F152" s="456"/>
    </row>
    <row r="153" spans="1:6" ht="13.5" thickBot="1"/>
    <row r="154" spans="1:6">
      <c r="A154" s="447"/>
      <c r="B154" s="448"/>
      <c r="C154" s="448"/>
      <c r="D154" s="448"/>
      <c r="E154" s="448"/>
      <c r="F154" s="449"/>
    </row>
    <row r="155" spans="1:6">
      <c r="A155" s="465" t="s">
        <v>64</v>
      </c>
      <c r="B155" s="81"/>
      <c r="C155" s="81"/>
      <c r="D155" s="81"/>
      <c r="E155" s="81"/>
      <c r="F155" s="451"/>
    </row>
    <row r="156" spans="1:6">
      <c r="A156" s="450"/>
      <c r="B156" s="81"/>
      <c r="C156" s="81"/>
      <c r="D156" s="81"/>
      <c r="E156" s="81"/>
      <c r="F156" s="451"/>
    </row>
    <row r="157" spans="1:6">
      <c r="A157" s="450" t="s">
        <v>139</v>
      </c>
      <c r="B157" s="81" t="str">
        <f>VLOOKUP(F158,'13_1'!$A$15:$G$33,7,0)</f>
        <v>HUARACHI VAZQUEZ, PAMELA</v>
      </c>
      <c r="C157" s="81"/>
      <c r="D157" s="81"/>
      <c r="E157" s="81"/>
      <c r="F157" s="452" t="s">
        <v>102</v>
      </c>
    </row>
    <row r="158" spans="1:6">
      <c r="A158" s="450" t="s">
        <v>72</v>
      </c>
      <c r="B158" s="81" t="str">
        <f>+'13_1'!$H$2</f>
        <v>Hijuela Maldonado ( Riili )</v>
      </c>
      <c r="C158" s="81"/>
      <c r="D158" s="81"/>
      <c r="E158" s="81"/>
      <c r="F158" s="452">
        <v>10</v>
      </c>
    </row>
    <row r="159" spans="1:6">
      <c r="A159" s="450"/>
      <c r="B159" s="81"/>
      <c r="C159" s="81"/>
      <c r="D159" s="81"/>
      <c r="E159" s="81"/>
      <c r="F159" s="451"/>
    </row>
    <row r="160" spans="1:6">
      <c r="A160" s="466" t="s">
        <v>140</v>
      </c>
      <c r="B160" s="458">
        <f>VLOOKUP(F158,'13_1'!$A$15:$B$33,2,0)</f>
        <v>1210</v>
      </c>
      <c r="C160" s="81"/>
      <c r="D160" s="139" t="s">
        <v>141</v>
      </c>
      <c r="E160" s="475">
        <f>DSUM('13_1'!A$11:K$33,'13_1'!$J$11,F157:F158)</f>
        <v>0.45418642562061579</v>
      </c>
      <c r="F160" s="451"/>
    </row>
    <row r="161" spans="1:6">
      <c r="A161" s="466" t="s">
        <v>142</v>
      </c>
      <c r="B161" s="461">
        <v>18</v>
      </c>
      <c r="C161" s="81"/>
      <c r="D161" s="139" t="s">
        <v>143</v>
      </c>
      <c r="E161" s="459" t="str">
        <f>+Hijuelas!$G$7</f>
        <v>POR FRACCIÓN</v>
      </c>
      <c r="F161" s="451"/>
    </row>
    <row r="162" spans="1:6">
      <c r="A162" s="466" t="s">
        <v>144</v>
      </c>
      <c r="B162" s="462">
        <f>DSUM('13_1'!$A$11:$I$33,'13_1'!$H$11,F157:F158)</f>
        <v>9.0419999999999998</v>
      </c>
      <c r="C162" s="81"/>
      <c r="D162" s="139" t="s">
        <v>145</v>
      </c>
      <c r="E162" s="458" t="str">
        <f>IF(VLOOKUP(F158,'13_1'!$A$15:$D$50,4,0)=1, "Definitivo 100%", "Eventual 80%")</f>
        <v>Definitivo 100%</v>
      </c>
      <c r="F162" s="583"/>
    </row>
    <row r="163" spans="1:6" ht="15.75">
      <c r="A163" s="450"/>
      <c r="B163" s="139" t="s">
        <v>146</v>
      </c>
      <c r="C163" s="477">
        <f>DMIN('13_1'!A$11:L$33,'13_1'!$K$11,F157:F158)</f>
        <v>42975.856818053442</v>
      </c>
      <c r="D163" s="189" t="str">
        <f>IF(E163=1,"Domingo",IF(E163=2,"Lunes",IF(E163=3,"Martes",IF(E163=4,"Miercoles",IF(E163=5,"Jueves",IF(E163=6,"Viernes",IF(E163=7,"Sábado",0)))))))</f>
        <v>Lunes</v>
      </c>
      <c r="E163" s="190">
        <f>WEEKDAY(C163)</f>
        <v>2</v>
      </c>
      <c r="F163" s="453" t="s">
        <v>62</v>
      </c>
    </row>
    <row r="164" spans="1:6" ht="15.75">
      <c r="A164" s="450"/>
      <c r="B164" s="139" t="s">
        <v>147</v>
      </c>
      <c r="C164" s="477">
        <f>DMAX('13_1'!A$11:N$33,'13_1'!$L$11,F157:F158)</f>
        <v>42976.311004479059</v>
      </c>
      <c r="D164" s="189" t="str">
        <f>IF(E164=1,"Domingo",IF(E164=2,"Lunes",IF(E164=3,"Martes",IF(E164=4,"Miercoles",IF(E164=5,"Jueves",IF(E164=6,"Viernes",IF(E164=7,"Sábado",0)))))))</f>
        <v>Martes</v>
      </c>
      <c r="E164" s="190">
        <f>WEEKDAY(C164)</f>
        <v>3</v>
      </c>
      <c r="F164" s="453">
        <f>WEEKDAY(C164)</f>
        <v>3</v>
      </c>
    </row>
    <row r="165" spans="1:6">
      <c r="A165" s="323">
        <f>+'planilla caudales'!J167</f>
        <v>0</v>
      </c>
      <c r="B165" s="324">
        <f>+'planilla caudales'!K167</f>
        <v>0</v>
      </c>
      <c r="C165" s="81"/>
      <c r="D165" s="81"/>
      <c r="E165" s="584"/>
      <c r="F165" s="583"/>
    </row>
    <row r="166" spans="1:6">
      <c r="A166" s="606">
        <f>+'planilla caudales'!J176</f>
        <v>0</v>
      </c>
      <c r="B166" s="606">
        <f>+'planilla caudales'!K176</f>
        <v>0</v>
      </c>
      <c r="C166" s="81"/>
      <c r="D166" s="81"/>
      <c r="E166" s="81"/>
      <c r="F166" s="451"/>
    </row>
    <row r="167" spans="1:6">
      <c r="A167" s="472">
        <f>+Mensajes!$B$7</f>
        <v>0</v>
      </c>
      <c r="C167" s="81"/>
      <c r="D167" s="81"/>
      <c r="E167" s="81"/>
      <c r="F167" s="451"/>
    </row>
    <row r="168" spans="1:6">
      <c r="A168" s="472">
        <f>+Mensajes!$B$12</f>
        <v>0</v>
      </c>
      <c r="B168" s="81"/>
      <c r="C168" s="81"/>
      <c r="D168" s="81"/>
      <c r="E168" s="81"/>
      <c r="F168" s="451"/>
    </row>
    <row r="169" spans="1:6" ht="13.5" thickBot="1">
      <c r="A169" s="473" t="str">
        <f>IF(DSUM('13_1'!$A$11:$R$89,17,F157:F158)=COUNTIF('13_1'!$A$16:$A$89,F158),"","Regularice su Deuda")</f>
        <v/>
      </c>
      <c r="B169" s="455"/>
      <c r="C169" s="455"/>
      <c r="D169" s="454" t="str">
        <f>IF(DSUM('13_1'!$A$11:$Q$89,16,F157:F158)=COUNTIF('13_1'!$A$15:$A$89,F158),"","Regularice su Deuda")</f>
        <v>Regularice su Deuda</v>
      </c>
      <c r="E169" s="455"/>
      <c r="F169" s="456"/>
    </row>
    <row r="170" spans="1:6" ht="13.5" thickBot="1"/>
    <row r="171" spans="1:6">
      <c r="A171" s="447"/>
      <c r="B171" s="448"/>
      <c r="C171" s="448"/>
      <c r="D171" s="448"/>
      <c r="E171" s="448"/>
      <c r="F171" s="449"/>
    </row>
    <row r="172" spans="1:6">
      <c r="A172" s="465" t="s">
        <v>64</v>
      </c>
      <c r="B172" s="81"/>
      <c r="C172" s="81"/>
      <c r="D172" s="81"/>
      <c r="E172" s="81"/>
      <c r="F172" s="451"/>
    </row>
    <row r="173" spans="1:6">
      <c r="A173" s="450"/>
      <c r="B173" s="81"/>
      <c r="C173" s="81"/>
      <c r="D173" s="81"/>
      <c r="E173" s="81"/>
      <c r="F173" s="451"/>
    </row>
    <row r="174" spans="1:6">
      <c r="A174" s="450" t="s">
        <v>139</v>
      </c>
      <c r="B174" s="81" t="str">
        <f>VLOOKUP(F175,'13_1'!$A$15:$G$33,7,0)</f>
        <v>SCHMIDT, ELLA MARGARITA</v>
      </c>
      <c r="C174" s="81"/>
      <c r="D174" s="81"/>
      <c r="E174" s="81"/>
      <c r="F174" s="452" t="s">
        <v>102</v>
      </c>
    </row>
    <row r="175" spans="1:6">
      <c r="A175" s="450" t="s">
        <v>72</v>
      </c>
      <c r="B175" s="81" t="str">
        <f>+'13_1'!$H$2</f>
        <v>Hijuela Maldonado ( Riili )</v>
      </c>
      <c r="C175" s="81"/>
      <c r="D175" s="81"/>
      <c r="E175" s="81"/>
      <c r="F175" s="452">
        <v>11</v>
      </c>
    </row>
    <row r="176" spans="1:6">
      <c r="A176" s="450"/>
      <c r="B176" s="81"/>
      <c r="C176" s="81"/>
      <c r="D176" s="81"/>
      <c r="E176" s="81"/>
      <c r="F176" s="451"/>
    </row>
    <row r="177" spans="1:6">
      <c r="A177" s="466" t="s">
        <v>140</v>
      </c>
      <c r="B177" s="458">
        <f>VLOOKUP(F175,'13_1'!$A$15:$B$33,2,0)</f>
        <v>1210</v>
      </c>
      <c r="C177" s="81"/>
      <c r="D177" s="139" t="s">
        <v>141</v>
      </c>
      <c r="E177" s="475">
        <f>DSUM('13_1'!A$11:K$33,'13_1'!$J$11,F174:F175)</f>
        <v>0.22494333678547243</v>
      </c>
      <c r="F177" s="451"/>
    </row>
    <row r="178" spans="1:6">
      <c r="A178" s="466" t="s">
        <v>142</v>
      </c>
      <c r="B178" s="461">
        <v>10</v>
      </c>
      <c r="C178" s="81"/>
      <c r="D178" s="139" t="s">
        <v>143</v>
      </c>
      <c r="E178" s="459" t="str">
        <f>+Hijuelas!$G$7</f>
        <v>POR FRACCIÓN</v>
      </c>
      <c r="F178" s="451"/>
    </row>
    <row r="179" spans="1:6">
      <c r="A179" s="466" t="s">
        <v>144</v>
      </c>
      <c r="B179" s="462">
        <f>DSUM('13_1'!$A$11:$I$33,'13_1'!$H$11,F174:F175)</f>
        <v>4.4782000000000002</v>
      </c>
      <c r="C179" s="81"/>
      <c r="D179" s="139" t="s">
        <v>145</v>
      </c>
      <c r="E179" s="458" t="str">
        <f>IF(VLOOKUP(F175,'13_1'!$A$15:$D$50,4,0)=1, "Definitivo 100%", "Eventual 80%")</f>
        <v>Definitivo 100%</v>
      </c>
      <c r="F179" s="583"/>
    </row>
    <row r="180" spans="1:6" ht="15.75">
      <c r="A180" s="450"/>
      <c r="B180" s="139" t="s">
        <v>146</v>
      </c>
      <c r="C180" s="477">
        <f>DMIN('13_1'!A$11:L$33,'13_1'!$K$11,F174:F175)</f>
        <v>42976.311004479059</v>
      </c>
      <c r="D180" s="189" t="str">
        <f>IF(E180=1,"Domingo",IF(E180=2,"Lunes",IF(E180=3,"Martes",IF(E180=4,"Miercoles",IF(E180=5,"Jueves",IF(E180=6,"Viernes",IF(E180=7,"Sábado",0)))))))</f>
        <v>Martes</v>
      </c>
      <c r="E180" s="190">
        <f>WEEKDAY(C180)</f>
        <v>3</v>
      </c>
      <c r="F180" s="453" t="s">
        <v>62</v>
      </c>
    </row>
    <row r="181" spans="1:6" ht="15.75">
      <c r="A181" s="450"/>
      <c r="B181" s="139" t="s">
        <v>147</v>
      </c>
      <c r="C181" s="477">
        <f>DMAX('13_1'!A$11:N$33,'13_1'!$L$11,F174:F175)</f>
        <v>42976.535947815843</v>
      </c>
      <c r="D181" s="189" t="str">
        <f>IF(E181=1,"Domingo",IF(E181=2,"Lunes",IF(E181=3,"Martes",IF(E181=4,"Miercoles",IF(E181=5,"Jueves",IF(E181=6,"Viernes",IF(E181=7,"Sábado",0)))))))</f>
        <v>Martes</v>
      </c>
      <c r="E181" s="190">
        <f>WEEKDAY(C181)</f>
        <v>3</v>
      </c>
      <c r="F181" s="453">
        <f>WEEKDAY(C181)</f>
        <v>3</v>
      </c>
    </row>
    <row r="182" spans="1:6">
      <c r="A182" s="323">
        <f>+'planilla caudales'!J184</f>
        <v>0</v>
      </c>
      <c r="B182" s="324">
        <f>+'planilla caudales'!K184</f>
        <v>0</v>
      </c>
      <c r="C182" s="81"/>
      <c r="D182" s="81"/>
      <c r="E182" s="584"/>
      <c r="F182" s="583"/>
    </row>
    <row r="183" spans="1:6">
      <c r="A183" s="606">
        <f>+'planilla caudales'!J193</f>
        <v>0</v>
      </c>
      <c r="B183" s="606">
        <f>+'planilla caudales'!K193</f>
        <v>0</v>
      </c>
      <c r="C183" s="81"/>
      <c r="D183" s="81"/>
      <c r="E183" s="81"/>
      <c r="F183" s="451"/>
    </row>
    <row r="184" spans="1:6">
      <c r="A184" s="472">
        <f>+Mensajes!$B$7</f>
        <v>0</v>
      </c>
      <c r="C184" s="81"/>
      <c r="D184" s="81"/>
      <c r="E184" s="81"/>
      <c r="F184" s="451"/>
    </row>
    <row r="185" spans="1:6">
      <c r="A185" s="472">
        <f>+Mensajes!$B$12</f>
        <v>0</v>
      </c>
      <c r="B185" s="81"/>
      <c r="C185" s="81"/>
      <c r="D185" s="81"/>
      <c r="E185" s="81"/>
      <c r="F185" s="451"/>
    </row>
    <row r="186" spans="1:6" ht="13.5" thickBot="1">
      <c r="A186" s="473" t="str">
        <f>IF(DSUM('13_1'!$A$11:$R$89,17,F174:F175)=COUNTIF('13_1'!$A$16:$A$89,F175),"","Regularice su Deuda")</f>
        <v/>
      </c>
      <c r="B186" s="455"/>
      <c r="C186" s="455"/>
      <c r="D186" s="454" t="str">
        <f>IF(DSUM('13_1'!$A$11:$Q$89,16,F174:F175)=COUNTIF('13_1'!$A$15:$A$89,F175),"","Regularice su Deuda")</f>
        <v>Regularice su Deuda</v>
      </c>
      <c r="E186" s="455"/>
      <c r="F186" s="456"/>
    </row>
    <row r="187" spans="1:6" ht="13.5" thickBot="1"/>
    <row r="188" spans="1:6">
      <c r="A188" s="447"/>
      <c r="B188" s="448"/>
      <c r="C188" s="448"/>
      <c r="D188" s="448"/>
      <c r="E188" s="448"/>
      <c r="F188" s="449"/>
    </row>
    <row r="189" spans="1:6">
      <c r="A189" s="465" t="s">
        <v>64</v>
      </c>
      <c r="B189" s="81"/>
      <c r="C189" s="81"/>
      <c r="D189" s="81"/>
      <c r="E189" s="81"/>
      <c r="F189" s="451"/>
    </row>
    <row r="190" spans="1:6">
      <c r="A190" s="450"/>
      <c r="B190" s="81"/>
      <c r="C190" s="81"/>
      <c r="D190" s="81"/>
      <c r="E190" s="81"/>
      <c r="F190" s="451"/>
    </row>
    <row r="191" spans="1:6">
      <c r="A191" s="450" t="s">
        <v>139</v>
      </c>
      <c r="B191" s="81" t="str">
        <f>VLOOKUP(F192,'13_1'!$A$15:$G$33,7,0)</f>
        <v>BRUNACCI, VICENTE</v>
      </c>
      <c r="C191" s="81"/>
      <c r="D191" s="81"/>
      <c r="E191" s="81"/>
      <c r="F191" s="452" t="s">
        <v>102</v>
      </c>
    </row>
    <row r="192" spans="1:6">
      <c r="A192" s="450" t="s">
        <v>72</v>
      </c>
      <c r="B192" s="81" t="str">
        <f>+'13_1'!$H$2</f>
        <v>Hijuela Maldonado ( Riili )</v>
      </c>
      <c r="C192" s="81"/>
      <c r="D192" s="81"/>
      <c r="E192" s="81"/>
      <c r="F192" s="452">
        <v>12</v>
      </c>
    </row>
    <row r="193" spans="1:6">
      <c r="A193" s="450"/>
      <c r="B193" s="81"/>
      <c r="C193" s="81"/>
      <c r="D193" s="81"/>
      <c r="E193" s="81"/>
      <c r="F193" s="451"/>
    </row>
    <row r="194" spans="1:6">
      <c r="A194" s="466" t="s">
        <v>140</v>
      </c>
      <c r="B194" s="458">
        <f>VLOOKUP(F192,'13_1'!$A$15:$B$33,2,0)</f>
        <v>1210</v>
      </c>
      <c r="C194" s="81"/>
      <c r="D194" s="139" t="s">
        <v>141</v>
      </c>
      <c r="E194" s="475">
        <f>DSUM('13_1'!A$11:K$33,'13_1'!$J$11,F191:F192)</f>
        <v>0.65070418197491076</v>
      </c>
      <c r="F194" s="451"/>
    </row>
    <row r="195" spans="1:6">
      <c r="A195" s="466" t="s">
        <v>142</v>
      </c>
      <c r="B195" s="461">
        <v>11</v>
      </c>
      <c r="C195" s="81"/>
      <c r="D195" s="139" t="s">
        <v>143</v>
      </c>
      <c r="E195" s="459" t="str">
        <f>+Hijuelas!$G$7</f>
        <v>POR FRACCIÓN</v>
      </c>
      <c r="F195" s="451"/>
    </row>
    <row r="196" spans="1:6">
      <c r="A196" s="466" t="s">
        <v>144</v>
      </c>
      <c r="B196" s="462">
        <f>DSUM('13_1'!$A$11:$I$33,'13_1'!$H$11,F191:F192)</f>
        <v>12.9543</v>
      </c>
      <c r="C196" s="81"/>
      <c r="D196" s="139" t="s">
        <v>145</v>
      </c>
      <c r="E196" s="458" t="str">
        <f>IF(VLOOKUP(F192,'13_1'!$A$15:$D$50,4,0)=1, "Definitivo 100%", "Eventual 80%")</f>
        <v>Definitivo 100%</v>
      </c>
      <c r="F196" s="583"/>
    </row>
    <row r="197" spans="1:6" ht="15.75">
      <c r="A197" s="450"/>
      <c r="B197" s="139" t="s">
        <v>146</v>
      </c>
      <c r="C197" s="477">
        <f>DMIN('13_1'!A$11:L$33,'13_1'!$K$11,F191:F192)</f>
        <v>42976.535947815843</v>
      </c>
      <c r="D197" s="189" t="str">
        <f>IF(E197=1,"Domingo",IF(E197=2,"Lunes",IF(E197=3,"Martes",IF(E197=4,"Miercoles",IF(E197=5,"Jueves",IF(E197=6,"Viernes",IF(E197=7,"Sábado",0)))))))</f>
        <v>Martes</v>
      </c>
      <c r="E197" s="190">
        <f>WEEKDAY(C197)</f>
        <v>3</v>
      </c>
      <c r="F197" s="453" t="s">
        <v>62</v>
      </c>
    </row>
    <row r="198" spans="1:6" ht="15.75">
      <c r="A198" s="450"/>
      <c r="B198" s="139" t="s">
        <v>147</v>
      </c>
      <c r="C198" s="477">
        <f>DMAX('13_1'!A$11:N$33,'13_1'!$L$11,F191:F192)</f>
        <v>42977.186651997814</v>
      </c>
      <c r="D198" s="189" t="str">
        <f>IF(E198=1,"Domingo",IF(E198=2,"Lunes",IF(E198=3,"Martes",IF(E198=4,"Miercoles",IF(E198=5,"Jueves",IF(E198=6,"Viernes",IF(E198=7,"Sábado",0)))))))</f>
        <v>Miercoles</v>
      </c>
      <c r="E198" s="190">
        <f>WEEKDAY(C198)</f>
        <v>4</v>
      </c>
      <c r="F198" s="453">
        <f>WEEKDAY(C198)</f>
        <v>4</v>
      </c>
    </row>
    <row r="199" spans="1:6">
      <c r="A199" s="323">
        <f>+'planilla caudales'!J201</f>
        <v>0</v>
      </c>
      <c r="B199" s="324">
        <f>+'planilla caudales'!K201</f>
        <v>0</v>
      </c>
      <c r="C199" s="81"/>
      <c r="D199" s="81"/>
      <c r="E199" s="584"/>
      <c r="F199" s="583"/>
    </row>
    <row r="200" spans="1:6">
      <c r="A200" s="606">
        <f>+'planilla caudales'!J210</f>
        <v>0</v>
      </c>
      <c r="B200" s="606">
        <f>+'planilla caudales'!K210</f>
        <v>0</v>
      </c>
      <c r="C200" s="81"/>
      <c r="D200" s="81"/>
      <c r="E200" s="81"/>
      <c r="F200" s="451"/>
    </row>
    <row r="201" spans="1:6">
      <c r="A201" s="472">
        <f>+Mensajes!$B$7</f>
        <v>0</v>
      </c>
      <c r="C201" s="81"/>
      <c r="D201" s="81"/>
      <c r="E201" s="81"/>
      <c r="F201" s="451"/>
    </row>
    <row r="202" spans="1:6">
      <c r="A202" s="472">
        <f>+Mensajes!$B$12</f>
        <v>0</v>
      </c>
      <c r="B202" s="81"/>
      <c r="C202" s="81"/>
      <c r="D202" s="81"/>
      <c r="E202" s="81"/>
      <c r="F202" s="451"/>
    </row>
    <row r="203" spans="1:6" ht="13.5" thickBot="1">
      <c r="A203" s="473" t="str">
        <f>IF(DSUM('13_1'!$A$11:$R$89,17,F191:F192)=COUNTIF('13_1'!$A$16:$A$89,F192),"","Regularice su Deuda")</f>
        <v/>
      </c>
      <c r="B203" s="455"/>
      <c r="C203" s="455"/>
      <c r="D203" s="454" t="str">
        <f>IF(DSUM('13_1'!$A$11:$Q$89,16,F191:F192)=COUNTIF('13_1'!$A$15:$A$89,F192),"","Regularice su Deuda")</f>
        <v>Regularice su Deuda</v>
      </c>
      <c r="E203" s="455"/>
      <c r="F203" s="456"/>
    </row>
    <row r="204" spans="1:6" ht="13.5" thickBot="1"/>
    <row r="205" spans="1:6">
      <c r="A205" s="447"/>
      <c r="B205" s="448"/>
      <c r="C205" s="448"/>
      <c r="D205" s="448"/>
      <c r="E205" s="448"/>
      <c r="F205" s="449"/>
    </row>
    <row r="206" spans="1:6">
      <c r="A206" s="465" t="s">
        <v>64</v>
      </c>
      <c r="B206" s="81"/>
      <c r="C206" s="81"/>
      <c r="D206" s="81"/>
      <c r="E206" s="81"/>
      <c r="F206" s="451"/>
    </row>
    <row r="207" spans="1:6">
      <c r="A207" s="450"/>
      <c r="B207" s="81"/>
      <c r="C207" s="81"/>
      <c r="D207" s="81"/>
      <c r="E207" s="81"/>
      <c r="F207" s="451"/>
    </row>
    <row r="208" spans="1:6">
      <c r="A208" s="450" t="s">
        <v>139</v>
      </c>
      <c r="B208" s="81" t="str">
        <f>VLOOKUP(F209,'13_1'!$A$15:$G$33,7,0)</f>
        <v>SANJURJO, GUSTAVO HORACIO</v>
      </c>
      <c r="C208" s="81"/>
      <c r="D208" s="81"/>
      <c r="E208" s="81"/>
      <c r="F208" s="452" t="s">
        <v>102</v>
      </c>
    </row>
    <row r="209" spans="1:6">
      <c r="A209" s="450" t="s">
        <v>72</v>
      </c>
      <c r="B209" s="81" t="str">
        <f>+'13_1'!$H$2</f>
        <v>Hijuela Maldonado ( Riili )</v>
      </c>
      <c r="C209" s="81"/>
      <c r="D209" s="81"/>
      <c r="E209" s="81"/>
      <c r="F209" s="452">
        <v>13</v>
      </c>
    </row>
    <row r="210" spans="1:6">
      <c r="A210" s="450"/>
      <c r="B210" s="81"/>
      <c r="C210" s="81"/>
      <c r="D210" s="81"/>
      <c r="E210" s="81"/>
      <c r="F210" s="451"/>
    </row>
    <row r="211" spans="1:6">
      <c r="A211" s="466" t="s">
        <v>140</v>
      </c>
      <c r="B211" s="458">
        <f>VLOOKUP(F209,'13_1'!$A$15:$B$33,2,0)</f>
        <v>1210</v>
      </c>
      <c r="C211" s="81"/>
      <c r="D211" s="139" t="s">
        <v>141</v>
      </c>
      <c r="E211" s="475">
        <f>DSUM('13_1'!A$11:K$33,'13_1'!$J$11,F208:F209)</f>
        <v>0.34459800217707481</v>
      </c>
      <c r="F211" s="451"/>
    </row>
    <row r="212" spans="1:6">
      <c r="A212" s="466" t="s">
        <v>142</v>
      </c>
      <c r="B212" s="461">
        <v>11</v>
      </c>
      <c r="C212" s="81"/>
      <c r="D212" s="139" t="s">
        <v>143</v>
      </c>
      <c r="E212" s="459" t="str">
        <f>+Hijuelas!$G$7</f>
        <v>POR FRACCIÓN</v>
      </c>
      <c r="F212" s="451"/>
    </row>
    <row r="213" spans="1:6">
      <c r="A213" s="466" t="s">
        <v>144</v>
      </c>
      <c r="B213" s="462">
        <f>DSUM('13_1'!$A$11:$I$33,'13_1'!$H$11,F208:F209)</f>
        <v>6.8602999999999996</v>
      </c>
      <c r="C213" s="81"/>
      <c r="D213" s="139" t="s">
        <v>145</v>
      </c>
      <c r="E213" s="458" t="str">
        <f>IF(VLOOKUP(F209,'13_1'!$A$15:$D$50,4,0)=1, "Definitivo 100%", "Eventual 80%")</f>
        <v>Definitivo 100%</v>
      </c>
      <c r="F213" s="583"/>
    </row>
    <row r="214" spans="1:6" ht="15.75">
      <c r="A214" s="450"/>
      <c r="B214" s="139" t="s">
        <v>146</v>
      </c>
      <c r="C214" s="477">
        <f>DMIN('13_1'!A$11:L$33,'13_1'!$K$11,F208:F209)</f>
        <v>42977.186651997814</v>
      </c>
      <c r="D214" s="189" t="str">
        <f>IF(E214=1,"Domingo",IF(E214=2,"Lunes",IF(E214=3,"Martes",IF(E214=4,"Miercoles",IF(E214=5,"Jueves",IF(E214=6,"Viernes",IF(E214=7,"Sábado",0)))))))</f>
        <v>Miercoles</v>
      </c>
      <c r="E214" s="190">
        <f>WEEKDAY(C214)</f>
        <v>4</v>
      </c>
      <c r="F214" s="453" t="s">
        <v>62</v>
      </c>
    </row>
    <row r="215" spans="1:6" ht="15.75">
      <c r="A215" s="450"/>
      <c r="B215" s="139" t="s">
        <v>147</v>
      </c>
      <c r="C215" s="477">
        <f>DMAX('13_1'!A$11:N$33,'13_1'!$L$11,F208:F209)</f>
        <v>42977.531249999993</v>
      </c>
      <c r="D215" s="189" t="str">
        <f>IF(E215=1,"Domingo",IF(E215=2,"Lunes",IF(E215=3,"Martes",IF(E215=4,"Miercoles",IF(E215=5,"Jueves",IF(E215=6,"Viernes",IF(E215=7,"Sábado",0)))))))</f>
        <v>Miercoles</v>
      </c>
      <c r="E215" s="190">
        <f>WEEKDAY(C215)</f>
        <v>4</v>
      </c>
      <c r="F215" s="453">
        <f>WEEKDAY(C215)</f>
        <v>4</v>
      </c>
    </row>
    <row r="216" spans="1:6">
      <c r="A216" s="323">
        <f>+'planilla caudales'!J218</f>
        <v>0</v>
      </c>
      <c r="B216" s="324">
        <f>+'planilla caudales'!K218</f>
        <v>0</v>
      </c>
      <c r="C216" s="81"/>
      <c r="D216" s="81"/>
      <c r="E216" s="584"/>
      <c r="F216" s="583"/>
    </row>
    <row r="217" spans="1:6">
      <c r="A217" s="606">
        <f>+'planilla caudales'!J227</f>
        <v>0</v>
      </c>
      <c r="B217" s="606">
        <f>+'planilla caudales'!K227</f>
        <v>0</v>
      </c>
      <c r="C217" s="81"/>
      <c r="D217" s="81"/>
      <c r="E217" s="81"/>
      <c r="F217" s="451"/>
    </row>
    <row r="218" spans="1:6">
      <c r="A218" s="472">
        <f>+Mensajes!$B$7</f>
        <v>0</v>
      </c>
      <c r="C218" s="81"/>
      <c r="D218" s="81"/>
      <c r="E218" s="81"/>
      <c r="F218" s="451"/>
    </row>
    <row r="219" spans="1:6">
      <c r="A219" s="472">
        <f>+Mensajes!$B$12</f>
        <v>0</v>
      </c>
      <c r="B219" s="81"/>
      <c r="C219" s="81"/>
      <c r="D219" s="81"/>
      <c r="E219" s="81"/>
      <c r="F219" s="451"/>
    </row>
    <row r="220" spans="1:6" ht="13.5" thickBot="1">
      <c r="A220" s="473" t="str">
        <f>IF(DSUM('13_1'!$A$11:$R$89,17,F208:F209)=COUNTIF('13_1'!$A$16:$A$89,F209),"","Regularice su Deuda")</f>
        <v/>
      </c>
      <c r="B220" s="455"/>
      <c r="C220" s="455"/>
      <c r="D220" s="454" t="str">
        <f>IF(DSUM('13_1'!$A$11:$Q$89,16,F208:F209)=COUNTIF('13_1'!$A$15:$A$89,F209),"","Regularice su Deuda")</f>
        <v>Regularice su Deuda</v>
      </c>
      <c r="E220" s="455"/>
      <c r="F220" s="456"/>
    </row>
  </sheetData>
  <phoneticPr fontId="0" type="noConversion"/>
  <pageMargins left="0.55118110236220474" right="0.39370078740157483" top="0.15748031496062992" bottom="0.19685039370078741" header="0" footer="0"/>
  <pageSetup paperSize="281" scale="83" orientation="portrait" r:id="rId1"/>
  <headerFooter alignWithMargins="0"/>
  <rowBreaks count="2" manualBreakCount="2">
    <brk id="85" max="5" man="1"/>
    <brk id="170" max="5" man="1"/>
  </rowBreaks>
  <colBreaks count="1" manualBreakCount="1">
    <brk id="7" max="1048575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19"/>
  <dimension ref="A1:T43"/>
  <sheetViews>
    <sheetView view="pageBreakPreview" zoomScale="75" zoomScaleNormal="75" workbookViewId="0" xr3:uid="{CAA03FB3-9A95-5D50-9E3C-B000AFB1AE50}">
      <selection activeCell="I6" sqref="I6"/>
    </sheetView>
  </sheetViews>
  <sheetFormatPr defaultColWidth="11.42578125" defaultRowHeight="12.75"/>
  <cols>
    <col min="1" max="1" width="8" customWidth="1"/>
    <col min="2" max="2" width="6.140625" customWidth="1"/>
    <col min="3" max="4" width="5.42578125" bestFit="1" customWidth="1"/>
    <col min="5" max="5" width="9.140625" bestFit="1" customWidth="1"/>
    <col min="6" max="6" width="15.85546875" bestFit="1" customWidth="1"/>
    <col min="7" max="7" width="28" bestFit="1" customWidth="1"/>
    <col min="8" max="8" width="14.28515625" customWidth="1"/>
    <col min="9" max="9" width="7.7109375" bestFit="1" customWidth="1"/>
    <col min="10" max="10" width="9.28515625" bestFit="1" customWidth="1"/>
    <col min="11" max="12" width="18.140625" bestFit="1" customWidth="1"/>
    <col min="13" max="13" width="27.28515625" customWidth="1"/>
    <col min="14" max="14" width="23.5703125" customWidth="1"/>
    <col min="15" max="15" width="19.7109375" bestFit="1" customWidth="1"/>
    <col min="16" max="16" width="7.85546875" bestFit="1" customWidth="1"/>
    <col min="17" max="17" width="9.42578125" bestFit="1" customWidth="1"/>
    <col min="18" max="18" width="8.42578125" bestFit="1" customWidth="1"/>
    <col min="19" max="19" width="12.140625" customWidth="1"/>
    <col min="20" max="20" width="18.140625" customWidth="1"/>
    <col min="21" max="21" width="10.7109375" customWidth="1"/>
  </cols>
  <sheetData>
    <row r="1" spans="1:20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2" spans="1:20">
      <c r="A2" s="137"/>
      <c r="B2" s="144" t="s">
        <v>187</v>
      </c>
      <c r="C2" s="137"/>
      <c r="D2" s="137"/>
      <c r="E2" s="137"/>
      <c r="F2" s="137"/>
      <c r="G2" s="137"/>
      <c r="H2" s="137" t="s">
        <v>349</v>
      </c>
      <c r="I2" s="137"/>
      <c r="J2" s="137"/>
      <c r="K2" s="137"/>
      <c r="L2" s="137"/>
      <c r="M2" s="137"/>
      <c r="N2" s="137"/>
    </row>
    <row r="3" spans="1:20">
      <c r="A3" s="137"/>
      <c r="B3" s="137"/>
      <c r="C3" s="137"/>
      <c r="D3" s="137"/>
      <c r="E3" s="137"/>
      <c r="F3" s="137"/>
      <c r="G3" s="137"/>
      <c r="H3" s="137" t="s">
        <v>350</v>
      </c>
      <c r="I3" s="137"/>
      <c r="J3" s="137"/>
      <c r="K3" s="137"/>
      <c r="L3" s="137"/>
      <c r="M3" s="137"/>
      <c r="N3" s="137"/>
    </row>
    <row r="4" spans="1:20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</row>
    <row r="5" spans="1:20">
      <c r="A5" s="669" t="s">
        <v>92</v>
      </c>
      <c r="B5" s="670"/>
      <c r="C5" s="662">
        <v>42689.125</v>
      </c>
      <c r="D5" s="663"/>
      <c r="E5" s="664"/>
      <c r="F5" s="344"/>
      <c r="G5" s="344"/>
      <c r="H5" s="345" t="s">
        <v>93</v>
      </c>
      <c r="I5" s="346">
        <v>4.333333333333333</v>
      </c>
      <c r="J5" s="137"/>
      <c r="K5" s="137"/>
      <c r="L5" s="137"/>
      <c r="M5" s="137"/>
      <c r="N5" s="137"/>
    </row>
    <row r="6" spans="1:20" ht="13.5" thickBot="1">
      <c r="A6" s="671" t="s">
        <v>94</v>
      </c>
      <c r="B6" s="672"/>
      <c r="C6" s="665">
        <f>+L12</f>
        <v>42693.458333333343</v>
      </c>
      <c r="D6" s="666"/>
      <c r="E6" s="667"/>
      <c r="F6" s="344"/>
      <c r="G6" s="344"/>
      <c r="H6" s="347" t="s">
        <v>95</v>
      </c>
      <c r="I6" s="354">
        <v>8.3333333333333329E-2</v>
      </c>
      <c r="J6" s="344"/>
      <c r="K6" s="137"/>
      <c r="L6" s="578"/>
      <c r="M6" s="137"/>
      <c r="N6" s="137"/>
    </row>
    <row r="7" spans="1:20" ht="13.5" thickBot="1">
      <c r="A7" s="137"/>
      <c r="B7" s="137"/>
      <c r="C7" s="137"/>
      <c r="D7" s="137"/>
      <c r="E7" s="137"/>
      <c r="F7" s="682"/>
      <c r="G7" s="682"/>
      <c r="H7" s="348" t="s">
        <v>96</v>
      </c>
      <c r="I7" s="349">
        <f>+I43</f>
        <v>9.7222222222222224E-2</v>
      </c>
      <c r="J7" s="137"/>
      <c r="K7" s="137"/>
      <c r="L7" s="137"/>
      <c r="M7" s="137"/>
      <c r="N7" s="137"/>
    </row>
    <row r="8" spans="1:20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</row>
    <row r="9" spans="1:20">
      <c r="A9" s="668" t="s">
        <v>97</v>
      </c>
      <c r="B9" s="668"/>
      <c r="C9" s="682">
        <f>+I5-I6-I7</f>
        <v>4.1527777777777777</v>
      </c>
      <c r="D9" s="682"/>
      <c r="E9" s="555" t="s">
        <v>98</v>
      </c>
      <c r="F9" s="350">
        <f>+C9*60</f>
        <v>249.16666666666666</v>
      </c>
      <c r="G9" s="555" t="s">
        <v>99</v>
      </c>
      <c r="H9" s="351">
        <f>+H43</f>
        <v>98.954040000000006</v>
      </c>
      <c r="I9" s="555" t="s">
        <v>100</v>
      </c>
      <c r="J9" s="556">
        <f>+F9/H9</f>
        <v>2.5180039811074582</v>
      </c>
      <c r="K9" s="137"/>
      <c r="L9" s="137"/>
      <c r="M9" s="137"/>
      <c r="N9" s="137"/>
    </row>
    <row r="10" spans="1:20" ht="13.5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</row>
    <row r="11" spans="1:20" ht="13.5" thickBot="1">
      <c r="A11" s="381" t="s">
        <v>102</v>
      </c>
      <c r="B11" s="379" t="s">
        <v>103</v>
      </c>
      <c r="C11" s="379" t="s">
        <v>104</v>
      </c>
      <c r="D11" s="379" t="s">
        <v>276</v>
      </c>
      <c r="E11" s="379" t="s">
        <v>351</v>
      </c>
      <c r="F11" s="379" t="s">
        <v>153</v>
      </c>
      <c r="G11" s="379" t="s">
        <v>108</v>
      </c>
      <c r="H11" s="379" t="s">
        <v>154</v>
      </c>
      <c r="I11" s="379" t="s">
        <v>352</v>
      </c>
      <c r="J11" s="379" t="s">
        <v>110</v>
      </c>
      <c r="K11" s="379" t="s">
        <v>156</v>
      </c>
      <c r="L11" s="379" t="s">
        <v>157</v>
      </c>
      <c r="M11" s="379" t="s">
        <v>114</v>
      </c>
      <c r="N11" s="379" t="s">
        <v>116</v>
      </c>
      <c r="O11" s="379" t="s">
        <v>117</v>
      </c>
      <c r="P11" s="379" t="s">
        <v>118</v>
      </c>
      <c r="Q11" s="379" t="s">
        <v>119</v>
      </c>
      <c r="R11" s="379" t="s">
        <v>120</v>
      </c>
      <c r="S11" s="379" t="s">
        <v>121</v>
      </c>
      <c r="T11" s="380" t="s">
        <v>122</v>
      </c>
    </row>
    <row r="12" spans="1:20" ht="13.5" thickTop="1">
      <c r="A12" s="35">
        <v>1</v>
      </c>
      <c r="B12" s="5">
        <v>1203</v>
      </c>
      <c r="C12" s="5">
        <v>13</v>
      </c>
      <c r="D12" s="5">
        <v>1</v>
      </c>
      <c r="E12" s="20">
        <v>1.4120999999999999</v>
      </c>
      <c r="F12" s="103" t="s">
        <v>71</v>
      </c>
      <c r="G12" s="5" t="s">
        <v>353</v>
      </c>
      <c r="H12" s="579">
        <f>IF(Hijuelas!$G$7="POR FRACCIÓN",IF(F12="NO",0,IF(F12="cede turno",0,IF(Hijuelas!$G$8="si",IF(D12=1,E12,E12*0.8),E12))),IF(F12="NO",0,IF(F12="cede turno",0,IF(Hijuelas!$G$8="si",IF(D12=1,ROUNDUP(E12,0),ROUNDUP(E12*0.8,0)),ROUNDUP(E12,0)))))</f>
        <v>1.4120999999999999</v>
      </c>
      <c r="I12" s="618">
        <v>0</v>
      </c>
      <c r="J12" s="580">
        <f>+$J$9/60*H12</f>
        <v>5.9261223695364025E-2</v>
      </c>
      <c r="K12" s="174">
        <f t="shared" ref="K12:K40" si="0">+L13</f>
        <v>42693.399072109649</v>
      </c>
      <c r="L12" s="174">
        <f t="shared" ref="L12:L40" si="1">+K12+J12+I12</f>
        <v>42693.458333333343</v>
      </c>
      <c r="M12" s="5"/>
      <c r="N12" s="5"/>
      <c r="O12" s="5" t="str">
        <f>+CONCATENATE(B12,C12)</f>
        <v>120313</v>
      </c>
      <c r="P12" s="150">
        <f>VLOOKUP(O12,deuda!A$1:H$550,4,0)</f>
        <v>1</v>
      </c>
      <c r="Q12" s="6">
        <f>VLOOKUP(O12,deuda!A$1:H$550,5,0)</f>
        <v>0</v>
      </c>
      <c r="R12" s="6">
        <f>IF(VLOOKUP(O12,deuda!A$1:H$550,6,0)=0,"",VLOOKUP(O12,deuda!A$1:H$550,6,0))</f>
        <v>1257.81</v>
      </c>
      <c r="S12" s="149" t="str">
        <f>IF((VLOOKUP(O12,deuda!A$1:H$550,7,0))=0,"",VLOOKUP(O12,deuda!A$1:H$550,7,0))</f>
        <v/>
      </c>
      <c r="T12" s="153" t="str">
        <f>IF((VLOOKUP(O12,deuda!A$1:H$550,8,0))=0,"",VLOOKUP(O12,deuda!A$1:H$550,8,0))</f>
        <v/>
      </c>
    </row>
    <row r="13" spans="1:20">
      <c r="A13" s="51">
        <v>2</v>
      </c>
      <c r="B13" s="52">
        <v>1203</v>
      </c>
      <c r="C13" s="52">
        <v>14</v>
      </c>
      <c r="D13" s="52">
        <v>1</v>
      </c>
      <c r="E13" s="486">
        <v>2.9914999999999998</v>
      </c>
      <c r="F13" s="103" t="str">
        <f>IF(P13=0,"NO",IF(P13=1,"SI",IF(P13=3,"cede turno","CONDICIONAL")))</f>
        <v>SI</v>
      </c>
      <c r="G13" s="52" t="s">
        <v>354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2.9914999999999998</v>
      </c>
      <c r="I13" s="618">
        <v>0</v>
      </c>
      <c r="J13" s="580">
        <f t="shared" ref="J13:J42" si="2">+$J$9/60*H13</f>
        <v>0.125543481824716</v>
      </c>
      <c r="K13" s="174">
        <f t="shared" si="0"/>
        <v>42693.273528627826</v>
      </c>
      <c r="L13" s="174">
        <f t="shared" si="1"/>
        <v>42693.399072109649</v>
      </c>
      <c r="M13" s="52"/>
      <c r="N13" s="52"/>
      <c r="O13" s="5" t="str">
        <f t="shared" ref="O13:O42" si="3">+CONCATENATE(B13,C13)</f>
        <v>120314</v>
      </c>
      <c r="P13" s="150">
        <f>VLOOKUP(O13,deuda!A$1:H$550,4,0)</f>
        <v>1</v>
      </c>
      <c r="Q13" s="6">
        <f>VLOOKUP(O13,deuda!A$1:H$550,5,0)</f>
        <v>0</v>
      </c>
      <c r="R13" s="6">
        <f>IF(VLOOKUP(O13,deuda!A$1:H$550,6,0)=0,"",VLOOKUP(O13,deuda!A$1:H$550,6,0))</f>
        <v>507.09</v>
      </c>
      <c r="S13" s="149" t="str">
        <f>IF((VLOOKUP(O13,deuda!A$1:H$550,7,0))=0,"",VLOOKUP(O13,deuda!A$1:H$550,7,0))</f>
        <v/>
      </c>
      <c r="T13" s="153" t="str">
        <f>IF((VLOOKUP(O13,deuda!A$1:H$550,8,0))=0,"",VLOOKUP(O13,deuda!A$1:H$550,8,0))</f>
        <v/>
      </c>
    </row>
    <row r="14" spans="1:20">
      <c r="A14" s="588">
        <v>3</v>
      </c>
      <c r="B14" s="551">
        <v>1203</v>
      </c>
      <c r="C14" s="551">
        <v>8</v>
      </c>
      <c r="D14" s="551">
        <v>1</v>
      </c>
      <c r="E14" s="590">
        <v>11.2394</v>
      </c>
      <c r="F14" s="598" t="str">
        <f>IF(P14=0,"NO",IF(P14=1,"SI",IF(P14=3,"cede turno","CONDICIONAL")))</f>
        <v>SI</v>
      </c>
      <c r="G14" s="551" t="s">
        <v>355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11.2394</v>
      </c>
      <c r="I14" s="618">
        <v>0</v>
      </c>
      <c r="J14" s="580">
        <f t="shared" si="2"/>
        <v>0.47168089908765276</v>
      </c>
      <c r="K14" s="174">
        <f t="shared" si="0"/>
        <v>42692.801847728741</v>
      </c>
      <c r="L14" s="174">
        <f t="shared" si="1"/>
        <v>42693.273528627826</v>
      </c>
      <c r="M14" s="5"/>
      <c r="N14" s="5"/>
      <c r="O14" s="5" t="str">
        <f t="shared" si="3"/>
        <v>12038</v>
      </c>
      <c r="P14" s="150">
        <f>VLOOKUP(O14,deuda!A$1:H$550,4,0)</f>
        <v>1</v>
      </c>
      <c r="Q14" s="6">
        <f>VLOOKUP(O14,deuda!A$1:H$550,5,0)</f>
        <v>2</v>
      </c>
      <c r="R14" s="6">
        <f>IF(VLOOKUP(O14,deuda!A$1:H$550,6,0)=0,"",VLOOKUP(O14,deuda!A$1:H$550,6,0))</f>
        <v>8026.37</v>
      </c>
      <c r="S14" s="149" t="str">
        <f>IF((VLOOKUP(O14,deuda!A$1:H$550,7,0))=0,"",VLOOKUP(O14,deuda!A$1:H$550,7,0))</f>
        <v/>
      </c>
      <c r="T14" s="153" t="str">
        <f>IF((VLOOKUP(O14,deuda!A$1:H$550,8,0))=0,"",VLOOKUP(O14,deuda!A$1:H$550,8,0))</f>
        <v/>
      </c>
    </row>
    <row r="15" spans="1:20">
      <c r="A15" s="35">
        <v>4</v>
      </c>
      <c r="B15" s="5">
        <v>1203</v>
      </c>
      <c r="C15" s="5">
        <v>3</v>
      </c>
      <c r="D15" s="5">
        <v>1</v>
      </c>
      <c r="E15" s="9">
        <v>1.0034000000000001</v>
      </c>
      <c r="F15" s="103" t="str">
        <f>IF(P15=0,"NO",IF(P15=1,"SI",IF(P15=3,"cede turno","CONDICIONAL")))</f>
        <v>SI</v>
      </c>
      <c r="G15" s="76" t="s">
        <v>356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1.0034000000000001</v>
      </c>
      <c r="I15" s="618">
        <v>0</v>
      </c>
      <c r="J15" s="580">
        <f t="shared" si="2"/>
        <v>4.2109419910720397E-2</v>
      </c>
      <c r="K15" s="174">
        <f t="shared" si="0"/>
        <v>42692.759738308829</v>
      </c>
      <c r="L15" s="174">
        <f t="shared" si="1"/>
        <v>42692.801847728741</v>
      </c>
      <c r="M15" s="5"/>
      <c r="N15" s="5"/>
      <c r="O15" s="5" t="str">
        <f t="shared" si="3"/>
        <v>12033</v>
      </c>
      <c r="P15" s="150">
        <f>VLOOKUP(O15,deuda!A$1:H$550,4,0)</f>
        <v>1</v>
      </c>
      <c r="Q15" s="6">
        <f>VLOOKUP(O15,deuda!A$1:H$550,5,0)</f>
        <v>0</v>
      </c>
      <c r="R15" s="6">
        <f>IF(VLOOKUP(O15,deuda!A$1:H$550,6,0)=0,"",VLOOKUP(O15,deuda!A$1:H$550,6,0))</f>
        <v>1924.67</v>
      </c>
      <c r="S15" s="149" t="str">
        <f>IF((VLOOKUP(O15,deuda!A$1:H$550,7,0))=0,"",VLOOKUP(O15,deuda!A$1:H$550,7,0))</f>
        <v/>
      </c>
      <c r="T15" s="153" t="str">
        <f>IF((VLOOKUP(O15,deuda!A$1:H$550,8,0))=0,"",VLOOKUP(O15,deuda!A$1:H$550,8,0))</f>
        <v/>
      </c>
    </row>
    <row r="16" spans="1:20">
      <c r="A16" s="35">
        <v>4</v>
      </c>
      <c r="B16" s="5">
        <v>1203</v>
      </c>
      <c r="C16" s="5">
        <v>17</v>
      </c>
      <c r="D16" s="5">
        <v>1</v>
      </c>
      <c r="E16" s="9">
        <v>1</v>
      </c>
      <c r="F16" s="103" t="str">
        <f t="shared" ref="F16:F42" si="4">IF(P16=0,"NO",IF(P16=1,"SI",IF(P16=3,"cede turno","CONDICIONAL")))</f>
        <v>SI</v>
      </c>
      <c r="G16" s="5" t="s">
        <v>357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1</v>
      </c>
      <c r="I16" s="618">
        <v>0</v>
      </c>
      <c r="J16" s="580">
        <f t="shared" si="2"/>
        <v>4.1966733018457637E-2</v>
      </c>
      <c r="K16" s="174">
        <f t="shared" si="0"/>
        <v>42692.717771575808</v>
      </c>
      <c r="L16" s="174">
        <f t="shared" si="1"/>
        <v>42692.759738308829</v>
      </c>
      <c r="M16" s="5"/>
      <c r="N16" s="5"/>
      <c r="O16" s="5" t="str">
        <f t="shared" si="3"/>
        <v>120317</v>
      </c>
      <c r="P16" s="150">
        <f>VLOOKUP(O16,deuda!A$1:H$550,4,0)</f>
        <v>1</v>
      </c>
      <c r="Q16" s="6">
        <f>VLOOKUP(O16,deuda!A$1:H$550,5,0)</f>
        <v>0</v>
      </c>
      <c r="R16" s="6" t="str">
        <f>IF(VLOOKUP(O16,deuda!A$1:H$550,6,0)=0,"",VLOOKUP(O16,deuda!A$1:H$550,6,0))</f>
        <v/>
      </c>
      <c r="S16" s="149" t="str">
        <f>IF((VLOOKUP(O16,deuda!A$1:H$550,7,0))=0,"",VLOOKUP(O16,deuda!A$1:H$550,7,0))</f>
        <v/>
      </c>
      <c r="T16" s="153" t="str">
        <f>IF((VLOOKUP(O16,deuda!A$1:H$550,8,0))=0,"",VLOOKUP(O16,deuda!A$1:H$550,8,0))</f>
        <v/>
      </c>
    </row>
    <row r="17" spans="1:20">
      <c r="A17" s="35">
        <v>4</v>
      </c>
      <c r="B17" s="5">
        <v>1203</v>
      </c>
      <c r="C17" s="5">
        <v>57</v>
      </c>
      <c r="D17" s="5">
        <v>1</v>
      </c>
      <c r="E17" s="9">
        <v>2.8466</v>
      </c>
      <c r="F17" s="103" t="str">
        <f t="shared" si="4"/>
        <v>SI</v>
      </c>
      <c r="G17" s="5" t="s">
        <v>358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2.8466</v>
      </c>
      <c r="I17" s="618">
        <v>0</v>
      </c>
      <c r="J17" s="580">
        <f t="shared" si="2"/>
        <v>0.11946250221034151</v>
      </c>
      <c r="K17" s="174">
        <f t="shared" si="0"/>
        <v>42692.598309073597</v>
      </c>
      <c r="L17" s="174">
        <f t="shared" si="1"/>
        <v>42692.717771575808</v>
      </c>
      <c r="M17" s="5"/>
      <c r="N17" s="5"/>
      <c r="O17" s="5" t="str">
        <f t="shared" si="3"/>
        <v>120357</v>
      </c>
      <c r="P17" s="150">
        <f>VLOOKUP(O17,deuda!A$1:H$550,4,0)</f>
        <v>1</v>
      </c>
      <c r="Q17" s="6">
        <f>VLOOKUP(O17,deuda!A$1:H$550,5,0)</f>
        <v>0</v>
      </c>
      <c r="R17" s="6" t="str">
        <f>IF(VLOOKUP(O17,deuda!A$1:H$550,6,0)=0,"",VLOOKUP(O17,deuda!A$1:H$550,6,0))</f>
        <v/>
      </c>
      <c r="S17" s="149" t="str">
        <f>IF((VLOOKUP(O17,deuda!A$1:H$550,7,0))=0,"",VLOOKUP(O17,deuda!A$1:H$550,7,0))</f>
        <v/>
      </c>
      <c r="T17" s="153" t="str">
        <f>IF((VLOOKUP(O17,deuda!A$1:H$550,8,0))=0,"",VLOOKUP(O17,deuda!A$1:H$550,8,0))</f>
        <v/>
      </c>
    </row>
    <row r="18" spans="1:20">
      <c r="A18" s="35">
        <v>4</v>
      </c>
      <c r="B18" s="5">
        <v>1203</v>
      </c>
      <c r="C18" s="5">
        <v>21</v>
      </c>
      <c r="D18" s="5">
        <v>1</v>
      </c>
      <c r="E18" s="9">
        <v>0.95669999999999999</v>
      </c>
      <c r="F18" s="103" t="str">
        <f t="shared" si="4"/>
        <v>SI</v>
      </c>
      <c r="G18" s="5" t="s">
        <v>359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0.95669999999999999</v>
      </c>
      <c r="I18" s="618">
        <v>0</v>
      </c>
      <c r="J18" s="580">
        <f t="shared" si="2"/>
        <v>4.0149573478758423E-2</v>
      </c>
      <c r="K18" s="174">
        <f t="shared" si="0"/>
        <v>42692.55815950012</v>
      </c>
      <c r="L18" s="174">
        <f t="shared" si="1"/>
        <v>42692.598309073597</v>
      </c>
      <c r="M18" s="5"/>
      <c r="N18" s="5"/>
      <c r="O18" s="5" t="str">
        <f t="shared" si="3"/>
        <v>120321</v>
      </c>
      <c r="P18" s="150">
        <f>VLOOKUP(O18,deuda!A$1:H$550,4,0)</f>
        <v>1</v>
      </c>
      <c r="Q18" s="6">
        <f>VLOOKUP(O18,deuda!A$1:H$550,5,0)</f>
        <v>0</v>
      </c>
      <c r="R18" s="6" t="str">
        <f>IF(VLOOKUP(O18,deuda!A$1:H$550,6,0)=0,"",VLOOKUP(O18,deuda!A$1:H$550,6,0))</f>
        <v/>
      </c>
      <c r="S18" s="149" t="str">
        <f>IF((VLOOKUP(O18,deuda!A$1:H$550,7,0))=0,"",VLOOKUP(O18,deuda!A$1:H$550,7,0))</f>
        <v/>
      </c>
      <c r="T18" s="153" t="str">
        <f>IF((VLOOKUP(O18,deuda!A$1:H$550,8,0))=0,"",VLOOKUP(O18,deuda!A$1:H$550,8,0))</f>
        <v/>
      </c>
    </row>
    <row r="19" spans="1:20">
      <c r="A19" s="35">
        <v>4</v>
      </c>
      <c r="B19" s="5">
        <v>1203</v>
      </c>
      <c r="C19" s="5">
        <v>30</v>
      </c>
      <c r="D19" s="5">
        <v>1</v>
      </c>
      <c r="E19" s="6">
        <v>1.9718</v>
      </c>
      <c r="F19" s="103" t="str">
        <f t="shared" si="4"/>
        <v>SI</v>
      </c>
      <c r="G19" s="5" t="s">
        <v>360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1.9718</v>
      </c>
      <c r="I19" s="618">
        <v>1.3888888888888888E-2</v>
      </c>
      <c r="J19" s="580">
        <f t="shared" si="2"/>
        <v>8.2750004165794769E-2</v>
      </c>
      <c r="K19" s="174">
        <f t="shared" si="0"/>
        <v>42692.461520607067</v>
      </c>
      <c r="L19" s="174">
        <f t="shared" si="1"/>
        <v>42692.55815950012</v>
      </c>
      <c r="M19" s="5"/>
      <c r="N19" s="5"/>
      <c r="O19" s="5" t="str">
        <f t="shared" si="3"/>
        <v>120330</v>
      </c>
      <c r="P19" s="150">
        <f>VLOOKUP(O19,deuda!A$1:H$550,4,0)</f>
        <v>1</v>
      </c>
      <c r="Q19" s="6">
        <f>VLOOKUP(O19,deuda!A$1:H$550,5,0)</f>
        <v>0</v>
      </c>
      <c r="R19" s="6" t="str">
        <f>IF(VLOOKUP(O19,deuda!A$1:H$550,6,0)=0,"",VLOOKUP(O19,deuda!A$1:H$550,6,0))</f>
        <v/>
      </c>
      <c r="S19" s="149" t="str">
        <f>IF((VLOOKUP(O19,deuda!A$1:H$550,7,0))=0,"",VLOOKUP(O19,deuda!A$1:H$550,7,0))</f>
        <v/>
      </c>
      <c r="T19" s="153" t="str">
        <f>IF((VLOOKUP(O19,deuda!A$1:H$550,8,0))=0,"",VLOOKUP(O19,deuda!A$1:H$550,8,0))</f>
        <v/>
      </c>
    </row>
    <row r="20" spans="1:20">
      <c r="A20" s="35">
        <v>5</v>
      </c>
      <c r="B20" s="5">
        <v>1203</v>
      </c>
      <c r="C20" s="5">
        <v>19</v>
      </c>
      <c r="D20" s="5">
        <v>1</v>
      </c>
      <c r="E20" s="9">
        <v>1.0148999999999999</v>
      </c>
      <c r="F20" s="103" t="str">
        <f>IF(P20=0,"NO",IF(P20=1,"SI",IF(P20=3,"cede turno","CONDICIONAL")))</f>
        <v>SI</v>
      </c>
      <c r="G20" s="5" t="s">
        <v>361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1.0148999999999999</v>
      </c>
      <c r="I20" s="618">
        <v>1.3888888888888888E-2</v>
      </c>
      <c r="J20" s="580">
        <f t="shared" si="2"/>
        <v>4.2592037340432654E-2</v>
      </c>
      <c r="K20" s="174">
        <f t="shared" si="0"/>
        <v>42692.405039680838</v>
      </c>
      <c r="L20" s="174">
        <f t="shared" si="1"/>
        <v>42692.461520607067</v>
      </c>
      <c r="M20" s="5"/>
      <c r="N20" s="5"/>
      <c r="O20" s="5" t="str">
        <f t="shared" si="3"/>
        <v>120319</v>
      </c>
      <c r="P20" s="150">
        <f>VLOOKUP(O20,deuda!A$1:H$550,4,0)</f>
        <v>1</v>
      </c>
      <c r="Q20" s="6">
        <f>VLOOKUP(O20,deuda!A$1:H$550,5,0)</f>
        <v>0</v>
      </c>
      <c r="R20" s="6">
        <f>IF(VLOOKUP(O20,deuda!A$1:H$550,6,0)=0,"",VLOOKUP(O20,deuda!A$1:H$550,6,0))</f>
        <v>1009.41</v>
      </c>
      <c r="S20" s="149" t="str">
        <f>IF((VLOOKUP(O20,deuda!A$1:H$550,7,0))=0,"",VLOOKUP(O20,deuda!A$1:H$550,7,0))</f>
        <v/>
      </c>
      <c r="T20" s="153" t="str">
        <f>IF((VLOOKUP(O20,deuda!A$1:H$550,8,0))=0,"",VLOOKUP(O20,deuda!A$1:H$550,8,0))</f>
        <v/>
      </c>
    </row>
    <row r="21" spans="1:20">
      <c r="A21" s="35">
        <v>6</v>
      </c>
      <c r="B21" s="5">
        <v>1203</v>
      </c>
      <c r="C21" s="5">
        <v>43</v>
      </c>
      <c r="D21" s="5">
        <v>1</v>
      </c>
      <c r="E21" s="9">
        <v>1.3577999999999999</v>
      </c>
      <c r="F21" s="103" t="str">
        <f>IF(P21=0,"NO",IF(P21=1,"SI",IF(P21=3,"cede turno","CONDICIONAL")))</f>
        <v>SI</v>
      </c>
      <c r="G21" s="76" t="s">
        <v>362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1.3577999999999999</v>
      </c>
      <c r="I21" s="618">
        <v>0</v>
      </c>
      <c r="J21" s="580">
        <f t="shared" si="2"/>
        <v>5.6982430092461775E-2</v>
      </c>
      <c r="K21" s="174">
        <f t="shared" si="0"/>
        <v>42692.348057250747</v>
      </c>
      <c r="L21" s="174">
        <f t="shared" si="1"/>
        <v>42692.405039680838</v>
      </c>
      <c r="M21" s="5"/>
      <c r="N21" s="5"/>
      <c r="O21" s="5" t="str">
        <f t="shared" si="3"/>
        <v>120343</v>
      </c>
      <c r="P21" s="150">
        <f>VLOOKUP(O21,deuda!A$1:H$550,4,0)</f>
        <v>1</v>
      </c>
      <c r="Q21" s="6">
        <f>VLOOKUP(O21,deuda!A$1:H$550,5,0)</f>
        <v>2</v>
      </c>
      <c r="R21" s="6">
        <f>IF(VLOOKUP(O21,deuda!A$1:H$550,6,0)=0,"",VLOOKUP(O21,deuda!A$1:H$550,6,0))</f>
        <v>907.84</v>
      </c>
      <c r="S21" s="149" t="str">
        <f>IF((VLOOKUP(O21,deuda!A$1:H$550,7,0))=0,"",VLOOKUP(O21,deuda!A$1:H$550,7,0))</f>
        <v/>
      </c>
      <c r="T21" s="153" t="str">
        <f>IF((VLOOKUP(O21,deuda!A$1:H$550,8,0))=0,"",VLOOKUP(O21,deuda!A$1:H$550,8,0))</f>
        <v/>
      </c>
    </row>
    <row r="22" spans="1:20">
      <c r="A22" s="35">
        <v>7</v>
      </c>
      <c r="B22" s="5">
        <v>1203</v>
      </c>
      <c r="C22" s="5">
        <v>42</v>
      </c>
      <c r="D22" s="5">
        <v>1</v>
      </c>
      <c r="E22" s="9">
        <v>1.3789</v>
      </c>
      <c r="F22" s="103" t="str">
        <f t="shared" si="4"/>
        <v>SI</v>
      </c>
      <c r="G22" s="76" t="s">
        <v>362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1.3789</v>
      </c>
      <c r="I22" s="618">
        <v>0</v>
      </c>
      <c r="J22" s="580">
        <f t="shared" si="2"/>
        <v>5.786792815915124E-2</v>
      </c>
      <c r="K22" s="174">
        <f t="shared" si="0"/>
        <v>42692.290189322586</v>
      </c>
      <c r="L22" s="174">
        <f t="shared" si="1"/>
        <v>42692.348057250747</v>
      </c>
      <c r="M22" s="5"/>
      <c r="N22" s="5"/>
      <c r="O22" s="5" t="str">
        <f t="shared" si="3"/>
        <v>120342</v>
      </c>
      <c r="P22" s="150">
        <f>VLOOKUP(O22,deuda!A$1:H$550,4,0)</f>
        <v>1</v>
      </c>
      <c r="Q22" s="6">
        <f>VLOOKUP(O22,deuda!A$1:H$550,5,0)</f>
        <v>1</v>
      </c>
      <c r="R22" s="6">
        <f>IF(VLOOKUP(O22,deuda!A$1:H$550,6,0)=0,"",VLOOKUP(O22,deuda!A$1:H$550,6,0))</f>
        <v>452.93</v>
      </c>
      <c r="S22" s="149" t="str">
        <f>IF((VLOOKUP(O22,deuda!A$1:H$550,7,0))=0,"",VLOOKUP(O22,deuda!A$1:H$550,7,0))</f>
        <v/>
      </c>
      <c r="T22" s="153" t="str">
        <f>IF((VLOOKUP(O22,deuda!A$1:H$550,8,0))=0,"",VLOOKUP(O22,deuda!A$1:H$550,8,0))</f>
        <v/>
      </c>
    </row>
    <row r="23" spans="1:20">
      <c r="A23" s="35">
        <v>8</v>
      </c>
      <c r="B23" s="5">
        <v>1203</v>
      </c>
      <c r="C23" s="5">
        <v>41</v>
      </c>
      <c r="D23" s="5">
        <v>1</v>
      </c>
      <c r="E23" s="9">
        <v>1.3789</v>
      </c>
      <c r="F23" s="103" t="str">
        <f t="shared" si="4"/>
        <v>SI</v>
      </c>
      <c r="G23" s="76" t="s">
        <v>362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1.3789</v>
      </c>
      <c r="I23" s="618">
        <v>0</v>
      </c>
      <c r="J23" s="580">
        <f t="shared" si="2"/>
        <v>5.786792815915124E-2</v>
      </c>
      <c r="K23" s="174">
        <f t="shared" si="0"/>
        <v>42692.232321394426</v>
      </c>
      <c r="L23" s="174">
        <f t="shared" si="1"/>
        <v>42692.290189322586</v>
      </c>
      <c r="M23" s="5"/>
      <c r="N23" s="5"/>
      <c r="O23" s="5" t="str">
        <f t="shared" si="3"/>
        <v>120341</v>
      </c>
      <c r="P23" s="150">
        <f>VLOOKUP(O23,deuda!A$1:H$550,4,0)</f>
        <v>1</v>
      </c>
      <c r="Q23" s="6">
        <f>VLOOKUP(O23,deuda!A$1:H$550,5,0)</f>
        <v>0</v>
      </c>
      <c r="R23" s="6" t="str">
        <f>IF(VLOOKUP(O23,deuda!A$1:H$550,6,0)=0,"",VLOOKUP(O23,deuda!A$1:H$550,6,0))</f>
        <v/>
      </c>
      <c r="S23" s="149" t="str">
        <f>IF((VLOOKUP(O23,deuda!A$1:H$550,7,0))=0,"",VLOOKUP(O23,deuda!A$1:H$550,7,0))</f>
        <v/>
      </c>
      <c r="T23" s="153" t="str">
        <f>IF((VLOOKUP(O23,deuda!A$1:H$550,8,0))=0,"",VLOOKUP(O23,deuda!A$1:H$550,8,0))</f>
        <v/>
      </c>
    </row>
    <row r="24" spans="1:20">
      <c r="A24" s="35">
        <v>9</v>
      </c>
      <c r="B24" s="5">
        <v>1203</v>
      </c>
      <c r="C24" s="5">
        <v>40</v>
      </c>
      <c r="D24" s="5">
        <v>1</v>
      </c>
      <c r="E24" s="9">
        <v>1.379</v>
      </c>
      <c r="F24" s="103" t="str">
        <f t="shared" si="4"/>
        <v>NO</v>
      </c>
      <c r="G24" s="76" t="s">
        <v>362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0</v>
      </c>
      <c r="I24" s="618">
        <v>0</v>
      </c>
      <c r="J24" s="580">
        <f t="shared" si="2"/>
        <v>0</v>
      </c>
      <c r="K24" s="174">
        <f t="shared" si="0"/>
        <v>42692.232321394426</v>
      </c>
      <c r="L24" s="174">
        <f t="shared" si="1"/>
        <v>42692.232321394426</v>
      </c>
      <c r="M24" s="5"/>
      <c r="N24" s="5"/>
      <c r="O24" s="5" t="str">
        <f t="shared" si="3"/>
        <v>120340</v>
      </c>
      <c r="P24" s="150">
        <f>VLOOKUP(O24,deuda!A$1:H$550,4,0)</f>
        <v>0</v>
      </c>
      <c r="Q24" s="6">
        <f>VLOOKUP(O24,deuda!A$1:H$550,5,0)</f>
        <v>65</v>
      </c>
      <c r="R24" s="6">
        <f>IF(VLOOKUP(O24,deuda!A$1:H$550,6,0)=0,"",VLOOKUP(O24,deuda!A$1:H$550,6,0))</f>
        <v>29137.13</v>
      </c>
      <c r="S24" s="149" t="str">
        <f>IF((VLOOKUP(O24,deuda!A$1:H$550,7,0))=0,"",VLOOKUP(O24,deuda!A$1:H$550,7,0))</f>
        <v/>
      </c>
      <c r="T24" s="153" t="str">
        <f>IF((VLOOKUP(O24,deuda!A$1:H$550,8,0))=0,"",VLOOKUP(O24,deuda!A$1:H$550,8,0))</f>
        <v/>
      </c>
    </row>
    <row r="25" spans="1:20">
      <c r="A25" s="35">
        <v>10</v>
      </c>
      <c r="B25" s="5">
        <v>1203</v>
      </c>
      <c r="C25" s="5">
        <v>39</v>
      </c>
      <c r="D25" s="5">
        <v>1</v>
      </c>
      <c r="E25" s="9">
        <v>1.379</v>
      </c>
      <c r="F25" s="103" t="str">
        <f t="shared" si="4"/>
        <v>NO</v>
      </c>
      <c r="G25" s="76" t="s">
        <v>363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0</v>
      </c>
      <c r="I25" s="618">
        <v>0</v>
      </c>
      <c r="J25" s="580">
        <f t="shared" si="2"/>
        <v>0</v>
      </c>
      <c r="K25" s="174">
        <f t="shared" si="0"/>
        <v>42692.232321394426</v>
      </c>
      <c r="L25" s="174">
        <f t="shared" si="1"/>
        <v>42692.232321394426</v>
      </c>
      <c r="M25" s="5"/>
      <c r="N25" s="5"/>
      <c r="O25" s="5" t="str">
        <f t="shared" si="3"/>
        <v>120339</v>
      </c>
      <c r="P25" s="150">
        <f>VLOOKUP(O25,deuda!A$1:H$550,4,0)</f>
        <v>0</v>
      </c>
      <c r="Q25" s="6">
        <f>VLOOKUP(O25,deuda!A$1:H$550,5,0)</f>
        <v>3</v>
      </c>
      <c r="R25" s="6">
        <f>IF(VLOOKUP(O25,deuda!A$1:H$550,6,0)=0,"",VLOOKUP(O25,deuda!A$1:H$550,6,0))</f>
        <v>1363.55</v>
      </c>
      <c r="S25" s="149" t="str">
        <f>IF((VLOOKUP(O25,deuda!A$1:H$550,7,0))=0,"",VLOOKUP(O25,deuda!A$1:H$550,7,0))</f>
        <v/>
      </c>
      <c r="T25" s="153" t="str">
        <f>IF((VLOOKUP(O25,deuda!A$1:H$550,8,0))=0,"",VLOOKUP(O25,deuda!A$1:H$550,8,0))</f>
        <v/>
      </c>
    </row>
    <row r="26" spans="1:20">
      <c r="A26" s="35">
        <v>11</v>
      </c>
      <c r="B26" s="5">
        <v>1203</v>
      </c>
      <c r="C26" s="5">
        <v>38</v>
      </c>
      <c r="D26" s="5">
        <v>1</v>
      </c>
      <c r="E26" s="9">
        <v>1.3789</v>
      </c>
      <c r="F26" s="103" t="str">
        <f t="shared" si="4"/>
        <v>SI</v>
      </c>
      <c r="G26" s="76" t="s">
        <v>364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1.3789</v>
      </c>
      <c r="I26" s="618">
        <v>0</v>
      </c>
      <c r="J26" s="580">
        <f t="shared" si="2"/>
        <v>5.786792815915124E-2</v>
      </c>
      <c r="K26" s="174">
        <f t="shared" si="0"/>
        <v>42692.174453466265</v>
      </c>
      <c r="L26" s="174">
        <f t="shared" si="1"/>
        <v>42692.232321394426</v>
      </c>
      <c r="M26" s="5"/>
      <c r="N26" s="5"/>
      <c r="O26" s="5" t="str">
        <f t="shared" si="3"/>
        <v>120338</v>
      </c>
      <c r="P26" s="150">
        <f>VLOOKUP(O26,deuda!A$1:H$550,4,0)</f>
        <v>1</v>
      </c>
      <c r="Q26" s="6">
        <f>VLOOKUP(O26,deuda!A$1:H$550,5,0)</f>
        <v>0</v>
      </c>
      <c r="R26" s="6" t="str">
        <f>IF(VLOOKUP(O26,deuda!A$1:H$550,6,0)=0,"",VLOOKUP(O26,deuda!A$1:H$550,6,0))</f>
        <v/>
      </c>
      <c r="S26" s="149" t="str">
        <f>IF((VLOOKUP(O26,deuda!A$1:H$550,7,0))=0,"",VLOOKUP(O26,deuda!A$1:H$550,7,0))</f>
        <v/>
      </c>
      <c r="T26" s="153" t="str">
        <f>IF((VLOOKUP(O26,deuda!A$1:H$550,8,0))=0,"",VLOOKUP(O26,deuda!A$1:H$550,8,0))</f>
        <v/>
      </c>
    </row>
    <row r="27" spans="1:20">
      <c r="A27" s="35">
        <v>12</v>
      </c>
      <c r="B27" s="5">
        <v>1203</v>
      </c>
      <c r="C27" s="5">
        <v>37</v>
      </c>
      <c r="D27" s="5">
        <v>1</v>
      </c>
      <c r="E27" s="9">
        <v>1.3789</v>
      </c>
      <c r="F27" s="103" t="str">
        <f t="shared" si="4"/>
        <v>SI</v>
      </c>
      <c r="G27" s="76" t="s">
        <v>365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1.3789</v>
      </c>
      <c r="I27" s="618">
        <v>0</v>
      </c>
      <c r="J27" s="580">
        <f t="shared" si="2"/>
        <v>5.786792815915124E-2</v>
      </c>
      <c r="K27" s="174">
        <f t="shared" si="0"/>
        <v>42692.116585538104</v>
      </c>
      <c r="L27" s="174">
        <f t="shared" si="1"/>
        <v>42692.174453466265</v>
      </c>
      <c r="M27" s="5"/>
      <c r="N27" s="5"/>
      <c r="O27" s="5" t="str">
        <f t="shared" si="3"/>
        <v>120337</v>
      </c>
      <c r="P27" s="150">
        <f>VLOOKUP(O27,deuda!A$1:H$550,4,0)</f>
        <v>1</v>
      </c>
      <c r="Q27" s="6">
        <f>VLOOKUP(O27,deuda!A$1:H$550,5,0)</f>
        <v>0</v>
      </c>
      <c r="R27" s="6" t="str">
        <f>IF(VLOOKUP(O27,deuda!A$1:H$550,6,0)=0,"",VLOOKUP(O27,deuda!A$1:H$550,6,0))</f>
        <v/>
      </c>
      <c r="S27" s="149" t="str">
        <f>IF((VLOOKUP(O27,deuda!A$1:H$550,7,0))=0,"",VLOOKUP(O27,deuda!A$1:H$550,7,0))</f>
        <v/>
      </c>
      <c r="T27" s="153" t="str">
        <f>IF((VLOOKUP(O27,deuda!A$1:H$550,8,0))=0,"",VLOOKUP(O27,deuda!A$1:H$550,8,0))</f>
        <v/>
      </c>
    </row>
    <row r="28" spans="1:20">
      <c r="A28" s="35">
        <v>13</v>
      </c>
      <c r="B28" s="5">
        <v>1203</v>
      </c>
      <c r="C28" s="5">
        <v>2</v>
      </c>
      <c r="D28" s="5">
        <v>1</v>
      </c>
      <c r="E28" s="9">
        <v>1.3789</v>
      </c>
      <c r="F28" s="103" t="str">
        <f t="shared" si="4"/>
        <v>NO</v>
      </c>
      <c r="G28" s="76" t="s">
        <v>366</v>
      </c>
      <c r="H28" s="579">
        <f>IF(Hijuelas!$G$7="POR FRACCIÓN",IF(F28="NO",0,IF(F28="cede turno",0,IF(Hijuelas!$G$8="si",IF(D28=1,E28,E28*0.8),E28))),IF(F28="NO",0,IF(F28="cede turno",0,IF(Hijuelas!$G$8="si",IF(D28=1,ROUNDUP(E28,0),ROUNDUP(E28*0.8,0)),ROUNDUP(E28,0)))))</f>
        <v>0</v>
      </c>
      <c r="I28" s="618">
        <v>6.9444444444444441E-3</v>
      </c>
      <c r="J28" s="580">
        <f t="shared" si="2"/>
        <v>0</v>
      </c>
      <c r="K28" s="174">
        <f t="shared" si="0"/>
        <v>42692.109641093659</v>
      </c>
      <c r="L28" s="174">
        <f t="shared" si="1"/>
        <v>42692.116585538104</v>
      </c>
      <c r="M28" s="5"/>
      <c r="N28" s="5"/>
      <c r="O28" s="5" t="str">
        <f t="shared" si="3"/>
        <v>12032</v>
      </c>
      <c r="P28" s="150">
        <f>VLOOKUP(O28,deuda!A$1:H$550,4,0)</f>
        <v>0</v>
      </c>
      <c r="Q28" s="6">
        <f>VLOOKUP(O28,deuda!A$1:H$550,5,0)</f>
        <v>3</v>
      </c>
      <c r="R28" s="6">
        <f>IF(VLOOKUP(O28,deuda!A$1:H$550,6,0)=0,"",VLOOKUP(O28,deuda!A$1:H$550,6,0))</f>
        <v>1363.55</v>
      </c>
      <c r="S28" s="149" t="str">
        <f>IF((VLOOKUP(O28,deuda!A$1:H$550,7,0))=0,"",VLOOKUP(O28,deuda!A$1:H$550,7,0))</f>
        <v/>
      </c>
      <c r="T28" s="153" t="str">
        <f>IF((VLOOKUP(O28,deuda!A$1:H$550,8,0))=0,"",VLOOKUP(O28,deuda!A$1:H$550,8,0))</f>
        <v/>
      </c>
    </row>
    <row r="29" spans="1:20">
      <c r="A29" s="35">
        <v>14</v>
      </c>
      <c r="B29" s="5">
        <v>1203</v>
      </c>
      <c r="C29" s="5">
        <v>46</v>
      </c>
      <c r="D29" s="5">
        <v>2</v>
      </c>
      <c r="E29" s="6">
        <v>2.6768999999999998</v>
      </c>
      <c r="F29" s="103" t="str">
        <f t="shared" si="4"/>
        <v>cede turno</v>
      </c>
      <c r="G29" s="5" t="s">
        <v>367</v>
      </c>
      <c r="H29" s="579">
        <f>IF(Hijuelas!$G$7="POR FRACCIÓN",IF(F29="NO",0,IF(F29="cede turno",0,IF(Hijuelas!$G$8="si",IF(D29=1,E29,E29*0.8),E29))),IF(F29="NO",0,IF(F29="cede turno",0,IF(Hijuelas!$G$8="si",IF(D29=1,ROUNDUP(E29,0),ROUNDUP(E29*0.8,0)),ROUNDUP(E29,0)))))</f>
        <v>0</v>
      </c>
      <c r="I29" s="618">
        <v>0</v>
      </c>
      <c r="J29" s="580">
        <f t="shared" si="2"/>
        <v>0</v>
      </c>
      <c r="K29" s="174">
        <f t="shared" si="0"/>
        <v>42692.109641093659</v>
      </c>
      <c r="L29" s="174">
        <f t="shared" si="1"/>
        <v>42692.109641093659</v>
      </c>
      <c r="M29" s="5"/>
      <c r="N29" s="5"/>
      <c r="O29" s="5" t="str">
        <f t="shared" si="3"/>
        <v>120346</v>
      </c>
      <c r="P29" s="150">
        <v>3</v>
      </c>
      <c r="Q29" s="6">
        <f>VLOOKUP(O29,deuda!A$1:H$550,5,0)</f>
        <v>4</v>
      </c>
      <c r="R29" s="6">
        <f>IF(VLOOKUP(O29,deuda!A$1:H$550,6,0)=0,"",VLOOKUP(O29,deuda!A$1:H$550,6,0))</f>
        <v>3472.78</v>
      </c>
      <c r="S29" s="149" t="str">
        <f>IF((VLOOKUP(O29,deuda!A$1:H$550,7,0))=0,"",VLOOKUP(O29,deuda!A$1:H$550,7,0))</f>
        <v/>
      </c>
      <c r="T29" s="153" t="str">
        <f>IF((VLOOKUP(O29,deuda!A$1:H$550,8,0))=0,"",VLOOKUP(O29,deuda!A$1:H$550,8,0))</f>
        <v/>
      </c>
    </row>
    <row r="30" spans="1:20">
      <c r="A30" s="35">
        <v>15</v>
      </c>
      <c r="B30" s="5">
        <v>1203</v>
      </c>
      <c r="C30" s="5">
        <v>45</v>
      </c>
      <c r="D30" s="5">
        <v>1</v>
      </c>
      <c r="E30" s="9">
        <v>6</v>
      </c>
      <c r="F30" s="103" t="s">
        <v>368</v>
      </c>
      <c r="G30" s="76" t="s">
        <v>369</v>
      </c>
      <c r="H30" s="579">
        <f>IF(Hijuelas!$G$7="POR FRACCIÓN",IF(F30="NO",0,IF(F30="cede turno",0,IF(Hijuelas!$G$8="si",IF(D30=1,E30,E30*0.8),E30))),IF(F30="NO",0,IF(F30="cede turno",0,IF(Hijuelas!$G$8="si",IF(D30=1,ROUNDUP(E30,0),ROUNDUP(E30*0.8,0)),ROUNDUP(E30,0)))))</f>
        <v>6</v>
      </c>
      <c r="I30" s="618">
        <v>0</v>
      </c>
      <c r="J30" s="580">
        <f t="shared" si="2"/>
        <v>0.25180039811074584</v>
      </c>
      <c r="K30" s="174">
        <f t="shared" si="0"/>
        <v>42691.857840695549</v>
      </c>
      <c r="L30" s="174">
        <f t="shared" si="1"/>
        <v>42692.109641093659</v>
      </c>
      <c r="M30" s="5"/>
      <c r="N30" s="5"/>
      <c r="O30" s="5" t="str">
        <f>+CONCATENATE(B30,C30)</f>
        <v>120345</v>
      </c>
      <c r="P30" s="150">
        <f>VLOOKUP(O30,deuda!A$1:H$550,4,0)</f>
        <v>1</v>
      </c>
      <c r="Q30" s="6">
        <f>VLOOKUP(O30,deuda!A$1:H$550,5,0)</f>
        <v>1</v>
      </c>
      <c r="R30" s="6">
        <f>IF(VLOOKUP(O30,deuda!A$1:H$550,6,0)=0,"",VLOOKUP(O30,deuda!A$1:H$550,6,0))</f>
        <v>1312.35</v>
      </c>
      <c r="S30" s="149" t="str">
        <f>IF((VLOOKUP(O30,deuda!A$1:H$550,7,0))=0,"",VLOOKUP(O30,deuda!A$1:H$550,7,0))</f>
        <v/>
      </c>
      <c r="T30" s="153" t="str">
        <f>IF((VLOOKUP(O30,deuda!A$1:H$550,8,0))=0,"",VLOOKUP(O30,deuda!A$1:H$550,8,0))</f>
        <v/>
      </c>
    </row>
    <row r="31" spans="1:20">
      <c r="A31" s="35">
        <v>15</v>
      </c>
      <c r="B31" s="5">
        <v>1203</v>
      </c>
      <c r="C31" s="5">
        <v>44</v>
      </c>
      <c r="D31" s="5">
        <v>1</v>
      </c>
      <c r="E31" s="9">
        <v>7.3545999999999996</v>
      </c>
      <c r="F31" s="103" t="str">
        <f t="shared" si="4"/>
        <v>SI</v>
      </c>
      <c r="G31" s="5" t="s">
        <v>370</v>
      </c>
      <c r="H31" s="579">
        <f>IF(Hijuelas!$G$7="POR FRACCIÓN",IF(F31="NO",0,IF(F31="cede turno",0,IF(Hijuelas!$G$8="si",IF(D31=1,E31,E31*0.8),E31))),IF(F31="NO",0,IF(F31="cede turno",0,IF(Hijuelas!$G$8="si",IF(D31=1,ROUNDUP(E31,0),ROUNDUP(E31*0.8,0)),ROUNDUP(E31,0)))))</f>
        <v>7.3545999999999996</v>
      </c>
      <c r="I31" s="618">
        <v>6.9444444444444441E-3</v>
      </c>
      <c r="J31" s="580">
        <f t="shared" si="2"/>
        <v>0.30864853465754855</v>
      </c>
      <c r="K31" s="174">
        <f t="shared" si="0"/>
        <v>42691.542247716447</v>
      </c>
      <c r="L31" s="174">
        <f t="shared" si="1"/>
        <v>42691.857840695549</v>
      </c>
      <c r="M31" s="5"/>
      <c r="N31" s="5"/>
      <c r="O31" s="5" t="str">
        <f t="shared" si="3"/>
        <v>120344</v>
      </c>
      <c r="P31" s="150">
        <f>VLOOKUP(O31,deuda!A$1:H$550,4,0)</f>
        <v>1</v>
      </c>
      <c r="Q31" s="6">
        <f>VLOOKUP(O31,deuda!A$1:H$550,5,0)</f>
        <v>1</v>
      </c>
      <c r="R31" s="6">
        <f>IF(VLOOKUP(O31,deuda!A$1:H$550,6,0)=0,"",VLOOKUP(O31,deuda!A$1:H$550,6,0))</f>
        <v>1758.11</v>
      </c>
      <c r="S31" s="149" t="str">
        <f>IF((VLOOKUP(O31,deuda!A$1:H$550,7,0))=0,"",VLOOKUP(O31,deuda!A$1:H$550,7,0))</f>
        <v/>
      </c>
      <c r="T31" s="153" t="str">
        <f>IF((VLOOKUP(O31,deuda!A$1:H$550,8,0))=0,"",VLOOKUP(O31,deuda!A$1:H$550,8,0))</f>
        <v/>
      </c>
    </row>
    <row r="32" spans="1:20">
      <c r="A32" s="35">
        <v>16</v>
      </c>
      <c r="B32" s="5">
        <v>1203</v>
      </c>
      <c r="C32" s="5">
        <v>24</v>
      </c>
      <c r="D32" s="5">
        <v>2</v>
      </c>
      <c r="E32" s="6">
        <v>0.58919999999999995</v>
      </c>
      <c r="F32" s="103" t="str">
        <f t="shared" si="4"/>
        <v>SI</v>
      </c>
      <c r="G32" s="5" t="s">
        <v>371</v>
      </c>
      <c r="H32" s="579">
        <f>IF(Hijuelas!$G$7="POR FRACCIÓN",IF(F32="NO",0,IF(F32="cede turno",0,IF(Hijuelas!$G$8="si",IF(D32=1,E32,E32*0.8),E32))),IF(F32="NO",0,IF(F32="cede turno",0,IF(Hijuelas!$G$8="si",IF(D32=1,ROUNDUP(E32,0),ROUNDUP(E32*0.8,0)),ROUNDUP(E32,0)))))</f>
        <v>0.47136</v>
      </c>
      <c r="I32" s="618">
        <v>0</v>
      </c>
      <c r="J32" s="580">
        <f t="shared" si="2"/>
        <v>1.9781439275580192E-2</v>
      </c>
      <c r="K32" s="174">
        <f t="shared" si="0"/>
        <v>42691.522466277172</v>
      </c>
      <c r="L32" s="174">
        <f t="shared" si="1"/>
        <v>42691.542247716447</v>
      </c>
      <c r="M32" s="5"/>
      <c r="N32" s="5"/>
      <c r="O32" s="5" t="str">
        <f t="shared" si="3"/>
        <v>120324</v>
      </c>
      <c r="P32" s="150">
        <f>VLOOKUP(O32,deuda!A$1:H$550,4,0)</f>
        <v>1</v>
      </c>
      <c r="Q32" s="6">
        <f>VLOOKUP(O32,deuda!A$1:H$550,5,0)</f>
        <v>0</v>
      </c>
      <c r="R32" s="6">
        <f>IF(VLOOKUP(O32,deuda!A$1:H$550,6,0)=0,"",VLOOKUP(O32,deuda!A$1:H$550,6,0))</f>
        <v>-210.93</v>
      </c>
      <c r="S32" s="149" t="str">
        <f>IF((VLOOKUP(O32,deuda!A$1:H$550,7,0))=0,"",VLOOKUP(O32,deuda!A$1:H$550,7,0))</f>
        <v/>
      </c>
      <c r="T32" s="153" t="str">
        <f>IF((VLOOKUP(O32,deuda!A$1:H$550,8,0))=0,"",VLOOKUP(O32,deuda!A$1:H$550,8,0))</f>
        <v/>
      </c>
    </row>
    <row r="33" spans="1:20">
      <c r="A33" s="35">
        <v>16</v>
      </c>
      <c r="B33" s="5">
        <v>1203</v>
      </c>
      <c r="C33" s="5">
        <v>47</v>
      </c>
      <c r="D33" s="5">
        <v>2</v>
      </c>
      <c r="E33" s="9">
        <v>5.88</v>
      </c>
      <c r="F33" s="103" t="str">
        <f t="shared" si="4"/>
        <v>SI</v>
      </c>
      <c r="G33" s="5" t="s">
        <v>371</v>
      </c>
      <c r="H33" s="579">
        <f>IF(Hijuelas!$G$7="POR FRACCIÓN",IF(F33="NO",0,IF(F33="cede turno",0,IF(Hijuelas!$G$8="si",IF(D33=1,E33,E33*0.8),E33))),IF(F33="NO",0,IF(F33="cede turno",0,IF(Hijuelas!$G$8="si",IF(D33=1,ROUNDUP(E33,0),ROUNDUP(E33*0.8,0)),ROUNDUP(E33,0)))))</f>
        <v>4.7039999999999997</v>
      </c>
      <c r="I33" s="618">
        <v>0</v>
      </c>
      <c r="J33" s="580">
        <f t="shared" si="2"/>
        <v>0.19741151211882471</v>
      </c>
      <c r="K33" s="174">
        <f t="shared" si="0"/>
        <v>42691.325054765053</v>
      </c>
      <c r="L33" s="174">
        <f t="shared" si="1"/>
        <v>42691.522466277172</v>
      </c>
      <c r="M33" s="5"/>
      <c r="N33" s="5"/>
      <c r="O33" s="5" t="str">
        <f t="shared" si="3"/>
        <v>120347</v>
      </c>
      <c r="P33" s="150">
        <f>VLOOKUP(O33,deuda!A$1:H$550,4,0)</f>
        <v>1</v>
      </c>
      <c r="Q33" s="6">
        <f>VLOOKUP(O33,deuda!A$1:H$550,5,0)</f>
        <v>0</v>
      </c>
      <c r="R33" s="6" t="str">
        <f>IF(VLOOKUP(O33,deuda!A$1:H$550,6,0)=0,"",VLOOKUP(O33,deuda!A$1:H$550,6,0))</f>
        <v/>
      </c>
      <c r="S33" s="149" t="str">
        <f>IF((VLOOKUP(O33,deuda!A$1:H$550,7,0))=0,"",VLOOKUP(O33,deuda!A$1:H$550,7,0))</f>
        <v/>
      </c>
      <c r="T33" s="153" t="str">
        <f>IF((VLOOKUP(O33,deuda!A$1:H$550,8,0))=0,"",VLOOKUP(O33,deuda!A$1:H$550,8,0))</f>
        <v/>
      </c>
    </row>
    <row r="34" spans="1:20">
      <c r="A34" s="35">
        <v>16</v>
      </c>
      <c r="B34" s="5">
        <v>1203</v>
      </c>
      <c r="C34" s="5">
        <v>48</v>
      </c>
      <c r="D34" s="5">
        <v>2</v>
      </c>
      <c r="E34" s="6">
        <v>13.007</v>
      </c>
      <c r="F34" s="103" t="str">
        <f t="shared" si="4"/>
        <v>SI</v>
      </c>
      <c r="G34" s="5" t="s">
        <v>371</v>
      </c>
      <c r="H34" s="579">
        <f>IF(Hijuelas!$G$7="POR FRACCIÓN",IF(F34="NO",0,IF(F34="cede turno",0,IF(Hijuelas!$G$8="si",IF(D34=1,E34,E34*0.8),E34))),IF(F34="NO",0,IF(F34="cede turno",0,IF(Hijuelas!$G$8="si",IF(D34=1,ROUNDUP(E34,0),ROUNDUP(E34*0.8,0)),ROUNDUP(E34,0)))))</f>
        <v>10.4056</v>
      </c>
      <c r="I34" s="618">
        <v>0</v>
      </c>
      <c r="J34" s="580">
        <f t="shared" si="2"/>
        <v>0.4366890370968628</v>
      </c>
      <c r="K34" s="174">
        <f t="shared" si="0"/>
        <v>42690.888365727958</v>
      </c>
      <c r="L34" s="174">
        <f t="shared" si="1"/>
        <v>42691.325054765053</v>
      </c>
      <c r="M34" s="5"/>
      <c r="N34" s="5"/>
      <c r="O34" s="5" t="str">
        <f t="shared" si="3"/>
        <v>120348</v>
      </c>
      <c r="P34" s="150">
        <f>VLOOKUP(O34,deuda!A$1:H$550,4,0)</f>
        <v>1</v>
      </c>
      <c r="Q34" s="6">
        <f>VLOOKUP(O34,deuda!A$1:H$550,5,0)</f>
        <v>1</v>
      </c>
      <c r="R34" s="6">
        <f>IF(VLOOKUP(O34,deuda!A$1:H$550,6,0)=0,"",VLOOKUP(O34,deuda!A$1:H$550,6,0))</f>
        <v>3181.08</v>
      </c>
      <c r="S34" s="149" t="str">
        <f>IF((VLOOKUP(O34,deuda!A$1:H$550,7,0))=0,"",VLOOKUP(O34,deuda!A$1:H$550,7,0))</f>
        <v/>
      </c>
      <c r="T34" s="153" t="str">
        <f>IF((VLOOKUP(O34,deuda!A$1:H$550,8,0))=0,"",VLOOKUP(O34,deuda!A$1:H$550,8,0))</f>
        <v/>
      </c>
    </row>
    <row r="35" spans="1:20">
      <c r="A35" s="35">
        <v>16</v>
      </c>
      <c r="B35" s="5">
        <v>1203</v>
      </c>
      <c r="C35" s="5">
        <v>49</v>
      </c>
      <c r="D35" s="5">
        <v>2</v>
      </c>
      <c r="E35" s="6">
        <v>5.2458999999999998</v>
      </c>
      <c r="F35" s="103" t="str">
        <f t="shared" si="4"/>
        <v>SI</v>
      </c>
      <c r="G35" s="5" t="s">
        <v>371</v>
      </c>
      <c r="H35" s="579">
        <f>IF(Hijuelas!$G$7="POR FRACCIÓN",IF(F35="NO",0,IF(F35="cede turno",0,IF(Hijuelas!$G$8="si",IF(D35=1,E35,E35*0.8),E35))),IF(F35="NO",0,IF(F35="cede turno",0,IF(Hijuelas!$G$8="si",IF(D35=1,ROUNDUP(E35,0),ROUNDUP(E35*0.8,0)),ROUNDUP(E35,0)))))</f>
        <v>4.19672</v>
      </c>
      <c r="I35" s="618">
        <v>0</v>
      </c>
      <c r="J35" s="580">
        <f t="shared" si="2"/>
        <v>0.17612262779322155</v>
      </c>
      <c r="K35" s="174">
        <f t="shared" si="0"/>
        <v>42690.712243100163</v>
      </c>
      <c r="L35" s="174">
        <f t="shared" si="1"/>
        <v>42690.888365727958</v>
      </c>
      <c r="M35" s="5"/>
      <c r="N35" s="5"/>
      <c r="O35" s="5" t="str">
        <f t="shared" si="3"/>
        <v>120349</v>
      </c>
      <c r="P35" s="150">
        <f>VLOOKUP(O35,deuda!A$1:H$550,4,0)</f>
        <v>1</v>
      </c>
      <c r="Q35" s="6">
        <f>VLOOKUP(O35,deuda!A$1:H$550,5,0)</f>
        <v>0</v>
      </c>
      <c r="R35" s="6" t="str">
        <f>IF(VLOOKUP(O35,deuda!A$1:H$550,6,0)=0,"",VLOOKUP(O35,deuda!A$1:H$550,6,0))</f>
        <v/>
      </c>
      <c r="S35" s="149" t="str">
        <f>IF((VLOOKUP(O35,deuda!A$1:H$550,7,0))=0,"",VLOOKUP(O35,deuda!A$1:H$550,7,0))</f>
        <v/>
      </c>
      <c r="T35" s="153" t="str">
        <f>IF((VLOOKUP(O35,deuda!A$1:H$550,8,0))=0,"",VLOOKUP(O35,deuda!A$1:H$550,8,0))</f>
        <v/>
      </c>
    </row>
    <row r="36" spans="1:20">
      <c r="A36" s="35">
        <v>16</v>
      </c>
      <c r="B36" s="5">
        <v>1203</v>
      </c>
      <c r="C36" s="5">
        <v>50</v>
      </c>
      <c r="D36" s="5">
        <v>2</v>
      </c>
      <c r="E36" s="6">
        <v>4.7412000000000001</v>
      </c>
      <c r="F36" s="103" t="str">
        <f t="shared" si="4"/>
        <v>SI</v>
      </c>
      <c r="G36" s="5" t="s">
        <v>371</v>
      </c>
      <c r="H36" s="579">
        <f>IF(Hijuelas!$G$7="POR FRACCIÓN",IF(F36="NO",0,IF(F36="cede turno",0,IF(Hijuelas!$G$8="si",IF(D36=1,E36,E36*0.8),E36))),IF(F36="NO",0,IF(F36="cede turno",0,IF(Hijuelas!$G$8="si",IF(D36=1,ROUNDUP(E36,0),ROUNDUP(E36*0.8,0)),ROUNDUP(E36,0)))))</f>
        <v>3.7929600000000003</v>
      </c>
      <c r="I36" s="618">
        <v>1.3888888888888888E-2</v>
      </c>
      <c r="J36" s="580">
        <f t="shared" si="2"/>
        <v>0.15917813966968911</v>
      </c>
      <c r="K36" s="174">
        <f t="shared" si="0"/>
        <v>42690.539176071601</v>
      </c>
      <c r="L36" s="174">
        <f t="shared" si="1"/>
        <v>42690.712243100163</v>
      </c>
      <c r="M36" s="5"/>
      <c r="N36" s="5"/>
      <c r="O36" s="5" t="str">
        <f t="shared" si="3"/>
        <v>120350</v>
      </c>
      <c r="P36" s="150">
        <f>VLOOKUP(O36,deuda!A$1:H$550,4,0)</f>
        <v>1</v>
      </c>
      <c r="Q36" s="6">
        <f>VLOOKUP(O36,deuda!A$1:H$550,5,0)</f>
        <v>0</v>
      </c>
      <c r="R36" s="6" t="str">
        <f>IF(VLOOKUP(O36,deuda!A$1:H$550,6,0)=0,"",VLOOKUP(O36,deuda!A$1:H$550,6,0))</f>
        <v/>
      </c>
      <c r="S36" s="149" t="str">
        <f>IF((VLOOKUP(O36,deuda!A$1:H$550,7,0))=0,"",VLOOKUP(O36,deuda!A$1:H$550,7,0))</f>
        <v/>
      </c>
      <c r="T36" s="153" t="str">
        <f>IF((VLOOKUP(O36,deuda!A$1:H$550,8,0))=0,"",VLOOKUP(O36,deuda!A$1:H$550,8,0))</f>
        <v/>
      </c>
    </row>
    <row r="37" spans="1:20">
      <c r="A37" s="35">
        <v>17</v>
      </c>
      <c r="B37" s="5">
        <v>1203</v>
      </c>
      <c r="C37" s="5">
        <v>34</v>
      </c>
      <c r="D37" s="5">
        <v>1</v>
      </c>
      <c r="E37" s="9">
        <v>14.0716</v>
      </c>
      <c r="F37" s="103" t="str">
        <f t="shared" si="4"/>
        <v>SI</v>
      </c>
      <c r="G37" s="5" t="s">
        <v>372</v>
      </c>
      <c r="H37" s="579">
        <f>IF(Hijuelas!$G$7="POR FRACCIÓN",IF(F37="NO",0,IF(F37="cede turno",0,IF(Hijuelas!$G$8="si",IF(D37=1,E37,E37*0.8),E37))),IF(F37="NO",0,IF(F37="cede turno",0,IF(Hijuelas!$G$8="si",IF(D37=1,ROUNDUP(E37,0),ROUNDUP(E37*0.8,0)),ROUNDUP(E37,0)))))</f>
        <v>14.0716</v>
      </c>
      <c r="I37" s="618">
        <v>0</v>
      </c>
      <c r="J37" s="580">
        <f t="shared" si="2"/>
        <v>0.59053908034252844</v>
      </c>
      <c r="K37" s="174">
        <f t="shared" si="0"/>
        <v>42689.948636991256</v>
      </c>
      <c r="L37" s="174">
        <f t="shared" si="1"/>
        <v>42690.539176071601</v>
      </c>
      <c r="M37" s="5"/>
      <c r="N37" s="5"/>
      <c r="O37" s="5" t="str">
        <f t="shared" si="3"/>
        <v>120334</v>
      </c>
      <c r="P37" s="150">
        <f>VLOOKUP(O37,deuda!A$1:H$550,4,0)</f>
        <v>1</v>
      </c>
      <c r="Q37" s="6">
        <f>VLOOKUP(O37,deuda!A$1:H$550,5,0)</f>
        <v>1</v>
      </c>
      <c r="R37" s="6">
        <f>IF(VLOOKUP(O37,deuda!A$1:H$550,6,0)=0,"",VLOOKUP(O37,deuda!A$1:H$550,6,0))</f>
        <v>248.68</v>
      </c>
      <c r="S37" s="149" t="str">
        <f>IF((VLOOKUP(O37,deuda!A$1:H$550,7,0))=0,"",VLOOKUP(O37,deuda!A$1:H$550,7,0))</f>
        <v/>
      </c>
      <c r="T37" s="153" t="str">
        <f>IF((VLOOKUP(O37,deuda!A$1:H$550,8,0))=0,"",VLOOKUP(O37,deuda!A$1:H$550,8,0))</f>
        <v/>
      </c>
    </row>
    <row r="38" spans="1:20">
      <c r="A38" s="35">
        <v>18</v>
      </c>
      <c r="B38" s="5">
        <v>1211</v>
      </c>
      <c r="C38" s="5">
        <v>4</v>
      </c>
      <c r="D38" s="5">
        <v>1</v>
      </c>
      <c r="E38" s="9">
        <v>0.25</v>
      </c>
      <c r="F38" s="103" t="str">
        <f t="shared" si="4"/>
        <v>NO</v>
      </c>
      <c r="G38" s="5" t="s">
        <v>373</v>
      </c>
      <c r="H38" s="579">
        <f>IF(Hijuelas!$G$7="POR FRACCIÓN",IF(F38="NO",0,IF(F38="cede turno",0,IF(Hijuelas!$G$8="si",IF(D38=1,E38,E38*0.8),E38))),IF(F38="NO",0,IF(F38="cede turno",0,IF(Hijuelas!$G$8="si",IF(D38=1,ROUNDUP(E38,0),ROUNDUP(E38*0.8,0)),ROUNDUP(E38,0)))))</f>
        <v>0</v>
      </c>
      <c r="I38" s="618">
        <v>0</v>
      </c>
      <c r="J38" s="580">
        <f t="shared" si="2"/>
        <v>0</v>
      </c>
      <c r="K38" s="174">
        <f t="shared" si="0"/>
        <v>42689.948636991256</v>
      </c>
      <c r="L38" s="174">
        <f t="shared" si="1"/>
        <v>42689.948636991256</v>
      </c>
      <c r="M38" s="5"/>
      <c r="N38" s="5"/>
      <c r="O38" s="5" t="str">
        <f t="shared" si="3"/>
        <v>12114</v>
      </c>
      <c r="P38" s="150">
        <f>VLOOKUP(O38,deuda!A$1:H$550,4,0)</f>
        <v>0</v>
      </c>
      <c r="Q38" s="6">
        <f>VLOOKUP(O38,deuda!A$1:H$550,5,0)</f>
        <v>202</v>
      </c>
      <c r="R38" s="6">
        <f>IF(VLOOKUP(O38,deuda!A$1:H$550,6,0)=0,"",VLOOKUP(O38,deuda!A$1:H$550,6,0))</f>
        <v>43120.83</v>
      </c>
      <c r="S38" s="149" t="str">
        <f>IF((VLOOKUP(O38,deuda!A$1:H$550,7,0))=0,"",VLOOKUP(O38,deuda!A$1:H$550,7,0))</f>
        <v/>
      </c>
      <c r="T38" s="153" t="str">
        <f>IF((VLOOKUP(O38,deuda!A$1:H$550,8,0))=0,"",VLOOKUP(O38,deuda!A$1:H$550,8,0))</f>
        <v/>
      </c>
    </row>
    <row r="39" spans="1:20">
      <c r="A39" s="35">
        <v>19</v>
      </c>
      <c r="B39" s="5">
        <v>1211</v>
      </c>
      <c r="C39" s="5">
        <v>14</v>
      </c>
      <c r="D39" s="5">
        <v>1</v>
      </c>
      <c r="E39" s="9">
        <v>7.3433999999999999</v>
      </c>
      <c r="F39" s="103" t="str">
        <f t="shared" si="4"/>
        <v>SI</v>
      </c>
      <c r="G39" s="5" t="s">
        <v>374</v>
      </c>
      <c r="H39" s="579">
        <f>IF(Hijuelas!$G$7="POR FRACCIÓN",IF(F39="NO",0,IF(F39="cede turno",0,IF(Hijuelas!$G$8="si",IF(D39=1,E39,E39*0.8),E39))),IF(F39="NO",0,IF(F39="cede turno",0,IF(Hijuelas!$G$8="si",IF(D39=1,ROUNDUP(E39,0),ROUNDUP(E39*0.8,0)),ROUNDUP(E39,0)))))</f>
        <v>7.3433999999999999</v>
      </c>
      <c r="I39" s="618">
        <v>0</v>
      </c>
      <c r="J39" s="580">
        <f t="shared" si="2"/>
        <v>0.30817850724774182</v>
      </c>
      <c r="K39" s="174">
        <f t="shared" si="0"/>
        <v>42689.640458484006</v>
      </c>
      <c r="L39" s="174">
        <f t="shared" si="1"/>
        <v>42689.948636991256</v>
      </c>
      <c r="M39" s="5"/>
      <c r="N39" s="5"/>
      <c r="O39" s="5" t="str">
        <f t="shared" si="3"/>
        <v>121114</v>
      </c>
      <c r="P39" s="150">
        <f>VLOOKUP(O39,deuda!A$1:H$550,4,0)</f>
        <v>1</v>
      </c>
      <c r="Q39" s="6">
        <f>VLOOKUP(O39,deuda!A$1:H$550,5,0)</f>
        <v>0</v>
      </c>
      <c r="R39" s="6" t="str">
        <f>IF(VLOOKUP(O39,deuda!A$1:H$550,6,0)=0,"",VLOOKUP(O39,deuda!A$1:H$550,6,0))</f>
        <v/>
      </c>
      <c r="S39" s="149" t="str">
        <f>IF((VLOOKUP(O39,deuda!A$1:H$550,7,0))=0,"",VLOOKUP(O39,deuda!A$1:H$550,7,0))</f>
        <v/>
      </c>
      <c r="T39" s="153" t="str">
        <f>IF((VLOOKUP(O39,deuda!A$1:H$550,8,0))=0,"",VLOOKUP(O39,deuda!A$1:H$550,8,0))</f>
        <v/>
      </c>
    </row>
    <row r="40" spans="1:20" s="313" customFormat="1">
      <c r="A40" s="35">
        <v>20</v>
      </c>
      <c r="B40" s="5">
        <v>1211</v>
      </c>
      <c r="C40" s="5">
        <v>8</v>
      </c>
      <c r="D40" s="5">
        <v>1</v>
      </c>
      <c r="E40" s="9">
        <v>4.6264000000000003</v>
      </c>
      <c r="F40" s="103" t="str">
        <f t="shared" si="4"/>
        <v>SI</v>
      </c>
      <c r="G40" s="589" t="s">
        <v>375</v>
      </c>
      <c r="H40" s="579">
        <f>IF(Hijuelas!$G$7="POR FRACCIÓN",IF(F40="NO",0,IF(F40="cede turno",0,IF(Hijuelas!$G$8="si",IF(D40=1,E40,E40*0.8),E40))),IF(F40="NO",0,IF(F40="cede turno",0,IF(Hijuelas!$G$8="si",IF(D40=1,ROUNDUP(E40,0),ROUNDUP(E40*0.8,0)),ROUNDUP(E40,0)))))</f>
        <v>4.6264000000000003</v>
      </c>
      <c r="I40" s="618">
        <v>0</v>
      </c>
      <c r="J40" s="580">
        <f t="shared" si="2"/>
        <v>0.19415489363659241</v>
      </c>
      <c r="K40" s="174">
        <f t="shared" si="0"/>
        <v>42689.446303590368</v>
      </c>
      <c r="L40" s="174">
        <f t="shared" si="1"/>
        <v>42689.640458484006</v>
      </c>
      <c r="M40" s="312"/>
      <c r="N40" s="312"/>
      <c r="O40" s="5" t="str">
        <f t="shared" si="3"/>
        <v>12118</v>
      </c>
      <c r="P40" s="150">
        <f>VLOOKUP(O40,deuda!A$1:H$550,4,0)</f>
        <v>1</v>
      </c>
      <c r="Q40" s="6">
        <f>VLOOKUP(O40,deuda!A$1:H$550,5,0)</f>
        <v>0</v>
      </c>
      <c r="R40" s="6" t="str">
        <f>IF(VLOOKUP(O40,deuda!A$1:H$550,6,0)=0,"",VLOOKUP(O40,deuda!A$1:H$550,6,0))</f>
        <v/>
      </c>
      <c r="S40" s="149" t="str">
        <f>IF((VLOOKUP(O40,deuda!A$1:H$550,7,0))=0,"",VLOOKUP(O40,deuda!A$1:H$550,7,0))</f>
        <v/>
      </c>
      <c r="T40" s="153" t="str">
        <f>IF((VLOOKUP(O40,deuda!A$1:H$550,8,0))=0,"",VLOOKUP(O40,deuda!A$1:H$550,8,0))</f>
        <v/>
      </c>
    </row>
    <row r="41" spans="1:20">
      <c r="A41" s="35">
        <v>20</v>
      </c>
      <c r="B41" s="5">
        <v>1211</v>
      </c>
      <c r="C41" s="5">
        <v>15</v>
      </c>
      <c r="D41" s="5">
        <v>1</v>
      </c>
      <c r="E41" s="6">
        <v>4.6223000000000001</v>
      </c>
      <c r="F41" s="103" t="str">
        <f t="shared" si="4"/>
        <v>SI</v>
      </c>
      <c r="G41" s="589" t="s">
        <v>375</v>
      </c>
      <c r="H41" s="579">
        <f>IF(Hijuelas!$G$7="POR FRACCIÓN",IF(F41="NO",0,IF(F41="cede turno",0,IF(Hijuelas!$G$8="si",IF(D41=1,E41,E41*0.8),E41))),IF(F41="NO",0,IF(F41="cede turno",0,IF(Hijuelas!$G$8="si",IF(D41=1,ROUNDUP(E41,0),ROUNDUP(E41*0.8,0)),ROUNDUP(E41,0)))))</f>
        <v>4.6223000000000001</v>
      </c>
      <c r="I41" s="618">
        <v>0</v>
      </c>
      <c r="J41" s="580">
        <f t="shared" si="2"/>
        <v>0.19398283003121675</v>
      </c>
      <c r="K41" s="174">
        <f>+L42</f>
        <v>42689.252320760337</v>
      </c>
      <c r="L41" s="174">
        <f>+K41+J41+I41</f>
        <v>42689.446303590368</v>
      </c>
      <c r="M41" s="5"/>
      <c r="N41" s="5"/>
      <c r="O41" s="5" t="str">
        <f t="shared" si="3"/>
        <v>121115</v>
      </c>
      <c r="P41" s="150">
        <f>VLOOKUP(O41,deuda!A$1:H$550,4,0)</f>
        <v>1</v>
      </c>
      <c r="Q41" s="6">
        <f>VLOOKUP(O41,deuda!A$1:H$550,5,0)</f>
        <v>0</v>
      </c>
      <c r="R41" s="6" t="str">
        <f>IF(VLOOKUP(O41,deuda!A$1:H$550,6,0)=0,"",VLOOKUP(O41,deuda!A$1:H$550,6,0))</f>
        <v/>
      </c>
      <c r="S41" s="149" t="str">
        <f>IF((VLOOKUP(O41,deuda!A$1:H$550,7,0))=0,"",VLOOKUP(O41,deuda!A$1:H$550,7,0))</f>
        <v/>
      </c>
      <c r="T41" s="153" t="str">
        <f>IF((VLOOKUP(O41,deuda!A$1:H$550,8,0))=0,"",VLOOKUP(O41,deuda!A$1:H$550,8,0))</f>
        <v/>
      </c>
    </row>
    <row r="42" spans="1:20" ht="13.5" thickBot="1">
      <c r="A42" s="36">
        <v>20</v>
      </c>
      <c r="B42" s="29">
        <v>1211</v>
      </c>
      <c r="C42" s="29">
        <v>16</v>
      </c>
      <c r="D42" s="29">
        <v>1</v>
      </c>
      <c r="E42" s="33">
        <v>5.5300000000000002E-2</v>
      </c>
      <c r="F42" s="103" t="str">
        <f t="shared" si="4"/>
        <v>SI</v>
      </c>
      <c r="G42" s="632" t="s">
        <v>375</v>
      </c>
      <c r="H42" s="579">
        <f>IF(Hijuelas!$G$7="POR FRACCIÓN",IF(F42="NO",0,IF(F42="cede turno",0,IF(Hijuelas!$G$8="si",IF(D42=1,E42,E42*0.8),E42))),IF(F42="NO",0,IF(F42="cede turno",0,IF(Hijuelas!$G$8="si",IF(D42=1,ROUNDUP(E42,0),ROUNDUP(E42*0.8,0)),ROUNDUP(E42,0)))))</f>
        <v>5.5300000000000002E-2</v>
      </c>
      <c r="I42" s="621">
        <v>4.1666666666666664E-2</v>
      </c>
      <c r="J42" s="580">
        <f t="shared" si="2"/>
        <v>2.3207603359207073E-3</v>
      </c>
      <c r="K42" s="174">
        <f>+C5+I6+I42</f>
        <v>42689.25</v>
      </c>
      <c r="L42" s="174">
        <f>+K42+J42</f>
        <v>42689.252320760337</v>
      </c>
      <c r="M42" s="29"/>
      <c r="N42" s="29"/>
      <c r="O42" s="5" t="str">
        <f t="shared" si="3"/>
        <v>121116</v>
      </c>
      <c r="P42" s="150">
        <f>VLOOKUP(O42,deuda!A$1:H$550,4,0)</f>
        <v>1</v>
      </c>
      <c r="Q42" s="6">
        <f>VLOOKUP(O42,deuda!A$1:H$550,5,0)</f>
        <v>0</v>
      </c>
      <c r="R42" s="6" t="str">
        <f>IF(VLOOKUP(O42,deuda!A$1:H$550,6,0)=0,"",VLOOKUP(O42,deuda!A$1:H$550,6,0))</f>
        <v/>
      </c>
      <c r="S42" s="149" t="str">
        <f>IF((VLOOKUP(O42,deuda!A$1:H$550,7,0))=0,"",VLOOKUP(O42,deuda!A$1:H$550,7,0))</f>
        <v/>
      </c>
      <c r="T42" s="153" t="str">
        <f>IF((VLOOKUP(O42,deuda!A$1:H$550,8,0))=0,"",VLOOKUP(O42,deuda!A$1:H$550,8,0))</f>
        <v/>
      </c>
    </row>
    <row r="43" spans="1:20" ht="13.5" thickBot="1">
      <c r="E43" s="15">
        <f>SUM(E13:E42)</f>
        <v>110.49840000000003</v>
      </c>
      <c r="F43" s="15"/>
      <c r="H43" s="15">
        <f>SUM(H12:H42)</f>
        <v>98.954040000000006</v>
      </c>
      <c r="I43" s="621">
        <f>SUM(I12:I42)</f>
        <v>9.7222222222222224E-2</v>
      </c>
      <c r="J43" s="72">
        <f>SUM(J12:J42)</f>
        <v>4.1527777777777777</v>
      </c>
      <c r="K43" s="90"/>
    </row>
  </sheetData>
  <mergeCells count="7">
    <mergeCell ref="F7:G7"/>
    <mergeCell ref="A9:B9"/>
    <mergeCell ref="A5:B5"/>
    <mergeCell ref="C5:E5"/>
    <mergeCell ref="A6:B6"/>
    <mergeCell ref="C6:E6"/>
    <mergeCell ref="C9:D9"/>
  </mergeCells>
  <phoneticPr fontId="0" type="noConversion"/>
  <dataValidations disablePrompts="1" count="1">
    <dataValidation type="list" allowBlank="1" showInputMessage="1" showErrorMessage="1" errorTitle="ATENCIÓN" error="NO PUEDEN INGRESARSE VALORES" promptTitle="RECORDAR" prompt="NO OLVIDE VOLVER A PEGAR LA FORMULA PARA QUE LA PLANILLA LEA AUTOMATICAMENTE LOS DATOS " sqref="P12:P42" xr:uid="{00000000-0002-0000-2000-000000000000}">
      <formula1>"2, 3"</formula1>
    </dataValidation>
  </dataValidations>
  <pageMargins left="0.15748031496062992" right="0.15748031496062992" top="0.51181102362204722" bottom="0.27559055118110237" header="0" footer="0"/>
  <pageSetup paperSize="9" scale="85" orientation="landscape" r:id="rId1"/>
  <headerFooter alignWithMargins="0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9"/>
  <dimension ref="A1:H373"/>
  <sheetViews>
    <sheetView view="pageBreakPreview" topLeftCell="A361" zoomScale="75" zoomScaleNormal="100" workbookViewId="0" xr3:uid="{62E455AB-44C1-5DAA-A80F-CFF2989D01C0}">
      <selection activeCell="J20" sqref="J20"/>
    </sheetView>
  </sheetViews>
  <sheetFormatPr defaultColWidth="11.42578125" defaultRowHeight="12.75"/>
  <cols>
    <col min="2" max="2" width="11.5703125" bestFit="1" customWidth="1"/>
    <col min="3" max="3" width="21.85546875" bestFit="1" customWidth="1"/>
    <col min="5" max="5" width="11.5703125" bestFit="1" customWidth="1"/>
    <col min="6" max="6" width="17.28515625" customWidth="1"/>
  </cols>
  <sheetData>
    <row r="1" spans="1:8">
      <c r="A1" s="447"/>
      <c r="B1" s="448"/>
      <c r="C1" s="448"/>
      <c r="D1" s="448"/>
      <c r="E1" s="448"/>
      <c r="F1" s="449"/>
      <c r="G1" s="81"/>
    </row>
    <row r="2" spans="1:8">
      <c r="A2" s="465" t="s">
        <v>64</v>
      </c>
      <c r="B2" s="81"/>
      <c r="C2" s="81"/>
      <c r="D2" s="81"/>
      <c r="E2" s="81"/>
      <c r="F2" s="451"/>
      <c r="G2" s="81"/>
    </row>
    <row r="3" spans="1:8">
      <c r="A3" s="450"/>
      <c r="B3" s="81"/>
      <c r="C3" s="81"/>
      <c r="D3" s="81"/>
      <c r="E3" s="81"/>
      <c r="F3" s="451"/>
      <c r="G3" s="81"/>
    </row>
    <row r="4" spans="1:8">
      <c r="A4" s="450" t="s">
        <v>139</v>
      </c>
      <c r="B4" s="81" t="str">
        <f>VLOOKUP(F5,'14_1'!$A$11:$G$42,7,0)</f>
        <v>CASTRO, DIONISIO GER</v>
      </c>
      <c r="C4" s="81"/>
      <c r="D4" s="81"/>
      <c r="E4" s="81"/>
      <c r="F4" s="452" t="s">
        <v>102</v>
      </c>
      <c r="G4" s="81"/>
    </row>
    <row r="5" spans="1:8">
      <c r="A5" s="450" t="s">
        <v>72</v>
      </c>
      <c r="B5" s="81" t="str">
        <f>+'14_1'!$H$2</f>
        <v>Hijuela Quinteros</v>
      </c>
      <c r="C5" s="81"/>
      <c r="D5" s="81"/>
      <c r="E5" s="81"/>
      <c r="F5" s="452">
        <v>1</v>
      </c>
      <c r="G5" s="81"/>
    </row>
    <row r="6" spans="1:8">
      <c r="A6" s="450"/>
      <c r="B6" s="81"/>
      <c r="C6" s="81"/>
      <c r="D6" s="81"/>
      <c r="E6" s="81"/>
      <c r="F6" s="451"/>
      <c r="G6" s="81"/>
    </row>
    <row r="7" spans="1:8">
      <c r="A7" s="450" t="s">
        <v>140</v>
      </c>
      <c r="B7" s="138">
        <f>VLOOKUP(F5,'14_1'!$A$12:$B$42,2,0)</f>
        <v>1203</v>
      </c>
      <c r="C7" s="81"/>
      <c r="D7" s="139" t="s">
        <v>141</v>
      </c>
      <c r="E7" s="457">
        <f>DSUM('14_1'!A$11:J$42,'14_1'!$J$11,F4:F5)</f>
        <v>5.9261223695364025E-2</v>
      </c>
      <c r="F7" s="451"/>
      <c r="G7" s="81"/>
    </row>
    <row r="8" spans="1:8">
      <c r="A8" s="450" t="s">
        <v>142</v>
      </c>
      <c r="B8" s="205">
        <v>14</v>
      </c>
      <c r="C8" s="480"/>
      <c r="D8" s="139" t="s">
        <v>143</v>
      </c>
      <c r="E8" s="459" t="str">
        <f>+Hijuelas!$G$7</f>
        <v>POR FRACCIÓN</v>
      </c>
      <c r="F8" s="451"/>
      <c r="G8" s="81"/>
    </row>
    <row r="9" spans="1:8">
      <c r="A9" s="450" t="s">
        <v>144</v>
      </c>
      <c r="B9" s="206">
        <f>DSUM('14_1'!$A$11:$H$42,'14_1'!$H$11,F4:F5)</f>
        <v>1.4120999999999999</v>
      </c>
      <c r="C9" s="81"/>
      <c r="D9" s="139" t="s">
        <v>145</v>
      </c>
      <c r="E9" s="458" t="str">
        <f>IF(VLOOKUP(F5,'14_1'!$A$12:$D$48,4,0)=1, "Definitivo 100%", "Eventual 80%")</f>
        <v>Definitivo 100%</v>
      </c>
      <c r="F9" s="583"/>
      <c r="G9" s="81"/>
    </row>
    <row r="10" spans="1:8" ht="15.75">
      <c r="A10" s="450"/>
      <c r="B10" s="81" t="s">
        <v>146</v>
      </c>
      <c r="C10" s="477">
        <f>DMIN('14_1'!A$11:L$29,'14_1'!$K$11,F4:F5)</f>
        <v>42693.399072109649</v>
      </c>
      <c r="D10" s="189" t="str">
        <f>IF(E10=1,"Domingo",IF(E10=2,"Lunes",IF(E10=3,"Martes",IF(E10=4,"Miercoles",IF(E10=5,"Jueves",IF(E10=6,"Viernes",IF(E10=7,"Sábado",0)))))))</f>
        <v>Sábado</v>
      </c>
      <c r="E10" s="190">
        <f>WEEKDAY(C10)</f>
        <v>7</v>
      </c>
      <c r="F10" s="453" t="s">
        <v>62</v>
      </c>
      <c r="G10" s="81"/>
    </row>
    <row r="11" spans="1:8" ht="15.75">
      <c r="A11" s="450"/>
      <c r="B11" s="81" t="s">
        <v>147</v>
      </c>
      <c r="C11" s="477">
        <f>DMAX('14_1'!A$11:M$29,'14_1'!$L$11,F4:F5)</f>
        <v>42693.458333333343</v>
      </c>
      <c r="D11" s="189" t="str">
        <f>IF(E11=1,"Domingo",IF(E11=2,"Lunes",IF(E11=3,"Martes",IF(E11=4,"Miercoles",IF(E11=5,"Jueves",IF(E11=6,"Viernes",IF(E11=7,"Sábado",0)))))))</f>
        <v>Sábado</v>
      </c>
      <c r="E11" s="190">
        <f>WEEKDAY(C11)</f>
        <v>7</v>
      </c>
      <c r="F11" s="453">
        <f>WEEKDAY(C11)</f>
        <v>7</v>
      </c>
      <c r="G11" s="81"/>
    </row>
    <row r="12" spans="1:8">
      <c r="A12" s="467" t="str">
        <f>+'planilla caudales'!$J$14</f>
        <v>Caudal l/s</v>
      </c>
      <c r="B12" s="324" t="str">
        <f>+'planilla caudales'!$K$14</f>
        <v>Escala cm</v>
      </c>
      <c r="C12" s="81"/>
      <c r="D12" s="81"/>
      <c r="E12" s="584"/>
      <c r="F12" s="583"/>
      <c r="G12" s="81"/>
      <c r="H12">
        <f>17*22</f>
        <v>374</v>
      </c>
    </row>
    <row r="13" spans="1:8">
      <c r="A13" s="605" t="e">
        <f>+'planilla caudales'!#REF!</f>
        <v>#REF!</v>
      </c>
      <c r="B13" s="325" t="e">
        <f>+'planilla caudales'!#REF!</f>
        <v>#REF!</v>
      </c>
      <c r="C13" s="81"/>
      <c r="D13" s="81"/>
      <c r="E13" s="81"/>
      <c r="F13" s="451"/>
      <c r="G13" s="81"/>
    </row>
    <row r="14" spans="1:8">
      <c r="A14" s="472">
        <f>+Mensajes!$B$7</f>
        <v>0</v>
      </c>
      <c r="B14" s="10"/>
      <c r="C14" s="81"/>
      <c r="D14" s="81"/>
      <c r="E14" s="81"/>
      <c r="F14" s="451"/>
      <c r="G14" s="81"/>
    </row>
    <row r="15" spans="1:8">
      <c r="A15" s="472">
        <f>+Mensajes!$B$12</f>
        <v>0</v>
      </c>
      <c r="B15" s="81"/>
      <c r="C15" s="81"/>
      <c r="D15" s="81"/>
      <c r="E15" s="81"/>
      <c r="F15" s="451"/>
      <c r="G15" s="81"/>
    </row>
    <row r="16" spans="1:8" ht="13.5" thickBot="1">
      <c r="A16" s="468"/>
      <c r="B16" s="455"/>
      <c r="C16" s="455"/>
      <c r="D16" s="454" t="str">
        <f>IF(DSUM('14_1'!$A$11:$P$91,16,F4:F5)=COUNTIF('14_1'!$A$12:$A$91,F5),"","Regularice su Deuda")</f>
        <v/>
      </c>
      <c r="E16" s="455"/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50" t="s">
        <v>139</v>
      </c>
      <c r="B21" s="81" t="str">
        <f>VLOOKUP(F22,'14_1'!$A$11:$G$42,7,0)</f>
        <v>GOMEZ, ISABEL ELADIA</v>
      </c>
      <c r="C21" s="81"/>
      <c r="D21" s="81"/>
      <c r="E21" s="81"/>
      <c r="F21" s="452" t="s">
        <v>102</v>
      </c>
    </row>
    <row r="22" spans="1:6">
      <c r="A22" s="450" t="s">
        <v>72</v>
      </c>
      <c r="B22" s="81" t="str">
        <f>+'14_1'!$H$2</f>
        <v>Hijuela Quinteros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50" t="s">
        <v>140</v>
      </c>
      <c r="B24" s="138">
        <f>VLOOKUP(F22,'14_1'!$A$12:$B$42,2,0)</f>
        <v>1203</v>
      </c>
      <c r="C24" s="81"/>
      <c r="D24" s="139" t="s">
        <v>141</v>
      </c>
      <c r="E24" s="457">
        <f>DSUM('14_1'!A$11:J$42,'14_1'!$J$11,F21:F22)</f>
        <v>0.125543481824716</v>
      </c>
      <c r="F24" s="451"/>
    </row>
    <row r="25" spans="1:6">
      <c r="A25" s="450" t="s">
        <v>142</v>
      </c>
      <c r="B25" s="205">
        <v>8</v>
      </c>
      <c r="C25" s="480"/>
      <c r="D25" s="139" t="s">
        <v>143</v>
      </c>
      <c r="E25" s="459" t="str">
        <f>+Hijuelas!$G$7</f>
        <v>POR FRACCIÓN</v>
      </c>
      <c r="F25" s="451"/>
    </row>
    <row r="26" spans="1:6">
      <c r="A26" s="450" t="s">
        <v>144</v>
      </c>
      <c r="B26" s="206">
        <f>DSUM('14_1'!$A$11:$H$42,'14_1'!$H$11,F21:F22)</f>
        <v>2.9914999999999998</v>
      </c>
      <c r="C26" s="81"/>
      <c r="D26" s="139" t="s">
        <v>145</v>
      </c>
      <c r="E26" s="458" t="str">
        <f>IF(VLOOKUP(F22,'14_1'!$A$12:$D$48,4,0)=1, "Definitivo 100%", "Eventual 80%")</f>
        <v>Definitivo 100%</v>
      </c>
      <c r="F26" s="583"/>
    </row>
    <row r="27" spans="1:6" ht="15.75">
      <c r="A27" s="450"/>
      <c r="B27" s="81" t="s">
        <v>146</v>
      </c>
      <c r="C27" s="477">
        <f>DMIN('14_1'!A$11:L$29,'14_1'!$K$11,F21:F22)</f>
        <v>42693.273528627826</v>
      </c>
      <c r="D27" s="189" t="str">
        <f>IF(E27=1,"Domingo",IF(E27=2,"Lunes",IF(E27=3,"Martes",IF(E27=4,"Miercoles",IF(E27=5,"Jueves",IF(E27=6,"Viernes",IF(E27=7,"Sábado",0)))))))</f>
        <v>Sábado</v>
      </c>
      <c r="E27" s="190">
        <f>WEEKDAY(C27)</f>
        <v>7</v>
      </c>
      <c r="F27" s="453" t="s">
        <v>62</v>
      </c>
    </row>
    <row r="28" spans="1:6" ht="15.75">
      <c r="A28" s="450"/>
      <c r="B28" s="81" t="s">
        <v>147</v>
      </c>
      <c r="C28" s="477">
        <f>DMAX('14_1'!A$11:M$29,'14_1'!$L$11,F21:F22)</f>
        <v>42693.399072109649</v>
      </c>
      <c r="D28" s="189" t="str">
        <f>IF(E28=1,"Domingo",IF(E28=2,"Lunes",IF(E28=3,"Martes",IF(E28=4,"Miercoles",IF(E28=5,"Jueves",IF(E28=6,"Viernes",IF(E28=7,"Sábado",0)))))))</f>
        <v>Sábado</v>
      </c>
      <c r="E28" s="190">
        <f>WEEKDAY(C28)</f>
        <v>7</v>
      </c>
      <c r="F28" s="453">
        <f>WEEKDAY(C28)</f>
        <v>7</v>
      </c>
    </row>
    <row r="29" spans="1:6">
      <c r="A29" s="467" t="str">
        <f>+'planilla caudales'!$J$14</f>
        <v>Caudal l/s</v>
      </c>
      <c r="B29" s="324" t="str">
        <f>+'planilla caudales'!$K$14</f>
        <v>Escala cm</v>
      </c>
      <c r="C29" s="81"/>
      <c r="D29" s="81"/>
      <c r="E29" s="584"/>
      <c r="F29" s="583"/>
    </row>
    <row r="30" spans="1:6">
      <c r="A30" s="605" t="e">
        <f>+'planilla caudales'!#REF!</f>
        <v>#REF!</v>
      </c>
      <c r="B30" s="325" t="e">
        <f>+'planilla caudales'!#REF!</f>
        <v>#REF!</v>
      </c>
      <c r="C30" s="81"/>
      <c r="D30" s="81"/>
      <c r="E30" s="81"/>
      <c r="F30" s="451"/>
    </row>
    <row r="31" spans="1:6">
      <c r="A31" s="472">
        <f>+Mensajes!$B$7</f>
        <v>0</v>
      </c>
      <c r="B31" s="10"/>
      <c r="C31" s="81"/>
      <c r="D31" s="81"/>
      <c r="E31" s="81"/>
      <c r="F31" s="451"/>
    </row>
    <row r="32" spans="1:6">
      <c r="A32" s="472">
        <f>+Mensajes!$B$12</f>
        <v>0</v>
      </c>
      <c r="B32" s="81"/>
      <c r="C32" s="81"/>
      <c r="D32" s="81"/>
      <c r="E32" s="81"/>
      <c r="F32" s="451"/>
    </row>
    <row r="33" spans="1:6" ht="13.5" thickBot="1">
      <c r="A33" s="468"/>
      <c r="B33" s="455"/>
      <c r="C33" s="455"/>
      <c r="D33" s="454" t="str">
        <f>IF(DSUM('14_1'!$A$11:$P$91,16,F21:F22)=COUNTIF('14_1'!$A$12:$A$91,F22),"","Regularice su Deuda")</f>
        <v/>
      </c>
      <c r="E33" s="455"/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VLOOKUP(F39,'14_1'!$A$11:$G$42,7,0)</f>
        <v>CICHINELLI, RAFAEL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+'14_1'!$H$2</f>
        <v>Hijuela Quinteros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50" t="s">
        <v>140</v>
      </c>
      <c r="B41" s="138">
        <f>VLOOKUP(F39,'14_1'!$A$12:$B$42,2,0)</f>
        <v>1203</v>
      </c>
      <c r="C41" s="81"/>
      <c r="D41" s="139" t="s">
        <v>141</v>
      </c>
      <c r="E41" s="457">
        <f>DSUM('14_1'!A$11:J$42,'14_1'!$J$11,F38:F39)</f>
        <v>0.47168089908765276</v>
      </c>
      <c r="F41" s="451"/>
    </row>
    <row r="42" spans="1:6">
      <c r="A42" s="450" t="s">
        <v>142</v>
      </c>
      <c r="B42" s="205" t="s">
        <v>376</v>
      </c>
      <c r="C42" s="480"/>
      <c r="D42" s="139" t="s">
        <v>143</v>
      </c>
      <c r="E42" s="459" t="str">
        <f>+Hijuelas!$G$7</f>
        <v>POR FRACCIÓN</v>
      </c>
      <c r="F42" s="451"/>
    </row>
    <row r="43" spans="1:6">
      <c r="A43" s="450" t="s">
        <v>144</v>
      </c>
      <c r="B43" s="206">
        <f>DSUM('14_1'!$A$11:$H$42,'14_1'!$H$11,F38:F39)</f>
        <v>11.2394</v>
      </c>
      <c r="C43" s="81"/>
      <c r="D43" s="139" t="s">
        <v>145</v>
      </c>
      <c r="E43" s="458" t="str">
        <f>IF(VLOOKUP(F39,'14_1'!$A$12:$D$48,4,0)=1, "Definitivo 100%", "Eventual 80%")</f>
        <v>Definitivo 100%</v>
      </c>
      <c r="F43" s="583"/>
    </row>
    <row r="44" spans="1:6" ht="15.75">
      <c r="A44" s="450"/>
      <c r="B44" s="81" t="s">
        <v>146</v>
      </c>
      <c r="C44" s="477">
        <f>DMIN('14_1'!A$11:L$29,'14_1'!$K$11,F38:F39)</f>
        <v>42692.801847728741</v>
      </c>
      <c r="D44" s="189" t="str">
        <f>IF(E44=1,"Domingo",IF(E44=2,"Lunes",IF(E44=3,"Martes",IF(E44=4,"Miercoles",IF(E44=5,"Jueves",IF(E44=6,"Viernes",IF(E44=7,"Sábado",0)))))))</f>
        <v>Viernes</v>
      </c>
      <c r="E44" s="190">
        <f>WEEKDAY(C44)</f>
        <v>6</v>
      </c>
      <c r="F44" s="453" t="s">
        <v>62</v>
      </c>
    </row>
    <row r="45" spans="1:6" ht="15.75">
      <c r="A45" s="450"/>
      <c r="B45" s="81" t="s">
        <v>147</v>
      </c>
      <c r="C45" s="477">
        <f>DMAX('14_1'!A$11:M$29,'14_1'!$L$11,F38:F39)</f>
        <v>42693.273528627826</v>
      </c>
      <c r="D45" s="189" t="str">
        <f>IF(E45=1,"Domingo",IF(E45=2,"Lunes",IF(E45=3,"Martes",IF(E45=4,"Miercoles",IF(E45=5,"Jueves",IF(E45=6,"Viernes",IF(E45=7,"Sábado",0)))))))</f>
        <v>Sábado</v>
      </c>
      <c r="E45" s="190">
        <f>WEEKDAY(C45)</f>
        <v>7</v>
      </c>
      <c r="F45" s="453">
        <f>WEEKDAY(C45)</f>
        <v>7</v>
      </c>
    </row>
    <row r="46" spans="1:6">
      <c r="A46" s="467" t="str">
        <f>+'planilla caudales'!$J$14</f>
        <v>Caudal l/s</v>
      </c>
      <c r="B46" s="324" t="str">
        <f>+'planilla caudales'!$K$14</f>
        <v>Escala cm</v>
      </c>
      <c r="C46" s="81"/>
      <c r="D46" s="81"/>
      <c r="E46" s="584"/>
      <c r="F46" s="583"/>
    </row>
    <row r="47" spans="1:6">
      <c r="A47" s="605" t="e">
        <f>+'planilla caudales'!#REF!</f>
        <v>#REF!</v>
      </c>
      <c r="B47" s="325" t="e">
        <f>+'planilla caudales'!#REF!</f>
        <v>#REF!</v>
      </c>
      <c r="C47" s="81"/>
      <c r="D47" s="81"/>
      <c r="E47" s="81"/>
      <c r="F47" s="451"/>
    </row>
    <row r="48" spans="1:6">
      <c r="A48" s="472">
        <f>+Mensajes!$B$7</f>
        <v>0</v>
      </c>
      <c r="B48" s="10"/>
      <c r="C48" s="81"/>
      <c r="D48" s="81"/>
      <c r="E48" s="81"/>
      <c r="F48" s="451"/>
    </row>
    <row r="49" spans="1:6">
      <c r="A49" s="472">
        <f>+Mensajes!$B$12</f>
        <v>0</v>
      </c>
      <c r="B49" s="81"/>
      <c r="C49" s="81"/>
      <c r="D49" s="81"/>
      <c r="E49" s="81"/>
      <c r="F49" s="451"/>
    </row>
    <row r="50" spans="1:6" ht="13.5" thickBot="1">
      <c r="A50" s="468"/>
      <c r="B50" s="455"/>
      <c r="C50" s="455"/>
      <c r="D50" s="454" t="str">
        <f>IF(DSUM('14_1'!$A$11:$P$91,16,F38:F39)=COUNTIF('14_1'!$A$12:$A$91,F39),"","Regularice su Deuda")</f>
        <v/>
      </c>
      <c r="E50" s="455"/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VLOOKUP(F56,'14_1'!$A$11:$G$42,7,0)</f>
        <v>QUINTEROS, RAFAEL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+'14_1'!$H$2</f>
        <v>Hijuela Quinteros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50" t="s">
        <v>140</v>
      </c>
      <c r="B58" s="138">
        <f>VLOOKUP(F56,'14_1'!$A$12:$B$42,2,0)</f>
        <v>1203</v>
      </c>
      <c r="C58" s="81"/>
      <c r="D58" s="139" t="s">
        <v>141</v>
      </c>
      <c r="E58" s="457">
        <f>DSUM('14_1'!A$11:J$42,'14_1'!$J$11,F55:F56)</f>
        <v>0.32643823278407269</v>
      </c>
      <c r="F58" s="451"/>
    </row>
    <row r="59" spans="1:6">
      <c r="A59" s="450" t="s">
        <v>142</v>
      </c>
      <c r="B59" s="205" t="s">
        <v>377</v>
      </c>
      <c r="C59" s="480"/>
      <c r="D59" s="139" t="s">
        <v>143</v>
      </c>
      <c r="E59" s="459" t="str">
        <f>+Hijuelas!$G$7</f>
        <v>POR FRACCIÓN</v>
      </c>
      <c r="F59" s="451"/>
    </row>
    <row r="60" spans="1:6">
      <c r="A60" s="450" t="s">
        <v>144</v>
      </c>
      <c r="B60" s="206">
        <f>DSUM('14_1'!$A$11:$H$42,'14_1'!$H$11,F55:F56)</f>
        <v>7.7784999999999993</v>
      </c>
      <c r="C60" s="81"/>
      <c r="D60" s="139" t="s">
        <v>145</v>
      </c>
      <c r="E60" s="458" t="str">
        <f>IF(VLOOKUP(F56,'14_1'!$A$12:$D$48,4,0)=1, "Definitivo 100%", "Eventual 80%")</f>
        <v>Definitivo 100%</v>
      </c>
      <c r="F60" s="583"/>
    </row>
    <row r="61" spans="1:6" ht="15.75">
      <c r="A61" s="450"/>
      <c r="B61" s="81" t="s">
        <v>146</v>
      </c>
      <c r="C61" s="477">
        <f>DMIN('14_1'!A$11:L$29,'14_1'!$K$11,F55:F56)</f>
        <v>42692.461520607067</v>
      </c>
      <c r="D61" s="189" t="str">
        <f>IF(E61=1,"Domingo",IF(E61=2,"Lunes",IF(E61=3,"Martes",IF(E61=4,"Miercoles",IF(E61=5,"Jueves",IF(E61=6,"Viernes",IF(E61=7,"Sábado",0)))))))</f>
        <v>Viernes</v>
      </c>
      <c r="E61" s="190">
        <f>WEEKDAY(C61)</f>
        <v>6</v>
      </c>
      <c r="F61" s="453" t="s">
        <v>62</v>
      </c>
    </row>
    <row r="62" spans="1:6" ht="15.75">
      <c r="A62" s="450"/>
      <c r="B62" s="81" t="s">
        <v>147</v>
      </c>
      <c r="C62" s="477">
        <f>DMAX('14_1'!A$11:M$29,'14_1'!$L$11,F55:F56)</f>
        <v>42692.801847728741</v>
      </c>
      <c r="D62" s="189" t="str">
        <f>IF(E62=1,"Domingo",IF(E62=2,"Lunes",IF(E62=3,"Martes",IF(E62=4,"Miercoles",IF(E62=5,"Jueves",IF(E62=6,"Viernes",IF(E62=7,"Sábado",0)))))))</f>
        <v>Viernes</v>
      </c>
      <c r="E62" s="190">
        <f>WEEKDAY(C62)</f>
        <v>6</v>
      </c>
      <c r="F62" s="453">
        <f>WEEKDAY(C62)</f>
        <v>6</v>
      </c>
    </row>
    <row r="63" spans="1:6">
      <c r="A63" s="467" t="str">
        <f>+'planilla caudales'!$J$14</f>
        <v>Caudal l/s</v>
      </c>
      <c r="B63" s="324" t="str">
        <f>+'planilla caudales'!$K$14</f>
        <v>Escala cm</v>
      </c>
      <c r="C63" s="81"/>
      <c r="D63" s="81"/>
      <c r="E63" s="584"/>
      <c r="F63" s="583"/>
    </row>
    <row r="64" spans="1:6">
      <c r="A64" s="605" t="e">
        <f>+'planilla caudales'!#REF!</f>
        <v>#REF!</v>
      </c>
      <c r="B64" s="325" t="e">
        <f>+'planilla caudales'!#REF!</f>
        <v>#REF!</v>
      </c>
      <c r="C64" s="81"/>
      <c r="D64" s="81"/>
      <c r="E64" s="81"/>
      <c r="F64" s="451"/>
    </row>
    <row r="65" spans="1:6">
      <c r="A65" s="472">
        <f>+Mensajes!$B$7</f>
        <v>0</v>
      </c>
      <c r="B65" s="10"/>
      <c r="C65" s="81"/>
      <c r="D65" s="81"/>
      <c r="E65" s="81"/>
      <c r="F65" s="451"/>
    </row>
    <row r="66" spans="1:6">
      <c r="A66" s="472">
        <f>+Mensajes!$B$12</f>
        <v>0</v>
      </c>
      <c r="B66" s="81"/>
      <c r="C66" s="81"/>
      <c r="D66" s="81"/>
      <c r="E66" s="81"/>
      <c r="F66" s="451"/>
    </row>
    <row r="67" spans="1:6" ht="13.5" thickBot="1">
      <c r="A67" s="468"/>
      <c r="B67" s="455"/>
      <c r="C67" s="455"/>
      <c r="D67" s="454" t="str">
        <f>IF(DSUM('14_1'!$A$11:$P$91,16,F55:F56)=COUNTIF('14_1'!$A$12:$A$91,F56),"","Regularice su Deuda")</f>
        <v/>
      </c>
      <c r="E67" s="455"/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VLOOKUP(F73,'14_1'!$A$11:$G$42,7,0)</f>
        <v>GAMBOA DE FERNAND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+'14_1'!$H$2</f>
        <v>Hijuela Quinteros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50" t="s">
        <v>140</v>
      </c>
      <c r="B75" s="138">
        <f>VLOOKUP(F73,'14_1'!$A$12:$B$42,2,0)</f>
        <v>1203</v>
      </c>
      <c r="C75" s="81"/>
      <c r="D75" s="139" t="s">
        <v>141</v>
      </c>
      <c r="E75" s="457">
        <f>DSUM('14_1'!A$11:J$42,'14_1'!$J$11,F72:F73)</f>
        <v>4.2592037340432654E-2</v>
      </c>
      <c r="F75" s="451"/>
    </row>
    <row r="76" spans="1:6">
      <c r="A76" s="450" t="s">
        <v>142</v>
      </c>
      <c r="B76" s="205">
        <v>19</v>
      </c>
      <c r="C76" s="480"/>
      <c r="D76" s="139" t="s">
        <v>143</v>
      </c>
      <c r="E76" s="459" t="str">
        <f>+Hijuelas!$G$7</f>
        <v>POR FRACCIÓN</v>
      </c>
      <c r="F76" s="451"/>
    </row>
    <row r="77" spans="1:6">
      <c r="A77" s="450" t="s">
        <v>144</v>
      </c>
      <c r="B77" s="206">
        <f>DSUM('14_1'!$A$11:$H$42,'14_1'!$H$11,F72:F73)</f>
        <v>1.0148999999999999</v>
      </c>
      <c r="C77" s="81"/>
      <c r="D77" s="139" t="s">
        <v>145</v>
      </c>
      <c r="E77" s="458" t="str">
        <f>IF(VLOOKUP(F73,'14_1'!$A$12:$D$48,4,0)=1, "Definitivo 100%", "Eventual 80%")</f>
        <v>Definitivo 100%</v>
      </c>
      <c r="F77" s="583"/>
    </row>
    <row r="78" spans="1:6" ht="15.75">
      <c r="A78" s="450"/>
      <c r="B78" s="81" t="s">
        <v>146</v>
      </c>
      <c r="C78" s="477">
        <f>DMIN('14_1'!A$11:L$29,'14_1'!$K$11,F72:F73)</f>
        <v>42692.405039680838</v>
      </c>
      <c r="D78" s="189" t="str">
        <f>IF(E78=1,"Domingo",IF(E78=2,"Lunes",IF(E78=3,"Martes",IF(E78=4,"Miercoles",IF(E78=5,"Jueves",IF(E78=6,"Viernes",IF(E78=7,"Sábado",0)))))))</f>
        <v>Viernes</v>
      </c>
      <c r="E78" s="190">
        <f>WEEKDAY(C78)</f>
        <v>6</v>
      </c>
      <c r="F78" s="453" t="s">
        <v>62</v>
      </c>
    </row>
    <row r="79" spans="1:6" ht="15.75">
      <c r="A79" s="450"/>
      <c r="B79" s="81" t="s">
        <v>147</v>
      </c>
      <c r="C79" s="477">
        <f>DMAX('14_1'!A$11:M$29,'14_1'!$L$11,F72:F73)</f>
        <v>42692.461520607067</v>
      </c>
      <c r="D79" s="189" t="str">
        <f>IF(E79=1,"Domingo",IF(E79=2,"Lunes",IF(E79=3,"Martes",IF(E79=4,"Miercoles",IF(E79=5,"Jueves",IF(E79=6,"Viernes",IF(E79=7,"Sábado",0)))))))</f>
        <v>Viernes</v>
      </c>
      <c r="E79" s="190">
        <f>WEEKDAY(C79)</f>
        <v>6</v>
      </c>
      <c r="F79" s="453">
        <f>WEEKDAY(C79)</f>
        <v>6</v>
      </c>
    </row>
    <row r="80" spans="1:6">
      <c r="A80" s="467" t="str">
        <f>+'planilla caudales'!$J$14</f>
        <v>Caudal l/s</v>
      </c>
      <c r="B80" s="324" t="str">
        <f>+'planilla caudales'!$K$14</f>
        <v>Escala cm</v>
      </c>
      <c r="C80" s="81"/>
      <c r="D80" s="81"/>
      <c r="E80" s="584"/>
      <c r="F80" s="583"/>
    </row>
    <row r="81" spans="1:6">
      <c r="A81" s="605" t="e">
        <f>+'planilla caudales'!#REF!</f>
        <v>#REF!</v>
      </c>
      <c r="B81" s="325" t="e">
        <f>+'planilla caudales'!#REF!</f>
        <v>#REF!</v>
      </c>
      <c r="C81" s="81"/>
      <c r="D81" s="81"/>
      <c r="E81" s="81"/>
      <c r="F81" s="451"/>
    </row>
    <row r="82" spans="1:6">
      <c r="A82" s="472">
        <f>+Mensajes!$B$7</f>
        <v>0</v>
      </c>
      <c r="B82" s="10"/>
      <c r="C82" s="81"/>
      <c r="D82" s="81"/>
      <c r="E82" s="81"/>
      <c r="F82" s="451"/>
    </row>
    <row r="83" spans="1:6">
      <c r="A83" s="472">
        <f>+Mensajes!$B$12</f>
        <v>0</v>
      </c>
      <c r="B83" s="81"/>
      <c r="C83" s="81"/>
      <c r="D83" s="81"/>
      <c r="E83" s="81"/>
      <c r="F83" s="451"/>
    </row>
    <row r="84" spans="1:6" ht="13.5" thickBot="1">
      <c r="A84" s="468"/>
      <c r="B84" s="455"/>
      <c r="C84" s="455"/>
      <c r="D84" s="454" t="str">
        <f>IF(DSUM('14_1'!$A$11:$P$91,16,F72:F73)=COUNTIF('14_1'!$A$12:$A$91,F73),"","Regularice su Deuda")</f>
        <v/>
      </c>
      <c r="E84" s="455"/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VLOOKUP(F90,'14_1'!$A$11:$G$42,7,0)</f>
        <v>CORTEZ, ROMUALDO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+'14_1'!$H$2</f>
        <v>Hijuela Quinteros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50" t="s">
        <v>140</v>
      </c>
      <c r="B92" s="138">
        <f>VLOOKUP(F90,'14_1'!$A$12:$B$42,2,0)</f>
        <v>1203</v>
      </c>
      <c r="C92" s="81"/>
      <c r="D92" s="139" t="s">
        <v>141</v>
      </c>
      <c r="E92" s="457">
        <f>DSUM('14_1'!A$11:J$42,'14_1'!$J$11,F89:F90)</f>
        <v>5.6982430092461775E-2</v>
      </c>
      <c r="F92" s="451"/>
    </row>
    <row r="93" spans="1:6">
      <c r="A93" s="450" t="s">
        <v>142</v>
      </c>
      <c r="B93" s="205">
        <v>43</v>
      </c>
      <c r="C93" s="480"/>
      <c r="D93" s="139" t="s">
        <v>143</v>
      </c>
      <c r="E93" s="459" t="str">
        <f>+Hijuelas!$G$7</f>
        <v>POR FRACCIÓN</v>
      </c>
      <c r="F93" s="451"/>
    </row>
    <row r="94" spans="1:6">
      <c r="A94" s="450" t="s">
        <v>144</v>
      </c>
      <c r="B94" s="206">
        <f>DSUM('14_1'!$A$11:$H$42,'14_1'!$H$11,F89:F90)</f>
        <v>1.3577999999999999</v>
      </c>
      <c r="C94" s="81"/>
      <c r="D94" s="139" t="s">
        <v>145</v>
      </c>
      <c r="E94" s="458" t="str">
        <f>IF(VLOOKUP(F90,'14_1'!$A$12:$D$48,4,0)=1, "Definitivo 100%", "Eventual 80%")</f>
        <v>Definitivo 100%</v>
      </c>
      <c r="F94" s="583"/>
    </row>
    <row r="95" spans="1:6" ht="15.75">
      <c r="A95" s="450"/>
      <c r="B95" s="81" t="s">
        <v>146</v>
      </c>
      <c r="C95" s="477">
        <f>DMIN('14_1'!A$11:L$29,'14_1'!$K$11,F89:F90)</f>
        <v>42692.348057250747</v>
      </c>
      <c r="D95" s="189" t="str">
        <f>IF(E95=1,"Domingo",IF(E95=2,"Lunes",IF(E95=3,"Martes",IF(E95=4,"Miercoles",IF(E95=5,"Jueves",IF(E95=6,"Viernes",IF(E95=7,"Sábado",0)))))))</f>
        <v>Viernes</v>
      </c>
      <c r="E95" s="190">
        <f>WEEKDAY(C95)</f>
        <v>6</v>
      </c>
      <c r="F95" s="453" t="s">
        <v>62</v>
      </c>
    </row>
    <row r="96" spans="1:6" ht="15.75">
      <c r="A96" s="450"/>
      <c r="B96" s="81" t="s">
        <v>147</v>
      </c>
      <c r="C96" s="477">
        <f>DMAX('14_1'!A$11:M$29,'14_1'!$L$11,F89:F90)</f>
        <v>42692.405039680838</v>
      </c>
      <c r="D96" s="189" t="str">
        <f>IF(E96=1,"Domingo",IF(E96=2,"Lunes",IF(E96=3,"Martes",IF(E96=4,"Miercoles",IF(E96=5,"Jueves",IF(E96=6,"Viernes",IF(E96=7,"Sábado",0)))))))</f>
        <v>Viernes</v>
      </c>
      <c r="E96" s="190">
        <f>WEEKDAY(C96)</f>
        <v>6</v>
      </c>
      <c r="F96" s="453">
        <f>WEEKDAY(C96)</f>
        <v>6</v>
      </c>
    </row>
    <row r="97" spans="1:6">
      <c r="A97" s="467" t="str">
        <f>+'planilla caudales'!$J$14</f>
        <v>Caudal l/s</v>
      </c>
      <c r="B97" s="324" t="str">
        <f>+'planilla caudales'!$K$14</f>
        <v>Escala cm</v>
      </c>
      <c r="C97" s="81"/>
      <c r="D97" s="81"/>
      <c r="E97" s="584"/>
      <c r="F97" s="583"/>
    </row>
    <row r="98" spans="1:6">
      <c r="A98" s="605" t="e">
        <f>+'planilla caudales'!#REF!</f>
        <v>#REF!</v>
      </c>
      <c r="B98" s="325" t="e">
        <f>+'planilla caudales'!#REF!</f>
        <v>#REF!</v>
      </c>
      <c r="C98" s="81"/>
      <c r="D98" s="81"/>
      <c r="E98" s="81"/>
      <c r="F98" s="451"/>
    </row>
    <row r="99" spans="1:6">
      <c r="A99" s="472">
        <f>+Mensajes!$B$7</f>
        <v>0</v>
      </c>
      <c r="B99" s="10"/>
      <c r="C99" s="81"/>
      <c r="D99" s="81"/>
      <c r="E99" s="81"/>
      <c r="F99" s="451"/>
    </row>
    <row r="100" spans="1:6">
      <c r="A100" s="472">
        <f>+Mensajes!$B$12</f>
        <v>0</v>
      </c>
      <c r="B100" s="81"/>
      <c r="C100" s="81"/>
      <c r="D100" s="81"/>
      <c r="E100" s="81"/>
      <c r="F100" s="451"/>
    </row>
    <row r="101" spans="1:6" ht="13.5" thickBot="1">
      <c r="A101" s="468"/>
      <c r="B101" s="455"/>
      <c r="C101" s="455"/>
      <c r="D101" s="454" t="str">
        <f>IF(DSUM('14_1'!$A$11:$P$91,16,F89:F90)=COUNTIF('14_1'!$A$12:$A$91,F90),"","Regularice su Deuda")</f>
        <v/>
      </c>
      <c r="E101" s="455"/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50" t="s">
        <v>139</v>
      </c>
      <c r="B106" s="81" t="str">
        <f>VLOOKUP(F107,'14_1'!$A$11:$G$42,7,0)</f>
        <v>CORTEZ, ROMUALDO</v>
      </c>
      <c r="C106" s="81"/>
      <c r="D106" s="81"/>
      <c r="E106" s="81"/>
      <c r="F106" s="452" t="s">
        <v>102</v>
      </c>
    </row>
    <row r="107" spans="1:6">
      <c r="A107" s="450" t="s">
        <v>72</v>
      </c>
      <c r="B107" s="81" t="str">
        <f>+'14_1'!$H$2</f>
        <v>Hijuela Quinteros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50" t="s">
        <v>140</v>
      </c>
      <c r="B109" s="138">
        <f>VLOOKUP(F107,'14_1'!$A$12:$B$42,2,0)</f>
        <v>1203</v>
      </c>
      <c r="C109" s="81"/>
      <c r="D109" s="139" t="s">
        <v>141</v>
      </c>
      <c r="E109" s="457">
        <f>DSUM('14_1'!A$11:J$42,'14_1'!$J$11,F106:F107)</f>
        <v>5.786792815915124E-2</v>
      </c>
      <c r="F109" s="451"/>
    </row>
    <row r="110" spans="1:6">
      <c r="A110" s="450" t="s">
        <v>142</v>
      </c>
      <c r="B110" s="205">
        <v>42</v>
      </c>
      <c r="C110" s="480"/>
      <c r="D110" s="139" t="s">
        <v>143</v>
      </c>
      <c r="E110" s="459" t="str">
        <f>+Hijuelas!$G$7</f>
        <v>POR FRACCIÓN</v>
      </c>
      <c r="F110" s="451"/>
    </row>
    <row r="111" spans="1:6">
      <c r="A111" s="450" t="s">
        <v>144</v>
      </c>
      <c r="B111" s="206">
        <f>DSUM('14_1'!$A$11:$H$42,'14_1'!$H$11,F106:F107)</f>
        <v>1.3789</v>
      </c>
      <c r="C111" s="81"/>
      <c r="D111" s="139" t="s">
        <v>145</v>
      </c>
      <c r="E111" s="458" t="str">
        <f>IF(VLOOKUP(F107,'14_1'!$A$12:$D$48,4,0)=1, "Definitivo 100%", "Eventual 80%")</f>
        <v>Definitivo 100%</v>
      </c>
      <c r="F111" s="583"/>
    </row>
    <row r="112" spans="1:6" ht="15.75">
      <c r="A112" s="450"/>
      <c r="B112" s="81" t="s">
        <v>146</v>
      </c>
      <c r="C112" s="477">
        <f>DMIN('14_1'!A$11:L$29,'14_1'!$K$11,F106:F107)</f>
        <v>42692.290189322586</v>
      </c>
      <c r="D112" s="189" t="str">
        <f>IF(E112=1,"Domingo",IF(E112=2,"Lunes",IF(E112=3,"Martes",IF(E112=4,"Miercoles",IF(E112=5,"Jueves",IF(E112=6,"Viernes",IF(E112=7,"Sábado",0)))))))</f>
        <v>Viernes</v>
      </c>
      <c r="E112" s="190">
        <f>WEEKDAY(C112)</f>
        <v>6</v>
      </c>
      <c r="F112" s="453" t="s">
        <v>62</v>
      </c>
    </row>
    <row r="113" spans="1:6" ht="15.75">
      <c r="A113" s="450"/>
      <c r="B113" s="81" t="s">
        <v>147</v>
      </c>
      <c r="C113" s="477">
        <f>DMAX('14_1'!A$11:M$29,'14_1'!$L$11,F106:F107)</f>
        <v>42692.348057250747</v>
      </c>
      <c r="D113" s="189" t="str">
        <f>IF(E113=1,"Domingo",IF(E113=2,"Lunes",IF(E113=3,"Martes",IF(E113=4,"Miercoles",IF(E113=5,"Jueves",IF(E113=6,"Viernes",IF(E113=7,"Sábado",0)))))))</f>
        <v>Viernes</v>
      </c>
      <c r="E113" s="190">
        <f>WEEKDAY(C113)</f>
        <v>6</v>
      </c>
      <c r="F113" s="453">
        <f>WEEKDAY(C113)</f>
        <v>6</v>
      </c>
    </row>
    <row r="114" spans="1:6">
      <c r="A114" s="467" t="str">
        <f>+'planilla caudales'!$J$14</f>
        <v>Caudal l/s</v>
      </c>
      <c r="B114" s="324" t="str">
        <f>+'planilla caudales'!$K$14</f>
        <v>Escala cm</v>
      </c>
      <c r="C114" s="81"/>
      <c r="D114" s="81"/>
      <c r="E114" s="584"/>
      <c r="F114" s="583"/>
    </row>
    <row r="115" spans="1:6">
      <c r="A115" s="605" t="e">
        <f>+'planilla caudales'!#REF!</f>
        <v>#REF!</v>
      </c>
      <c r="B115" s="325" t="e">
        <f>+'planilla caudales'!#REF!</f>
        <v>#REF!</v>
      </c>
      <c r="C115" s="81"/>
      <c r="D115" s="81"/>
      <c r="E115" s="81"/>
      <c r="F115" s="451"/>
    </row>
    <row r="116" spans="1:6">
      <c r="A116" s="472">
        <f>+Mensajes!$B$7</f>
        <v>0</v>
      </c>
      <c r="B116" s="10"/>
      <c r="C116" s="81"/>
      <c r="D116" s="81"/>
      <c r="E116" s="81"/>
      <c r="F116" s="451"/>
    </row>
    <row r="117" spans="1:6">
      <c r="A117" s="472">
        <f>+Mensajes!$B$12</f>
        <v>0</v>
      </c>
      <c r="B117" s="81"/>
      <c r="C117" s="81"/>
      <c r="D117" s="81"/>
      <c r="E117" s="81"/>
      <c r="F117" s="451"/>
    </row>
    <row r="118" spans="1:6" ht="13.5" thickBot="1">
      <c r="A118" s="468"/>
      <c r="B118" s="455"/>
      <c r="C118" s="455"/>
      <c r="D118" s="454" t="str">
        <f>IF(DSUM('14_1'!$A$11:$P$91,16,F106:F107)=COUNTIF('14_1'!$A$12:$A$91,F107),"","Regularice su Deuda")</f>
        <v/>
      </c>
      <c r="E118" s="455"/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50" t="s">
        <v>139</v>
      </c>
      <c r="B123" s="81" t="str">
        <f>VLOOKUP(F124,'14_1'!$A$11:$G$42,7,0)</f>
        <v>CORTEZ, ROMUALDO</v>
      </c>
      <c r="C123" s="81"/>
      <c r="D123" s="81"/>
      <c r="E123" s="81"/>
      <c r="F123" s="452" t="s">
        <v>102</v>
      </c>
    </row>
    <row r="124" spans="1:6">
      <c r="A124" s="450" t="s">
        <v>72</v>
      </c>
      <c r="B124" s="81" t="str">
        <f>+'14_1'!$H$2</f>
        <v>Hijuela Quinteros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50" t="s">
        <v>140</v>
      </c>
      <c r="B126" s="138">
        <f>VLOOKUP(F124,'14_1'!$A$12:$B$42,2,0)</f>
        <v>1203</v>
      </c>
      <c r="C126" s="81"/>
      <c r="D126" s="139" t="s">
        <v>141</v>
      </c>
      <c r="E126" s="457">
        <f>DSUM('14_1'!A$11:J$42,'14_1'!$J$11,F123:F124)</f>
        <v>5.786792815915124E-2</v>
      </c>
      <c r="F126" s="451"/>
    </row>
    <row r="127" spans="1:6">
      <c r="A127" s="450" t="s">
        <v>142</v>
      </c>
      <c r="B127" s="205">
        <v>41</v>
      </c>
      <c r="C127" s="480"/>
      <c r="D127" s="139" t="s">
        <v>143</v>
      </c>
      <c r="E127" s="459" t="str">
        <f>+Hijuelas!$G$7</f>
        <v>POR FRACCIÓN</v>
      </c>
      <c r="F127" s="451"/>
    </row>
    <row r="128" spans="1:6">
      <c r="A128" s="450" t="s">
        <v>144</v>
      </c>
      <c r="B128" s="206">
        <f>DSUM('14_1'!$A$11:$H$42,'14_1'!$H$11,F123:F124)</f>
        <v>1.3789</v>
      </c>
      <c r="C128" s="81"/>
      <c r="D128" s="139" t="s">
        <v>145</v>
      </c>
      <c r="E128" s="458" t="str">
        <f>IF(VLOOKUP(F124,'14_1'!$A$12:$D$48,4,0)=1, "Definitivo 100%", "Eventual 80%")</f>
        <v>Definitivo 100%</v>
      </c>
      <c r="F128" s="583"/>
    </row>
    <row r="129" spans="1:6" ht="15.75">
      <c r="A129" s="450"/>
      <c r="B129" s="81" t="s">
        <v>146</v>
      </c>
      <c r="C129" s="477">
        <f>DMIN('14_1'!A$11:L$29,'14_1'!$K$11,F123:F124)</f>
        <v>42692.232321394426</v>
      </c>
      <c r="D129" s="189" t="str">
        <f>IF(E129=1,"Domingo",IF(E129=2,"Lunes",IF(E129=3,"Martes",IF(E129=4,"Miercoles",IF(E129=5,"Jueves",IF(E129=6,"Viernes",IF(E129=7,"Sábado",0)))))))</f>
        <v>Viernes</v>
      </c>
      <c r="E129" s="190">
        <f>WEEKDAY(C129)</f>
        <v>6</v>
      </c>
      <c r="F129" s="453" t="s">
        <v>62</v>
      </c>
    </row>
    <row r="130" spans="1:6" ht="15.75">
      <c r="A130" s="450"/>
      <c r="B130" s="81" t="s">
        <v>147</v>
      </c>
      <c r="C130" s="477">
        <f>DMAX('14_1'!A$11:M$29,'14_1'!$L$11,F123:F124)</f>
        <v>42692.290189322586</v>
      </c>
      <c r="D130" s="189" t="str">
        <f>IF(E130=1,"Domingo",IF(E130=2,"Lunes",IF(E130=3,"Martes",IF(E130=4,"Miercoles",IF(E130=5,"Jueves",IF(E130=6,"Viernes",IF(E130=7,"Sábado",0)))))))</f>
        <v>Viernes</v>
      </c>
      <c r="E130" s="190">
        <f>WEEKDAY(C130)</f>
        <v>6</v>
      </c>
      <c r="F130" s="453">
        <f>WEEKDAY(C130)</f>
        <v>6</v>
      </c>
    </row>
    <row r="131" spans="1:6">
      <c r="A131" s="467" t="str">
        <f>+'planilla caudales'!$J$14</f>
        <v>Caudal l/s</v>
      </c>
      <c r="B131" s="324" t="str">
        <f>+'planilla caudales'!$K$14</f>
        <v>Escala cm</v>
      </c>
      <c r="C131" s="81"/>
      <c r="D131" s="81"/>
      <c r="E131" s="584"/>
      <c r="F131" s="583"/>
    </row>
    <row r="132" spans="1:6">
      <c r="A132" s="605" t="e">
        <f>+'planilla caudales'!#REF!</f>
        <v>#REF!</v>
      </c>
      <c r="B132" s="325" t="e">
        <f>+'planilla caudales'!#REF!</f>
        <v>#REF!</v>
      </c>
      <c r="C132" s="81"/>
      <c r="D132" s="81"/>
      <c r="E132" s="81"/>
      <c r="F132" s="451"/>
    </row>
    <row r="133" spans="1:6">
      <c r="A133" s="472">
        <f>+Mensajes!$B$7</f>
        <v>0</v>
      </c>
      <c r="B133" s="10"/>
      <c r="C133" s="81"/>
      <c r="D133" s="81"/>
      <c r="E133" s="81"/>
      <c r="F133" s="451"/>
    </row>
    <row r="134" spans="1:6">
      <c r="A134" s="472">
        <f>+Mensajes!$B$12</f>
        <v>0</v>
      </c>
      <c r="B134" s="81"/>
      <c r="C134" s="81"/>
      <c r="D134" s="81"/>
      <c r="E134" s="81"/>
      <c r="F134" s="451"/>
    </row>
    <row r="135" spans="1:6" ht="13.5" thickBot="1">
      <c r="A135" s="468"/>
      <c r="B135" s="455"/>
      <c r="C135" s="455"/>
      <c r="D135" s="454" t="str">
        <f>IF(DSUM('14_1'!$A$11:$P$91,16,F123:F124)=COUNTIF('14_1'!$A$12:$A$91,F124),"","Regularice su Deuda")</f>
        <v/>
      </c>
      <c r="E135" s="455"/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50" t="s">
        <v>139</v>
      </c>
      <c r="B140" s="81" t="str">
        <f>VLOOKUP(F141,'14_1'!$A$11:$G$42,7,0)</f>
        <v>CORTEZ, ROMUALDO</v>
      </c>
      <c r="C140" s="81"/>
      <c r="D140" s="81"/>
      <c r="E140" s="81"/>
      <c r="F140" s="452" t="s">
        <v>102</v>
      </c>
    </row>
    <row r="141" spans="1:6">
      <c r="A141" s="450" t="s">
        <v>72</v>
      </c>
      <c r="B141" s="81" t="str">
        <f>+'14_1'!$H$2</f>
        <v>Hijuela Quinteros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50" t="s">
        <v>140</v>
      </c>
      <c r="B143" s="138">
        <f>VLOOKUP(F141,'14_1'!$A$12:$B$42,2,0)</f>
        <v>1203</v>
      </c>
      <c r="C143" s="81"/>
      <c r="D143" s="139" t="s">
        <v>141</v>
      </c>
      <c r="E143" s="457">
        <f>DSUM('14_1'!A$11:J$42,'14_1'!$J$11,F140:F141)</f>
        <v>0</v>
      </c>
      <c r="F143" s="451"/>
    </row>
    <row r="144" spans="1:6">
      <c r="A144" s="450" t="s">
        <v>142</v>
      </c>
      <c r="B144" s="205">
        <v>40</v>
      </c>
      <c r="C144" s="480"/>
      <c r="D144" s="139" t="s">
        <v>143</v>
      </c>
      <c r="E144" s="459" t="str">
        <f>+Hijuelas!$G$7</f>
        <v>POR FRACCIÓN</v>
      </c>
      <c r="F144" s="451"/>
    </row>
    <row r="145" spans="1:6">
      <c r="A145" s="450" t="s">
        <v>144</v>
      </c>
      <c r="B145" s="206">
        <f>DSUM('14_1'!$A$11:$H$42,'14_1'!$H$11,F140:F141)</f>
        <v>0</v>
      </c>
      <c r="C145" s="81"/>
      <c r="D145" s="139" t="s">
        <v>145</v>
      </c>
      <c r="E145" s="458" t="str">
        <f>IF(VLOOKUP(F141,'14_1'!$A$12:$D$48,4,0)=1, "Definitivo 100%", "Eventual 80%")</f>
        <v>Definitivo 100%</v>
      </c>
      <c r="F145" s="583"/>
    </row>
    <row r="146" spans="1:6" ht="15.75">
      <c r="A146" s="450"/>
      <c r="B146" s="81" t="s">
        <v>146</v>
      </c>
      <c r="C146" s="477">
        <f>DMIN('14_1'!A$11:L$29,'14_1'!$K$11,F140:F141)</f>
        <v>42692.232321394426</v>
      </c>
      <c r="D146" s="189" t="str">
        <f>IF(E146=1,"Domingo",IF(E146=2,"Lunes",IF(E146=3,"Martes",IF(E146=4,"Miercoles",IF(E146=5,"Jueves",IF(E146=6,"Viernes",IF(E146=7,"Sábado",0)))))))</f>
        <v>Viernes</v>
      </c>
      <c r="E146" s="190">
        <f>WEEKDAY(C146)</f>
        <v>6</v>
      </c>
      <c r="F146" s="453" t="s">
        <v>62</v>
      </c>
    </row>
    <row r="147" spans="1:6" ht="15.75">
      <c r="A147" s="450"/>
      <c r="B147" s="81" t="s">
        <v>147</v>
      </c>
      <c r="C147" s="477">
        <f>DMAX('14_1'!A$11:M$29,'14_1'!$L$11,F140:F141)</f>
        <v>42692.232321394426</v>
      </c>
      <c r="D147" s="189" t="str">
        <f>IF(E147=1,"Domingo",IF(E147=2,"Lunes",IF(E147=3,"Martes",IF(E147=4,"Miercoles",IF(E147=5,"Jueves",IF(E147=6,"Viernes",IF(E147=7,"Sábado",0)))))))</f>
        <v>Viernes</v>
      </c>
      <c r="E147" s="190">
        <f>WEEKDAY(C147)</f>
        <v>6</v>
      </c>
      <c r="F147" s="453">
        <f>WEEKDAY(C147)</f>
        <v>6</v>
      </c>
    </row>
    <row r="148" spans="1:6">
      <c r="A148" s="467" t="str">
        <f>+'planilla caudales'!$J$14</f>
        <v>Caudal l/s</v>
      </c>
      <c r="B148" s="324" t="str">
        <f>+'planilla caudales'!$K$14</f>
        <v>Escala cm</v>
      </c>
      <c r="C148" s="81"/>
      <c r="D148" s="81"/>
      <c r="E148" s="584"/>
      <c r="F148" s="583"/>
    </row>
    <row r="149" spans="1:6">
      <c r="A149" s="605" t="e">
        <f>+'planilla caudales'!#REF!</f>
        <v>#REF!</v>
      </c>
      <c r="B149" s="325" t="e">
        <f>+'planilla caudales'!#REF!</f>
        <v>#REF!</v>
      </c>
      <c r="C149" s="81"/>
      <c r="D149" s="81"/>
      <c r="E149" s="81"/>
      <c r="F149" s="451"/>
    </row>
    <row r="150" spans="1:6">
      <c r="A150" s="472">
        <f>+Mensajes!$B$7</f>
        <v>0</v>
      </c>
      <c r="B150" s="10"/>
      <c r="C150" s="81"/>
      <c r="D150" s="81"/>
      <c r="E150" s="81"/>
      <c r="F150" s="451"/>
    </row>
    <row r="151" spans="1:6">
      <c r="A151" s="472">
        <f>+Mensajes!$B$12</f>
        <v>0</v>
      </c>
      <c r="B151" s="81"/>
      <c r="C151" s="81"/>
      <c r="D151" s="81"/>
      <c r="E151" s="81"/>
      <c r="F151" s="451"/>
    </row>
    <row r="152" spans="1:6" ht="13.5" thickBot="1">
      <c r="A152" s="468"/>
      <c r="B152" s="455"/>
      <c r="C152" s="455"/>
      <c r="D152" s="454" t="str">
        <f>IF(DSUM('14_1'!$A$11:$P$91,16,F140:F141)=COUNTIF('14_1'!$A$12:$A$91,F141),"","Regularice su Deuda")</f>
        <v>Regularice su Deuda</v>
      </c>
      <c r="E152" s="455"/>
      <c r="F152" s="456"/>
    </row>
    <row r="153" spans="1:6" ht="13.5" thickBot="1"/>
    <row r="154" spans="1:6">
      <c r="A154" s="447"/>
      <c r="B154" s="448"/>
      <c r="C154" s="448"/>
      <c r="D154" s="448"/>
      <c r="E154" s="448"/>
      <c r="F154" s="449"/>
    </row>
    <row r="155" spans="1:6">
      <c r="A155" s="465" t="s">
        <v>64</v>
      </c>
      <c r="B155" s="81"/>
      <c r="C155" s="81"/>
      <c r="D155" s="81"/>
      <c r="E155" s="81"/>
      <c r="F155" s="451"/>
    </row>
    <row r="156" spans="1:6">
      <c r="A156" s="450"/>
      <c r="B156" s="81"/>
      <c r="C156" s="81"/>
      <c r="D156" s="81"/>
      <c r="E156" s="81"/>
      <c r="F156" s="451"/>
    </row>
    <row r="157" spans="1:6">
      <c r="A157" s="450" t="s">
        <v>139</v>
      </c>
      <c r="B157" s="81" t="str">
        <f>VLOOKUP(F158,'14_1'!$A$11:$G$42,7,0)</f>
        <v>CORTEZ, ANTONIO ROM</v>
      </c>
      <c r="C157" s="81"/>
      <c r="D157" s="81"/>
      <c r="E157" s="81"/>
      <c r="F157" s="452" t="s">
        <v>102</v>
      </c>
    </row>
    <row r="158" spans="1:6">
      <c r="A158" s="450" t="s">
        <v>72</v>
      </c>
      <c r="B158" s="81" t="str">
        <f>+'14_1'!$H$2</f>
        <v>Hijuela Quinteros</v>
      </c>
      <c r="C158" s="81"/>
      <c r="D158" s="81"/>
      <c r="E158" s="81"/>
      <c r="F158" s="452">
        <v>10</v>
      </c>
    </row>
    <row r="159" spans="1:6">
      <c r="A159" s="450"/>
      <c r="B159" s="81"/>
      <c r="C159" s="81"/>
      <c r="D159" s="81"/>
      <c r="E159" s="81"/>
      <c r="F159" s="451"/>
    </row>
    <row r="160" spans="1:6">
      <c r="A160" s="450" t="s">
        <v>140</v>
      </c>
      <c r="B160" s="138">
        <f>VLOOKUP(F158,'14_1'!$A$12:$B$42,2,0)</f>
        <v>1203</v>
      </c>
      <c r="C160" s="81"/>
      <c r="D160" s="139" t="s">
        <v>141</v>
      </c>
      <c r="E160" s="457">
        <f>DSUM('14_1'!A$11:J$42,'14_1'!$J$11,F157:F158)</f>
        <v>0</v>
      </c>
      <c r="F160" s="451"/>
    </row>
    <row r="161" spans="1:6">
      <c r="A161" s="450" t="s">
        <v>142</v>
      </c>
      <c r="B161" s="205">
        <v>39</v>
      </c>
      <c r="C161" s="480"/>
      <c r="D161" s="139" t="s">
        <v>143</v>
      </c>
      <c r="E161" s="459" t="str">
        <f>+Hijuelas!$G$7</f>
        <v>POR FRACCIÓN</v>
      </c>
      <c r="F161" s="451"/>
    </row>
    <row r="162" spans="1:6">
      <c r="A162" s="450" t="s">
        <v>144</v>
      </c>
      <c r="B162" s="206">
        <f>DSUM('14_1'!$A$11:$H$42,'14_1'!$H$11,F157:F158)</f>
        <v>0</v>
      </c>
      <c r="C162" s="81"/>
      <c r="D162" s="139" t="s">
        <v>145</v>
      </c>
      <c r="E162" s="458" t="str">
        <f>IF(VLOOKUP(F158,'14_1'!$A$12:$D$48,4,0)=1, "Definitivo 100%", "Eventual 80%")</f>
        <v>Definitivo 100%</v>
      </c>
      <c r="F162" s="583"/>
    </row>
    <row r="163" spans="1:6" ht="15.75">
      <c r="A163" s="450"/>
      <c r="B163" s="81" t="s">
        <v>146</v>
      </c>
      <c r="C163" s="477">
        <f>DMIN('14_1'!A$11:L$29,'14_1'!$K$11,F157:F158)</f>
        <v>42692.232321394426</v>
      </c>
      <c r="D163" s="189" t="str">
        <f>IF(E163=1,"Domingo",IF(E163=2,"Lunes",IF(E163=3,"Martes",IF(E163=4,"Miercoles",IF(E163=5,"Jueves",IF(E163=6,"Viernes",IF(E163=7,"Sábado",0)))))))</f>
        <v>Viernes</v>
      </c>
      <c r="E163" s="190">
        <f>WEEKDAY(C163)</f>
        <v>6</v>
      </c>
      <c r="F163" s="453" t="s">
        <v>62</v>
      </c>
    </row>
    <row r="164" spans="1:6" ht="15.75">
      <c r="A164" s="450"/>
      <c r="B164" s="81" t="s">
        <v>147</v>
      </c>
      <c r="C164" s="477">
        <f>DMAX('14_1'!A$11:M$29,'14_1'!$L$11,F157:F158)</f>
        <v>42692.232321394426</v>
      </c>
      <c r="D164" s="189" t="str">
        <f>IF(E164=1,"Domingo",IF(E164=2,"Lunes",IF(E164=3,"Martes",IF(E164=4,"Miercoles",IF(E164=5,"Jueves",IF(E164=6,"Viernes",IF(E164=7,"Sábado",0)))))))</f>
        <v>Viernes</v>
      </c>
      <c r="E164" s="190">
        <f>WEEKDAY(C164)</f>
        <v>6</v>
      </c>
      <c r="F164" s="453">
        <f>WEEKDAY(C164)</f>
        <v>6</v>
      </c>
    </row>
    <row r="165" spans="1:6">
      <c r="A165" s="467" t="str">
        <f>+'planilla caudales'!$J$14</f>
        <v>Caudal l/s</v>
      </c>
      <c r="B165" s="324" t="str">
        <f>+'planilla caudales'!$K$14</f>
        <v>Escala cm</v>
      </c>
      <c r="C165" s="81"/>
      <c r="D165" s="81"/>
      <c r="E165" s="584"/>
      <c r="F165" s="583"/>
    </row>
    <row r="166" spans="1:6">
      <c r="A166" s="605" t="e">
        <f>+'planilla caudales'!#REF!</f>
        <v>#REF!</v>
      </c>
      <c r="B166" s="325" t="e">
        <f>+'planilla caudales'!#REF!</f>
        <v>#REF!</v>
      </c>
      <c r="C166" s="81"/>
      <c r="D166" s="81"/>
      <c r="E166" s="81"/>
      <c r="F166" s="451"/>
    </row>
    <row r="167" spans="1:6">
      <c r="A167" s="472">
        <f>+Mensajes!$B$7</f>
        <v>0</v>
      </c>
      <c r="B167" s="10"/>
      <c r="C167" s="81"/>
      <c r="D167" s="81"/>
      <c r="E167" s="81"/>
      <c r="F167" s="451"/>
    </row>
    <row r="168" spans="1:6">
      <c r="A168" s="472">
        <f>+Mensajes!$B$12</f>
        <v>0</v>
      </c>
      <c r="B168" s="81"/>
      <c r="C168" s="81"/>
      <c r="D168" s="81"/>
      <c r="E168" s="81"/>
      <c r="F168" s="451"/>
    </row>
    <row r="169" spans="1:6" ht="13.5" thickBot="1">
      <c r="A169" s="468"/>
      <c r="B169" s="455"/>
      <c r="C169" s="455"/>
      <c r="D169" s="454" t="str">
        <f>IF(DSUM('14_1'!$A$11:$P$91,16,F157:F158)=COUNTIF('14_1'!$A$12:$A$91,F158),"","Regularice su Deuda")</f>
        <v>Regularice su Deuda</v>
      </c>
      <c r="E169" s="455"/>
      <c r="F169" s="456"/>
    </row>
    <row r="170" spans="1:6" ht="13.5" thickBot="1"/>
    <row r="171" spans="1:6">
      <c r="A171" s="447"/>
      <c r="B171" s="448"/>
      <c r="C171" s="448"/>
      <c r="D171" s="448"/>
      <c r="E171" s="448"/>
      <c r="F171" s="449"/>
    </row>
    <row r="172" spans="1:6">
      <c r="A172" s="465" t="s">
        <v>64</v>
      </c>
      <c r="B172" s="81"/>
      <c r="C172" s="81"/>
      <c r="D172" s="81"/>
      <c r="E172" s="81"/>
      <c r="F172" s="451"/>
    </row>
    <row r="173" spans="1:6">
      <c r="A173" s="450"/>
      <c r="B173" s="81"/>
      <c r="C173" s="81"/>
      <c r="D173" s="81"/>
      <c r="E173" s="81"/>
      <c r="F173" s="451"/>
    </row>
    <row r="174" spans="1:6">
      <c r="A174" s="450" t="s">
        <v>139</v>
      </c>
      <c r="B174" s="81" t="str">
        <f>VLOOKUP(F175,'14_1'!$A$11:$G$42,7,0)</f>
        <v xml:space="preserve">CORTEZ, JUAN </v>
      </c>
      <c r="C174" s="81"/>
      <c r="D174" s="81"/>
      <c r="E174" s="81"/>
      <c r="F174" s="452" t="s">
        <v>102</v>
      </c>
    </row>
    <row r="175" spans="1:6">
      <c r="A175" s="450" t="s">
        <v>72</v>
      </c>
      <c r="B175" s="81" t="str">
        <f>+'14_1'!$H$2</f>
        <v>Hijuela Quinteros</v>
      </c>
      <c r="C175" s="81"/>
      <c r="D175" s="81"/>
      <c r="E175" s="81"/>
      <c r="F175" s="452">
        <v>11</v>
      </c>
    </row>
    <row r="176" spans="1:6">
      <c r="A176" s="450"/>
      <c r="B176" s="81"/>
      <c r="C176" s="81"/>
      <c r="D176" s="81"/>
      <c r="E176" s="81"/>
      <c r="F176" s="451"/>
    </row>
    <row r="177" spans="1:6">
      <c r="A177" s="450" t="s">
        <v>140</v>
      </c>
      <c r="B177" s="138">
        <f>VLOOKUP(F175,'14_1'!$A$12:$B$42,2,0)</f>
        <v>1203</v>
      </c>
      <c r="C177" s="81"/>
      <c r="D177" s="139" t="s">
        <v>141</v>
      </c>
      <c r="E177" s="457">
        <f>DSUM('14_1'!A$11:J$42,'14_1'!$J$11,F174:F175)</f>
        <v>5.786792815915124E-2</v>
      </c>
      <c r="F177" s="451"/>
    </row>
    <row r="178" spans="1:6">
      <c r="A178" s="450" t="s">
        <v>142</v>
      </c>
      <c r="B178" s="205">
        <v>38</v>
      </c>
      <c r="C178" s="480"/>
      <c r="D178" s="139" t="s">
        <v>143</v>
      </c>
      <c r="E178" s="459" t="str">
        <f>+Hijuelas!$G$7</f>
        <v>POR FRACCIÓN</v>
      </c>
      <c r="F178" s="451"/>
    </row>
    <row r="179" spans="1:6">
      <c r="A179" s="450" t="s">
        <v>144</v>
      </c>
      <c r="B179" s="206">
        <f>DSUM('14_1'!$A$11:$H$42,'14_1'!$H$11,F174:F175)</f>
        <v>1.3789</v>
      </c>
      <c r="C179" s="81"/>
      <c r="D179" s="139" t="s">
        <v>145</v>
      </c>
      <c r="E179" s="458" t="str">
        <f>IF(VLOOKUP(F175,'14_1'!$A$12:$D$48,4,0)=1, "Definitivo 100%", "Eventual 80%")</f>
        <v>Definitivo 100%</v>
      </c>
      <c r="F179" s="583"/>
    </row>
    <row r="180" spans="1:6" ht="15.75">
      <c r="A180" s="450"/>
      <c r="B180" s="81" t="s">
        <v>146</v>
      </c>
      <c r="C180" s="477">
        <f>DMIN('14_1'!A$11:L$29,'14_1'!$K$11,F174:F175)</f>
        <v>42692.174453466265</v>
      </c>
      <c r="D180" s="189" t="str">
        <f>IF(E180=1,"Domingo",IF(E180=2,"Lunes",IF(E180=3,"Martes",IF(E180=4,"Miercoles",IF(E180=5,"Jueves",IF(E180=6,"Viernes",IF(E180=7,"Sábado",0)))))))</f>
        <v>Viernes</v>
      </c>
      <c r="E180" s="190">
        <f>WEEKDAY(C180)</f>
        <v>6</v>
      </c>
      <c r="F180" s="453" t="s">
        <v>62</v>
      </c>
    </row>
    <row r="181" spans="1:6" ht="15.75">
      <c r="A181" s="450"/>
      <c r="B181" s="81" t="s">
        <v>147</v>
      </c>
      <c r="C181" s="477">
        <f>DMAX('14_1'!A$11:M$29,'14_1'!$L$11,F174:F175)</f>
        <v>42692.232321394426</v>
      </c>
      <c r="D181" s="189" t="str">
        <f>IF(E181=1,"Domingo",IF(E181=2,"Lunes",IF(E181=3,"Martes",IF(E181=4,"Miercoles",IF(E181=5,"Jueves",IF(E181=6,"Viernes",IF(E181=7,"Sábado",0)))))))</f>
        <v>Viernes</v>
      </c>
      <c r="E181" s="190">
        <f>WEEKDAY(C181)</f>
        <v>6</v>
      </c>
      <c r="F181" s="453">
        <f>WEEKDAY(C181)</f>
        <v>6</v>
      </c>
    </row>
    <row r="182" spans="1:6">
      <c r="A182" s="467" t="str">
        <f>+'planilla caudales'!$J$14</f>
        <v>Caudal l/s</v>
      </c>
      <c r="B182" s="324" t="str">
        <f>+'planilla caudales'!$K$14</f>
        <v>Escala cm</v>
      </c>
      <c r="C182" s="81"/>
      <c r="D182" s="81"/>
      <c r="E182" s="584"/>
      <c r="F182" s="583"/>
    </row>
    <row r="183" spans="1:6">
      <c r="A183" s="605" t="e">
        <f>+'planilla caudales'!#REF!</f>
        <v>#REF!</v>
      </c>
      <c r="B183" s="325" t="e">
        <f>+'planilla caudales'!#REF!</f>
        <v>#REF!</v>
      </c>
      <c r="C183" s="81"/>
      <c r="D183" s="81"/>
      <c r="E183" s="81"/>
      <c r="F183" s="451"/>
    </row>
    <row r="184" spans="1:6">
      <c r="A184" s="472">
        <f>+Mensajes!$B$7</f>
        <v>0</v>
      </c>
      <c r="B184" s="10"/>
      <c r="C184" s="81"/>
      <c r="D184" s="81"/>
      <c r="E184" s="81"/>
      <c r="F184" s="451"/>
    </row>
    <row r="185" spans="1:6">
      <c r="A185" s="472">
        <f>+Mensajes!$B$12</f>
        <v>0</v>
      </c>
      <c r="B185" s="81"/>
      <c r="C185" s="81"/>
      <c r="D185" s="81"/>
      <c r="E185" s="81"/>
      <c r="F185" s="451"/>
    </row>
    <row r="186" spans="1:6" ht="13.5" thickBot="1">
      <c r="A186" s="468"/>
      <c r="B186" s="455"/>
      <c r="C186" s="455"/>
      <c r="D186" s="454" t="str">
        <f>IF(DSUM('14_1'!$A$11:$P$91,16,F174:F175)=COUNTIF('14_1'!$A$12:$A$91,F175),"","Regularice su Deuda")</f>
        <v/>
      </c>
      <c r="E186" s="455"/>
      <c r="F186" s="456"/>
    </row>
    <row r="187" spans="1:6" ht="13.5" thickBot="1"/>
    <row r="188" spans="1:6">
      <c r="A188" s="447"/>
      <c r="B188" s="448"/>
      <c r="C188" s="448"/>
      <c r="D188" s="448"/>
      <c r="E188" s="448"/>
      <c r="F188" s="449"/>
    </row>
    <row r="189" spans="1:6">
      <c r="A189" s="465" t="s">
        <v>64</v>
      </c>
      <c r="B189" s="81"/>
      <c r="C189" s="81"/>
      <c r="D189" s="81"/>
      <c r="E189" s="81"/>
      <c r="F189" s="451"/>
    </row>
    <row r="190" spans="1:6">
      <c r="A190" s="450"/>
      <c r="B190" s="81"/>
      <c r="C190" s="81"/>
      <c r="D190" s="81"/>
      <c r="E190" s="81"/>
      <c r="F190" s="451"/>
    </row>
    <row r="191" spans="1:6">
      <c r="A191" s="450" t="s">
        <v>139</v>
      </c>
      <c r="B191" s="81" t="str">
        <f>VLOOKUP(F192,'14_1'!$A$11:$G$42,7,0)</f>
        <v xml:space="preserve">CORTEZ, ARMANDO </v>
      </c>
      <c r="C191" s="81"/>
      <c r="D191" s="81"/>
      <c r="E191" s="81"/>
      <c r="F191" s="452" t="s">
        <v>102</v>
      </c>
    </row>
    <row r="192" spans="1:6">
      <c r="A192" s="450" t="s">
        <v>72</v>
      </c>
      <c r="B192" s="81" t="str">
        <f>+'14_1'!$H$2</f>
        <v>Hijuela Quinteros</v>
      </c>
      <c r="C192" s="81"/>
      <c r="D192" s="81"/>
      <c r="E192" s="81"/>
      <c r="F192" s="452">
        <v>12</v>
      </c>
    </row>
    <row r="193" spans="1:6">
      <c r="A193" s="450"/>
      <c r="B193" s="81"/>
      <c r="C193" s="81"/>
      <c r="D193" s="81"/>
      <c r="E193" s="81"/>
      <c r="F193" s="451"/>
    </row>
    <row r="194" spans="1:6">
      <c r="A194" s="450" t="s">
        <v>140</v>
      </c>
      <c r="B194" s="138">
        <f>VLOOKUP(F192,'14_1'!$A$12:$B$42,2,0)</f>
        <v>1203</v>
      </c>
      <c r="C194" s="81"/>
      <c r="D194" s="139" t="s">
        <v>141</v>
      </c>
      <c r="E194" s="457">
        <f>DSUM('14_1'!A$11:J$42,'14_1'!$J$11,F191:F192)</f>
        <v>5.786792815915124E-2</v>
      </c>
      <c r="F194" s="451"/>
    </row>
    <row r="195" spans="1:6">
      <c r="A195" s="450" t="s">
        <v>142</v>
      </c>
      <c r="B195" s="205">
        <v>37</v>
      </c>
      <c r="C195" s="480"/>
      <c r="D195" s="139" t="s">
        <v>143</v>
      </c>
      <c r="E195" s="459" t="str">
        <f>+Hijuelas!$G$7</f>
        <v>POR FRACCIÓN</v>
      </c>
      <c r="F195" s="451"/>
    </row>
    <row r="196" spans="1:6">
      <c r="A196" s="450" t="s">
        <v>144</v>
      </c>
      <c r="B196" s="206">
        <f>DSUM('14_1'!$A$11:$H$42,'14_1'!$H$11,F191:F192)</f>
        <v>1.3789</v>
      </c>
      <c r="C196" s="81"/>
      <c r="D196" s="139" t="s">
        <v>145</v>
      </c>
      <c r="E196" s="458" t="str">
        <f>IF(VLOOKUP(F192,'14_1'!$A$12:$D$48,4,0)=1, "Definitivo 100%", "Eventual 80%")</f>
        <v>Definitivo 100%</v>
      </c>
      <c r="F196" s="583"/>
    </row>
    <row r="197" spans="1:6" ht="15.75">
      <c r="A197" s="450"/>
      <c r="B197" s="81" t="s">
        <v>146</v>
      </c>
      <c r="C197" s="477">
        <f>DMIN('14_1'!A$11:L$29,'14_1'!$K$11,F191:F192)</f>
        <v>42692.116585538104</v>
      </c>
      <c r="D197" s="189" t="str">
        <f>IF(E197=1,"Domingo",IF(E197=2,"Lunes",IF(E197=3,"Martes",IF(E197=4,"Miercoles",IF(E197=5,"Jueves",IF(E197=6,"Viernes",IF(E197=7,"Sábado",0)))))))</f>
        <v>Viernes</v>
      </c>
      <c r="E197" s="190">
        <f>WEEKDAY(C197)</f>
        <v>6</v>
      </c>
      <c r="F197" s="453" t="s">
        <v>62</v>
      </c>
    </row>
    <row r="198" spans="1:6" ht="15.75">
      <c r="A198" s="450"/>
      <c r="B198" s="81" t="s">
        <v>147</v>
      </c>
      <c r="C198" s="477">
        <f>DMAX('14_1'!A$11:M$29,'14_1'!$L$11,F191:F192)</f>
        <v>42692.174453466265</v>
      </c>
      <c r="D198" s="189" t="str">
        <f>IF(E198=1,"Domingo",IF(E198=2,"Lunes",IF(E198=3,"Martes",IF(E198=4,"Miercoles",IF(E198=5,"Jueves",IF(E198=6,"Viernes",IF(E198=7,"Sábado",0)))))))</f>
        <v>Viernes</v>
      </c>
      <c r="E198" s="190">
        <f>WEEKDAY(C198)</f>
        <v>6</v>
      </c>
      <c r="F198" s="453">
        <f>WEEKDAY(C198)</f>
        <v>6</v>
      </c>
    </row>
    <row r="199" spans="1:6">
      <c r="A199" s="467" t="str">
        <f>+'planilla caudales'!$J$14</f>
        <v>Caudal l/s</v>
      </c>
      <c r="B199" s="324" t="str">
        <f>+'planilla caudales'!$K$14</f>
        <v>Escala cm</v>
      </c>
      <c r="C199" s="81"/>
      <c r="D199" s="81"/>
      <c r="E199" s="584"/>
      <c r="F199" s="583"/>
    </row>
    <row r="200" spans="1:6">
      <c r="A200" s="605" t="e">
        <f>+'planilla caudales'!#REF!</f>
        <v>#REF!</v>
      </c>
      <c r="B200" s="325" t="e">
        <f>+'planilla caudales'!#REF!</f>
        <v>#REF!</v>
      </c>
      <c r="C200" s="81"/>
      <c r="D200" s="81"/>
      <c r="E200" s="81"/>
      <c r="F200" s="451"/>
    </row>
    <row r="201" spans="1:6">
      <c r="A201" s="472">
        <f>+Mensajes!$B$7</f>
        <v>0</v>
      </c>
      <c r="B201" s="10"/>
      <c r="C201" s="81"/>
      <c r="D201" s="81"/>
      <c r="E201" s="81"/>
      <c r="F201" s="451"/>
    </row>
    <row r="202" spans="1:6">
      <c r="A202" s="472">
        <f>+Mensajes!$B$12</f>
        <v>0</v>
      </c>
      <c r="B202" s="81"/>
      <c r="C202" s="81"/>
      <c r="D202" s="81"/>
      <c r="E202" s="81"/>
      <c r="F202" s="451"/>
    </row>
    <row r="203" spans="1:6" ht="13.5" thickBot="1">
      <c r="A203" s="468"/>
      <c r="B203" s="455"/>
      <c r="C203" s="455"/>
      <c r="D203" s="454" t="str">
        <f>IF(DSUM('14_1'!$A$11:$P$91,16,F191:F192)=COUNTIF('14_1'!$A$12:$A$91,F192),"","Regularice su Deuda")</f>
        <v/>
      </c>
      <c r="E203" s="455"/>
      <c r="F203" s="456"/>
    </row>
    <row r="204" spans="1:6" ht="13.5" thickBot="1"/>
    <row r="205" spans="1:6">
      <c r="A205" s="447"/>
      <c r="B205" s="448"/>
      <c r="C205" s="448"/>
      <c r="D205" s="448"/>
      <c r="E205" s="448"/>
      <c r="F205" s="449"/>
    </row>
    <row r="206" spans="1:6">
      <c r="A206" s="465" t="s">
        <v>64</v>
      </c>
      <c r="B206" s="81"/>
      <c r="C206" s="81"/>
      <c r="D206" s="81"/>
      <c r="E206" s="81"/>
      <c r="F206" s="451"/>
    </row>
    <row r="207" spans="1:6">
      <c r="A207" s="450"/>
      <c r="B207" s="81"/>
      <c r="C207" s="81"/>
      <c r="D207" s="81"/>
      <c r="E207" s="81"/>
      <c r="F207" s="451"/>
    </row>
    <row r="208" spans="1:6">
      <c r="A208" s="450" t="s">
        <v>139</v>
      </c>
      <c r="B208" s="81" t="str">
        <f>VLOOKUP(F209,'14_1'!$A$11:$G$42,7,0)</f>
        <v xml:space="preserve">CORTEZ, ISABEL </v>
      </c>
      <c r="C208" s="81"/>
      <c r="D208" s="81"/>
      <c r="E208" s="81"/>
      <c r="F208" s="452" t="s">
        <v>102</v>
      </c>
    </row>
    <row r="209" spans="1:6">
      <c r="A209" s="450" t="s">
        <v>72</v>
      </c>
      <c r="B209" s="81" t="str">
        <f>+'14_1'!$H$2</f>
        <v>Hijuela Quinteros</v>
      </c>
      <c r="C209" s="81"/>
      <c r="D209" s="81"/>
      <c r="E209" s="81"/>
      <c r="F209" s="452">
        <v>13</v>
      </c>
    </row>
    <row r="210" spans="1:6">
      <c r="A210" s="450"/>
      <c r="B210" s="81"/>
      <c r="C210" s="81"/>
      <c r="D210" s="81"/>
      <c r="E210" s="81"/>
      <c r="F210" s="451"/>
    </row>
    <row r="211" spans="1:6">
      <c r="A211" s="450" t="s">
        <v>140</v>
      </c>
      <c r="B211" s="138">
        <f>VLOOKUP(F209,'14_1'!$A$12:$B$42,2,0)</f>
        <v>1203</v>
      </c>
      <c r="C211" s="81"/>
      <c r="D211" s="139" t="s">
        <v>141</v>
      </c>
      <c r="E211" s="457">
        <f>DSUM('14_1'!A$11:J$42,'14_1'!$J$11,F208:F209)</f>
        <v>0</v>
      </c>
      <c r="F211" s="451"/>
    </row>
    <row r="212" spans="1:6">
      <c r="A212" s="450" t="s">
        <v>142</v>
      </c>
      <c r="B212" s="205">
        <v>2</v>
      </c>
      <c r="C212" s="480"/>
      <c r="D212" s="139" t="s">
        <v>143</v>
      </c>
      <c r="E212" s="459" t="str">
        <f>+Hijuelas!$G$7</f>
        <v>POR FRACCIÓN</v>
      </c>
      <c r="F212" s="451"/>
    </row>
    <row r="213" spans="1:6">
      <c r="A213" s="450" t="s">
        <v>144</v>
      </c>
      <c r="B213" s="206">
        <f>DSUM('14_1'!$A$11:$H$42,'14_1'!$H$11,F208:F209)</f>
        <v>0</v>
      </c>
      <c r="C213" s="81"/>
      <c r="D213" s="139" t="s">
        <v>145</v>
      </c>
      <c r="E213" s="458" t="str">
        <f>IF(VLOOKUP(F209,'14_1'!$A$12:$D$48,4,0)=1, "Definitivo 100%", "Eventual 80%")</f>
        <v>Definitivo 100%</v>
      </c>
      <c r="F213" s="583"/>
    </row>
    <row r="214" spans="1:6" ht="15.75">
      <c r="A214" s="450"/>
      <c r="B214" s="81" t="s">
        <v>146</v>
      </c>
      <c r="C214" s="477">
        <f>DMIN('14_1'!A$11:L$29,'14_1'!$K$11,F208:F209)</f>
        <v>42692.109641093659</v>
      </c>
      <c r="D214" s="189" t="str">
        <f>IF(E214=1,"Domingo",IF(E214=2,"Lunes",IF(E214=3,"Martes",IF(E214=4,"Miercoles",IF(E214=5,"Jueves",IF(E214=6,"Viernes",IF(E214=7,"Sábado",0)))))))</f>
        <v>Viernes</v>
      </c>
      <c r="E214" s="190">
        <f>WEEKDAY(C214)</f>
        <v>6</v>
      </c>
      <c r="F214" s="453" t="s">
        <v>62</v>
      </c>
    </row>
    <row r="215" spans="1:6" ht="15.75">
      <c r="A215" s="450"/>
      <c r="B215" s="81" t="s">
        <v>147</v>
      </c>
      <c r="C215" s="477">
        <f>DMAX('14_1'!A$11:M$29,'14_1'!$L$11,F208:F209)</f>
        <v>42692.116585538104</v>
      </c>
      <c r="D215" s="189" t="str">
        <f>IF(E215=1,"Domingo",IF(E215=2,"Lunes",IF(E215=3,"Martes",IF(E215=4,"Miercoles",IF(E215=5,"Jueves",IF(E215=6,"Viernes",IF(E215=7,"Sábado",0)))))))</f>
        <v>Viernes</v>
      </c>
      <c r="E215" s="190">
        <f>WEEKDAY(C215)</f>
        <v>6</v>
      </c>
      <c r="F215" s="453">
        <f>WEEKDAY(C215)</f>
        <v>6</v>
      </c>
    </row>
    <row r="216" spans="1:6">
      <c r="A216" s="467" t="str">
        <f>+'planilla caudales'!$J$14</f>
        <v>Caudal l/s</v>
      </c>
      <c r="B216" s="324" t="str">
        <f>+'planilla caudales'!$K$14</f>
        <v>Escala cm</v>
      </c>
      <c r="C216" s="81"/>
      <c r="D216" s="81"/>
      <c r="E216" s="584"/>
      <c r="F216" s="583"/>
    </row>
    <row r="217" spans="1:6">
      <c r="A217" s="605" t="e">
        <f>+'planilla caudales'!#REF!</f>
        <v>#REF!</v>
      </c>
      <c r="B217" s="325" t="e">
        <f>+'planilla caudales'!#REF!</f>
        <v>#REF!</v>
      </c>
      <c r="C217" s="81"/>
      <c r="D217" s="81"/>
      <c r="E217" s="81"/>
      <c r="F217" s="451"/>
    </row>
    <row r="218" spans="1:6">
      <c r="A218" s="472">
        <f>+Mensajes!$B$7</f>
        <v>0</v>
      </c>
      <c r="B218" s="10"/>
      <c r="C218" s="81"/>
      <c r="D218" s="81"/>
      <c r="E218" s="81"/>
      <c r="F218" s="451"/>
    </row>
    <row r="219" spans="1:6">
      <c r="A219" s="472">
        <f>+Mensajes!$B$12</f>
        <v>0</v>
      </c>
      <c r="B219" s="81"/>
      <c r="C219" s="81"/>
      <c r="D219" s="81"/>
      <c r="E219" s="81"/>
      <c r="F219" s="451"/>
    </row>
    <row r="220" spans="1:6" ht="13.5" thickBot="1">
      <c r="A220" s="468"/>
      <c r="B220" s="455"/>
      <c r="C220" s="455"/>
      <c r="D220" s="454" t="str">
        <f>IF(DSUM('14_1'!$A$11:$P$91,16,F208:F209)=COUNTIF('14_1'!$A$12:$A$91,F209),"","Regularice su Deuda")</f>
        <v>Regularice su Deuda</v>
      </c>
      <c r="E220" s="455"/>
      <c r="F220" s="456"/>
    </row>
    <row r="221" spans="1:6" ht="13.5" thickBot="1"/>
    <row r="222" spans="1:6">
      <c r="A222" s="447"/>
      <c r="B222" s="448"/>
      <c r="C222" s="448"/>
      <c r="D222" s="448"/>
      <c r="E222" s="448"/>
      <c r="F222" s="449"/>
    </row>
    <row r="223" spans="1:6">
      <c r="A223" s="465" t="s">
        <v>64</v>
      </c>
      <c r="B223" s="81"/>
      <c r="C223" s="81"/>
      <c r="D223" s="81"/>
      <c r="E223" s="81"/>
      <c r="F223" s="451"/>
    </row>
    <row r="224" spans="1:6">
      <c r="A224" s="450"/>
      <c r="B224" s="81"/>
      <c r="C224" s="81"/>
      <c r="D224" s="81"/>
      <c r="E224" s="81"/>
      <c r="F224" s="451"/>
    </row>
    <row r="225" spans="1:6">
      <c r="A225" s="450" t="s">
        <v>139</v>
      </c>
      <c r="B225" s="81" t="str">
        <f>VLOOKUP(F226,'14_1'!$A$11:$G$42,7,0)</f>
        <v>MUNICIPALIDAD DE LAVALLE</v>
      </c>
      <c r="C225" s="81"/>
      <c r="D225" s="81"/>
      <c r="E225" s="81"/>
      <c r="F225" s="452" t="s">
        <v>102</v>
      </c>
    </row>
    <row r="226" spans="1:6">
      <c r="A226" s="450" t="s">
        <v>72</v>
      </c>
      <c r="B226" s="81" t="str">
        <f>+'14_1'!$H$2</f>
        <v>Hijuela Quinteros</v>
      </c>
      <c r="C226" s="81"/>
      <c r="D226" s="81"/>
      <c r="E226" s="81"/>
      <c r="F226" s="452">
        <v>14</v>
      </c>
    </row>
    <row r="227" spans="1:6">
      <c r="A227" s="450"/>
      <c r="B227" s="81"/>
      <c r="C227" s="81"/>
      <c r="D227" s="81"/>
      <c r="E227" s="81"/>
      <c r="F227" s="451"/>
    </row>
    <row r="228" spans="1:6">
      <c r="A228" s="450" t="s">
        <v>140</v>
      </c>
      <c r="B228" s="138">
        <f>VLOOKUP(F226,'14_1'!$A$12:$B$42,2,0)</f>
        <v>1203</v>
      </c>
      <c r="C228" s="81"/>
      <c r="D228" s="139" t="s">
        <v>141</v>
      </c>
      <c r="E228" s="457">
        <f>DSUM('14_1'!A$11:J$42,'14_1'!$J$11,F225:F226)</f>
        <v>0</v>
      </c>
      <c r="F228" s="451"/>
    </row>
    <row r="229" spans="1:6">
      <c r="A229" s="450" t="s">
        <v>142</v>
      </c>
      <c r="B229" s="205">
        <v>46</v>
      </c>
      <c r="C229" s="480"/>
      <c r="D229" s="139" t="s">
        <v>143</v>
      </c>
      <c r="E229" s="459" t="str">
        <f>+Hijuelas!$G$7</f>
        <v>POR FRACCIÓN</v>
      </c>
      <c r="F229" s="451"/>
    </row>
    <row r="230" spans="1:6">
      <c r="A230" s="450" t="s">
        <v>144</v>
      </c>
      <c r="B230" s="206">
        <f>DSUM('14_1'!$A$11:$H$42,'14_1'!$H$11,F225:F226)</f>
        <v>0</v>
      </c>
      <c r="C230" s="81"/>
      <c r="D230" s="139" t="s">
        <v>145</v>
      </c>
      <c r="E230" s="458" t="str">
        <f>IF(VLOOKUP(F226,'14_1'!$A$12:$D$48,4,0)=1, "Definitivo 100%", "Eventual 80%")</f>
        <v>Eventual 80%</v>
      </c>
      <c r="F230" s="583"/>
    </row>
    <row r="231" spans="1:6" ht="15.75">
      <c r="A231" s="450"/>
      <c r="B231" s="81" t="s">
        <v>146</v>
      </c>
      <c r="C231" s="477">
        <f>DMIN('14_1'!A$11:L$29,'14_1'!$K$11,F225:F226)</f>
        <v>42692.109641093659</v>
      </c>
      <c r="D231" s="189" t="str">
        <f>IF(E231=1,"Domingo",IF(E231=2,"Lunes",IF(E231=3,"Martes",IF(E231=4,"Miercoles",IF(E231=5,"Jueves",IF(E231=6,"Viernes",IF(E231=7,"Sábado",0)))))))</f>
        <v>Viernes</v>
      </c>
      <c r="E231" s="190">
        <f>WEEKDAY(C231)</f>
        <v>6</v>
      </c>
      <c r="F231" s="453" t="s">
        <v>62</v>
      </c>
    </row>
    <row r="232" spans="1:6" ht="15.75">
      <c r="A232" s="450"/>
      <c r="B232" s="81" t="s">
        <v>147</v>
      </c>
      <c r="C232" s="477">
        <f>DMAX('14_1'!A$11:M$29,'14_1'!$L$11,F225:F226)</f>
        <v>42692.109641093659</v>
      </c>
      <c r="D232" s="189" t="str">
        <f>IF(E232=1,"Domingo",IF(E232=2,"Lunes",IF(E232=3,"Martes",IF(E232=4,"Miercoles",IF(E232=5,"Jueves",IF(E232=6,"Viernes",IF(E232=7,"Sábado",0)))))))</f>
        <v>Viernes</v>
      </c>
      <c r="E232" s="190">
        <f>WEEKDAY(C232)</f>
        <v>6</v>
      </c>
      <c r="F232" s="453">
        <f>WEEKDAY(C232)</f>
        <v>6</v>
      </c>
    </row>
    <row r="233" spans="1:6">
      <c r="A233" s="467" t="str">
        <f>+'planilla caudales'!$J$14</f>
        <v>Caudal l/s</v>
      </c>
      <c r="B233" s="324" t="str">
        <f>+'planilla caudales'!$K$14</f>
        <v>Escala cm</v>
      </c>
      <c r="C233" s="81"/>
      <c r="D233" s="81"/>
      <c r="E233" s="584"/>
      <c r="F233" s="583"/>
    </row>
    <row r="234" spans="1:6">
      <c r="A234" s="605" t="e">
        <f>+'planilla caudales'!#REF!</f>
        <v>#REF!</v>
      </c>
      <c r="B234" s="325" t="e">
        <f>+'planilla caudales'!#REF!</f>
        <v>#REF!</v>
      </c>
      <c r="C234" s="81"/>
      <c r="D234" s="81"/>
      <c r="E234" s="81"/>
      <c r="F234" s="451"/>
    </row>
    <row r="235" spans="1:6">
      <c r="A235" s="472">
        <f>+Mensajes!$B$7</f>
        <v>0</v>
      </c>
      <c r="B235" s="10"/>
      <c r="C235" s="81"/>
      <c r="D235" s="81"/>
      <c r="E235" s="81"/>
      <c r="F235" s="451"/>
    </row>
    <row r="236" spans="1:6">
      <c r="A236" s="472">
        <f>+Mensajes!$B$12</f>
        <v>0</v>
      </c>
      <c r="B236" s="81"/>
      <c r="C236" s="81"/>
      <c r="D236" s="81"/>
      <c r="E236" s="81"/>
      <c r="F236" s="451"/>
    </row>
    <row r="237" spans="1:6" ht="13.5" thickBot="1">
      <c r="A237" s="468"/>
      <c r="B237" s="455"/>
      <c r="C237" s="455"/>
      <c r="D237" s="454" t="str">
        <f>IF(DSUM('14_1'!$A$11:$P$91,16,F225:F226)=COUNTIF('14_1'!$A$12:$A$91,F226),"","Regularice su Deuda")</f>
        <v>Regularice su Deuda</v>
      </c>
      <c r="E237" s="455"/>
      <c r="F237" s="456"/>
    </row>
    <row r="238" spans="1:6" ht="13.5" thickBot="1"/>
    <row r="239" spans="1:6">
      <c r="A239" s="447"/>
      <c r="B239" s="448"/>
      <c r="C239" s="448"/>
      <c r="D239" s="448"/>
      <c r="E239" s="448"/>
      <c r="F239" s="449"/>
    </row>
    <row r="240" spans="1:6">
      <c r="A240" s="465" t="s">
        <v>64</v>
      </c>
      <c r="B240" s="81"/>
      <c r="C240" s="81"/>
      <c r="D240" s="81"/>
      <c r="E240" s="81"/>
      <c r="F240" s="451"/>
    </row>
    <row r="241" spans="1:6">
      <c r="A241" s="450"/>
      <c r="B241" s="81"/>
      <c r="C241" s="81"/>
      <c r="D241" s="81"/>
      <c r="E241" s="81"/>
      <c r="F241" s="451"/>
    </row>
    <row r="242" spans="1:6">
      <c r="A242" s="450" t="s">
        <v>139</v>
      </c>
      <c r="B242" s="81" t="str">
        <f>VLOOKUP(F243,'14_1'!$A$11:$G$42,7,0)</f>
        <v>QUINTEROS, RITA Y A</v>
      </c>
      <c r="C242" s="81"/>
      <c r="D242" s="81"/>
      <c r="E242" s="81"/>
      <c r="F242" s="452" t="s">
        <v>102</v>
      </c>
    </row>
    <row r="243" spans="1:6">
      <c r="A243" s="450" t="s">
        <v>72</v>
      </c>
      <c r="B243" s="81" t="str">
        <f>+'14_1'!$H$2</f>
        <v>Hijuela Quinteros</v>
      </c>
      <c r="C243" s="81"/>
      <c r="D243" s="81"/>
      <c r="E243" s="81"/>
      <c r="F243" s="452">
        <v>15</v>
      </c>
    </row>
    <row r="244" spans="1:6">
      <c r="A244" s="450"/>
      <c r="B244" s="81"/>
      <c r="C244" s="81"/>
      <c r="D244" s="81"/>
      <c r="E244" s="81"/>
      <c r="F244" s="451"/>
    </row>
    <row r="245" spans="1:6">
      <c r="A245" s="450" t="s">
        <v>140</v>
      </c>
      <c r="B245" s="138">
        <f>VLOOKUP(F243,'14_1'!$A$12:$B$42,2,0)</f>
        <v>1203</v>
      </c>
      <c r="C245" s="81"/>
      <c r="D245" s="139" t="s">
        <v>141</v>
      </c>
      <c r="E245" s="457">
        <f>DSUM('14_1'!A$11:J$42,'14_1'!$J$11,F242:F243)</f>
        <v>0.56044893276829444</v>
      </c>
      <c r="F245" s="451"/>
    </row>
    <row r="246" spans="1:6">
      <c r="A246" s="450" t="s">
        <v>142</v>
      </c>
      <c r="B246" s="205" t="s">
        <v>378</v>
      </c>
      <c r="C246" s="480"/>
      <c r="D246" s="139" t="s">
        <v>143</v>
      </c>
      <c r="E246" s="459" t="str">
        <f>+Hijuelas!$G$7</f>
        <v>POR FRACCIÓN</v>
      </c>
      <c r="F246" s="451"/>
    </row>
    <row r="247" spans="1:6">
      <c r="A247" s="450" t="s">
        <v>144</v>
      </c>
      <c r="B247" s="206">
        <f>DSUM('14_1'!$A$11:$H$42,'14_1'!$H$11,F242:F243)</f>
        <v>13.3546</v>
      </c>
      <c r="C247" s="81"/>
      <c r="D247" s="139" t="s">
        <v>145</v>
      </c>
      <c r="E247" s="458" t="str">
        <f>IF(VLOOKUP(F243,'14_1'!$A$12:$D$48,4,0)=1, "Definitivo 100%", "Eventual 80%")</f>
        <v>Definitivo 100%</v>
      </c>
      <c r="F247" s="583"/>
    </row>
    <row r="248" spans="1:6" ht="15.75">
      <c r="A248" s="450"/>
      <c r="B248" s="81" t="s">
        <v>146</v>
      </c>
      <c r="C248" s="477">
        <f>DMIN('14_1'!A$11:L$29,'14_1'!$K$11,F242:F243)</f>
        <v>0</v>
      </c>
      <c r="D248" s="189" t="str">
        <f>IF(E248=1,"Domingo",IF(E248=2,"Lunes",IF(E248=3,"Martes",IF(E248=4,"Miercoles",IF(E248=5,"Jueves",IF(E248=6,"Viernes",IF(E248=7,"Sábado",0)))))))</f>
        <v>Sábado</v>
      </c>
      <c r="E248" s="190">
        <f>WEEKDAY(C248)</f>
        <v>7</v>
      </c>
      <c r="F248" s="453" t="s">
        <v>62</v>
      </c>
    </row>
    <row r="249" spans="1:6" ht="15.75">
      <c r="A249" s="450"/>
      <c r="B249" s="81" t="s">
        <v>147</v>
      </c>
      <c r="C249" s="477">
        <f>DMAX('14_1'!A$11:M$29,'14_1'!$L$11,F242:F243)</f>
        <v>0</v>
      </c>
      <c r="D249" s="189" t="str">
        <f>IF(E249=1,"Domingo",IF(E249=2,"Lunes",IF(E249=3,"Martes",IF(E249=4,"Miercoles",IF(E249=5,"Jueves",IF(E249=6,"Viernes",IF(E249=7,"Sábado",0)))))))</f>
        <v>Sábado</v>
      </c>
      <c r="E249" s="190">
        <f>WEEKDAY(C249)</f>
        <v>7</v>
      </c>
      <c r="F249" s="453">
        <f>WEEKDAY(C249)</f>
        <v>7</v>
      </c>
    </row>
    <row r="250" spans="1:6">
      <c r="A250" s="467" t="str">
        <f>+'planilla caudales'!$J$14</f>
        <v>Caudal l/s</v>
      </c>
      <c r="B250" s="324" t="str">
        <f>+'planilla caudales'!$K$14</f>
        <v>Escala cm</v>
      </c>
      <c r="C250" s="81"/>
      <c r="D250" s="81"/>
      <c r="E250" s="584"/>
      <c r="F250" s="583"/>
    </row>
    <row r="251" spans="1:6">
      <c r="A251" s="605" t="e">
        <f>+'planilla caudales'!#REF!</f>
        <v>#REF!</v>
      </c>
      <c r="B251" s="325" t="e">
        <f>+'planilla caudales'!#REF!</f>
        <v>#REF!</v>
      </c>
      <c r="C251" s="81"/>
      <c r="D251" s="81"/>
      <c r="E251" s="81"/>
      <c r="F251" s="451"/>
    </row>
    <row r="252" spans="1:6">
      <c r="A252" s="472">
        <f>+Mensajes!$B$7</f>
        <v>0</v>
      </c>
      <c r="B252" s="10"/>
      <c r="C252" s="81"/>
      <c r="D252" s="81"/>
      <c r="E252" s="81"/>
      <c r="F252" s="451"/>
    </row>
    <row r="253" spans="1:6">
      <c r="A253" s="472">
        <f>+Mensajes!$B$12</f>
        <v>0</v>
      </c>
      <c r="B253" s="81"/>
      <c r="C253" s="81"/>
      <c r="D253" s="81"/>
      <c r="E253" s="81"/>
      <c r="F253" s="451"/>
    </row>
    <row r="254" spans="1:6" ht="13.5" thickBot="1">
      <c r="A254" s="468"/>
      <c r="B254" s="455"/>
      <c r="C254" s="455"/>
      <c r="D254" s="454" t="str">
        <f>IF(DSUM('14_1'!$A$11:$P$91,16,F242:F243)=COUNTIF('14_1'!$A$12:$A$91,F243),"","Regularice su Deuda")</f>
        <v/>
      </c>
      <c r="E254" s="455"/>
      <c r="F254" s="456"/>
    </row>
    <row r="255" spans="1:6" ht="13.5" thickBot="1"/>
    <row r="256" spans="1:6">
      <c r="A256" s="447"/>
      <c r="B256" s="448"/>
      <c r="C256" s="448"/>
      <c r="D256" s="448"/>
      <c r="E256" s="448"/>
      <c r="F256" s="449"/>
    </row>
    <row r="257" spans="1:6">
      <c r="A257" s="465" t="s">
        <v>64</v>
      </c>
      <c r="B257" s="81"/>
      <c r="C257" s="81"/>
      <c r="D257" s="81"/>
      <c r="E257" s="81"/>
      <c r="F257" s="451"/>
    </row>
    <row r="258" spans="1:6">
      <c r="A258" s="450"/>
      <c r="B258" s="81"/>
      <c r="C258" s="81"/>
      <c r="D258" s="81"/>
      <c r="E258" s="81"/>
      <c r="F258" s="451"/>
    </row>
    <row r="259" spans="1:6">
      <c r="A259" s="450" t="s">
        <v>139</v>
      </c>
      <c r="B259" s="81" t="str">
        <f>VLOOKUP(F260,'14_1'!$A$11:$G$42,7,0)</f>
        <v>ZUCCATTO MACAGNAN</v>
      </c>
      <c r="C259" s="81"/>
      <c r="D259" s="81"/>
      <c r="E259" s="81"/>
      <c r="F259" s="452" t="s">
        <v>102</v>
      </c>
    </row>
    <row r="260" spans="1:6">
      <c r="A260" s="450" t="s">
        <v>72</v>
      </c>
      <c r="B260" s="81" t="str">
        <f>+'14_1'!$H$2</f>
        <v>Hijuela Quinteros</v>
      </c>
      <c r="C260" s="81"/>
      <c r="D260" s="81"/>
      <c r="E260" s="81"/>
      <c r="F260" s="452">
        <v>16</v>
      </c>
    </row>
    <row r="261" spans="1:6">
      <c r="A261" s="450"/>
      <c r="B261" s="81"/>
      <c r="C261" s="81"/>
      <c r="D261" s="81"/>
      <c r="E261" s="81"/>
      <c r="F261" s="451"/>
    </row>
    <row r="262" spans="1:6">
      <c r="A262" s="450" t="s">
        <v>140</v>
      </c>
      <c r="B262" s="138">
        <f>VLOOKUP(F260,'14_1'!$A$12:$B$42,2,0)</f>
        <v>1203</v>
      </c>
      <c r="C262" s="81"/>
      <c r="D262" s="139" t="s">
        <v>141</v>
      </c>
      <c r="E262" s="457">
        <f>DSUM('14_1'!A$11:J$42,'14_1'!$J$11,F259:F260)</f>
        <v>0.98918275595417826</v>
      </c>
      <c r="F262" s="451"/>
    </row>
    <row r="263" spans="1:6">
      <c r="A263" s="450" t="s">
        <v>142</v>
      </c>
      <c r="B263" s="205" t="s">
        <v>379</v>
      </c>
      <c r="C263" s="480"/>
      <c r="D263" s="139" t="s">
        <v>143</v>
      </c>
      <c r="E263" s="459" t="str">
        <f>+Hijuelas!$G$7</f>
        <v>POR FRACCIÓN</v>
      </c>
      <c r="F263" s="451"/>
    </row>
    <row r="264" spans="1:6">
      <c r="A264" s="450" t="s">
        <v>144</v>
      </c>
      <c r="B264" s="206">
        <f>DSUM('14_1'!$A$11:$H$42,'14_1'!$H$11,F259:F260)</f>
        <v>23.570640000000001</v>
      </c>
      <c r="C264" s="81"/>
      <c r="D264" s="139" t="s">
        <v>145</v>
      </c>
      <c r="E264" s="458" t="str">
        <f>IF(VLOOKUP(F260,'14_1'!$A$12:$D$48,4,0)=1, "Definitivo 100%", "Eventual 80%")</f>
        <v>Eventual 80%</v>
      </c>
      <c r="F264" s="583"/>
    </row>
    <row r="265" spans="1:6" ht="15.75">
      <c r="A265" s="450"/>
      <c r="B265" s="81" t="s">
        <v>146</v>
      </c>
      <c r="C265" s="477">
        <f>DMIN('14_1'!A$11:L$29,'14_1'!$K$11,F259:F260)</f>
        <v>0</v>
      </c>
      <c r="D265" s="189" t="str">
        <f>IF(E265=1,"Domingo",IF(E265=2,"Lunes",IF(E265=3,"Martes",IF(E265=4,"Miercoles",IF(E265=5,"Jueves",IF(E265=6,"Viernes",IF(E265=7,"Sábado",0)))))))</f>
        <v>Sábado</v>
      </c>
      <c r="E265" s="190">
        <f>WEEKDAY(C265)</f>
        <v>7</v>
      </c>
      <c r="F265" s="453" t="s">
        <v>62</v>
      </c>
    </row>
    <row r="266" spans="1:6" ht="15.75">
      <c r="A266" s="450"/>
      <c r="B266" s="81" t="s">
        <v>147</v>
      </c>
      <c r="C266" s="477">
        <f>DMAX('14_1'!A$11:M$29,'14_1'!$L$11,F259:F260)</f>
        <v>0</v>
      </c>
      <c r="D266" s="189" t="str">
        <f>IF(E266=1,"Domingo",IF(E266=2,"Lunes",IF(E266=3,"Martes",IF(E266=4,"Miercoles",IF(E266=5,"Jueves",IF(E266=6,"Viernes",IF(E266=7,"Sábado",0)))))))</f>
        <v>Sábado</v>
      </c>
      <c r="E266" s="190">
        <f>WEEKDAY(C266)</f>
        <v>7</v>
      </c>
      <c r="F266" s="453">
        <f>WEEKDAY(C266)</f>
        <v>7</v>
      </c>
    </row>
    <row r="267" spans="1:6">
      <c r="A267" s="467" t="str">
        <f>+'planilla caudales'!$J$14</f>
        <v>Caudal l/s</v>
      </c>
      <c r="B267" s="324" t="str">
        <f>+'planilla caudales'!$K$14</f>
        <v>Escala cm</v>
      </c>
      <c r="C267" s="81"/>
      <c r="D267" s="81"/>
      <c r="E267" s="584"/>
      <c r="F267" s="583"/>
    </row>
    <row r="268" spans="1:6">
      <c r="A268" s="605" t="e">
        <f>+'planilla caudales'!#REF!</f>
        <v>#REF!</v>
      </c>
      <c r="B268" s="325" t="e">
        <f>+'planilla caudales'!#REF!</f>
        <v>#REF!</v>
      </c>
      <c r="C268" s="81"/>
      <c r="D268" s="81"/>
      <c r="E268" s="81"/>
      <c r="F268" s="451"/>
    </row>
    <row r="269" spans="1:6">
      <c r="A269" s="472">
        <f>+Mensajes!$B$7</f>
        <v>0</v>
      </c>
      <c r="B269" s="10"/>
      <c r="C269" s="81"/>
      <c r="D269" s="81"/>
      <c r="E269" s="81"/>
      <c r="F269" s="451"/>
    </row>
    <row r="270" spans="1:6">
      <c r="A270" s="472">
        <f>+Mensajes!$B$12</f>
        <v>0</v>
      </c>
      <c r="B270" s="81"/>
      <c r="C270" s="81"/>
      <c r="D270" s="81"/>
      <c r="E270" s="81"/>
      <c r="F270" s="451"/>
    </row>
    <row r="271" spans="1:6" ht="13.5" thickBot="1">
      <c r="A271" s="468"/>
      <c r="B271" s="455"/>
      <c r="C271" s="455"/>
      <c r="D271" s="454" t="str">
        <f>IF(DSUM('14_1'!$A$11:$P$91,16,F259:F260)=COUNTIF('14_1'!$A$12:$A$91,F260),"","Regularice su Deuda")</f>
        <v/>
      </c>
      <c r="E271" s="455"/>
      <c r="F271" s="456"/>
    </row>
    <row r="272" spans="1:6" ht="13.5" thickBot="1"/>
    <row r="273" spans="1:6">
      <c r="A273" s="447"/>
      <c r="B273" s="448"/>
      <c r="C273" s="448"/>
      <c r="D273" s="448"/>
      <c r="E273" s="448"/>
      <c r="F273" s="449"/>
    </row>
    <row r="274" spans="1:6">
      <c r="A274" s="465" t="s">
        <v>64</v>
      </c>
      <c r="B274" s="81"/>
      <c r="C274" s="81"/>
      <c r="D274" s="81"/>
      <c r="E274" s="81"/>
      <c r="F274" s="451"/>
    </row>
    <row r="275" spans="1:6">
      <c r="A275" s="450"/>
      <c r="B275" s="81"/>
      <c r="C275" s="81"/>
      <c r="D275" s="81"/>
      <c r="E275" s="81"/>
      <c r="F275" s="451"/>
    </row>
    <row r="276" spans="1:6">
      <c r="A276" s="450" t="s">
        <v>139</v>
      </c>
      <c r="B276" s="81" t="str">
        <f>VLOOKUP(F277,'14_1'!$A$11:$G$42,7,0)</f>
        <v>VILLEGAS, RUBEN FEL</v>
      </c>
      <c r="C276" s="81"/>
      <c r="D276" s="81"/>
      <c r="E276" s="81"/>
      <c r="F276" s="452" t="s">
        <v>102</v>
      </c>
    </row>
    <row r="277" spans="1:6">
      <c r="A277" s="450" t="s">
        <v>72</v>
      </c>
      <c r="B277" s="81" t="str">
        <f>+'14_1'!$H$2</f>
        <v>Hijuela Quinteros</v>
      </c>
      <c r="C277" s="81"/>
      <c r="D277" s="81"/>
      <c r="E277" s="81"/>
      <c r="F277" s="452">
        <v>17</v>
      </c>
    </row>
    <row r="278" spans="1:6">
      <c r="A278" s="450"/>
      <c r="B278" s="81"/>
      <c r="C278" s="81"/>
      <c r="D278" s="81"/>
      <c r="E278" s="81"/>
      <c r="F278" s="451"/>
    </row>
    <row r="279" spans="1:6">
      <c r="A279" s="450" t="s">
        <v>140</v>
      </c>
      <c r="B279" s="138">
        <f>VLOOKUP(F277,'14_1'!$A$12:$B$42,2,0)</f>
        <v>1203</v>
      </c>
      <c r="C279" s="81"/>
      <c r="D279" s="139" t="s">
        <v>141</v>
      </c>
      <c r="E279" s="457">
        <f>DSUM('14_1'!A$11:J$42,'14_1'!$J$11,F276:F277)</f>
        <v>0.59053908034252844</v>
      </c>
      <c r="F279" s="451"/>
    </row>
    <row r="280" spans="1:6">
      <c r="A280" s="450" t="s">
        <v>142</v>
      </c>
      <c r="B280" s="205">
        <v>34</v>
      </c>
      <c r="C280" s="480"/>
      <c r="D280" s="139" t="s">
        <v>143</v>
      </c>
      <c r="E280" s="459" t="str">
        <f>+Hijuelas!$G$7</f>
        <v>POR FRACCIÓN</v>
      </c>
      <c r="F280" s="451"/>
    </row>
    <row r="281" spans="1:6">
      <c r="A281" s="450" t="s">
        <v>144</v>
      </c>
      <c r="B281" s="206">
        <f>DSUM('14_1'!$A$11:$H$42,'14_1'!$H$11,F276:F277)</f>
        <v>14.0716</v>
      </c>
      <c r="C281" s="81"/>
      <c r="D281" s="139" t="s">
        <v>145</v>
      </c>
      <c r="E281" s="458" t="str">
        <f>IF(VLOOKUP(F277,'14_1'!$A$12:$D$48,4,0)=1, "Definitivo 100%", "Eventual 80%")</f>
        <v>Definitivo 100%</v>
      </c>
      <c r="F281" s="583"/>
    </row>
    <row r="282" spans="1:6" ht="15.75">
      <c r="A282" s="450"/>
      <c r="B282" s="81" t="s">
        <v>146</v>
      </c>
      <c r="C282" s="477">
        <f>DMIN('14_1'!A$11:L$29,'14_1'!$K$11,F276:F277)</f>
        <v>0</v>
      </c>
      <c r="D282" s="189" t="str">
        <f>IF(E282=1,"Domingo",IF(E282=2,"Lunes",IF(E282=3,"Martes",IF(E282=4,"Miercoles",IF(E282=5,"Jueves",IF(E282=6,"Viernes",IF(E282=7,"Sábado",0)))))))</f>
        <v>Sábado</v>
      </c>
      <c r="E282" s="190">
        <f>WEEKDAY(C282)</f>
        <v>7</v>
      </c>
      <c r="F282" s="453" t="s">
        <v>62</v>
      </c>
    </row>
    <row r="283" spans="1:6" ht="15.75">
      <c r="A283" s="450"/>
      <c r="B283" s="81" t="s">
        <v>147</v>
      </c>
      <c r="C283" s="477">
        <f>DMAX('14_1'!A$11:M$29,'14_1'!$L$11,F276:F277)</f>
        <v>0</v>
      </c>
      <c r="D283" s="189" t="str">
        <f>IF(E283=1,"Domingo",IF(E283=2,"Lunes",IF(E283=3,"Martes",IF(E283=4,"Miercoles",IF(E283=5,"Jueves",IF(E283=6,"Viernes",IF(E283=7,"Sábado",0)))))))</f>
        <v>Sábado</v>
      </c>
      <c r="E283" s="190">
        <f>WEEKDAY(C283)</f>
        <v>7</v>
      </c>
      <c r="F283" s="453">
        <f>WEEKDAY(C283)</f>
        <v>7</v>
      </c>
    </row>
    <row r="284" spans="1:6">
      <c r="A284" s="467" t="str">
        <f>+'planilla caudales'!$J$14</f>
        <v>Caudal l/s</v>
      </c>
      <c r="B284" s="324" t="str">
        <f>+'planilla caudales'!$K$14</f>
        <v>Escala cm</v>
      </c>
      <c r="C284" s="81"/>
      <c r="D284" s="81"/>
      <c r="E284" s="584"/>
      <c r="F284" s="583"/>
    </row>
    <row r="285" spans="1:6">
      <c r="A285" s="605" t="e">
        <f>+'planilla caudales'!#REF!</f>
        <v>#REF!</v>
      </c>
      <c r="B285" s="325" t="e">
        <f>+'planilla caudales'!#REF!</f>
        <v>#REF!</v>
      </c>
      <c r="C285" s="81"/>
      <c r="D285" s="81"/>
      <c r="E285" s="81"/>
      <c r="F285" s="451"/>
    </row>
    <row r="286" spans="1:6">
      <c r="A286" s="472">
        <f>+Mensajes!$B$7</f>
        <v>0</v>
      </c>
      <c r="B286" s="10"/>
      <c r="C286" s="81"/>
      <c r="D286" s="81"/>
      <c r="E286" s="81"/>
      <c r="F286" s="451"/>
    </row>
    <row r="287" spans="1:6">
      <c r="A287" s="472">
        <f>+Mensajes!$B$12</f>
        <v>0</v>
      </c>
      <c r="B287" s="81"/>
      <c r="C287" s="81"/>
      <c r="D287" s="81"/>
      <c r="E287" s="81"/>
      <c r="F287" s="451"/>
    </row>
    <row r="288" spans="1:6" ht="13.5" thickBot="1">
      <c r="A288" s="468"/>
      <c r="B288" s="455"/>
      <c r="C288" s="455"/>
      <c r="D288" s="454" t="str">
        <f>IF(DSUM('14_1'!$A$11:$P$91,16,F276:F277)=COUNTIF('14_1'!$A$12:$A$91,F277),"","Regularice su Deuda")</f>
        <v/>
      </c>
      <c r="E288" s="455"/>
      <c r="F288" s="456"/>
    </row>
    <row r="289" spans="1:6" ht="13.5" thickBot="1"/>
    <row r="290" spans="1:6">
      <c r="A290" s="447"/>
      <c r="B290" s="448"/>
      <c r="C290" s="448"/>
      <c r="D290" s="448"/>
      <c r="E290" s="448"/>
      <c r="F290" s="449"/>
    </row>
    <row r="291" spans="1:6">
      <c r="A291" s="465" t="s">
        <v>64</v>
      </c>
      <c r="B291" s="81"/>
      <c r="C291" s="81"/>
      <c r="D291" s="81"/>
      <c r="E291" s="81"/>
      <c r="F291" s="451"/>
    </row>
    <row r="292" spans="1:6">
      <c r="A292" s="450"/>
      <c r="B292" s="81"/>
      <c r="C292" s="81"/>
      <c r="D292" s="81"/>
      <c r="E292" s="81"/>
      <c r="F292" s="451"/>
    </row>
    <row r="293" spans="1:6">
      <c r="A293" s="450" t="s">
        <v>139</v>
      </c>
      <c r="B293" s="81" t="str">
        <f>VLOOKUP(F294,'14_1'!$A$11:$G$42,7,0)</f>
        <v>ALLENDES, ESTEBAN</v>
      </c>
      <c r="C293" s="81"/>
      <c r="D293" s="81"/>
      <c r="E293" s="81"/>
      <c r="F293" s="452" t="s">
        <v>102</v>
      </c>
    </row>
    <row r="294" spans="1:6">
      <c r="A294" s="450" t="s">
        <v>72</v>
      </c>
      <c r="B294" s="81" t="str">
        <f>+'14_1'!$H$2</f>
        <v>Hijuela Quinteros</v>
      </c>
      <c r="C294" s="81"/>
      <c r="D294" s="81"/>
      <c r="E294" s="81"/>
      <c r="F294" s="452">
        <v>18</v>
      </c>
    </row>
    <row r="295" spans="1:6">
      <c r="A295" s="450"/>
      <c r="B295" s="81"/>
      <c r="C295" s="81"/>
      <c r="D295" s="81"/>
      <c r="E295" s="81"/>
      <c r="F295" s="451"/>
    </row>
    <row r="296" spans="1:6">
      <c r="A296" s="450" t="s">
        <v>140</v>
      </c>
      <c r="B296" s="138">
        <f>VLOOKUP(F294,'14_1'!$A$12:$B$42,2,0)</f>
        <v>1211</v>
      </c>
      <c r="C296" s="81"/>
      <c r="D296" s="139" t="s">
        <v>141</v>
      </c>
      <c r="E296" s="457">
        <f>DSUM('14_1'!A$11:J$42,'14_1'!$J$11,F293:F294)</f>
        <v>0</v>
      </c>
      <c r="F296" s="451"/>
    </row>
    <row r="297" spans="1:6">
      <c r="A297" s="450" t="s">
        <v>142</v>
      </c>
      <c r="B297" s="205">
        <v>4</v>
      </c>
      <c r="C297" s="480"/>
      <c r="D297" s="139" t="s">
        <v>143</v>
      </c>
      <c r="E297" s="459" t="str">
        <f>+Hijuelas!$G$7</f>
        <v>POR FRACCIÓN</v>
      </c>
      <c r="F297" s="451"/>
    </row>
    <row r="298" spans="1:6">
      <c r="A298" s="450" t="s">
        <v>144</v>
      </c>
      <c r="B298" s="206">
        <f>DSUM('14_1'!$A$11:$H$42,'14_1'!$H$11,F293:F294)</f>
        <v>0</v>
      </c>
      <c r="C298" s="81"/>
      <c r="D298" s="139" t="s">
        <v>145</v>
      </c>
      <c r="E298" s="458" t="str">
        <f>IF(VLOOKUP(F294,'14_1'!$A$12:$D$48,4,0)=1, "Definitivo 100%", "Eventual 80%")</f>
        <v>Definitivo 100%</v>
      </c>
      <c r="F298" s="583"/>
    </row>
    <row r="299" spans="1:6" ht="15.75">
      <c r="A299" s="450"/>
      <c r="B299" s="81" t="s">
        <v>146</v>
      </c>
      <c r="C299" s="477">
        <f>DMIN('14_1'!A$11:L$29,'14_1'!$K$11,F293:F294)</f>
        <v>0</v>
      </c>
      <c r="D299" s="189" t="str">
        <f>IF(E299=1,"Domingo",IF(E299=2,"Lunes",IF(E299=3,"Martes",IF(E299=4,"Miercoles",IF(E299=5,"Jueves",IF(E299=6,"Viernes",IF(E299=7,"Sábado",0)))))))</f>
        <v>Sábado</v>
      </c>
      <c r="E299" s="190">
        <f>WEEKDAY(C299)</f>
        <v>7</v>
      </c>
      <c r="F299" s="453" t="s">
        <v>62</v>
      </c>
    </row>
    <row r="300" spans="1:6" ht="15.75">
      <c r="A300" s="450"/>
      <c r="B300" s="81" t="s">
        <v>147</v>
      </c>
      <c r="C300" s="477">
        <f>DMAX('14_1'!A$11:M$29,'14_1'!$L$11,F293:F294)</f>
        <v>0</v>
      </c>
      <c r="D300" s="189" t="str">
        <f>IF(E300=1,"Domingo",IF(E300=2,"Lunes",IF(E300=3,"Martes",IF(E300=4,"Miercoles",IF(E300=5,"Jueves",IF(E300=6,"Viernes",IF(E300=7,"Sábado",0)))))))</f>
        <v>Sábado</v>
      </c>
      <c r="E300" s="190">
        <f>WEEKDAY(C300)</f>
        <v>7</v>
      </c>
      <c r="F300" s="453">
        <f>WEEKDAY(C300)</f>
        <v>7</v>
      </c>
    </row>
    <row r="301" spans="1:6">
      <c r="A301" s="467" t="str">
        <f>+'planilla caudales'!$J$14</f>
        <v>Caudal l/s</v>
      </c>
      <c r="B301" s="324" t="str">
        <f>+'planilla caudales'!$K$14</f>
        <v>Escala cm</v>
      </c>
      <c r="C301" s="81"/>
      <c r="D301" s="81"/>
      <c r="E301" s="584"/>
      <c r="F301" s="583"/>
    </row>
    <row r="302" spans="1:6">
      <c r="A302" s="605" t="e">
        <f>+'planilla caudales'!#REF!</f>
        <v>#REF!</v>
      </c>
      <c r="B302" s="325" t="e">
        <f>+'planilla caudales'!#REF!</f>
        <v>#REF!</v>
      </c>
      <c r="C302" s="81"/>
      <c r="D302" s="81"/>
      <c r="E302" s="81"/>
      <c r="F302" s="451"/>
    </row>
    <row r="303" spans="1:6">
      <c r="A303" s="472">
        <f>+Mensajes!$B$7</f>
        <v>0</v>
      </c>
      <c r="B303" s="10"/>
      <c r="C303" s="81"/>
      <c r="D303" s="81"/>
      <c r="E303" s="81"/>
      <c r="F303" s="451"/>
    </row>
    <row r="304" spans="1:6">
      <c r="A304" s="472">
        <f>+Mensajes!$B$12</f>
        <v>0</v>
      </c>
      <c r="B304" s="81"/>
      <c r="C304" s="81"/>
      <c r="D304" s="81"/>
      <c r="E304" s="81"/>
      <c r="F304" s="451"/>
    </row>
    <row r="305" spans="1:6" ht="13.5" thickBot="1">
      <c r="A305" s="468"/>
      <c r="B305" s="455"/>
      <c r="C305" s="455"/>
      <c r="D305" s="454" t="str">
        <f>IF(DSUM('14_1'!$A$11:$P$91,16,F293:F294)=COUNTIF('14_1'!$A$12:$A$91,F294),"","Regularice su Deuda")</f>
        <v>Regularice su Deuda</v>
      </c>
      <c r="E305" s="455"/>
      <c r="F305" s="456"/>
    </row>
    <row r="306" spans="1:6" ht="13.5" thickBot="1"/>
    <row r="307" spans="1:6">
      <c r="A307" s="447"/>
      <c r="B307" s="448"/>
      <c r="C307" s="448"/>
      <c r="D307" s="448"/>
      <c r="E307" s="448"/>
      <c r="F307" s="449"/>
    </row>
    <row r="308" spans="1:6">
      <c r="A308" s="465" t="s">
        <v>64</v>
      </c>
      <c r="B308" s="81"/>
      <c r="C308" s="81"/>
      <c r="D308" s="81"/>
      <c r="E308" s="81"/>
      <c r="F308" s="451"/>
    </row>
    <row r="309" spans="1:6">
      <c r="A309" s="450"/>
      <c r="B309" s="81"/>
      <c r="C309" s="81"/>
      <c r="D309" s="81"/>
      <c r="E309" s="81"/>
      <c r="F309" s="451"/>
    </row>
    <row r="310" spans="1:6">
      <c r="A310" s="450" t="s">
        <v>139</v>
      </c>
      <c r="B310" s="81" t="str">
        <f>VLOOKUP(F311,'14_1'!$A$11:$G$42,7,0)</f>
        <v>DIUMENJO, RAUL HORA</v>
      </c>
      <c r="C310" s="81"/>
      <c r="D310" s="81"/>
      <c r="E310" s="81"/>
      <c r="F310" s="452" t="s">
        <v>102</v>
      </c>
    </row>
    <row r="311" spans="1:6">
      <c r="A311" s="450" t="s">
        <v>72</v>
      </c>
      <c r="B311" s="81" t="str">
        <f>+'14_1'!$H$2</f>
        <v>Hijuela Quinteros</v>
      </c>
      <c r="C311" s="81"/>
      <c r="D311" s="81"/>
      <c r="E311" s="81"/>
      <c r="F311" s="452">
        <v>19</v>
      </c>
    </row>
    <row r="312" spans="1:6">
      <c r="A312" s="450"/>
      <c r="B312" s="81"/>
      <c r="C312" s="81"/>
      <c r="D312" s="81"/>
      <c r="E312" s="81"/>
      <c r="F312" s="451"/>
    </row>
    <row r="313" spans="1:6">
      <c r="A313" s="450" t="s">
        <v>140</v>
      </c>
      <c r="B313" s="138">
        <f>VLOOKUP(F311,'14_1'!$A$12:$B$42,2,0)</f>
        <v>1211</v>
      </c>
      <c r="C313" s="81"/>
      <c r="D313" s="139" t="s">
        <v>141</v>
      </c>
      <c r="E313" s="457">
        <f>DSUM('14_1'!A$11:J$42,'14_1'!$J$11,F310:F311)</f>
        <v>0.30817850724774182</v>
      </c>
      <c r="F313" s="451"/>
    </row>
    <row r="314" spans="1:6">
      <c r="A314" s="450" t="s">
        <v>142</v>
      </c>
      <c r="B314" s="205">
        <v>14</v>
      </c>
      <c r="C314" s="480"/>
      <c r="D314" s="139" t="s">
        <v>143</v>
      </c>
      <c r="E314" s="459" t="str">
        <f>+Hijuelas!$G$7</f>
        <v>POR FRACCIÓN</v>
      </c>
      <c r="F314" s="451"/>
    </row>
    <row r="315" spans="1:6">
      <c r="A315" s="450" t="s">
        <v>144</v>
      </c>
      <c r="B315" s="206">
        <f>DSUM('14_1'!$A$11:$H$42,'14_1'!$H$11,F310:F311)</f>
        <v>7.3433999999999999</v>
      </c>
      <c r="C315" s="81"/>
      <c r="D315" s="139" t="s">
        <v>145</v>
      </c>
      <c r="E315" s="458" t="str">
        <f>IF(VLOOKUP(F311,'14_1'!$A$12:$D$48,4,0)=1, "Definitivo 100%", "Eventual 80%")</f>
        <v>Definitivo 100%</v>
      </c>
      <c r="F315" s="583"/>
    </row>
    <row r="316" spans="1:6" ht="15.75">
      <c r="A316" s="450"/>
      <c r="B316" s="81" t="s">
        <v>146</v>
      </c>
      <c r="C316" s="477">
        <f>DMIN('14_1'!A$11:L$29,'14_1'!$K$11,F310:F311)</f>
        <v>0</v>
      </c>
      <c r="D316" s="189" t="str">
        <f>IF(E316=1,"Domingo",IF(E316=2,"Lunes",IF(E316=3,"Martes",IF(E316=4,"Miercoles",IF(E316=5,"Jueves",IF(E316=6,"Viernes",IF(E316=7,"Sábado",0)))))))</f>
        <v>Sábado</v>
      </c>
      <c r="E316" s="190">
        <f>WEEKDAY(C316)</f>
        <v>7</v>
      </c>
      <c r="F316" s="453" t="s">
        <v>62</v>
      </c>
    </row>
    <row r="317" spans="1:6" ht="15.75">
      <c r="A317" s="450"/>
      <c r="B317" s="81" t="s">
        <v>147</v>
      </c>
      <c r="C317" s="477">
        <f>DMAX('14_1'!A$11:M$29,'14_1'!$L$11,F310:F311)</f>
        <v>0</v>
      </c>
      <c r="D317" s="189" t="str">
        <f>IF(E317=1,"Domingo",IF(E317=2,"Lunes",IF(E317=3,"Martes",IF(E317=4,"Miercoles",IF(E317=5,"Jueves",IF(E317=6,"Viernes",IF(E317=7,"Sábado",0)))))))</f>
        <v>Sábado</v>
      </c>
      <c r="E317" s="190">
        <f>WEEKDAY(C317)</f>
        <v>7</v>
      </c>
      <c r="F317" s="453">
        <f>WEEKDAY(C317)</f>
        <v>7</v>
      </c>
    </row>
    <row r="318" spans="1:6">
      <c r="A318" s="467" t="str">
        <f>+'planilla caudales'!$J$14</f>
        <v>Caudal l/s</v>
      </c>
      <c r="B318" s="324" t="str">
        <f>+'planilla caudales'!$K$14</f>
        <v>Escala cm</v>
      </c>
      <c r="C318" s="81"/>
      <c r="D318" s="81"/>
      <c r="E318" s="584"/>
      <c r="F318" s="583"/>
    </row>
    <row r="319" spans="1:6">
      <c r="A319" s="605" t="e">
        <f>+'planilla caudales'!#REF!</f>
        <v>#REF!</v>
      </c>
      <c r="B319" s="325" t="e">
        <f>+'planilla caudales'!#REF!</f>
        <v>#REF!</v>
      </c>
      <c r="C319" s="81"/>
      <c r="D319" s="81"/>
      <c r="E319" s="81"/>
      <c r="F319" s="451"/>
    </row>
    <row r="320" spans="1:6">
      <c r="A320" s="472">
        <f>+Mensajes!$B$7</f>
        <v>0</v>
      </c>
      <c r="B320" s="10"/>
      <c r="C320" s="81"/>
      <c r="D320" s="81"/>
      <c r="E320" s="81"/>
      <c r="F320" s="451"/>
    </row>
    <row r="321" spans="1:6">
      <c r="A321" s="472">
        <f>+Mensajes!$B$12</f>
        <v>0</v>
      </c>
      <c r="B321" s="81"/>
      <c r="C321" s="81"/>
      <c r="D321" s="81"/>
      <c r="E321" s="81"/>
      <c r="F321" s="451"/>
    </row>
    <row r="322" spans="1:6" ht="13.5" thickBot="1">
      <c r="A322" s="468"/>
      <c r="B322" s="455"/>
      <c r="C322" s="455"/>
      <c r="D322" s="454" t="str">
        <f>IF(DSUM('14_1'!$A$11:$P$91,16,F310:F311)=COUNTIF('14_1'!$A$12:$A$91,F311),"","Regularice su Deuda")</f>
        <v/>
      </c>
      <c r="E322" s="455"/>
      <c r="F322" s="456"/>
    </row>
    <row r="323" spans="1:6" ht="13.5" thickBot="1"/>
    <row r="324" spans="1:6">
      <c r="A324" s="447"/>
      <c r="B324" s="448"/>
      <c r="C324" s="448"/>
      <c r="D324" s="448"/>
      <c r="E324" s="448"/>
      <c r="F324" s="449"/>
    </row>
    <row r="325" spans="1:6">
      <c r="A325" s="465" t="s">
        <v>64</v>
      </c>
      <c r="B325" s="81"/>
      <c r="C325" s="81"/>
      <c r="D325" s="81"/>
      <c r="E325" s="81"/>
      <c r="F325" s="451"/>
    </row>
    <row r="326" spans="1:6">
      <c r="A326" s="450"/>
      <c r="B326" s="81"/>
      <c r="C326" s="81"/>
      <c r="D326" s="81"/>
      <c r="E326" s="81"/>
      <c r="F326" s="451"/>
    </row>
    <row r="327" spans="1:6">
      <c r="A327" s="450" t="s">
        <v>139</v>
      </c>
      <c r="B327" s="81" t="str">
        <f>VLOOKUP(F328,'14_1'!$A$11:$G$42,7,0)</f>
        <v>OZCARIZ, FRANCISCO</v>
      </c>
      <c r="C327" s="81"/>
      <c r="D327" s="81"/>
      <c r="E327" s="81"/>
      <c r="F327" s="452" t="s">
        <v>102</v>
      </c>
    </row>
    <row r="328" spans="1:6">
      <c r="A328" s="450" t="s">
        <v>72</v>
      </c>
      <c r="B328" s="81" t="str">
        <f>+'14_1'!$H$2</f>
        <v>Hijuela Quinteros</v>
      </c>
      <c r="C328" s="81"/>
      <c r="D328" s="81"/>
      <c r="E328" s="81"/>
      <c r="F328" s="452">
        <v>20</v>
      </c>
    </row>
    <row r="329" spans="1:6">
      <c r="A329" s="450"/>
      <c r="B329" s="81"/>
      <c r="C329" s="81"/>
      <c r="D329" s="81"/>
      <c r="E329" s="81"/>
      <c r="F329" s="451"/>
    </row>
    <row r="330" spans="1:6">
      <c r="A330" s="450" t="s">
        <v>140</v>
      </c>
      <c r="B330" s="138">
        <f>VLOOKUP(F328,'14_1'!$A$12:$B$42,2,0)</f>
        <v>1211</v>
      </c>
      <c r="C330" s="81"/>
      <c r="D330" s="139" t="s">
        <v>141</v>
      </c>
      <c r="E330" s="457">
        <f>DSUM('14_1'!A$11:J$42,'14_1'!$J$11,F327:F328)</f>
        <v>0.3904584840037299</v>
      </c>
      <c r="F330" s="451"/>
    </row>
    <row r="331" spans="1:6">
      <c r="A331" s="450" t="s">
        <v>142</v>
      </c>
      <c r="B331" s="205" t="s">
        <v>380</v>
      </c>
      <c r="C331" s="480"/>
      <c r="D331" s="139" t="s">
        <v>143</v>
      </c>
      <c r="E331" s="459" t="str">
        <f>+Hijuelas!$G$7</f>
        <v>POR FRACCIÓN</v>
      </c>
      <c r="F331" s="451"/>
    </row>
    <row r="332" spans="1:6">
      <c r="A332" s="450" t="s">
        <v>144</v>
      </c>
      <c r="B332" s="206">
        <f>DSUM('14_1'!$A$11:$H$42,'14_1'!$H$11,F327:F328)</f>
        <v>9.3040000000000003</v>
      </c>
      <c r="C332" s="81"/>
      <c r="D332" s="139" t="s">
        <v>145</v>
      </c>
      <c r="E332" s="458" t="str">
        <f>IF(VLOOKUP(F328,'14_1'!$A$12:$D$48,4,0)=1, "Definitivo 100%", "Eventual 80%")</f>
        <v>Definitivo 100%</v>
      </c>
      <c r="F332" s="583"/>
    </row>
    <row r="333" spans="1:6" ht="15.75">
      <c r="A333" s="450"/>
      <c r="B333" s="81" t="s">
        <v>146</v>
      </c>
      <c r="C333" s="477">
        <f>DMIN('14_1'!A$11:L$29,'14_1'!$K$11,F327:F328)</f>
        <v>0</v>
      </c>
      <c r="D333" s="189" t="str">
        <f>IF(E333=1,"Domingo",IF(E333=2,"Lunes",IF(E333=3,"Martes",IF(E333=4,"Miercoles",IF(E333=5,"Jueves",IF(E333=6,"Viernes",IF(E333=7,"Sábado",0)))))))</f>
        <v>Sábado</v>
      </c>
      <c r="E333" s="190">
        <f>WEEKDAY(C333)</f>
        <v>7</v>
      </c>
      <c r="F333" s="453" t="s">
        <v>62</v>
      </c>
    </row>
    <row r="334" spans="1:6" ht="15.75">
      <c r="A334" s="450"/>
      <c r="B334" s="81" t="s">
        <v>147</v>
      </c>
      <c r="C334" s="477">
        <f>DMAX('14_1'!A$11:M$29,'14_1'!$L$11,F327:F328)</f>
        <v>0</v>
      </c>
      <c r="D334" s="189" t="str">
        <f>IF(E334=1,"Domingo",IF(E334=2,"Lunes",IF(E334=3,"Martes",IF(E334=4,"Miercoles",IF(E334=5,"Jueves",IF(E334=6,"Viernes",IF(E334=7,"Sábado",0)))))))</f>
        <v>Sábado</v>
      </c>
      <c r="E334" s="190">
        <f>WEEKDAY(C334)</f>
        <v>7</v>
      </c>
      <c r="F334" s="453">
        <f>WEEKDAY(C334)</f>
        <v>7</v>
      </c>
    </row>
    <row r="335" spans="1:6">
      <c r="A335" s="467" t="str">
        <f>+'planilla caudales'!$J$14</f>
        <v>Caudal l/s</v>
      </c>
      <c r="B335" s="324" t="str">
        <f>+'planilla caudales'!$K$14</f>
        <v>Escala cm</v>
      </c>
      <c r="C335" s="81"/>
      <c r="D335" s="81"/>
      <c r="E335" s="584"/>
      <c r="F335" s="583"/>
    </row>
    <row r="336" spans="1:6">
      <c r="A336" s="605" t="e">
        <f>+'planilla caudales'!#REF!</f>
        <v>#REF!</v>
      </c>
      <c r="B336" s="325" t="e">
        <f>+'planilla caudales'!#REF!</f>
        <v>#REF!</v>
      </c>
      <c r="C336" s="81"/>
      <c r="D336" s="81"/>
      <c r="E336" s="81"/>
      <c r="F336" s="451"/>
    </row>
    <row r="337" spans="1:6">
      <c r="A337" s="472">
        <f>+Mensajes!$B$7</f>
        <v>0</v>
      </c>
      <c r="B337" s="10"/>
      <c r="C337" s="81"/>
      <c r="D337" s="81"/>
      <c r="E337" s="81"/>
      <c r="F337" s="451"/>
    </row>
    <row r="338" spans="1:6">
      <c r="A338" s="472">
        <f>+Mensajes!$B$12</f>
        <v>0</v>
      </c>
      <c r="B338" s="81"/>
      <c r="C338" s="81"/>
      <c r="D338" s="81"/>
      <c r="E338" s="81"/>
      <c r="F338" s="451"/>
    </row>
    <row r="339" spans="1:6" ht="13.5" thickBot="1">
      <c r="A339" s="468"/>
      <c r="B339" s="455"/>
      <c r="C339" s="455"/>
      <c r="D339" s="454" t="str">
        <f>IF(DSUM('14_1'!$A$11:$P$91,16,F327:F328)=COUNTIF('14_1'!$A$12:$A$91,F328),"","Regularice su Deuda")</f>
        <v/>
      </c>
      <c r="E339" s="455"/>
      <c r="F339" s="456"/>
    </row>
    <row r="340" spans="1:6" ht="13.5" thickBot="1"/>
    <row r="341" spans="1:6">
      <c r="A341" s="447"/>
      <c r="B341" s="448"/>
      <c r="C341" s="448"/>
      <c r="D341" s="448"/>
      <c r="E341" s="448"/>
      <c r="F341" s="449"/>
    </row>
    <row r="342" spans="1:6">
      <c r="A342" s="465" t="s">
        <v>64</v>
      </c>
      <c r="B342" s="81"/>
      <c r="C342" s="81"/>
      <c r="D342" s="81"/>
      <c r="E342" s="81"/>
      <c r="F342" s="451"/>
    </row>
    <row r="343" spans="1:6">
      <c r="A343" s="450"/>
      <c r="B343" s="81"/>
      <c r="C343" s="81"/>
      <c r="D343" s="81"/>
      <c r="E343" s="81"/>
      <c r="F343" s="451"/>
    </row>
    <row r="344" spans="1:6">
      <c r="A344" s="450" t="s">
        <v>139</v>
      </c>
      <c r="B344" s="81" t="e">
        <f>VLOOKUP(F345,'14_1'!$A$11:$G$42,7,0)</f>
        <v>#N/A</v>
      </c>
      <c r="C344" s="81"/>
      <c r="D344" s="81"/>
      <c r="E344" s="81"/>
      <c r="F344" s="452" t="s">
        <v>102</v>
      </c>
    </row>
    <row r="345" spans="1:6">
      <c r="A345" s="450" t="s">
        <v>72</v>
      </c>
      <c r="B345" s="81" t="str">
        <f>+'14_1'!$H$2</f>
        <v>Hijuela Quinteros</v>
      </c>
      <c r="C345" s="81"/>
      <c r="D345" s="81"/>
      <c r="E345" s="81"/>
      <c r="F345" s="452">
        <v>21</v>
      </c>
    </row>
    <row r="346" spans="1:6">
      <c r="A346" s="450"/>
      <c r="B346" s="81"/>
      <c r="C346" s="81"/>
      <c r="D346" s="81"/>
      <c r="E346" s="81"/>
      <c r="F346" s="451"/>
    </row>
    <row r="347" spans="1:6">
      <c r="A347" s="450" t="s">
        <v>140</v>
      </c>
      <c r="B347" s="138" t="e">
        <f>VLOOKUP(F345,'14_1'!$A$12:$B$42,2,0)</f>
        <v>#N/A</v>
      </c>
      <c r="C347" s="81"/>
      <c r="D347" s="139" t="s">
        <v>141</v>
      </c>
      <c r="E347" s="457">
        <f>DSUM('14_1'!A$11:J$42,'14_1'!$J$11,F344:F345)</f>
        <v>0</v>
      </c>
      <c r="F347" s="451"/>
    </row>
    <row r="348" spans="1:6">
      <c r="A348" s="450" t="s">
        <v>142</v>
      </c>
      <c r="B348" s="205" t="s">
        <v>380</v>
      </c>
      <c r="C348" s="480"/>
      <c r="D348" s="139" t="s">
        <v>143</v>
      </c>
      <c r="E348" s="459" t="str">
        <f>+Hijuelas!$G$7</f>
        <v>POR FRACCIÓN</v>
      </c>
      <c r="F348" s="451"/>
    </row>
    <row r="349" spans="1:6">
      <c r="A349" s="450" t="s">
        <v>144</v>
      </c>
      <c r="B349" s="206">
        <f>DSUM('14_1'!$A$11:$H$42,'14_1'!$H$11,F344:F345)</f>
        <v>0</v>
      </c>
      <c r="C349" s="81"/>
      <c r="D349" s="139" t="s">
        <v>145</v>
      </c>
      <c r="E349" s="458" t="e">
        <f>IF(VLOOKUP(F345,'14_1'!$A$12:$D$48,4,0)=1, "Definitivo 100%", "Eventual 80%")</f>
        <v>#N/A</v>
      </c>
      <c r="F349" s="583"/>
    </row>
    <row r="350" spans="1:6" ht="15.75">
      <c r="A350" s="450"/>
      <c r="B350" s="81" t="s">
        <v>146</v>
      </c>
      <c r="C350" s="477">
        <f>DMIN('14_1'!A$11:L$29,'14_1'!$K$11,F344:F345)</f>
        <v>0</v>
      </c>
      <c r="D350" s="189" t="str">
        <f>IF(E350=1,"Domingo",IF(E350=2,"Lunes",IF(E350=3,"Martes",IF(E350=4,"Miercoles",IF(E350=5,"Jueves",IF(E350=6,"Viernes",IF(E350=7,"Sábado",0)))))))</f>
        <v>Sábado</v>
      </c>
      <c r="E350" s="190">
        <f>WEEKDAY(C350)</f>
        <v>7</v>
      </c>
      <c r="F350" s="453" t="s">
        <v>62</v>
      </c>
    </row>
    <row r="351" spans="1:6" ht="15.75">
      <c r="A351" s="450"/>
      <c r="B351" s="81" t="s">
        <v>147</v>
      </c>
      <c r="C351" s="477">
        <f>DMAX('14_1'!A$11:M$29,'14_1'!$L$11,F344:F345)</f>
        <v>0</v>
      </c>
      <c r="D351" s="189" t="str">
        <f>IF(E351=1,"Domingo",IF(E351=2,"Lunes",IF(E351=3,"Martes",IF(E351=4,"Miercoles",IF(E351=5,"Jueves",IF(E351=6,"Viernes",IF(E351=7,"Sábado",0)))))))</f>
        <v>Sábado</v>
      </c>
      <c r="E351" s="190">
        <f>WEEKDAY(C351)</f>
        <v>7</v>
      </c>
      <c r="F351" s="453">
        <f>WEEKDAY(C351)</f>
        <v>7</v>
      </c>
    </row>
    <row r="352" spans="1:6">
      <c r="A352" s="467" t="str">
        <f>+'planilla caudales'!$J$14</f>
        <v>Caudal l/s</v>
      </c>
      <c r="B352" s="324" t="str">
        <f>+'planilla caudales'!$K$14</f>
        <v>Escala cm</v>
      </c>
      <c r="C352" s="81"/>
      <c r="D352" s="81"/>
      <c r="E352" s="584"/>
      <c r="F352" s="583"/>
    </row>
    <row r="353" spans="1:6">
      <c r="A353" s="605" t="e">
        <f>+'planilla caudales'!#REF!</f>
        <v>#REF!</v>
      </c>
      <c r="B353" s="325" t="e">
        <f>+'planilla caudales'!#REF!</f>
        <v>#REF!</v>
      </c>
      <c r="C353" s="81"/>
      <c r="D353" s="81"/>
      <c r="E353" s="81"/>
      <c r="F353" s="451"/>
    </row>
    <row r="354" spans="1:6">
      <c r="A354" s="472">
        <f>+Mensajes!$B$7</f>
        <v>0</v>
      </c>
      <c r="B354" s="10"/>
      <c r="C354" s="81"/>
      <c r="D354" s="81"/>
      <c r="E354" s="81"/>
      <c r="F354" s="451"/>
    </row>
    <row r="355" spans="1:6">
      <c r="A355" s="472">
        <f>+Mensajes!$B$12</f>
        <v>0</v>
      </c>
      <c r="B355" s="81"/>
      <c r="C355" s="81"/>
      <c r="D355" s="81"/>
      <c r="E355" s="81"/>
      <c r="F355" s="451"/>
    </row>
    <row r="356" spans="1:6" ht="13.5" thickBot="1">
      <c r="A356" s="468"/>
      <c r="B356" s="455"/>
      <c r="C356" s="455"/>
      <c r="D356" s="454" t="str">
        <f>IF(DSUM('14_1'!$A$11:$P$91,16,F344:F345)=COUNTIF('14_1'!$A$12:$A$91,F345),"","Regularice su Deuda")</f>
        <v/>
      </c>
      <c r="E356" s="455"/>
      <c r="F356" s="456"/>
    </row>
    <row r="357" spans="1:6" ht="13.5" thickBot="1"/>
    <row r="358" spans="1:6">
      <c r="A358" s="447"/>
      <c r="B358" s="448"/>
      <c r="C358" s="448"/>
      <c r="D358" s="448"/>
      <c r="E358" s="448"/>
      <c r="F358" s="449"/>
    </row>
    <row r="359" spans="1:6">
      <c r="A359" s="465" t="s">
        <v>64</v>
      </c>
      <c r="B359" s="81"/>
      <c r="C359" s="81"/>
      <c r="D359" s="81"/>
      <c r="E359" s="81"/>
      <c r="F359" s="451"/>
    </row>
    <row r="360" spans="1:6">
      <c r="A360" s="450"/>
      <c r="B360" s="81"/>
      <c r="C360" s="81"/>
      <c r="D360" s="81"/>
      <c r="E360" s="81"/>
      <c r="F360" s="451"/>
    </row>
    <row r="361" spans="1:6">
      <c r="A361" s="450" t="s">
        <v>139</v>
      </c>
      <c r="B361" s="81" t="e">
        <f>VLOOKUP(F362,'14_1'!$A$11:$G$42,7,0)</f>
        <v>#N/A</v>
      </c>
      <c r="C361" s="81"/>
      <c r="D361" s="81"/>
      <c r="E361" s="81"/>
      <c r="F361" s="452" t="s">
        <v>102</v>
      </c>
    </row>
    <row r="362" spans="1:6">
      <c r="A362" s="450" t="s">
        <v>72</v>
      </c>
      <c r="B362" s="81" t="str">
        <f>+'14_1'!$H$2</f>
        <v>Hijuela Quinteros</v>
      </c>
      <c r="C362" s="81"/>
      <c r="D362" s="81"/>
      <c r="E362" s="81"/>
      <c r="F362" s="452">
        <v>22</v>
      </c>
    </row>
    <row r="363" spans="1:6">
      <c r="A363" s="450"/>
      <c r="B363" s="81"/>
      <c r="C363" s="81"/>
      <c r="D363" s="81"/>
      <c r="E363" s="81"/>
      <c r="F363" s="451"/>
    </row>
    <row r="364" spans="1:6">
      <c r="A364" s="450" t="s">
        <v>140</v>
      </c>
      <c r="B364" s="138" t="e">
        <f>VLOOKUP(F362,'14_1'!$A$12:$B$42,2,0)</f>
        <v>#N/A</v>
      </c>
      <c r="C364" s="81"/>
      <c r="D364" s="139" t="s">
        <v>141</v>
      </c>
      <c r="E364" s="457">
        <f>DSUM('14_1'!A$11:J$42,'14_1'!$J$11,F361:F362)</f>
        <v>0</v>
      </c>
      <c r="F364" s="451"/>
    </row>
    <row r="365" spans="1:6">
      <c r="A365" s="450" t="s">
        <v>142</v>
      </c>
      <c r="B365" s="205">
        <v>35</v>
      </c>
      <c r="C365" s="480"/>
      <c r="D365" s="139" t="s">
        <v>143</v>
      </c>
      <c r="E365" s="459" t="str">
        <f>+Hijuelas!$G$7</f>
        <v>POR FRACCIÓN</v>
      </c>
      <c r="F365" s="451"/>
    </row>
    <row r="366" spans="1:6">
      <c r="A366" s="450" t="s">
        <v>144</v>
      </c>
      <c r="B366" s="206">
        <f>DSUM('14_1'!$A$11:$H$42,'14_1'!$H$11,F361:F362)</f>
        <v>0</v>
      </c>
      <c r="C366" s="81"/>
      <c r="D366" s="139" t="s">
        <v>145</v>
      </c>
      <c r="E366" s="458" t="e">
        <f>IF(VLOOKUP(F362,'14_1'!$A$12:$D$48,4,0)=1, "Definitivo 100%", "Eventual 80%")</f>
        <v>#N/A</v>
      </c>
      <c r="F366" s="583"/>
    </row>
    <row r="367" spans="1:6" ht="15.75">
      <c r="A367" s="450"/>
      <c r="B367" s="81" t="s">
        <v>146</v>
      </c>
      <c r="C367" s="477">
        <f>DMIN('14_1'!A$11:L$29,'14_1'!$K$11,F361:F362)</f>
        <v>0</v>
      </c>
      <c r="D367" s="189" t="str">
        <f>IF(E367=1,"Domingo",IF(E367=2,"Lunes",IF(E367=3,"Martes",IF(E367=4,"Miercoles",IF(E367=5,"Jueves",IF(E367=6,"Viernes",IF(E367=7,"Sábado",0)))))))</f>
        <v>Sábado</v>
      </c>
      <c r="E367" s="190">
        <f>WEEKDAY(C367)</f>
        <v>7</v>
      </c>
      <c r="F367" s="453" t="s">
        <v>62</v>
      </c>
    </row>
    <row r="368" spans="1:6" ht="15.75">
      <c r="A368" s="450"/>
      <c r="B368" s="81" t="s">
        <v>147</v>
      </c>
      <c r="C368" s="477">
        <f>DMAX('14_1'!A$11:M$29,'14_1'!$L$11,F361:F362)</f>
        <v>0</v>
      </c>
      <c r="D368" s="189" t="str">
        <f>IF(E368=1,"Domingo",IF(E368=2,"Lunes",IF(E368=3,"Martes",IF(E368=4,"Miercoles",IF(E368=5,"Jueves",IF(E368=6,"Viernes",IF(E368=7,"Sábado",0)))))))</f>
        <v>Sábado</v>
      </c>
      <c r="E368" s="190">
        <f>WEEKDAY(C368)</f>
        <v>7</v>
      </c>
      <c r="F368" s="453">
        <f>WEEKDAY(C368)</f>
        <v>7</v>
      </c>
    </row>
    <row r="369" spans="1:6">
      <c r="A369" s="467" t="str">
        <f>+'planilla caudales'!$J$14</f>
        <v>Caudal l/s</v>
      </c>
      <c r="B369" s="324" t="str">
        <f>+'planilla caudales'!$K$14</f>
        <v>Escala cm</v>
      </c>
      <c r="C369" s="81"/>
      <c r="D369" s="81"/>
      <c r="E369" s="584"/>
      <c r="F369" s="583"/>
    </row>
    <row r="370" spans="1:6">
      <c r="A370" s="605" t="e">
        <f>+'planilla caudales'!#REF!</f>
        <v>#REF!</v>
      </c>
      <c r="B370" s="325" t="e">
        <f>+'planilla caudales'!#REF!</f>
        <v>#REF!</v>
      </c>
      <c r="C370" s="81"/>
      <c r="D370" s="81"/>
      <c r="E370" s="81"/>
      <c r="F370" s="451"/>
    </row>
    <row r="371" spans="1:6">
      <c r="A371" s="472">
        <f>+Mensajes!$B$7</f>
        <v>0</v>
      </c>
      <c r="B371" s="10"/>
      <c r="C371" s="81"/>
      <c r="D371" s="81"/>
      <c r="E371" s="81"/>
      <c r="F371" s="451"/>
    </row>
    <row r="372" spans="1:6">
      <c r="A372" s="472">
        <f>+Mensajes!$B$12</f>
        <v>0</v>
      </c>
      <c r="B372" s="81"/>
      <c r="C372" s="81"/>
      <c r="D372" s="81"/>
      <c r="E372" s="81"/>
      <c r="F372" s="451"/>
    </row>
    <row r="373" spans="1:6" ht="13.5" thickBot="1">
      <c r="A373" s="468"/>
      <c r="B373" s="455"/>
      <c r="C373" s="455"/>
      <c r="D373" s="454" t="str">
        <f>IF(DSUM('14_1'!$A$11:$P$91,16,F361:F362)=COUNTIF('14_1'!$A$12:$A$91,F362),"","Regularice su Deuda")</f>
        <v/>
      </c>
      <c r="E373" s="455"/>
      <c r="F373" s="456"/>
    </row>
  </sheetData>
  <phoneticPr fontId="0" type="noConversion"/>
  <pageMargins left="0.35433070866141736" right="0.74803149606299213" top="0.98425196850393704" bottom="0.98425196850393704" header="0" footer="0"/>
  <pageSetup paperSize="9" scale="80" orientation="portrait" r:id="rId1"/>
  <headerFooter alignWithMargins="0"/>
  <rowBreaks count="2" manualBreakCount="2">
    <brk id="68" max="5" man="1"/>
    <brk id="85" max="5" man="1"/>
  </rowBreaks>
  <colBreaks count="1" manualBreakCount="1">
    <brk id="7" max="1048575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20"/>
  <dimension ref="A1:U33"/>
  <sheetViews>
    <sheetView view="pageBreakPreview" zoomScale="75" zoomScaleNormal="85" workbookViewId="0" xr3:uid="{E6B2BAC2-667D-5CCD-8069-8C8F7D962337}">
      <selection activeCell="M1" sqref="M1:M1048576"/>
    </sheetView>
  </sheetViews>
  <sheetFormatPr defaultColWidth="11.42578125" defaultRowHeight="12.75"/>
  <cols>
    <col min="1" max="1" width="6.85546875" customWidth="1"/>
    <col min="2" max="2" width="6.140625" customWidth="1"/>
    <col min="3" max="3" width="6.5703125" customWidth="1"/>
    <col min="4" max="4" width="5.28515625" bestFit="1" customWidth="1"/>
    <col min="5" max="5" width="11" bestFit="1" customWidth="1"/>
    <col min="6" max="6" width="13.28515625" bestFit="1" customWidth="1"/>
    <col min="7" max="7" width="26.42578125" bestFit="1" customWidth="1"/>
    <col min="8" max="8" width="13.5703125" customWidth="1"/>
    <col min="9" max="9" width="8.7109375" customWidth="1"/>
    <col min="10" max="10" width="7.5703125" customWidth="1"/>
    <col min="11" max="12" width="18" bestFit="1" customWidth="1"/>
    <col min="13" max="13" width="18" customWidth="1"/>
    <col min="14" max="14" width="22.85546875" customWidth="1"/>
    <col min="15" max="15" width="17.42578125" bestFit="1" customWidth="1"/>
    <col min="16" max="16" width="7.140625" bestFit="1" customWidth="1"/>
    <col min="17" max="17" width="7.28515625" bestFit="1" customWidth="1"/>
    <col min="18" max="18" width="8.28515625" bestFit="1" customWidth="1"/>
    <col min="19" max="19" width="7.5703125" bestFit="1" customWidth="1"/>
    <col min="20" max="20" width="12.5703125" bestFit="1" customWidth="1"/>
    <col min="21" max="22" width="10.7109375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21">
      <c r="A2" s="137"/>
      <c r="B2" s="144" t="s">
        <v>187</v>
      </c>
      <c r="C2" s="137"/>
      <c r="D2" s="137"/>
      <c r="E2" s="137"/>
      <c r="F2" s="137"/>
      <c r="G2" s="137"/>
      <c r="H2" s="137" t="s">
        <v>381</v>
      </c>
      <c r="I2" s="137"/>
      <c r="J2" s="137"/>
      <c r="K2" s="137"/>
      <c r="L2" s="137"/>
      <c r="M2" s="137"/>
      <c r="N2" s="137"/>
      <c r="O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</row>
    <row r="5" spans="1:21">
      <c r="A5" s="669" t="s">
        <v>92</v>
      </c>
      <c r="B5" s="670"/>
      <c r="C5" s="662">
        <f>+Hijuelas!D25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378"/>
      <c r="K5" s="137"/>
      <c r="L5" s="137"/>
      <c r="M5" s="137"/>
      <c r="N5" s="137"/>
      <c r="O5" s="137"/>
    </row>
    <row r="6" spans="1:21" ht="13.5" thickBot="1">
      <c r="A6" s="671" t="s">
        <v>94</v>
      </c>
      <c r="B6" s="672"/>
      <c r="C6" s="665">
        <f>+C5+I5</f>
        <v>42977.53125</v>
      </c>
      <c r="D6" s="666"/>
      <c r="E6" s="667"/>
      <c r="F6" s="344"/>
      <c r="G6" s="344"/>
      <c r="H6" s="347" t="s">
        <v>95</v>
      </c>
      <c r="I6" s="354">
        <v>8.3333333333333329E-2</v>
      </c>
      <c r="J6" s="378"/>
      <c r="K6" s="137"/>
      <c r="L6" s="578"/>
      <c r="M6" s="578"/>
      <c r="N6" s="137"/>
      <c r="O6" s="137"/>
    </row>
    <row r="7" spans="1:21" ht="13.5" thickBot="1">
      <c r="A7" s="137"/>
      <c r="B7" s="137"/>
      <c r="C7" s="137"/>
      <c r="D7" s="137"/>
      <c r="E7" s="137"/>
      <c r="F7" s="556">
        <f>+C6-C5</f>
        <v>3.9895833333357587</v>
      </c>
      <c r="G7" s="137"/>
      <c r="H7" s="348" t="s">
        <v>96</v>
      </c>
      <c r="I7" s="349">
        <v>8.3333333333333329E-2</v>
      </c>
      <c r="J7" s="378"/>
      <c r="K7" s="137"/>
      <c r="L7" s="137"/>
      <c r="M7" s="137"/>
      <c r="N7" s="137"/>
      <c r="O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438">
        <f>+I33</f>
        <v>4.1666666666666671E-2</v>
      </c>
      <c r="J8" s="137"/>
      <c r="K8" s="137"/>
      <c r="L8" s="137"/>
      <c r="M8" s="137"/>
      <c r="N8" s="137"/>
      <c r="O8" s="137"/>
    </row>
    <row r="9" spans="1:21">
      <c r="A9" s="668" t="s">
        <v>97</v>
      </c>
      <c r="B9" s="668"/>
      <c r="C9" s="556">
        <f>+I5-I6-I8</f>
        <v>3.8645833333333335</v>
      </c>
      <c r="D9" s="556"/>
      <c r="E9" s="555" t="s">
        <v>98</v>
      </c>
      <c r="F9" s="350">
        <f>+C9*60</f>
        <v>231.875</v>
      </c>
      <c r="G9" s="555" t="s">
        <v>99</v>
      </c>
      <c r="H9" s="351">
        <f>+H33</f>
        <v>43.708000000000006</v>
      </c>
      <c r="I9" s="555" t="s">
        <v>100</v>
      </c>
      <c r="J9" s="556">
        <f>+F9/H9</f>
        <v>5.305092889173606</v>
      </c>
      <c r="K9" s="137"/>
      <c r="L9" s="137"/>
      <c r="M9" s="137"/>
      <c r="N9" s="137"/>
      <c r="O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</row>
    <row r="12" spans="1:21" ht="32.25" customHeight="1" thickBot="1">
      <c r="A12" s="381" t="s">
        <v>102</v>
      </c>
      <c r="B12" s="379" t="s">
        <v>103</v>
      </c>
      <c r="C12" s="379" t="s">
        <v>104</v>
      </c>
      <c r="D12" s="379" t="s">
        <v>322</v>
      </c>
      <c r="E12" s="379" t="s">
        <v>106</v>
      </c>
      <c r="F12" s="379" t="s">
        <v>153</v>
      </c>
      <c r="G12" s="379" t="s">
        <v>108</v>
      </c>
      <c r="H12" s="379" t="s">
        <v>154</v>
      </c>
      <c r="I12" s="379" t="s">
        <v>190</v>
      </c>
      <c r="J12" s="379" t="s">
        <v>110</v>
      </c>
      <c r="K12" s="379" t="s">
        <v>156</v>
      </c>
      <c r="L12" s="379" t="s">
        <v>157</v>
      </c>
      <c r="M12" s="554" t="s">
        <v>113</v>
      </c>
      <c r="N12" s="379" t="s">
        <v>114</v>
      </c>
      <c r="O12" s="379" t="s">
        <v>116</v>
      </c>
      <c r="P12" s="379" t="s">
        <v>117</v>
      </c>
      <c r="Q12" s="379" t="s">
        <v>118</v>
      </c>
      <c r="R12" s="379" t="s">
        <v>119</v>
      </c>
      <c r="S12" s="379" t="s">
        <v>120</v>
      </c>
      <c r="T12" s="379" t="s">
        <v>121</v>
      </c>
      <c r="U12" s="380" t="s">
        <v>122</v>
      </c>
    </row>
    <row r="13" spans="1:21" ht="35.1" customHeight="1" thickTop="1" thickBot="1">
      <c r="A13" s="51">
        <v>1</v>
      </c>
      <c r="B13" s="52">
        <v>1215</v>
      </c>
      <c r="C13" s="52">
        <v>5</v>
      </c>
      <c r="D13" s="52">
        <v>1</v>
      </c>
      <c r="E13" s="150">
        <v>1.2363999999999999</v>
      </c>
      <c r="F13" s="486" t="str">
        <f t="shared" ref="F13:F24" si="0">IF(Q13=0,"NO",IF(Q13=1,"SI",IF(Q13=3,"cede turno","CONDICIONAL")))</f>
        <v>SI</v>
      </c>
      <c r="G13" s="52" t="s">
        <v>297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1.2363999999999999</v>
      </c>
      <c r="I13" s="621">
        <v>0</v>
      </c>
      <c r="J13" s="580">
        <f>+$J$9/60*H13</f>
        <v>0.1093202808029041</v>
      </c>
      <c r="K13" s="125">
        <f t="shared" ref="K13:K30" si="1">+L14</f>
        <v>42977.421929719196</v>
      </c>
      <c r="L13" s="125">
        <f t="shared" ref="L13:L30" si="2">+K13+J13+I13</f>
        <v>42977.53125</v>
      </c>
      <c r="M13" s="174"/>
      <c r="N13" s="52"/>
      <c r="O13" s="52"/>
      <c r="P13" s="5" t="str">
        <f>+CONCATENATE(B13,C13)</f>
        <v>12155</v>
      </c>
      <c r="Q13" s="150">
        <f>VLOOKUP(P13,deuda!A$1:H$708,4,0)</f>
        <v>1</v>
      </c>
      <c r="R13" s="6">
        <f>VLOOKUP(P13,deuda!A$1:H$708,5,0)</f>
        <v>0</v>
      </c>
      <c r="S13" s="6" t="str">
        <f>IF(VLOOKUP(P13,deuda!A$1:H$708,6,0)=0,"",VLOOKUP(P13,deuda!A$1:H$708,6,0))</f>
        <v/>
      </c>
      <c r="T13" s="149" t="str">
        <f>IF((VLOOKUP(P13,deuda!A$1:H$708,7,0))=0,"",VLOOKUP(P13,deuda!A$1:H$708,7,0))</f>
        <v/>
      </c>
      <c r="U13" s="153"/>
    </row>
    <row r="14" spans="1:21" ht="35.1" customHeight="1">
      <c r="A14" s="51">
        <v>1</v>
      </c>
      <c r="B14" s="52">
        <v>1215</v>
      </c>
      <c r="C14" s="52">
        <v>42</v>
      </c>
      <c r="D14" s="52">
        <v>1</v>
      </c>
      <c r="E14" s="103">
        <v>0.62</v>
      </c>
      <c r="F14" s="486" t="str">
        <f t="shared" si="0"/>
        <v>SI</v>
      </c>
      <c r="G14" s="52" t="s">
        <v>297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0.62</v>
      </c>
      <c r="I14" s="633">
        <v>0</v>
      </c>
      <c r="J14" s="580">
        <f t="shared" ref="J14:J32" si="3">+$J$9/60*H14</f>
        <v>5.4819293188127262E-2</v>
      </c>
      <c r="K14" s="125">
        <f t="shared" si="1"/>
        <v>42977.367110426007</v>
      </c>
      <c r="L14" s="125">
        <f t="shared" si="2"/>
        <v>42977.421929719196</v>
      </c>
      <c r="M14" s="174"/>
      <c r="N14" s="52"/>
      <c r="O14" s="52"/>
      <c r="P14" s="5" t="str">
        <f t="shared" ref="P14:P32" si="4">+CONCATENATE(B14,C14)</f>
        <v>121542</v>
      </c>
      <c r="Q14" s="150">
        <f>VLOOKUP(P14,deuda!A$1:H$708,4,0)</f>
        <v>1</v>
      </c>
      <c r="R14" s="6">
        <f>VLOOKUP(P14,deuda!A$1:H$708,5,0)</f>
        <v>2</v>
      </c>
      <c r="S14" s="6">
        <f>IF(VLOOKUP(P14,deuda!A$1:H$708,6,0)=0,"",VLOOKUP(P14,deuda!A$1:H$708,6,0))</f>
        <v>488.6</v>
      </c>
      <c r="T14" s="149" t="str">
        <f>IF((VLOOKUP(P14,deuda!A$1:H$708,7,0))=0,"",VLOOKUP(P14,deuda!A$1:H$708,7,0))</f>
        <v/>
      </c>
      <c r="U14" s="153"/>
    </row>
    <row r="15" spans="1:21" ht="35.1" customHeight="1">
      <c r="A15" s="51">
        <v>1</v>
      </c>
      <c r="B15" s="52">
        <v>1215</v>
      </c>
      <c r="C15" s="52">
        <v>43</v>
      </c>
      <c r="D15" s="52">
        <v>1</v>
      </c>
      <c r="E15" s="150">
        <v>0.61850000000000005</v>
      </c>
      <c r="F15" s="486" t="str">
        <f t="shared" si="0"/>
        <v>NO</v>
      </c>
      <c r="G15" s="52" t="s">
        <v>297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0</v>
      </c>
      <c r="I15" s="633">
        <v>0</v>
      </c>
      <c r="J15" s="580">
        <f t="shared" si="3"/>
        <v>0</v>
      </c>
      <c r="K15" s="125">
        <f t="shared" si="1"/>
        <v>42977.367110426007</v>
      </c>
      <c r="L15" s="125">
        <f t="shared" si="2"/>
        <v>42977.367110426007</v>
      </c>
      <c r="M15" s="174"/>
      <c r="N15" s="52"/>
      <c r="O15" s="52"/>
      <c r="P15" s="5" t="str">
        <f t="shared" si="4"/>
        <v>121543</v>
      </c>
      <c r="Q15" s="150">
        <f>VLOOKUP(P15,deuda!A$1:H$708,4,0)</f>
        <v>0</v>
      </c>
      <c r="R15" s="6">
        <f>VLOOKUP(P15,deuda!A$1:H$708,5,0)</f>
        <v>10</v>
      </c>
      <c r="S15" s="6">
        <f>IF(VLOOKUP(P15,deuda!A$1:H$708,6,0)=0,"",VLOOKUP(P15,deuda!A$1:H$708,6,0))</f>
        <v>2433.3000000000002</v>
      </c>
      <c r="T15" s="149" t="str">
        <f>IF((VLOOKUP(P15,deuda!A$1:H$708,7,0))=0,"",VLOOKUP(P15,deuda!A$1:H$708,7,0))</f>
        <v/>
      </c>
      <c r="U15" s="153"/>
    </row>
    <row r="16" spans="1:21" ht="35.1" customHeight="1">
      <c r="A16" s="35">
        <v>2</v>
      </c>
      <c r="B16" s="5">
        <v>1215</v>
      </c>
      <c r="C16" s="5">
        <v>6</v>
      </c>
      <c r="D16" s="5">
        <v>1</v>
      </c>
      <c r="E16" s="9">
        <v>2.4750000000000001</v>
      </c>
      <c r="F16" s="486" t="str">
        <f>IF(Q16=0,"NO",IF(Q16=1,"SI",IF(Q16=3,"cede turno","CONDICIONAL")))</f>
        <v>SI</v>
      </c>
      <c r="G16" s="5" t="s">
        <v>382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2.4750000000000001</v>
      </c>
      <c r="I16" s="618">
        <v>0</v>
      </c>
      <c r="J16" s="580">
        <f>+$J$9/60*H16</f>
        <v>0.21883508167841123</v>
      </c>
      <c r="K16" s="125">
        <f t="shared" si="1"/>
        <v>42977.148275344327</v>
      </c>
      <c r="L16" s="125">
        <f t="shared" si="2"/>
        <v>42977.367110426007</v>
      </c>
      <c r="M16" s="125"/>
      <c r="N16" s="5"/>
      <c r="O16" s="5"/>
      <c r="P16" s="5" t="str">
        <f>+CONCATENATE(B16,C16)</f>
        <v>12156</v>
      </c>
      <c r="Q16" s="150">
        <f>VLOOKUP(P16,deuda!A$1:H$708,4,0)</f>
        <v>1</v>
      </c>
      <c r="R16" s="6">
        <f>VLOOKUP(P16,deuda!A$1:H$708,5,0)</f>
        <v>1</v>
      </c>
      <c r="S16" s="6">
        <f>IF(VLOOKUP(P16,deuda!A$1:H$708,6,0)=0,"",VLOOKUP(P16,deuda!A$1:H$708,6,0))</f>
        <v>667.8</v>
      </c>
      <c r="T16" s="149" t="str">
        <f>IF((VLOOKUP(P16,deuda!A$1:H$708,7,0))=0,"",VLOOKUP(P16,deuda!A$1:H$708,7,0))</f>
        <v/>
      </c>
      <c r="U16" s="153"/>
    </row>
    <row r="17" spans="1:21" ht="35.1" customHeight="1" thickBot="1">
      <c r="A17" s="35">
        <v>2</v>
      </c>
      <c r="B17" s="5">
        <v>1215</v>
      </c>
      <c r="C17" s="5">
        <v>26</v>
      </c>
      <c r="D17" s="52">
        <v>1</v>
      </c>
      <c r="E17" s="9">
        <v>2.4750000000000001</v>
      </c>
      <c r="F17" s="486" t="str">
        <f>IF(Q17=0,"NO",IF(Q17=1,"SI",IF(Q17=3,"cede turno","CONDICIONAL")))</f>
        <v>SI</v>
      </c>
      <c r="G17" s="5" t="s">
        <v>383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2.4750000000000001</v>
      </c>
      <c r="I17" s="621">
        <v>0</v>
      </c>
      <c r="J17" s="580">
        <f>+$J$9/60*H17</f>
        <v>0.21883508167841123</v>
      </c>
      <c r="K17" s="125">
        <f t="shared" si="1"/>
        <v>42976.929440262647</v>
      </c>
      <c r="L17" s="125">
        <f t="shared" si="2"/>
        <v>42977.148275344327</v>
      </c>
      <c r="M17" s="125"/>
      <c r="N17" s="5"/>
      <c r="O17" s="5"/>
      <c r="P17" s="5" t="str">
        <f>+CONCATENATE(B17,C17)</f>
        <v>121526</v>
      </c>
      <c r="Q17" s="150">
        <f>VLOOKUP(P17,deuda!A$1:H$708,4,0)</f>
        <v>1</v>
      </c>
      <c r="R17" s="6">
        <f>VLOOKUP(P17,deuda!A$1:H$708,5,0)</f>
        <v>0</v>
      </c>
      <c r="S17" s="6" t="str">
        <f>IF(VLOOKUP(P17,deuda!A$1:H$708,6,0)=0,"",VLOOKUP(P17,deuda!A$1:H$708,6,0))</f>
        <v/>
      </c>
      <c r="T17" s="149" t="str">
        <f>IF((VLOOKUP(P17,deuda!A$1:H$708,7,0))=0,"",VLOOKUP(P17,deuda!A$1:H$708,7,0))</f>
        <v/>
      </c>
      <c r="U17" s="153"/>
    </row>
    <row r="18" spans="1:21" ht="35.1" customHeight="1">
      <c r="A18" s="35">
        <v>2</v>
      </c>
      <c r="B18" s="5">
        <v>1215</v>
      </c>
      <c r="C18" s="5">
        <v>38</v>
      </c>
      <c r="D18" s="5">
        <v>1</v>
      </c>
      <c r="E18" s="9">
        <v>3.9030999999999998</v>
      </c>
      <c r="F18" s="486" t="str">
        <f>IF(Q18=0,"NO",IF(Q18=1,"SI",IF(Q18=3,"cede turno","CONDICIONAL")))</f>
        <v>SI</v>
      </c>
      <c r="G18" s="5" t="s">
        <v>383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3.9030999999999998</v>
      </c>
      <c r="I18" s="618">
        <v>0</v>
      </c>
      <c r="J18" s="580">
        <f>+$J$9/60*H18</f>
        <v>0.345105134262225</v>
      </c>
      <c r="K18" s="125">
        <f t="shared" si="1"/>
        <v>42976.584335128384</v>
      </c>
      <c r="L18" s="125">
        <f t="shared" si="2"/>
        <v>42976.929440262647</v>
      </c>
      <c r="M18" s="125"/>
      <c r="N18" s="5"/>
      <c r="O18" s="5"/>
      <c r="P18" s="5" t="str">
        <f>+CONCATENATE(B18,C18)</f>
        <v>121538</v>
      </c>
      <c r="Q18" s="150">
        <f>VLOOKUP(P18,deuda!A$1:H$708,4,0)</f>
        <v>1</v>
      </c>
      <c r="R18" s="6">
        <f>VLOOKUP(P18,deuda!A$1:H$708,5,0)</f>
        <v>0</v>
      </c>
      <c r="S18" s="6" t="str">
        <f>IF(VLOOKUP(P18,deuda!A$1:H$708,6,0)=0,"",VLOOKUP(P18,deuda!A$1:H$708,6,0))</f>
        <v/>
      </c>
      <c r="T18" s="149" t="str">
        <f>IF((VLOOKUP(P18,deuda!A$1:H$708,7,0))=0,"",VLOOKUP(P18,deuda!A$1:H$708,7,0))</f>
        <v/>
      </c>
      <c r="U18" s="153"/>
    </row>
    <row r="19" spans="1:21" ht="35.1" customHeight="1" thickBot="1">
      <c r="A19" s="35">
        <v>2</v>
      </c>
      <c r="B19" s="5">
        <v>1215</v>
      </c>
      <c r="C19" s="5">
        <v>41</v>
      </c>
      <c r="D19" s="52">
        <v>1</v>
      </c>
      <c r="E19" s="9">
        <v>1.1508</v>
      </c>
      <c r="F19" s="486" t="str">
        <f>IF(Q19=0,"NO",IF(Q19=1,"SI",IF(Q19=3,"cede turno","CONDICIONAL")))</f>
        <v>SI</v>
      </c>
      <c r="G19" s="5" t="s">
        <v>383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1.1508</v>
      </c>
      <c r="I19" s="621">
        <v>0</v>
      </c>
      <c r="J19" s="580">
        <f>+$J$9/60*H19</f>
        <v>0.10175168161434976</v>
      </c>
      <c r="K19" s="125">
        <f t="shared" si="1"/>
        <v>42976.48258344677</v>
      </c>
      <c r="L19" s="125">
        <f t="shared" si="2"/>
        <v>42976.584335128384</v>
      </c>
      <c r="M19" s="125"/>
      <c r="N19" s="5"/>
      <c r="O19" s="5"/>
      <c r="P19" s="5" t="str">
        <f>+CONCATENATE(B19,C19)</f>
        <v>121541</v>
      </c>
      <c r="Q19" s="150">
        <f>VLOOKUP(P19,deuda!A$1:H$708,4,0)</f>
        <v>1</v>
      </c>
      <c r="R19" s="6">
        <f>VLOOKUP(P19,deuda!A$1:H$708,5,0)</f>
        <v>0</v>
      </c>
      <c r="S19" s="6" t="str">
        <f>IF(VLOOKUP(P19,deuda!A$1:H$708,6,0)=0,"",VLOOKUP(P19,deuda!A$1:H$708,6,0))</f>
        <v/>
      </c>
      <c r="T19" s="149" t="str">
        <f>IF((VLOOKUP(P19,deuda!A$1:H$708,7,0))=0,"",VLOOKUP(P19,deuda!A$1:H$708,7,0))</f>
        <v/>
      </c>
      <c r="U19" s="153"/>
    </row>
    <row r="20" spans="1:21" ht="35.1" customHeight="1">
      <c r="A20" s="280">
        <v>3</v>
      </c>
      <c r="B20" s="5">
        <v>1215</v>
      </c>
      <c r="C20" s="5">
        <v>9</v>
      </c>
      <c r="D20" s="5">
        <v>1</v>
      </c>
      <c r="E20" s="6">
        <v>2.4748999999999999</v>
      </c>
      <c r="F20" s="486" t="str">
        <f t="shared" si="0"/>
        <v>SI</v>
      </c>
      <c r="G20" s="5" t="s">
        <v>384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2.4748999999999999</v>
      </c>
      <c r="I20" s="618">
        <v>0</v>
      </c>
      <c r="J20" s="580">
        <f t="shared" si="3"/>
        <v>0.21882623985692926</v>
      </c>
      <c r="K20" s="125">
        <f t="shared" si="1"/>
        <v>42976.263757206914</v>
      </c>
      <c r="L20" s="125">
        <f t="shared" si="2"/>
        <v>42976.48258344677</v>
      </c>
      <c r="M20" s="125"/>
      <c r="N20" s="5"/>
      <c r="O20" s="5"/>
      <c r="P20" s="5" t="str">
        <f t="shared" si="4"/>
        <v>12159</v>
      </c>
      <c r="Q20" s="150">
        <f>VLOOKUP(P20,deuda!A$1:H$708,4,0)</f>
        <v>1</v>
      </c>
      <c r="R20" s="6">
        <f>VLOOKUP(P20,deuda!A$1:H$708,5,0)</f>
        <v>0</v>
      </c>
      <c r="S20" s="6" t="str">
        <f>IF(VLOOKUP(P20,deuda!A$1:H$708,6,0)=0,"",VLOOKUP(P20,deuda!A$1:H$708,6,0))</f>
        <v/>
      </c>
      <c r="T20" s="149" t="str">
        <f>IF((VLOOKUP(P20,deuda!A$1:H$708,7,0))=0,"",VLOOKUP(P20,deuda!A$1:H$708,7,0))</f>
        <v/>
      </c>
      <c r="U20" s="153"/>
    </row>
    <row r="21" spans="1:21" ht="35.1" customHeight="1" thickBot="1">
      <c r="A21" s="280">
        <v>3</v>
      </c>
      <c r="B21" s="5">
        <v>1215</v>
      </c>
      <c r="C21" s="5">
        <v>37</v>
      </c>
      <c r="D21" s="52">
        <v>1</v>
      </c>
      <c r="E21" s="9">
        <v>2.4748999999999999</v>
      </c>
      <c r="F21" s="486" t="str">
        <f t="shared" si="0"/>
        <v>SI</v>
      </c>
      <c r="G21" s="5" t="s">
        <v>383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2.4748999999999999</v>
      </c>
      <c r="I21" s="621">
        <v>0</v>
      </c>
      <c r="J21" s="580">
        <f t="shared" si="3"/>
        <v>0.21882623985692926</v>
      </c>
      <c r="K21" s="125">
        <f t="shared" si="1"/>
        <v>42976.044930967058</v>
      </c>
      <c r="L21" s="125">
        <f t="shared" si="2"/>
        <v>42976.263757206914</v>
      </c>
      <c r="M21" s="125"/>
      <c r="N21" s="5"/>
      <c r="O21" s="5"/>
      <c r="P21" s="5" t="str">
        <f t="shared" si="4"/>
        <v>121537</v>
      </c>
      <c r="Q21" s="150">
        <f>VLOOKUP(P21,deuda!A$1:H$708,4,0)</f>
        <v>1</v>
      </c>
      <c r="R21" s="6">
        <f>VLOOKUP(P21,deuda!A$1:H$708,5,0)</f>
        <v>1</v>
      </c>
      <c r="S21" s="6">
        <f>IF(VLOOKUP(P21,deuda!A$1:H$708,6,0)=0,"",VLOOKUP(P21,deuda!A$1:H$708,6,0))</f>
        <v>667.8</v>
      </c>
      <c r="T21" s="149" t="str">
        <f>IF((VLOOKUP(P21,deuda!A$1:H$708,7,0))=0,"",VLOOKUP(P21,deuda!A$1:H$708,7,0))</f>
        <v/>
      </c>
      <c r="U21" s="153"/>
    </row>
    <row r="22" spans="1:21" ht="35.1" customHeight="1">
      <c r="A22" s="280">
        <v>3</v>
      </c>
      <c r="B22" s="5">
        <v>1215</v>
      </c>
      <c r="C22" s="5">
        <v>40</v>
      </c>
      <c r="D22" s="52">
        <v>1</v>
      </c>
      <c r="E22" s="9">
        <v>3.9318</v>
      </c>
      <c r="F22" s="486" t="str">
        <f t="shared" si="0"/>
        <v>SI</v>
      </c>
      <c r="G22" s="5" t="s">
        <v>383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3.9318</v>
      </c>
      <c r="I22" s="618">
        <v>0</v>
      </c>
      <c r="J22" s="580">
        <f t="shared" si="3"/>
        <v>0.34764273702754639</v>
      </c>
      <c r="K22" s="125">
        <f t="shared" si="1"/>
        <v>42975.697288230032</v>
      </c>
      <c r="L22" s="125">
        <f t="shared" si="2"/>
        <v>42976.044930967058</v>
      </c>
      <c r="M22" s="125"/>
      <c r="N22" s="5"/>
      <c r="O22" s="5"/>
      <c r="P22" s="5" t="str">
        <f t="shared" si="4"/>
        <v>121540</v>
      </c>
      <c r="Q22" s="150">
        <f>VLOOKUP(P22,deuda!A$1:H$708,4,0)</f>
        <v>1</v>
      </c>
      <c r="R22" s="6">
        <f>VLOOKUP(P22,deuda!A$1:H$708,5,0)</f>
        <v>0</v>
      </c>
      <c r="S22" s="6" t="str">
        <f>IF(VLOOKUP(P22,deuda!A$1:H$708,6,0)=0,"",VLOOKUP(P22,deuda!A$1:H$708,6,0))</f>
        <v/>
      </c>
      <c r="T22" s="149" t="str">
        <f>IF((VLOOKUP(P22,deuda!A$1:H$708,7,0))=0,"",VLOOKUP(P22,deuda!A$1:H$708,7,0))</f>
        <v/>
      </c>
      <c r="U22" s="153"/>
    </row>
    <row r="23" spans="1:21" ht="35.1" customHeight="1">
      <c r="A23" s="280">
        <v>3</v>
      </c>
      <c r="B23" s="5">
        <v>1215</v>
      </c>
      <c r="C23" s="5">
        <v>21</v>
      </c>
      <c r="D23" s="52">
        <v>1</v>
      </c>
      <c r="E23" s="9">
        <v>1.6642999999999999</v>
      </c>
      <c r="F23" s="486" t="str">
        <f t="shared" si="0"/>
        <v>SI</v>
      </c>
      <c r="G23" s="5" t="s">
        <v>383</v>
      </c>
      <c r="H23" s="579">
        <f>IF(Hijuelas!$G$7="POR FRACCIÓN",IF(F23="NO",0,IF(F23="cede turno",0,IF(Hijuelas!$G$8="si",IF(D23=1,E23,E23*0.8),E23))),IF(F23="NO",0,IF(F23="cede turno",0,IF(Hijuelas!$G$8="si",IF(D23=1,ROUNDUP(E23,0),ROUNDUP(E23*0.8,0)),ROUNDUP(E23,0)))))</f>
        <v>1.6642999999999999</v>
      </c>
      <c r="I23" s="618">
        <v>0</v>
      </c>
      <c r="J23" s="580">
        <f t="shared" si="3"/>
        <v>0.14715443492419386</v>
      </c>
      <c r="K23" s="125">
        <f t="shared" si="1"/>
        <v>42975.550133795106</v>
      </c>
      <c r="L23" s="125">
        <f t="shared" si="2"/>
        <v>42975.697288230032</v>
      </c>
      <c r="M23" s="125"/>
      <c r="N23" s="5"/>
      <c r="O23" s="5"/>
      <c r="P23" s="5" t="str">
        <f t="shared" si="4"/>
        <v>121521</v>
      </c>
      <c r="Q23" s="150">
        <f>VLOOKUP(P23,deuda!A$1:H$708,4,0)</f>
        <v>1</v>
      </c>
      <c r="R23" s="6">
        <f>VLOOKUP(P23,deuda!A$1:H$708,5,0)</f>
        <v>0</v>
      </c>
      <c r="S23" s="6" t="str">
        <f>IF(VLOOKUP(P23,deuda!A$1:H$708,6,0)=0,"",VLOOKUP(P23,deuda!A$1:H$708,6,0))</f>
        <v/>
      </c>
      <c r="T23" s="149" t="str">
        <f>IF((VLOOKUP(P23,deuda!A$1:H$708,7,0))=0,"",VLOOKUP(P23,deuda!A$1:H$708,7,0))</f>
        <v/>
      </c>
      <c r="U23" s="153"/>
    </row>
    <row r="24" spans="1:21" ht="35.1" customHeight="1" thickBot="1">
      <c r="A24" s="35">
        <v>4</v>
      </c>
      <c r="B24" s="5">
        <v>1215</v>
      </c>
      <c r="C24" s="5">
        <v>11</v>
      </c>
      <c r="D24" s="5">
        <v>1</v>
      </c>
      <c r="E24" s="9">
        <v>2.4426000000000001</v>
      </c>
      <c r="F24" s="486" t="str">
        <f t="shared" si="0"/>
        <v>SI</v>
      </c>
      <c r="G24" s="5" t="s">
        <v>385</v>
      </c>
      <c r="H24" s="579">
        <f>IF(Hijuelas!$G$7="POR FRACCIÓN",IF(F24="NO",0,IF(F24="cede turno",0,IF(Hijuelas!$G$8="si",IF(D24=1,E24,E24*0.8),E24))),IF(F24="NO",0,IF(F24="cede turno",0,IF(Hijuelas!$G$8="si",IF(D24=1,ROUNDUP(E24,0),ROUNDUP(E24*0.8,0)),ROUNDUP(E24,0)))))</f>
        <v>2.4426000000000001</v>
      </c>
      <c r="I24" s="621">
        <v>1.7361111111111112E-2</v>
      </c>
      <c r="J24" s="580">
        <f t="shared" si="3"/>
        <v>0.21597033151825751</v>
      </c>
      <c r="K24" s="125">
        <f t="shared" si="1"/>
        <v>42975.316802352478</v>
      </c>
      <c r="L24" s="125">
        <f t="shared" si="2"/>
        <v>42975.550133795106</v>
      </c>
      <c r="M24" s="125"/>
      <c r="N24" s="5"/>
      <c r="O24" s="5"/>
      <c r="P24" s="5" t="str">
        <f t="shared" si="4"/>
        <v>121511</v>
      </c>
      <c r="Q24" s="150">
        <f>VLOOKUP(P24,deuda!A$1:H$708,4,0)</f>
        <v>1</v>
      </c>
      <c r="R24" s="6">
        <f>VLOOKUP(P24,deuda!A$1:H$708,5,0)</f>
        <v>0</v>
      </c>
      <c r="S24" s="6" t="str">
        <f>IF(VLOOKUP(P24,deuda!A$1:H$708,6,0)=0,"",VLOOKUP(P24,deuda!A$1:H$708,6,0))</f>
        <v/>
      </c>
      <c r="T24" s="149" t="str">
        <f>IF((VLOOKUP(P24,deuda!A$1:H$708,7,0))=0,"",VLOOKUP(P24,deuda!A$1:H$708,7,0))</f>
        <v/>
      </c>
      <c r="U24" s="153"/>
    </row>
    <row r="25" spans="1:21" ht="35.1" customHeight="1">
      <c r="A25" s="35">
        <v>5</v>
      </c>
      <c r="B25" s="5">
        <v>1215</v>
      </c>
      <c r="C25" s="5">
        <v>10</v>
      </c>
      <c r="D25" s="52">
        <v>1</v>
      </c>
      <c r="E25" s="9">
        <v>2.4750000000000001</v>
      </c>
      <c r="F25" s="486" t="str">
        <f>IF(Q25=0,"NO",IF(Q25=1,"SI",IF(Q25=3,"cede turno","CONDICIONAL")))</f>
        <v>SI</v>
      </c>
      <c r="G25" s="5" t="s">
        <v>383</v>
      </c>
      <c r="H25" s="579">
        <f>IF(Hijuelas!$G$7="POR FRACCIÓN",IF(F25="NO",0,IF(F25="cede turno",0,IF(Hijuelas!$G$8="si",IF(D25=1,E25,E25*0.8),E25))),IF(F25="NO",0,IF(F25="cede turno",0,IF(Hijuelas!$G$8="si",IF(D25=1,ROUNDUP(E25,0),ROUNDUP(E25*0.8,0)),ROUNDUP(E25,0)))))</f>
        <v>2.4750000000000001</v>
      </c>
      <c r="I25" s="618">
        <v>0</v>
      </c>
      <c r="J25" s="580">
        <f>+$J$9/60*H25</f>
        <v>0.21883508167841123</v>
      </c>
      <c r="K25" s="125">
        <f t="shared" si="1"/>
        <v>42975.097967270798</v>
      </c>
      <c r="L25" s="125">
        <f t="shared" si="2"/>
        <v>42975.316802352478</v>
      </c>
      <c r="M25" s="125"/>
      <c r="N25" s="5"/>
      <c r="O25" s="5"/>
      <c r="P25" s="5" t="str">
        <f>+CONCATENATE(B25,C25)</f>
        <v>121510</v>
      </c>
      <c r="Q25" s="150">
        <f>VLOOKUP(P25,deuda!A$1:H$708,4,0)</f>
        <v>1</v>
      </c>
      <c r="R25" s="6">
        <f>VLOOKUP(P25,deuda!A$1:H$708,5,0)</f>
        <v>1</v>
      </c>
      <c r="S25" s="6">
        <f>IF(VLOOKUP(P25,deuda!A$1:H$708,6,0)=0,"",VLOOKUP(P25,deuda!A$1:H$708,6,0))</f>
        <v>667.8</v>
      </c>
      <c r="T25" s="149" t="str">
        <f>IF((VLOOKUP(P25,deuda!A$1:H$708,7,0))=0,"",VLOOKUP(P25,deuda!A$1:H$708,7,0))</f>
        <v/>
      </c>
      <c r="U25" s="153"/>
    </row>
    <row r="26" spans="1:21" ht="35.1" customHeight="1">
      <c r="A26" s="35">
        <v>5</v>
      </c>
      <c r="B26" s="5">
        <v>1215</v>
      </c>
      <c r="C26" s="5">
        <v>39</v>
      </c>
      <c r="D26" s="5">
        <v>1</v>
      </c>
      <c r="E26" s="9">
        <v>2.7284999999999999</v>
      </c>
      <c r="F26" s="486" t="str">
        <f t="shared" ref="F26:F31" si="5">IF(Q26=0,"NO",IF(Q26=1,"SI",IF(Q26=3,"cede turno","CONDICIONAL")))</f>
        <v>SI</v>
      </c>
      <c r="G26" s="5" t="s">
        <v>383</v>
      </c>
      <c r="H26" s="579">
        <f>IF(Hijuelas!$G$7="POR FRACCIÓN",IF(F26="NO",0,IF(F26="cede turno",0,IF(Hijuelas!$G$8="si",IF(D26=1,E26,E26*0.8),E26))),IF(F26="NO",0,IF(F26="cede turno",0,IF(Hijuelas!$G$8="si",IF(D26=1,ROUNDUP(E26,0),ROUNDUP(E26*0.8,0)),ROUNDUP(E26,0)))))</f>
        <v>2.7284999999999999</v>
      </c>
      <c r="I26" s="618">
        <v>0</v>
      </c>
      <c r="J26" s="580">
        <f t="shared" si="3"/>
        <v>0.2412490991351697</v>
      </c>
      <c r="K26" s="125">
        <f t="shared" si="1"/>
        <v>42974.856718171664</v>
      </c>
      <c r="L26" s="125">
        <f t="shared" si="2"/>
        <v>42975.097967270798</v>
      </c>
      <c r="M26" s="125"/>
      <c r="N26" s="5"/>
      <c r="O26" s="5"/>
      <c r="P26" s="5" t="str">
        <f t="shared" si="4"/>
        <v>121539</v>
      </c>
      <c r="Q26" s="150">
        <f>VLOOKUP(P26,deuda!A$1:H$708,4,0)</f>
        <v>1</v>
      </c>
      <c r="R26" s="6">
        <f>VLOOKUP(P26,deuda!A$1:H$708,5,0)</f>
        <v>0</v>
      </c>
      <c r="S26" s="6">
        <f>IF(VLOOKUP(P26,deuda!A$1:H$708,6,0)=0,"",VLOOKUP(P26,deuda!A$1:H$708,6,0))</f>
        <v>-472.62</v>
      </c>
      <c r="T26" s="149" t="str">
        <f>IF((VLOOKUP(P26,deuda!A$1:H$708,7,0))=0,"",VLOOKUP(P26,deuda!A$1:H$708,7,0))</f>
        <v/>
      </c>
      <c r="U26" s="153"/>
    </row>
    <row r="27" spans="1:21" ht="35.1" customHeight="1" thickBot="1">
      <c r="A27" s="35">
        <v>5</v>
      </c>
      <c r="B27" s="5">
        <v>1215</v>
      </c>
      <c r="C27" s="5">
        <v>2</v>
      </c>
      <c r="D27" s="52">
        <v>1</v>
      </c>
      <c r="E27" s="9">
        <v>4.3026</v>
      </c>
      <c r="F27" s="486" t="str">
        <f t="shared" si="5"/>
        <v>SI</v>
      </c>
      <c r="G27" s="5" t="s">
        <v>386</v>
      </c>
      <c r="H27" s="579">
        <f>IF(Hijuelas!$G$7="POR FRACCIÓN",IF(F27="NO",0,IF(F27="cede turno",0,IF(Hijuelas!$G$8="si",IF(D27=1,E27,E27*0.8),E27))),IF(F27="NO",0,IF(F27="cede turno",0,IF(Hijuelas!$G$8="si",IF(D27=1,ROUNDUP(E27,0),ROUNDUP(E27*0.8,0)),ROUNDUP(E27,0)))))</f>
        <v>4.3026</v>
      </c>
      <c r="I27" s="621">
        <v>1.7361111111111112E-2</v>
      </c>
      <c r="J27" s="580">
        <f t="shared" si="3"/>
        <v>0.38042821108263924</v>
      </c>
      <c r="K27" s="125">
        <f t="shared" si="1"/>
        <v>42974.458928849475</v>
      </c>
      <c r="L27" s="125">
        <f t="shared" si="2"/>
        <v>42974.856718171664</v>
      </c>
      <c r="M27" s="125"/>
      <c r="N27" s="5"/>
      <c r="O27" s="5"/>
      <c r="P27" s="5" t="str">
        <f t="shared" si="4"/>
        <v>12152</v>
      </c>
      <c r="Q27" s="150">
        <f>VLOOKUP(P27,deuda!A$1:H$708,4,0)</f>
        <v>1</v>
      </c>
      <c r="R27" s="6">
        <f>VLOOKUP(P27,deuda!A$1:H$708,5,0)</f>
        <v>1</v>
      </c>
      <c r="S27" s="6">
        <f>IF(VLOOKUP(P27,deuda!A$1:H$708,6,0)=0,"",VLOOKUP(P27,deuda!A$1:H$708,6,0))</f>
        <v>1097.52</v>
      </c>
      <c r="T27" s="149" t="str">
        <f>IF((VLOOKUP(P27,deuda!A$1:H$708,7,0))=0,"",VLOOKUP(P27,deuda!A$1:H$708,7,0))</f>
        <v/>
      </c>
      <c r="U27" s="153"/>
    </row>
    <row r="28" spans="1:21" ht="35.1" customHeight="1">
      <c r="A28" s="35">
        <v>6</v>
      </c>
      <c r="B28" s="5">
        <v>1215</v>
      </c>
      <c r="C28" s="5">
        <v>24</v>
      </c>
      <c r="D28" s="5">
        <v>1</v>
      </c>
      <c r="E28" s="9">
        <v>4.3723999999999998</v>
      </c>
      <c r="F28" s="486" t="str">
        <f t="shared" si="5"/>
        <v>SI</v>
      </c>
      <c r="G28" s="5" t="s">
        <v>387</v>
      </c>
      <c r="H28" s="579">
        <f>IF(Hijuelas!$G$7="POR FRACCIÓN",IF(F28="NO",0,IF(F28="cede turno",0,IF(Hijuelas!$G$8="si",IF(D28=1,E28,E28*0.8),E28))),IF(F28="NO",0,IF(F28="cede turno",0,IF(Hijuelas!$G$8="si",IF(D28=1,ROUNDUP(E28,0),ROUNDUP(E28*0.8,0)),ROUNDUP(E28,0)))))</f>
        <v>4.3723999999999998</v>
      </c>
      <c r="I28" s="618">
        <v>6.9444444444444441E-3</v>
      </c>
      <c r="J28" s="580">
        <f t="shared" si="3"/>
        <v>0.38659980247704456</v>
      </c>
      <c r="K28" s="125">
        <f t="shared" si="1"/>
        <v>42974.065384602553</v>
      </c>
      <c r="L28" s="125">
        <f t="shared" si="2"/>
        <v>42974.458928849475</v>
      </c>
      <c r="M28" s="125"/>
      <c r="N28" s="5"/>
      <c r="O28" s="5"/>
      <c r="P28" s="5" t="str">
        <f t="shared" si="4"/>
        <v>121524</v>
      </c>
      <c r="Q28" s="150">
        <f>VLOOKUP(P28,deuda!A$1:H$708,4,0)</f>
        <v>1</v>
      </c>
      <c r="R28" s="6">
        <f>VLOOKUP(P28,deuda!A$1:H$708,5,0)</f>
        <v>0</v>
      </c>
      <c r="S28" s="6" t="str">
        <f>IF(VLOOKUP(P28,deuda!A$1:H$708,6,0)=0,"",VLOOKUP(P28,deuda!A$1:H$708,6,0))</f>
        <v/>
      </c>
      <c r="T28" s="149" t="str">
        <f>IF((VLOOKUP(P28,deuda!A$1:H$708,7,0))=0,"",VLOOKUP(P28,deuda!A$1:H$708,7,0))</f>
        <v/>
      </c>
      <c r="U28" s="153"/>
    </row>
    <row r="29" spans="1:21" ht="35.1" customHeight="1" thickBot="1">
      <c r="A29" s="35">
        <v>7</v>
      </c>
      <c r="B29" s="5">
        <v>1215</v>
      </c>
      <c r="C29" s="5">
        <v>28</v>
      </c>
      <c r="D29" s="52">
        <v>1</v>
      </c>
      <c r="E29" s="6">
        <v>1.1407</v>
      </c>
      <c r="F29" s="486" t="str">
        <f>IF(Q29=0,"NO",IF(Q29=1,"SI",IF(Q29=3,"cede turno","CONDICIONAL")))</f>
        <v>SI</v>
      </c>
      <c r="G29" s="5" t="s">
        <v>388</v>
      </c>
      <c r="H29" s="579">
        <f>IF(Hijuelas!$G$7="POR FRACCIÓN",IF(F29="NO",0,IF(F29="cede turno",0,IF(Hijuelas!$G$8="si",IF(D29=1,E29,E29*0.8),E29))),IF(F29="NO",0,IF(F29="cede turno",0,IF(Hijuelas!$G$8="si",IF(D29=1,ROUNDUP(E29,0),ROUNDUP(E29*0.8,0)),ROUNDUP(E29,0)))))</f>
        <v>1.1407</v>
      </c>
      <c r="I29" s="621">
        <v>0</v>
      </c>
      <c r="J29" s="580">
        <f t="shared" si="3"/>
        <v>0.10085865764467221</v>
      </c>
      <c r="K29" s="125">
        <f t="shared" si="1"/>
        <v>42973.96452594491</v>
      </c>
      <c r="L29" s="125">
        <f t="shared" si="2"/>
        <v>42974.065384602553</v>
      </c>
      <c r="M29" s="125"/>
      <c r="N29" s="5"/>
      <c r="O29" s="5"/>
      <c r="P29" s="5" t="str">
        <f t="shared" si="4"/>
        <v>121528</v>
      </c>
      <c r="Q29" s="150">
        <f>VLOOKUP(P29,deuda!A$1:H$708,4,0)</f>
        <v>1</v>
      </c>
      <c r="R29" s="6">
        <f>VLOOKUP(P29,deuda!A$1:H$708,5,0)</f>
        <v>0</v>
      </c>
      <c r="S29" s="6" t="str">
        <f>IF(VLOOKUP(P29,deuda!A$1:H$708,6,0)=0,"",VLOOKUP(P29,deuda!A$1:H$708,6,0))</f>
        <v/>
      </c>
      <c r="T29" s="149" t="str">
        <f>IF((VLOOKUP(P29,deuda!A$1:H$708,7,0))=0,"",VLOOKUP(P29,deuda!A$1:H$708,7,0))</f>
        <v/>
      </c>
      <c r="U29" s="153"/>
    </row>
    <row r="30" spans="1:21" ht="35.1" customHeight="1" thickBot="1">
      <c r="A30" s="35">
        <v>8</v>
      </c>
      <c r="B30" s="5">
        <v>1215</v>
      </c>
      <c r="C30" s="5">
        <v>3</v>
      </c>
      <c r="D30" s="52">
        <v>1</v>
      </c>
      <c r="E30" s="6">
        <v>1.3181</v>
      </c>
      <c r="F30" s="486" t="str">
        <f t="shared" si="5"/>
        <v>SI</v>
      </c>
      <c r="G30" s="5" t="s">
        <v>389</v>
      </c>
      <c r="H30" s="579">
        <f>IF(Hijuelas!$G$7="POR FRACCIÓN",IF(F30="NO",0,IF(F30="cede turno",0,IF(Hijuelas!$G$8="si",IF(D30=1,E30,E30*0.8),E30))),IF(F30="NO",0,IF(F30="cede turno",0,IF(Hijuelas!$G$8="si",IF(D30=1,ROUNDUP(E30,0),ROUNDUP(E30*0.8,0)),ROUNDUP(E30,0)))))</f>
        <v>1.3181</v>
      </c>
      <c r="I30" s="621">
        <v>0</v>
      </c>
      <c r="J30" s="580">
        <f t="shared" si="3"/>
        <v>0.11654404895366216</v>
      </c>
      <c r="K30" s="125">
        <f t="shared" si="1"/>
        <v>42973.847981895953</v>
      </c>
      <c r="L30" s="125">
        <f t="shared" si="2"/>
        <v>42973.96452594491</v>
      </c>
      <c r="M30" s="125"/>
      <c r="N30" s="5"/>
      <c r="O30" s="5"/>
      <c r="P30" s="5" t="str">
        <f t="shared" si="4"/>
        <v>12153</v>
      </c>
      <c r="Q30" s="150">
        <f>VLOOKUP(P30,deuda!A$1:H$708,4,0)</f>
        <v>1</v>
      </c>
      <c r="R30" s="6">
        <f>VLOOKUP(P30,deuda!A$1:H$708,5,0)</f>
        <v>0</v>
      </c>
      <c r="S30" s="6" t="str">
        <f>IF(VLOOKUP(P30,deuda!A$1:H$708,6,0)=0,"",VLOOKUP(P30,deuda!A$1:H$708,6,0))</f>
        <v/>
      </c>
      <c r="T30" s="149" t="str">
        <f>IF((VLOOKUP(P30,deuda!A$1:H$708,7,0))=0,"",VLOOKUP(P30,deuda!A$1:H$708,7,0))</f>
        <v/>
      </c>
      <c r="U30" s="153"/>
    </row>
    <row r="31" spans="1:21" ht="35.1" customHeight="1">
      <c r="A31" s="35">
        <v>8</v>
      </c>
      <c r="B31" s="5">
        <v>1215</v>
      </c>
      <c r="C31" s="5">
        <v>27</v>
      </c>
      <c r="D31" s="5">
        <v>1</v>
      </c>
      <c r="E31" s="9">
        <v>1.3202</v>
      </c>
      <c r="F31" s="486" t="str">
        <f t="shared" si="5"/>
        <v>SI</v>
      </c>
      <c r="G31" s="5" t="s">
        <v>389</v>
      </c>
      <c r="H31" s="579">
        <f>IF(Hijuelas!$G$7="POR FRACCIÓN",IF(F31="NO",0,IF(F31="cede turno",0,IF(Hijuelas!$G$8="si",IF(D31=1,E31,E31*0.8),E31))),IF(F31="NO",0,IF(F31="cede turno",0,IF(Hijuelas!$G$8="si",IF(D31=1,ROUNDUP(E31,0),ROUNDUP(E31*0.8,0)),ROUNDUP(E31,0)))))</f>
        <v>1.3202</v>
      </c>
      <c r="I31" s="618">
        <v>0</v>
      </c>
      <c r="J31" s="580">
        <f t="shared" si="3"/>
        <v>0.11672972720478324</v>
      </c>
      <c r="K31" s="125">
        <f>+L32</f>
        <v>42973.731252168749</v>
      </c>
      <c r="L31" s="125">
        <f>+K31+J31+I31</f>
        <v>42973.847981895953</v>
      </c>
      <c r="M31" s="125"/>
      <c r="N31" s="5"/>
      <c r="O31" s="5"/>
      <c r="P31" s="5" t="str">
        <f t="shared" si="4"/>
        <v>121527</v>
      </c>
      <c r="Q31" s="150">
        <f>VLOOKUP(P31,deuda!A$1:H$708,4,0)</f>
        <v>1</v>
      </c>
      <c r="R31" s="6">
        <f>VLOOKUP(P31,deuda!A$1:H$708,5,0)</f>
        <v>0</v>
      </c>
      <c r="S31" s="6" t="str">
        <f>IF(VLOOKUP(P31,deuda!A$1:H$708,6,0)=0,"",VLOOKUP(P31,deuda!A$1:H$708,6,0))</f>
        <v/>
      </c>
      <c r="T31" s="149" t="str">
        <f>IF((VLOOKUP(P31,deuda!A$1:H$708,7,0))=0,"",VLOOKUP(P31,deuda!A$1:H$708,7,0))</f>
        <v/>
      </c>
      <c r="U31" s="153"/>
    </row>
    <row r="32" spans="1:21" ht="35.1" customHeight="1" thickBot="1">
      <c r="A32" s="35">
        <v>8</v>
      </c>
      <c r="B32" s="5">
        <v>1215</v>
      </c>
      <c r="C32" s="5">
        <v>30</v>
      </c>
      <c r="D32" s="52">
        <v>1</v>
      </c>
      <c r="E32" s="9">
        <v>1.2017</v>
      </c>
      <c r="F32" s="486" t="str">
        <f>IF(Q32=0,"NO",IF(Q32=1,"SI",IF(Q32=3,"cede turno","CONDICIONAL")))</f>
        <v>SI</v>
      </c>
      <c r="G32" s="5" t="s">
        <v>389</v>
      </c>
      <c r="H32" s="579">
        <f>IF(Hijuelas!$G$7="POR FRACCIÓN",IF(F32="NO",0,IF(F32="cede turno",0,IF(Hijuelas!$G$8="si",IF(D32=1,E32,E32*0.8),E32))),IF(F32="NO",0,IF(F32="cede turno",0,IF(Hijuelas!$G$8="si",IF(D32=1,ROUNDUP(E32,0),ROUNDUP(E32*0.8,0)),ROUNDUP(E32,0)))))</f>
        <v>1.2017</v>
      </c>
      <c r="I32" s="621">
        <v>0</v>
      </c>
      <c r="J32" s="580">
        <f t="shared" si="3"/>
        <v>0.10625216874866536</v>
      </c>
      <c r="K32" s="125">
        <f>+C5+I6</f>
        <v>42973.625</v>
      </c>
      <c r="L32" s="125">
        <f>+K32+J32</f>
        <v>42973.731252168749</v>
      </c>
      <c r="M32" s="125"/>
      <c r="N32" s="5"/>
      <c r="O32" s="5"/>
      <c r="P32" s="5" t="str">
        <f t="shared" si="4"/>
        <v>121530</v>
      </c>
      <c r="Q32" s="150">
        <f>VLOOKUP(P32,deuda!A$1:H$708,4,0)</f>
        <v>1</v>
      </c>
      <c r="R32" s="6">
        <f>VLOOKUP(P32,deuda!A$1:H$708,5,0)</f>
        <v>0</v>
      </c>
      <c r="S32" s="6" t="str">
        <f>IF(VLOOKUP(P32,deuda!A$1:H$708,6,0)=0,"",VLOOKUP(P32,deuda!A$1:H$708,6,0))</f>
        <v/>
      </c>
      <c r="T32" s="149" t="str">
        <f>IF((VLOOKUP(P32,deuda!A$1:H$708,7,0))=0,"",VLOOKUP(P32,deuda!A$1:H$708,7,0))</f>
        <v/>
      </c>
      <c r="U32" s="153"/>
    </row>
    <row r="33" spans="1:21">
      <c r="A33" s="534"/>
      <c r="E33" s="15">
        <f>SUM(E20:E32)</f>
        <v>31.847699999999996</v>
      </c>
      <c r="F33" s="15"/>
      <c r="H33" s="15">
        <f>SUM(H13:H32)</f>
        <v>43.708000000000006</v>
      </c>
      <c r="I33" s="591">
        <f>SUM(I13:I32)</f>
        <v>4.1666666666666671E-2</v>
      </c>
      <c r="J33" s="89">
        <f>SUM(J20:J32)</f>
        <v>2.8159167801089042</v>
      </c>
      <c r="K33" s="10"/>
      <c r="L33" s="10"/>
      <c r="M33" s="10"/>
      <c r="N33" s="10"/>
      <c r="Q33" s="150" t="e">
        <f>VLOOKUP(P33,deuda!A$1:H$644,4,0)</f>
        <v>#N/A</v>
      </c>
      <c r="R33" s="6" t="e">
        <f>VLOOKUP(P33,deuda!A$1:H$644,5,0)</f>
        <v>#N/A</v>
      </c>
      <c r="S33" s="6" t="e">
        <f>IF(VLOOKUP(P33,deuda!A$1:H$644,6,0)=0,"",VLOOKUP(P33,deuda!A$1:H$644,6,0))</f>
        <v>#N/A</v>
      </c>
      <c r="T33" s="149" t="e">
        <f>IF((VLOOKUP(P33,deuda!A$1:H$644,7,0))=0,"",VLOOKUP(P33,deuda!A$1:H$644,7,0))</f>
        <v>#N/A</v>
      </c>
      <c r="U33" s="153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xWindow="897" yWindow="445" count="1">
    <dataValidation allowBlank="1" showInputMessage="1" showErrorMessage="1" errorTitle="ATENCIÓN" error="NO PUEDEN INGRESARSE VALORES" promptTitle="RECORDAR" prompt="NO OLVIDE VOLVER A PEGAR LA FORMULA PARA QUE LA PLANILLA LEA AUTOMATICAMENTE LOS DATOS " sqref="Q13:Q33" xr:uid="{00000000-0002-0000-2200-000000000000}"/>
  </dataValidations>
  <pageMargins left="0.74803149606299213" right="0.74803149606299213" top="0.98425196850393704" bottom="0.98425196850393704" header="0" footer="0"/>
  <pageSetup paperSize="281" scale="82" orientation="landscape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40"/>
  <dimension ref="A1:H288"/>
  <sheetViews>
    <sheetView view="pageBreakPreview" topLeftCell="A154" zoomScale="75" zoomScaleNormal="100" workbookViewId="0" xr3:uid="{BF3E6036-5CFF-541C-9DD1-8B260238869F}">
      <selection activeCell="H14" sqref="H14"/>
    </sheetView>
  </sheetViews>
  <sheetFormatPr defaultColWidth="11.42578125" defaultRowHeight="12.75"/>
  <cols>
    <col min="2" max="2" width="11.7109375" bestFit="1" customWidth="1"/>
    <col min="3" max="3" width="22.28515625" bestFit="1" customWidth="1"/>
    <col min="5" max="5" width="11.7109375" bestFit="1" customWidth="1"/>
    <col min="6" max="6" width="14.85546875" customWidth="1"/>
  </cols>
  <sheetData>
    <row r="1" spans="1:8">
      <c r="A1" s="447"/>
      <c r="B1" s="448"/>
      <c r="C1" s="448"/>
      <c r="D1" s="448"/>
      <c r="E1" s="448"/>
      <c r="F1" s="449"/>
      <c r="G1" s="81"/>
    </row>
    <row r="2" spans="1:8">
      <c r="A2" s="465" t="s">
        <v>64</v>
      </c>
      <c r="B2" s="81"/>
      <c r="C2" s="81"/>
      <c r="D2" s="81"/>
      <c r="E2" s="81"/>
      <c r="F2" s="451"/>
      <c r="G2" s="81"/>
    </row>
    <row r="3" spans="1:8">
      <c r="A3" s="450"/>
      <c r="B3" s="81"/>
      <c r="C3" s="81"/>
      <c r="D3" s="81"/>
      <c r="E3" s="81"/>
      <c r="F3" s="451"/>
      <c r="G3" s="81"/>
    </row>
    <row r="4" spans="1:8">
      <c r="A4" s="466" t="s">
        <v>139</v>
      </c>
      <c r="B4" s="146" t="e">
        <f>VLOOKUP(F5,'15_1'!$A$20:$G$32,7,0)</f>
        <v>#N/A</v>
      </c>
      <c r="C4" s="81"/>
      <c r="D4" s="81"/>
      <c r="E4" s="81"/>
      <c r="F4" s="452" t="s">
        <v>102</v>
      </c>
      <c r="G4" s="81"/>
    </row>
    <row r="5" spans="1:8">
      <c r="A5" s="466" t="s">
        <v>72</v>
      </c>
      <c r="B5" s="146" t="str">
        <f>+'15_1'!$H$2</f>
        <v>Toma exclusiva ( Giangiulio )</v>
      </c>
      <c r="C5" s="81"/>
      <c r="D5" s="81"/>
      <c r="E5" s="81"/>
      <c r="F5" s="452">
        <v>1</v>
      </c>
      <c r="G5" s="81"/>
    </row>
    <row r="6" spans="1:8">
      <c r="A6" s="450"/>
      <c r="B6" s="81"/>
      <c r="C6" s="81"/>
      <c r="D6" s="81"/>
      <c r="E6" s="81"/>
      <c r="F6" s="451"/>
      <c r="G6" s="81"/>
    </row>
    <row r="7" spans="1:8">
      <c r="A7" s="466" t="s">
        <v>140</v>
      </c>
      <c r="B7" s="458" t="e">
        <f>VLOOKUP(F5,'15_1'!$A$20:$B$32,2,0)</f>
        <v>#N/A</v>
      </c>
      <c r="C7" s="81"/>
      <c r="D7" s="139" t="s">
        <v>141</v>
      </c>
      <c r="E7" s="457">
        <f>DSUM('15_1'!A$12:J$32,'15_1'!$J$12,F4:F5)</f>
        <v>0.16413957399103135</v>
      </c>
      <c r="F7" s="451"/>
      <c r="G7" s="81"/>
    </row>
    <row r="8" spans="1:8">
      <c r="A8" s="466" t="s">
        <v>142</v>
      </c>
      <c r="B8" s="461">
        <v>5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8">
      <c r="A9" s="466" t="s">
        <v>144</v>
      </c>
      <c r="B9" s="462">
        <f>DSUM('15_1'!$A$12:$H$32,'15_1'!$H$12,F4:F5)</f>
        <v>1.8563999999999998</v>
      </c>
      <c r="C9" s="81"/>
      <c r="D9" s="139" t="s">
        <v>145</v>
      </c>
      <c r="E9" s="458" t="e">
        <f>IF(VLOOKUP(F5,'15_1'!$A$20:$D$49,4,0)=1, "Definitivo 100%", "Eventual 80%")</f>
        <v>#N/A</v>
      </c>
      <c r="F9" s="583"/>
      <c r="G9" s="81"/>
    </row>
    <row r="10" spans="1:8" ht="15.75">
      <c r="A10" s="450"/>
      <c r="B10" s="139" t="s">
        <v>146</v>
      </c>
      <c r="C10" s="477"/>
      <c r="D10" s="189" t="str">
        <f>IF(E10=1,"Domingo",IF(E10=2,"Lunes",IF(E10=3,"Martes",IF(E10=4,"Miercoles",IF(E10=5,"Jueves",IF(E10=6,"Viernes",IF(E10=7,"Sábado",0)))))))</f>
        <v>Sábado</v>
      </c>
      <c r="E10" s="190">
        <f>WEEKDAY(C10)</f>
        <v>7</v>
      </c>
      <c r="F10" s="453"/>
      <c r="G10" s="81"/>
    </row>
    <row r="11" spans="1:8" ht="15.75">
      <c r="A11" s="450"/>
      <c r="B11" s="139" t="s">
        <v>147</v>
      </c>
      <c r="C11" s="477"/>
      <c r="D11" s="189" t="str">
        <f>IF(E11=1,"Domingo",IF(E11=2,"Lunes",IF(E11=3,"Martes",IF(E11=4,"Miercoles",IF(E11=5,"Jueves",IF(E11=6,"Viernes",IF(E11=7,"Sábado",0)))))))</f>
        <v>Sábado</v>
      </c>
      <c r="E11" s="190">
        <f>WEEKDAY(C11)</f>
        <v>7</v>
      </c>
      <c r="F11" s="453"/>
      <c r="G11" s="81"/>
    </row>
    <row r="12" spans="1:8">
      <c r="A12" s="450"/>
      <c r="B12" s="81"/>
      <c r="C12" s="81"/>
      <c r="D12" s="81"/>
      <c r="E12" s="584"/>
      <c r="F12" s="583"/>
      <c r="G12" s="81"/>
    </row>
    <row r="13" spans="1:8">
      <c r="A13" s="472">
        <f>+Mensajes!$B$7</f>
        <v>0</v>
      </c>
      <c r="B13" s="81"/>
      <c r="C13" s="81"/>
      <c r="D13" s="81"/>
      <c r="E13" s="81"/>
      <c r="F13" s="451"/>
      <c r="G13" s="81"/>
    </row>
    <row r="14" spans="1:8">
      <c r="A14" s="472">
        <f>+Mensajes!$B$12</f>
        <v>0</v>
      </c>
      <c r="B14" s="81"/>
      <c r="C14" s="81"/>
      <c r="D14" s="81"/>
      <c r="E14" s="81"/>
      <c r="F14" s="451"/>
      <c r="G14" s="81"/>
      <c r="H14" t="s">
        <v>101</v>
      </c>
    </row>
    <row r="15" spans="1:8">
      <c r="A15" s="471"/>
      <c r="B15" s="81"/>
      <c r="C15" s="81"/>
      <c r="D15" s="81"/>
      <c r="E15" s="81"/>
      <c r="F15" s="451"/>
      <c r="G15" s="81">
        <f>17*17</f>
        <v>289</v>
      </c>
    </row>
    <row r="16" spans="1:8" ht="13.5" thickBot="1">
      <c r="A16" s="468"/>
      <c r="B16" s="455"/>
      <c r="C16" s="474"/>
      <c r="D16" s="454" t="str">
        <f>IF(DSUM('15_1'!$A$12:$Q$88,16,F4:F5)=COUNTIF('15_1'!$A$20:$A$88,F5),"","Regularice su Deuda")</f>
        <v/>
      </c>
      <c r="E16" s="455"/>
      <c r="F16" s="456"/>
      <c r="G16" s="81"/>
    </row>
    <row r="17" spans="1:6" ht="13.5" thickBot="1"/>
    <row r="18" spans="1:6">
      <c r="A18" s="447"/>
      <c r="B18" s="448"/>
      <c r="C18" s="448"/>
      <c r="D18" s="448"/>
      <c r="E18" s="448"/>
      <c r="F18" s="449"/>
    </row>
    <row r="19" spans="1:6">
      <c r="A19" s="465" t="s">
        <v>64</v>
      </c>
      <c r="B19" s="81"/>
      <c r="C19" s="81"/>
      <c r="D19" s="81"/>
      <c r="E19" s="81"/>
      <c r="F19" s="451"/>
    </row>
    <row r="20" spans="1:6">
      <c r="A20" s="450"/>
      <c r="B20" s="81"/>
      <c r="C20" s="81"/>
      <c r="D20" s="81"/>
      <c r="E20" s="81"/>
      <c r="F20" s="451"/>
    </row>
    <row r="21" spans="1:6">
      <c r="A21" s="466" t="s">
        <v>139</v>
      </c>
      <c r="B21" s="146" t="e">
        <f>VLOOKUP(F22,'15_1'!$A$20:$G$32,7,0)</f>
        <v>#N/A</v>
      </c>
      <c r="C21" s="81"/>
      <c r="D21" s="81"/>
      <c r="E21" s="81"/>
      <c r="F21" s="452" t="s">
        <v>102</v>
      </c>
    </row>
    <row r="22" spans="1:6">
      <c r="A22" s="466" t="s">
        <v>72</v>
      </c>
      <c r="B22" s="146" t="str">
        <f>+'15_1'!$H$2</f>
        <v>Toma exclusiva ( Giangiulio )</v>
      </c>
      <c r="C22" s="81"/>
      <c r="D22" s="81"/>
      <c r="E22" s="81"/>
      <c r="F22" s="452">
        <v>2</v>
      </c>
    </row>
    <row r="23" spans="1:6">
      <c r="A23" s="450"/>
      <c r="B23" s="81"/>
      <c r="C23" s="81"/>
      <c r="D23" s="81"/>
      <c r="E23" s="81"/>
      <c r="F23" s="451"/>
    </row>
    <row r="24" spans="1:6">
      <c r="A24" s="466" t="s">
        <v>140</v>
      </c>
      <c r="B24" s="458" t="e">
        <f>VLOOKUP(F22,'15_1'!$A$20:$B$32,2,0)</f>
        <v>#N/A</v>
      </c>
      <c r="C24" s="81"/>
      <c r="D24" s="139" t="s">
        <v>141</v>
      </c>
      <c r="E24" s="457">
        <f>DSUM('15_1'!A$12:J$32,'15_1'!$J$12,F21:F22)</f>
        <v>0.88452697923339718</v>
      </c>
      <c r="F24" s="451"/>
    </row>
    <row r="25" spans="1:6">
      <c r="A25" s="466" t="s">
        <v>142</v>
      </c>
      <c r="B25" s="461">
        <v>6</v>
      </c>
      <c r="C25" s="81"/>
      <c r="D25" s="139" t="s">
        <v>143</v>
      </c>
      <c r="E25" s="459" t="str">
        <f>+Hijuelas!$G$7</f>
        <v>POR FRACCIÓN</v>
      </c>
      <c r="F25" s="451"/>
    </row>
    <row r="26" spans="1:6">
      <c r="A26" s="466" t="s">
        <v>144</v>
      </c>
      <c r="B26" s="462">
        <f>DSUM('15_1'!$A$12:$H$32,'15_1'!$H$12,F21:F22)</f>
        <v>10.0039</v>
      </c>
      <c r="C26" s="81"/>
      <c r="D26" s="139" t="s">
        <v>145</v>
      </c>
      <c r="E26" s="458" t="e">
        <f>IF(VLOOKUP(F22,'15_1'!$A$20:$D$49,4,0)=1, "Definitivo 100%", "Eventual 80%")</f>
        <v>#N/A</v>
      </c>
      <c r="F26" s="583"/>
    </row>
    <row r="27" spans="1:6" ht="15.75">
      <c r="A27" s="450"/>
      <c r="B27" s="139" t="s">
        <v>146</v>
      </c>
      <c r="C27" s="477"/>
      <c r="D27" s="189" t="str">
        <f>IF(E27=1,"Domingo",IF(E27=2,"Lunes",IF(E27=3,"Martes",IF(E27=4,"Miercoles",IF(E27=5,"Jueves",IF(E27=6,"Viernes",IF(E27=7,"Sábado",0)))))))</f>
        <v>Sábado</v>
      </c>
      <c r="E27" s="190">
        <f>WEEKDAY(C27)</f>
        <v>7</v>
      </c>
      <c r="F27" s="453"/>
    </row>
    <row r="28" spans="1:6" ht="15.75">
      <c r="A28" s="450"/>
      <c r="B28" s="139" t="s">
        <v>147</v>
      </c>
      <c r="C28" s="477"/>
      <c r="D28" s="189" t="str">
        <f>IF(E28=1,"Domingo",IF(E28=2,"Lunes",IF(E28=3,"Martes",IF(E28=4,"Miercoles",IF(E28=5,"Jueves",IF(E28=6,"Viernes",IF(E28=7,"Sábado",0)))))))</f>
        <v>Sábado</v>
      </c>
      <c r="E28" s="190">
        <f>WEEKDAY(C28)</f>
        <v>7</v>
      </c>
      <c r="F28" s="453"/>
    </row>
    <row r="29" spans="1:6">
      <c r="A29" s="450"/>
      <c r="B29" s="81"/>
      <c r="C29" s="81"/>
      <c r="D29" s="81"/>
      <c r="E29" s="584"/>
      <c r="F29" s="583"/>
    </row>
    <row r="30" spans="1:6">
      <c r="A30" s="472">
        <f>+Mensajes!$B$7</f>
        <v>0</v>
      </c>
      <c r="B30" s="81"/>
      <c r="C30" s="81"/>
      <c r="D30" s="81"/>
      <c r="E30" s="81"/>
      <c r="F30" s="451"/>
    </row>
    <row r="31" spans="1:6">
      <c r="A31" s="472">
        <f>+Mensajes!$B$12</f>
        <v>0</v>
      </c>
      <c r="B31" s="81"/>
      <c r="C31" s="81"/>
      <c r="D31" s="81"/>
      <c r="E31" s="81"/>
      <c r="F31" s="451"/>
    </row>
    <row r="32" spans="1:6">
      <c r="A32" s="471"/>
      <c r="B32" s="81"/>
      <c r="C32" s="81"/>
      <c r="D32" s="81"/>
      <c r="E32" s="81"/>
      <c r="F32" s="451"/>
    </row>
    <row r="33" spans="1:6" ht="13.5" thickBot="1">
      <c r="A33" s="468"/>
      <c r="B33" s="455"/>
      <c r="C33" s="474"/>
      <c r="D33" s="454" t="str">
        <f>IF(DSUM('15_1'!$A$12:$Q$88,16,F21:F22)=COUNTIF('15_1'!$A$20:$A$88,F22),"","Regularice su Deuda")</f>
        <v/>
      </c>
      <c r="E33" s="455"/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66" t="s">
        <v>139</v>
      </c>
      <c r="B38" s="146" t="str">
        <f>VLOOKUP(F39,'15_1'!$A$20:$G$32,7,0)</f>
        <v>SARTORIO DE GIANGIULIO</v>
      </c>
      <c r="C38" s="81"/>
      <c r="D38" s="81"/>
      <c r="E38" s="81"/>
      <c r="F38" s="452" t="s">
        <v>102</v>
      </c>
    </row>
    <row r="39" spans="1:6">
      <c r="A39" s="466" t="s">
        <v>72</v>
      </c>
      <c r="B39" s="146" t="str">
        <f>+'15_1'!$H$2</f>
        <v>Toma exclusiva ( Giangiulio )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VLOOKUP(F39,'15_1'!$A$20:$B$32,2,0)</f>
        <v>1215</v>
      </c>
      <c r="C41" s="81"/>
      <c r="D41" s="139" t="s">
        <v>141</v>
      </c>
      <c r="E41" s="457">
        <f>DSUM('15_1'!A$12:J$32,'15_1'!$J$12,F38:F39)</f>
        <v>0.93244965166559879</v>
      </c>
      <c r="F41" s="451"/>
    </row>
    <row r="42" spans="1:6">
      <c r="A42" s="466" t="s">
        <v>142</v>
      </c>
      <c r="B42" s="461" t="s">
        <v>390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DSUM('15_1'!$A$12:$H$32,'15_1'!$H$12,F38:F39)</f>
        <v>10.5459</v>
      </c>
      <c r="C43" s="81"/>
      <c r="D43" s="139" t="s">
        <v>145</v>
      </c>
      <c r="E43" s="458" t="str">
        <f>IF(VLOOKUP(F39,'15_1'!$A$20:$D$49,4,0)=1, "Definitivo 100%", "Eventual 80%")</f>
        <v>Definitivo 100%</v>
      </c>
      <c r="F43" s="583"/>
    </row>
    <row r="44" spans="1:6" ht="15.75">
      <c r="A44" s="450"/>
      <c r="B44" s="139" t="s">
        <v>146</v>
      </c>
      <c r="C44" s="477"/>
      <c r="D44" s="189" t="str">
        <f>IF(E44=1,"Domingo",IF(E44=2,"Lunes",IF(E44=3,"Martes",IF(E44=4,"Miercoles",IF(E44=5,"Jueves",IF(E44=6,"Viernes",IF(E44=7,"Sábado",0)))))))</f>
        <v>Sábado</v>
      </c>
      <c r="E44" s="190">
        <f>WEEKDAY(C44)</f>
        <v>7</v>
      </c>
      <c r="F44" s="453"/>
    </row>
    <row r="45" spans="1:6" ht="15.75">
      <c r="A45" s="450"/>
      <c r="B45" s="139" t="s">
        <v>147</v>
      </c>
      <c r="C45" s="477"/>
      <c r="D45" s="189" t="str">
        <f>IF(E45=1,"Domingo",IF(E45=2,"Lunes",IF(E45=3,"Martes",IF(E45=4,"Miercoles",IF(E45=5,"Jueves",IF(E45=6,"Viernes",IF(E45=7,"Sábado",0)))))))</f>
        <v>Sábado</v>
      </c>
      <c r="E45" s="190">
        <f>WEEKDAY(C45)</f>
        <v>7</v>
      </c>
      <c r="F45" s="453"/>
    </row>
    <row r="46" spans="1:6">
      <c r="A46" s="450"/>
      <c r="B46" s="81"/>
      <c r="C46" s="81"/>
      <c r="D46" s="81"/>
      <c r="E46" s="584"/>
      <c r="F46" s="583"/>
    </row>
    <row r="47" spans="1:6">
      <c r="A47" s="472">
        <f>+Mensajes!$B$7</f>
        <v>0</v>
      </c>
      <c r="B47" s="81"/>
      <c r="C47" s="81"/>
      <c r="D47" s="81"/>
      <c r="E47" s="81"/>
      <c r="F47" s="451"/>
    </row>
    <row r="48" spans="1:6">
      <c r="A48" s="472">
        <f>+Mensajes!$B$12</f>
        <v>0</v>
      </c>
      <c r="B48" s="81"/>
      <c r="C48" s="81"/>
      <c r="D48" s="81"/>
      <c r="E48" s="81"/>
      <c r="F48" s="451"/>
    </row>
    <row r="49" spans="1:6">
      <c r="A49" s="471"/>
      <c r="B49" s="81"/>
      <c r="C49" s="81"/>
      <c r="D49" s="81"/>
      <c r="E49" s="81"/>
      <c r="F49" s="451"/>
    </row>
    <row r="50" spans="1:6" ht="13.5" thickBot="1">
      <c r="A50" s="468"/>
      <c r="B50" s="455"/>
      <c r="C50" s="474"/>
      <c r="D50" s="454" t="str">
        <f>IF(DSUM('15_1'!$A$12:$Q$88,16,F38:F39)=COUNTIF('15_1'!$A$20:$A$88,F39),"","Regularice su Deuda")</f>
        <v>Regularice su Deuda</v>
      </c>
      <c r="E50" s="455"/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66" t="s">
        <v>139</v>
      </c>
      <c r="B55" s="146" t="str">
        <f>VLOOKUP(F56,'15_1'!$A$20:$G$32,7,0)</f>
        <v>MONTAÑA, EMILIO ABEL</v>
      </c>
      <c r="C55" s="81"/>
      <c r="D55" s="81"/>
      <c r="E55" s="81"/>
      <c r="F55" s="452" t="s">
        <v>102</v>
      </c>
    </row>
    <row r="56" spans="1:6">
      <c r="A56" s="466" t="s">
        <v>72</v>
      </c>
      <c r="B56" s="146" t="str">
        <f>+'15_1'!$H$2</f>
        <v>Toma exclusiva ( Giangiulio )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VLOOKUP(F56,'15_1'!$A$20:$B$32,2,0)</f>
        <v>1215</v>
      </c>
      <c r="C58" s="81"/>
      <c r="D58" s="139" t="s">
        <v>141</v>
      </c>
      <c r="E58" s="457">
        <f>DSUM('15_1'!A$12:J$32,'15_1'!$J$12,F55:F56)</f>
        <v>0.21597033151825751</v>
      </c>
      <c r="F58" s="451"/>
    </row>
    <row r="59" spans="1:6">
      <c r="A59" s="466" t="s">
        <v>142</v>
      </c>
      <c r="B59" s="461" t="s">
        <v>391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DSUM('15_1'!$A$12:$H$32,'15_1'!$H$12,F55:F56)</f>
        <v>2.4426000000000001</v>
      </c>
      <c r="C60" s="81"/>
      <c r="D60" s="139" t="s">
        <v>145</v>
      </c>
      <c r="E60" s="458" t="str">
        <f>IF(VLOOKUP(F56,'15_1'!$A$20:$D$49,4,0)=1, "Definitivo 100%", "Eventual 80%")</f>
        <v>Definitivo 100%</v>
      </c>
      <c r="F60" s="583"/>
    </row>
    <row r="61" spans="1:6" ht="15.75">
      <c r="A61" s="450"/>
      <c r="B61" s="139" t="s">
        <v>146</v>
      </c>
      <c r="C61" s="477"/>
      <c r="D61" s="189" t="str">
        <f>IF(E61=1,"Domingo",IF(E61=2,"Lunes",IF(E61=3,"Martes",IF(E61=4,"Miercoles",IF(E61=5,"Jueves",IF(E61=6,"Viernes",IF(E61=7,"Sábado",0)))))))</f>
        <v>Sábado</v>
      </c>
      <c r="E61" s="190">
        <f>WEEKDAY(C61)</f>
        <v>7</v>
      </c>
      <c r="F61" s="453"/>
    </row>
    <row r="62" spans="1:6" ht="15.75">
      <c r="A62" s="450"/>
      <c r="B62" s="139" t="s">
        <v>147</v>
      </c>
      <c r="C62" s="477"/>
      <c r="D62" s="189" t="str">
        <f>IF(E62=1,"Domingo",IF(E62=2,"Lunes",IF(E62=3,"Martes",IF(E62=4,"Miercoles",IF(E62=5,"Jueves",IF(E62=6,"Viernes",IF(E62=7,"Sábado",0)))))))</f>
        <v>Sábado</v>
      </c>
      <c r="E62" s="190">
        <f>WEEKDAY(C62)</f>
        <v>7</v>
      </c>
      <c r="F62" s="453"/>
    </row>
    <row r="63" spans="1:6">
      <c r="A63" s="450"/>
      <c r="B63" s="81"/>
      <c r="C63" s="81"/>
      <c r="D63" s="81"/>
      <c r="E63" s="584"/>
      <c r="F63" s="583"/>
    </row>
    <row r="64" spans="1:6">
      <c r="A64" s="472">
        <f>+Mensajes!$B$7</f>
        <v>0</v>
      </c>
      <c r="B64" s="81"/>
      <c r="C64" s="81"/>
      <c r="D64" s="81"/>
      <c r="E64" s="81"/>
      <c r="F64" s="451"/>
    </row>
    <row r="65" spans="1:6">
      <c r="A65" s="472">
        <f>+Mensajes!$B$12</f>
        <v>0</v>
      </c>
      <c r="B65" s="81"/>
      <c r="C65" s="81"/>
      <c r="D65" s="81"/>
      <c r="E65" s="81"/>
      <c r="F65" s="451"/>
    </row>
    <row r="66" spans="1:6">
      <c r="A66" s="471"/>
      <c r="B66" s="81"/>
      <c r="C66" s="81"/>
      <c r="D66" s="81"/>
      <c r="E66" s="81"/>
      <c r="F66" s="451"/>
    </row>
    <row r="67" spans="1:6" ht="13.5" thickBot="1">
      <c r="A67" s="468"/>
      <c r="B67" s="455"/>
      <c r="C67" s="474"/>
      <c r="D67" s="454" t="str">
        <f>IF(DSUM('15_1'!$A$12:$Q$88,16,F55:F56)=COUNTIF('15_1'!$A$20:$A$88,F56),"","Regularice su Deuda")</f>
        <v>Regularice su Deuda</v>
      </c>
      <c r="E67" s="455"/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66" t="s">
        <v>139</v>
      </c>
      <c r="B72" s="146" t="str">
        <f>VLOOKUP(F73,'15_1'!$A$20:$G$32,7,0)</f>
        <v>GIANGIULIO, JUAN ANTONIO</v>
      </c>
      <c r="C72" s="81"/>
      <c r="D72" s="81"/>
      <c r="E72" s="81"/>
      <c r="F72" s="452" t="s">
        <v>102</v>
      </c>
    </row>
    <row r="73" spans="1:6">
      <c r="A73" s="466" t="s">
        <v>72</v>
      </c>
      <c r="B73" s="146" t="str">
        <f>+'15_1'!$H$2</f>
        <v>Toma exclusiva ( Giangiulio )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VLOOKUP(F73,'15_1'!$A$20:$B$32,2,0)</f>
        <v>1215</v>
      </c>
      <c r="C75" s="81"/>
      <c r="D75" s="139" t="s">
        <v>141</v>
      </c>
      <c r="E75" s="457">
        <f>DSUM('15_1'!A$12:J$32,'15_1'!$J$12,F72:F73)</f>
        <v>0.84051239189622018</v>
      </c>
      <c r="F75" s="451"/>
    </row>
    <row r="76" spans="1:6">
      <c r="A76" s="466" t="s">
        <v>142</v>
      </c>
      <c r="B76" s="461">
        <v>11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DSUM('15_1'!$A$12:$H$32,'15_1'!$H$12,F72:F73)</f>
        <v>9.5061</v>
      </c>
      <c r="C77" s="81"/>
      <c r="D77" s="139" t="s">
        <v>145</v>
      </c>
      <c r="E77" s="458" t="str">
        <f>IF(VLOOKUP(F73,'15_1'!$A$20:$D$49,4,0)=1, "Definitivo 100%", "Eventual 80%")</f>
        <v>Definitivo 100%</v>
      </c>
      <c r="F77" s="583"/>
    </row>
    <row r="78" spans="1:6" ht="15.75">
      <c r="A78" s="450"/>
      <c r="B78" s="139" t="s">
        <v>146</v>
      </c>
      <c r="C78" s="477"/>
      <c r="D78" s="189" t="str">
        <f>IF(E78=1,"Domingo",IF(E78=2,"Lunes",IF(E78=3,"Martes",IF(E78=4,"Miercoles",IF(E78=5,"Jueves",IF(E78=6,"Viernes",IF(E78=7,"Sábado",0)))))))</f>
        <v>Sábado</v>
      </c>
      <c r="E78" s="190">
        <f>WEEKDAY(C78)</f>
        <v>7</v>
      </c>
      <c r="F78" s="453"/>
    </row>
    <row r="79" spans="1:6" ht="15.75">
      <c r="A79" s="450"/>
      <c r="B79" s="139" t="s">
        <v>147</v>
      </c>
      <c r="C79" s="477"/>
      <c r="D79" s="189" t="str">
        <f>IF(E79=1,"Domingo",IF(E79=2,"Lunes",IF(E79=3,"Martes",IF(E79=4,"Miercoles",IF(E79=5,"Jueves",IF(E79=6,"Viernes",IF(E79=7,"Sábado",0)))))))</f>
        <v>Sábado</v>
      </c>
      <c r="E79" s="190">
        <f>WEEKDAY(C79)</f>
        <v>7</v>
      </c>
      <c r="F79" s="453"/>
    </row>
    <row r="80" spans="1:6">
      <c r="A80" s="450"/>
      <c r="B80" s="81"/>
      <c r="C80" s="81"/>
      <c r="D80" s="81"/>
      <c r="E80" s="584"/>
      <c r="F80" s="583"/>
    </row>
    <row r="81" spans="1:6">
      <c r="A81" s="472">
        <f>+Mensajes!$B$7</f>
        <v>0</v>
      </c>
      <c r="B81" s="81"/>
      <c r="C81" s="81"/>
      <c r="D81" s="81"/>
      <c r="E81" s="81"/>
      <c r="F81" s="451"/>
    </row>
    <row r="82" spans="1:6">
      <c r="A82" s="472">
        <f>+Mensajes!$B$12</f>
        <v>0</v>
      </c>
      <c r="B82" s="81"/>
      <c r="C82" s="81"/>
      <c r="D82" s="81"/>
      <c r="E82" s="81"/>
      <c r="F82" s="451"/>
    </row>
    <row r="83" spans="1:6">
      <c r="A83" s="471"/>
      <c r="B83" s="81"/>
      <c r="C83" s="81"/>
      <c r="D83" s="81"/>
      <c r="E83" s="81"/>
      <c r="F83" s="451"/>
    </row>
    <row r="84" spans="1:6" ht="13.5" thickBot="1">
      <c r="A84" s="468"/>
      <c r="B84" s="455"/>
      <c r="C84" s="474"/>
      <c r="D84" s="454" t="str">
        <f>IF(DSUM('15_1'!$A$12:$Q$88,16,F72:F73)=COUNTIF('15_1'!$A$20:$A$88,F73),"","Regularice su Deuda")</f>
        <v>Regularice su Deuda</v>
      </c>
      <c r="E84" s="455"/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66" t="s">
        <v>139</v>
      </c>
      <c r="B89" s="146" t="str">
        <f>VLOOKUP(F90,'15_1'!$A$20:$G$32,7,0)</f>
        <v>YERDEO EDGARDO</v>
      </c>
      <c r="C89" s="81"/>
      <c r="D89" s="81"/>
      <c r="E89" s="81"/>
      <c r="F89" s="452" t="s">
        <v>102</v>
      </c>
    </row>
    <row r="90" spans="1:6">
      <c r="A90" s="466" t="s">
        <v>72</v>
      </c>
      <c r="B90" s="146" t="str">
        <f>+'15_1'!$H$2</f>
        <v>Toma exclusiva ( Giangiulio )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VLOOKUP(F90,'15_1'!$A$20:$B$32,2,0)</f>
        <v>1215</v>
      </c>
      <c r="C92" s="81"/>
      <c r="D92" s="139" t="s">
        <v>141</v>
      </c>
      <c r="E92" s="457">
        <f>DSUM('15_1'!A$12:J$32,'15_1'!$J$12,F89:F90)</f>
        <v>0.38659980247704456</v>
      </c>
      <c r="F92" s="451"/>
    </row>
    <row r="93" spans="1:6">
      <c r="A93" s="466" t="s">
        <v>142</v>
      </c>
      <c r="B93" s="461">
        <v>39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DSUM('15_1'!$A$12:$H$32,'15_1'!$H$12,F89:F90)</f>
        <v>4.3723999999999998</v>
      </c>
      <c r="C94" s="81"/>
      <c r="D94" s="139" t="s">
        <v>145</v>
      </c>
      <c r="E94" s="458" t="str">
        <f>IF(VLOOKUP(F90,'15_1'!$A$20:$D$49,4,0)=1, "Definitivo 100%", "Eventual 80%")</f>
        <v>Definitivo 100%</v>
      </c>
      <c r="F94" s="583"/>
    </row>
    <row r="95" spans="1:6" ht="15.75">
      <c r="A95" s="450"/>
      <c r="B95" s="139" t="s">
        <v>146</v>
      </c>
      <c r="C95" s="477"/>
      <c r="D95" s="189" t="str">
        <f>IF(E95=1,"Domingo",IF(E95=2,"Lunes",IF(E95=3,"Martes",IF(E95=4,"Miercoles",IF(E95=5,"Jueves",IF(E95=6,"Viernes",IF(E95=7,"Sábado",0)))))))</f>
        <v>Sábado</v>
      </c>
      <c r="E95" s="190">
        <f>WEEKDAY(C95)</f>
        <v>7</v>
      </c>
      <c r="F95" s="453"/>
    </row>
    <row r="96" spans="1:6" ht="15.75">
      <c r="A96" s="450"/>
      <c r="B96" s="139" t="s">
        <v>147</v>
      </c>
      <c r="C96" s="477"/>
      <c r="D96" s="189" t="str">
        <f>IF(E96=1,"Domingo",IF(E96=2,"Lunes",IF(E96=3,"Martes",IF(E96=4,"Miercoles",IF(E96=5,"Jueves",IF(E96=6,"Viernes",IF(E96=7,"Sábado",0)))))))</f>
        <v>Sábado</v>
      </c>
      <c r="E96" s="190">
        <f>WEEKDAY(C96)</f>
        <v>7</v>
      </c>
      <c r="F96" s="453"/>
    </row>
    <row r="97" spans="1:6">
      <c r="A97" s="450"/>
      <c r="B97" s="81"/>
      <c r="C97" s="81"/>
      <c r="D97" s="81"/>
      <c r="E97" s="584"/>
      <c r="F97" s="583"/>
    </row>
    <row r="98" spans="1:6">
      <c r="A98" s="472">
        <f>+Mensajes!$B$7</f>
        <v>0</v>
      </c>
      <c r="B98" s="81"/>
      <c r="C98" s="81"/>
      <c r="D98" s="81"/>
      <c r="E98" s="81"/>
      <c r="F98" s="451"/>
    </row>
    <row r="99" spans="1:6">
      <c r="A99" s="472">
        <f>+Mensajes!$B$12</f>
        <v>0</v>
      </c>
      <c r="B99" s="81"/>
      <c r="C99" s="81"/>
      <c r="D99" s="81"/>
      <c r="E99" s="81"/>
      <c r="F99" s="451"/>
    </row>
    <row r="100" spans="1:6">
      <c r="A100" s="471"/>
      <c r="B100" s="81"/>
      <c r="C100" s="81"/>
      <c r="D100" s="81"/>
      <c r="E100" s="81"/>
      <c r="F100" s="451"/>
    </row>
    <row r="101" spans="1:6" ht="13.5" thickBot="1">
      <c r="A101" s="468"/>
      <c r="B101" s="455"/>
      <c r="C101" s="474"/>
      <c r="D101" s="454" t="str">
        <f>IF(DSUM('15_1'!$A$12:$Q$88,16,F89:F90)=COUNTIF('15_1'!$A$20:$A$88,F90),"","Regularice su Deuda")</f>
        <v>Regularice su Deuda</v>
      </c>
      <c r="E101" s="455"/>
      <c r="F101" s="456"/>
    </row>
    <row r="102" spans="1:6" ht="13.5" thickBot="1"/>
    <row r="103" spans="1:6">
      <c r="A103" s="447"/>
      <c r="B103" s="448"/>
      <c r="C103" s="448"/>
      <c r="D103" s="448"/>
      <c r="E103" s="448"/>
      <c r="F103" s="449"/>
    </row>
    <row r="104" spans="1:6">
      <c r="A104" s="465" t="s">
        <v>64</v>
      </c>
      <c r="B104" s="81"/>
      <c r="C104" s="81"/>
      <c r="D104" s="81"/>
      <c r="E104" s="81"/>
      <c r="F104" s="451"/>
    </row>
    <row r="105" spans="1:6">
      <c r="A105" s="450"/>
      <c r="B105" s="81"/>
      <c r="C105" s="81"/>
      <c r="D105" s="81"/>
      <c r="E105" s="81"/>
      <c r="F105" s="451"/>
    </row>
    <row r="106" spans="1:6">
      <c r="A106" s="466" t="s">
        <v>139</v>
      </c>
      <c r="B106" s="146" t="str">
        <f>VLOOKUP(F107,'15_1'!$A$20:$G$32,7,0)</f>
        <v>GIANGIULIO, ALDO ANTONIO</v>
      </c>
      <c r="C106" s="81"/>
      <c r="D106" s="81"/>
      <c r="E106" s="81"/>
      <c r="F106" s="452" t="s">
        <v>102</v>
      </c>
    </row>
    <row r="107" spans="1:6">
      <c r="A107" s="466" t="s">
        <v>72</v>
      </c>
      <c r="B107" s="146" t="str">
        <f>+'15_1'!$H$2</f>
        <v>Toma exclusiva ( Giangiulio )</v>
      </c>
      <c r="C107" s="81"/>
      <c r="D107" s="81"/>
      <c r="E107" s="81"/>
      <c r="F107" s="452">
        <v>7</v>
      </c>
    </row>
    <row r="108" spans="1:6">
      <c r="A108" s="450"/>
      <c r="B108" s="81"/>
      <c r="C108" s="81"/>
      <c r="D108" s="81"/>
      <c r="E108" s="81"/>
      <c r="F108" s="451"/>
    </row>
    <row r="109" spans="1:6">
      <c r="A109" s="466" t="s">
        <v>140</v>
      </c>
      <c r="B109" s="458">
        <f>VLOOKUP(F107,'15_1'!$A$20:$B$32,2,0)</f>
        <v>1215</v>
      </c>
      <c r="C109" s="81"/>
      <c r="D109" s="139" t="s">
        <v>141</v>
      </c>
      <c r="E109" s="457">
        <f>DSUM('15_1'!A$12:J$32,'15_1'!$J$12,F106:F107)</f>
        <v>0.10085865764467221</v>
      </c>
      <c r="F109" s="451"/>
    </row>
    <row r="110" spans="1:6">
      <c r="A110" s="466" t="s">
        <v>142</v>
      </c>
      <c r="B110" s="461">
        <v>2</v>
      </c>
      <c r="C110" s="81"/>
      <c r="D110" s="139" t="s">
        <v>143</v>
      </c>
      <c r="E110" s="459" t="str">
        <f>+Hijuelas!$G$7</f>
        <v>POR FRACCIÓN</v>
      </c>
      <c r="F110" s="451"/>
    </row>
    <row r="111" spans="1:6">
      <c r="A111" s="466" t="s">
        <v>144</v>
      </c>
      <c r="B111" s="462">
        <f>DSUM('15_1'!$A$12:$H$32,'15_1'!$H$12,F106:F107)</f>
        <v>1.1407</v>
      </c>
      <c r="C111" s="81"/>
      <c r="D111" s="139" t="s">
        <v>145</v>
      </c>
      <c r="E111" s="458" t="str">
        <f>IF(VLOOKUP(F107,'15_1'!$A$20:$D$49,4,0)=1, "Definitivo 100%", "Eventual 80%")</f>
        <v>Definitivo 100%</v>
      </c>
      <c r="F111" s="583"/>
    </row>
    <row r="112" spans="1:6" ht="15.75">
      <c r="A112" s="450"/>
      <c r="B112" s="139" t="s">
        <v>146</v>
      </c>
      <c r="C112" s="477"/>
      <c r="D112" s="189" t="str">
        <f>IF(E112=1,"Domingo",IF(E112=2,"Lunes",IF(E112=3,"Martes",IF(E112=4,"Miercoles",IF(E112=5,"Jueves",IF(E112=6,"Viernes",IF(E112=7,"Sábado",0)))))))</f>
        <v>Sábado</v>
      </c>
      <c r="E112" s="190">
        <f>WEEKDAY(C112)</f>
        <v>7</v>
      </c>
      <c r="F112" s="453"/>
    </row>
    <row r="113" spans="1:6" ht="15.75">
      <c r="A113" s="450"/>
      <c r="B113" s="139" t="s">
        <v>147</v>
      </c>
      <c r="C113" s="477"/>
      <c r="D113" s="189" t="str">
        <f>IF(E113=1,"Domingo",IF(E113=2,"Lunes",IF(E113=3,"Martes",IF(E113=4,"Miercoles",IF(E113=5,"Jueves",IF(E113=6,"Viernes",IF(E113=7,"Sábado",0)))))))</f>
        <v>Sábado</v>
      </c>
      <c r="E113" s="190">
        <f>WEEKDAY(C113)</f>
        <v>7</v>
      </c>
      <c r="F113" s="453"/>
    </row>
    <row r="114" spans="1:6">
      <c r="A114" s="450"/>
      <c r="B114" s="81"/>
      <c r="C114" s="81"/>
      <c r="D114" s="81"/>
      <c r="E114" s="584"/>
      <c r="F114" s="583"/>
    </row>
    <row r="115" spans="1:6">
      <c r="A115" s="472">
        <f>+Mensajes!$B$7</f>
        <v>0</v>
      </c>
      <c r="B115" s="81"/>
      <c r="C115" s="81"/>
      <c r="D115" s="81"/>
      <c r="E115" s="81"/>
      <c r="F115" s="451"/>
    </row>
    <row r="116" spans="1:6">
      <c r="A116" s="472">
        <f>+Mensajes!$B$12</f>
        <v>0</v>
      </c>
      <c r="B116" s="81"/>
      <c r="C116" s="81"/>
      <c r="D116" s="81"/>
      <c r="E116" s="81"/>
      <c r="F116" s="451"/>
    </row>
    <row r="117" spans="1:6">
      <c r="A117" s="471"/>
      <c r="B117" s="81"/>
      <c r="C117" s="81"/>
      <c r="D117" s="81"/>
      <c r="E117" s="81"/>
      <c r="F117" s="451"/>
    </row>
    <row r="118" spans="1:6" ht="13.5" thickBot="1">
      <c r="A118" s="468"/>
      <c r="B118" s="455"/>
      <c r="C118" s="474"/>
      <c r="D118" s="454" t="str">
        <f>IF(DSUM('15_1'!$A$12:$Q$88,16,F106:F107)=COUNTIF('15_1'!$A$20:$A$88,F107),"","Regularice su Deuda")</f>
        <v>Regularice su Deuda</v>
      </c>
      <c r="E118" s="455"/>
      <c r="F118" s="456"/>
    </row>
    <row r="119" spans="1:6" ht="13.5" thickBot="1"/>
    <row r="120" spans="1:6">
      <c r="A120" s="447"/>
      <c r="B120" s="448"/>
      <c r="C120" s="448"/>
      <c r="D120" s="448"/>
      <c r="E120" s="448"/>
      <c r="F120" s="449"/>
    </row>
    <row r="121" spans="1:6">
      <c r="A121" s="465" t="s">
        <v>64</v>
      </c>
      <c r="B121" s="81"/>
      <c r="C121" s="81"/>
      <c r="D121" s="81"/>
      <c r="E121" s="81"/>
      <c r="F121" s="451"/>
    </row>
    <row r="122" spans="1:6">
      <c r="A122" s="450"/>
      <c r="B122" s="81"/>
      <c r="C122" s="81"/>
      <c r="D122" s="81"/>
      <c r="E122" s="81"/>
      <c r="F122" s="451"/>
    </row>
    <row r="123" spans="1:6">
      <c r="A123" s="466" t="s">
        <v>139</v>
      </c>
      <c r="B123" s="146" t="str">
        <f>VLOOKUP(F124,'15_1'!$A$20:$G$32,7,0)</f>
        <v>ESTRELLA, HAYDEE CECILIA</v>
      </c>
      <c r="C123" s="81"/>
      <c r="D123" s="81"/>
      <c r="E123" s="81"/>
      <c r="F123" s="452" t="s">
        <v>102</v>
      </c>
    </row>
    <row r="124" spans="1:6">
      <c r="A124" s="466" t="s">
        <v>72</v>
      </c>
      <c r="B124" s="146" t="str">
        <f>+'15_1'!$H$2</f>
        <v>Toma exclusiva ( Giangiulio )</v>
      </c>
      <c r="C124" s="81"/>
      <c r="D124" s="81"/>
      <c r="E124" s="81"/>
      <c r="F124" s="452">
        <v>8</v>
      </c>
    </row>
    <row r="125" spans="1:6">
      <c r="A125" s="450"/>
      <c r="B125" s="81"/>
      <c r="C125" s="81"/>
      <c r="D125" s="81"/>
      <c r="E125" s="81"/>
      <c r="F125" s="451"/>
    </row>
    <row r="126" spans="1:6">
      <c r="A126" s="466" t="s">
        <v>140</v>
      </c>
      <c r="B126" s="458">
        <f>VLOOKUP(F124,'15_1'!$A$20:$B$32,2,0)</f>
        <v>1215</v>
      </c>
      <c r="C126" s="81"/>
      <c r="D126" s="139" t="s">
        <v>141</v>
      </c>
      <c r="E126" s="457">
        <f>DSUM('15_1'!A$12:J$32,'15_1'!$J$12,F123:F124)</f>
        <v>0.33952594490711074</v>
      </c>
      <c r="F126" s="451"/>
    </row>
    <row r="127" spans="1:6">
      <c r="A127" s="466" t="s">
        <v>142</v>
      </c>
      <c r="B127" s="461">
        <v>24</v>
      </c>
      <c r="C127" s="81"/>
      <c r="D127" s="139" t="s">
        <v>143</v>
      </c>
      <c r="E127" s="459" t="str">
        <f>+Hijuelas!$G$7</f>
        <v>POR FRACCIÓN</v>
      </c>
      <c r="F127" s="451"/>
    </row>
    <row r="128" spans="1:6">
      <c r="A128" s="466" t="s">
        <v>144</v>
      </c>
      <c r="B128" s="462">
        <f>DSUM('15_1'!$A$12:$H$32,'15_1'!$H$12,F123:F124)</f>
        <v>3.84</v>
      </c>
      <c r="C128" s="81"/>
      <c r="D128" s="139" t="s">
        <v>145</v>
      </c>
      <c r="E128" s="458" t="str">
        <f>IF(VLOOKUP(F124,'15_1'!$A$20:$D$49,4,0)=1, "Definitivo 100%", "Eventual 80%")</f>
        <v>Definitivo 100%</v>
      </c>
      <c r="F128" s="583"/>
    </row>
    <row r="129" spans="1:6" ht="15.75">
      <c r="A129" s="450"/>
      <c r="B129" s="139" t="s">
        <v>146</v>
      </c>
      <c r="C129" s="477"/>
      <c r="D129" s="189" t="str">
        <f>IF(E129=1,"Domingo",IF(E129=2,"Lunes",IF(E129=3,"Martes",IF(E129=4,"Miercoles",IF(E129=5,"Jueves",IF(E129=6,"Viernes",IF(E129=7,"Sábado",0)))))))</f>
        <v>Sábado</v>
      </c>
      <c r="E129" s="190">
        <f>WEEKDAY(C129)</f>
        <v>7</v>
      </c>
      <c r="F129" s="453"/>
    </row>
    <row r="130" spans="1:6" ht="15.75">
      <c r="A130" s="450"/>
      <c r="B130" s="139" t="s">
        <v>147</v>
      </c>
      <c r="C130" s="477"/>
      <c r="D130" s="189" t="str">
        <f>IF(E130=1,"Domingo",IF(E130=2,"Lunes",IF(E130=3,"Martes",IF(E130=4,"Miercoles",IF(E130=5,"Jueves",IF(E130=6,"Viernes",IF(E130=7,"Sábado",0)))))))</f>
        <v>Sábado</v>
      </c>
      <c r="E130" s="190">
        <f>WEEKDAY(C130)</f>
        <v>7</v>
      </c>
      <c r="F130" s="453"/>
    </row>
    <row r="131" spans="1:6">
      <c r="A131" s="450"/>
      <c r="B131" s="81"/>
      <c r="C131" s="81"/>
      <c r="D131" s="81"/>
      <c r="E131" s="584"/>
      <c r="F131" s="583"/>
    </row>
    <row r="132" spans="1:6">
      <c r="A132" s="472">
        <f>+Mensajes!$B$7</f>
        <v>0</v>
      </c>
      <c r="B132" s="81"/>
      <c r="C132" s="81"/>
      <c r="D132" s="81"/>
      <c r="E132" s="81"/>
      <c r="F132" s="451"/>
    </row>
    <row r="133" spans="1:6">
      <c r="A133" s="472">
        <f>+Mensajes!$B$12</f>
        <v>0</v>
      </c>
      <c r="B133" s="81"/>
      <c r="C133" s="81"/>
      <c r="D133" s="81"/>
      <c r="E133" s="81"/>
      <c r="F133" s="451"/>
    </row>
    <row r="134" spans="1:6">
      <c r="A134" s="471"/>
      <c r="B134" s="81"/>
      <c r="C134" s="81"/>
      <c r="D134" s="81"/>
      <c r="E134" s="81"/>
      <c r="F134" s="451"/>
    </row>
    <row r="135" spans="1:6" ht="13.5" thickBot="1">
      <c r="A135" s="468"/>
      <c r="B135" s="455"/>
      <c r="C135" s="474"/>
      <c r="D135" s="454" t="str">
        <f>IF(DSUM('15_1'!$A$12:$Q$88,16,F123:F124)=COUNTIF('15_1'!$A$20:$A$88,F124),"","Regularice su Deuda")</f>
        <v>Regularice su Deuda</v>
      </c>
      <c r="E135" s="455"/>
      <c r="F135" s="456"/>
    </row>
    <row r="136" spans="1:6" ht="13.5" thickBot="1"/>
    <row r="137" spans="1:6">
      <c r="A137" s="447"/>
      <c r="B137" s="448"/>
      <c r="C137" s="448"/>
      <c r="D137" s="448"/>
      <c r="E137" s="448"/>
      <c r="F137" s="449"/>
    </row>
    <row r="138" spans="1:6">
      <c r="A138" s="465" t="s">
        <v>64</v>
      </c>
      <c r="B138" s="81"/>
      <c r="C138" s="81"/>
      <c r="D138" s="81"/>
      <c r="E138" s="81"/>
      <c r="F138" s="451"/>
    </row>
    <row r="139" spans="1:6">
      <c r="A139" s="450"/>
      <c r="B139" s="81"/>
      <c r="C139" s="81"/>
      <c r="D139" s="81"/>
      <c r="E139" s="81"/>
      <c r="F139" s="451"/>
    </row>
    <row r="140" spans="1:6">
      <c r="A140" s="466" t="s">
        <v>139</v>
      </c>
      <c r="B140" s="146" t="e">
        <f>VLOOKUP(F141,'15_1'!$A$20:$G$32,7,0)</f>
        <v>#N/A</v>
      </c>
      <c r="C140" s="81"/>
      <c r="D140" s="81"/>
      <c r="E140" s="81"/>
      <c r="F140" s="452" t="s">
        <v>102</v>
      </c>
    </row>
    <row r="141" spans="1:6">
      <c r="A141" s="466" t="s">
        <v>72</v>
      </c>
      <c r="B141" s="146" t="str">
        <f>+'15_1'!$H$2</f>
        <v>Toma exclusiva ( Giangiulio )</v>
      </c>
      <c r="C141" s="81"/>
      <c r="D141" s="81"/>
      <c r="E141" s="81"/>
      <c r="F141" s="452">
        <v>9</v>
      </c>
    </row>
    <row r="142" spans="1:6">
      <c r="A142" s="450"/>
      <c r="B142" s="81"/>
      <c r="C142" s="81"/>
      <c r="D142" s="81"/>
      <c r="E142" s="81"/>
      <c r="F142" s="451"/>
    </row>
    <row r="143" spans="1:6">
      <c r="A143" s="466" t="s">
        <v>140</v>
      </c>
      <c r="B143" s="458" t="e">
        <f>VLOOKUP(F141,'15_1'!$A$20:$B$32,2,0)</f>
        <v>#N/A</v>
      </c>
      <c r="C143" s="81"/>
      <c r="D143" s="139" t="s">
        <v>141</v>
      </c>
      <c r="E143" s="457">
        <f>DSUM('15_1'!A$12:J$32,'15_1'!$J$12,F140:F141)</f>
        <v>0</v>
      </c>
      <c r="F143" s="451"/>
    </row>
    <row r="144" spans="1:6">
      <c r="A144" s="466" t="s">
        <v>142</v>
      </c>
      <c r="B144" s="461" t="s">
        <v>392</v>
      </c>
      <c r="C144" s="81"/>
      <c r="D144" s="139" t="s">
        <v>143</v>
      </c>
      <c r="E144" s="459" t="str">
        <f>+Hijuelas!$G$7</f>
        <v>POR FRACCIÓN</v>
      </c>
      <c r="F144" s="451"/>
    </row>
    <row r="145" spans="1:6">
      <c r="A145" s="466" t="s">
        <v>144</v>
      </c>
      <c r="B145" s="462">
        <f>DSUM('15_1'!$A$12:$H$32,'15_1'!$H$12,F140:F141)</f>
        <v>0</v>
      </c>
      <c r="C145" s="81"/>
      <c r="D145" s="139" t="s">
        <v>145</v>
      </c>
      <c r="E145" s="458" t="e">
        <f>IF(VLOOKUP(F141,'15_1'!$A$20:$D$49,4,0)=1, "Definitivo 100%", "Eventual 80%")</f>
        <v>#N/A</v>
      </c>
      <c r="F145" s="583"/>
    </row>
    <row r="146" spans="1:6" ht="15.75">
      <c r="A146" s="450"/>
      <c r="B146" s="139" t="s">
        <v>146</v>
      </c>
      <c r="C146" s="477"/>
      <c r="D146" s="189" t="str">
        <f>IF(E146=1,"Domingo",IF(E146=2,"Lunes",IF(E146=3,"Martes",IF(E146=4,"Miercoles",IF(E146=5,"Jueves",IF(E146=6,"Viernes",IF(E146=7,"Sábado",0)))))))</f>
        <v>Sábado</v>
      </c>
      <c r="E146" s="190">
        <f>WEEKDAY(C146)</f>
        <v>7</v>
      </c>
      <c r="F146" s="453"/>
    </row>
    <row r="147" spans="1:6" ht="15.75">
      <c r="A147" s="450"/>
      <c r="B147" s="139" t="s">
        <v>147</v>
      </c>
      <c r="C147" s="477"/>
      <c r="D147" s="189" t="str">
        <f>IF(E147=1,"Domingo",IF(E147=2,"Lunes",IF(E147=3,"Martes",IF(E147=4,"Miercoles",IF(E147=5,"Jueves",IF(E147=6,"Viernes",IF(E147=7,"Sábado",0)))))))</f>
        <v>Sábado</v>
      </c>
      <c r="E147" s="190">
        <f>WEEKDAY(C147)</f>
        <v>7</v>
      </c>
      <c r="F147" s="453"/>
    </row>
    <row r="148" spans="1:6">
      <c r="A148" s="450"/>
      <c r="B148" s="81"/>
      <c r="C148" s="81"/>
      <c r="D148" s="81"/>
      <c r="E148" s="584"/>
      <c r="F148" s="583"/>
    </row>
    <row r="149" spans="1:6">
      <c r="A149" s="472">
        <f>+Mensajes!$B$7</f>
        <v>0</v>
      </c>
      <c r="B149" s="81"/>
      <c r="C149" s="81"/>
      <c r="D149" s="81"/>
      <c r="E149" s="81"/>
      <c r="F149" s="451"/>
    </row>
    <row r="150" spans="1:6">
      <c r="A150" s="472">
        <f>+Mensajes!$B$12</f>
        <v>0</v>
      </c>
      <c r="B150" s="81"/>
      <c r="C150" s="81"/>
      <c r="D150" s="81"/>
      <c r="E150" s="81"/>
      <c r="F150" s="451"/>
    </row>
    <row r="151" spans="1:6">
      <c r="A151" s="471"/>
      <c r="B151" s="81"/>
      <c r="C151" s="81"/>
      <c r="D151" s="81"/>
      <c r="E151" s="81"/>
      <c r="F151" s="451"/>
    </row>
    <row r="152" spans="1:6" ht="13.5" thickBot="1">
      <c r="A152" s="468"/>
      <c r="B152" s="455"/>
      <c r="C152" s="474"/>
      <c r="D152" s="454" t="str">
        <f>IF(DSUM('15_1'!$A$12:$Q$88,16,F140:F141)=COUNTIF('15_1'!$A$20:$A$88,F141),"","Regularice su Deuda")</f>
        <v/>
      </c>
      <c r="E152" s="455"/>
      <c r="F152" s="456"/>
    </row>
    <row r="153" spans="1:6" ht="13.5" thickBot="1"/>
    <row r="154" spans="1:6">
      <c r="A154" s="447"/>
      <c r="B154" s="448"/>
      <c r="C154" s="448"/>
      <c r="D154" s="448"/>
      <c r="E154" s="448"/>
      <c r="F154" s="449"/>
    </row>
    <row r="155" spans="1:6">
      <c r="A155" s="465" t="s">
        <v>64</v>
      </c>
      <c r="B155" s="81"/>
      <c r="C155" s="81"/>
      <c r="D155" s="81"/>
      <c r="E155" s="81"/>
      <c r="F155" s="451"/>
    </row>
    <row r="156" spans="1:6">
      <c r="A156" s="450"/>
      <c r="B156" s="81"/>
      <c r="C156" s="81"/>
      <c r="D156" s="81"/>
      <c r="E156" s="81"/>
      <c r="F156" s="451"/>
    </row>
    <row r="157" spans="1:6">
      <c r="A157" s="466" t="s">
        <v>139</v>
      </c>
      <c r="B157" s="146" t="e">
        <f>VLOOKUP(F158,'15_1'!$A$20:$G$32,7,0)</f>
        <v>#N/A</v>
      </c>
      <c r="C157" s="81"/>
      <c r="D157" s="81"/>
      <c r="E157" s="81"/>
      <c r="F157" s="452" t="s">
        <v>102</v>
      </c>
    </row>
    <row r="158" spans="1:6">
      <c r="A158" s="466" t="s">
        <v>72</v>
      </c>
      <c r="B158" s="146" t="str">
        <f>+'15_1'!$H$2</f>
        <v>Toma exclusiva ( Giangiulio )</v>
      </c>
      <c r="C158" s="81"/>
      <c r="D158" s="81"/>
      <c r="E158" s="81"/>
      <c r="F158" s="452">
        <v>10</v>
      </c>
    </row>
    <row r="159" spans="1:6">
      <c r="A159" s="450"/>
      <c r="B159" s="81"/>
      <c r="C159" s="81"/>
      <c r="D159" s="81"/>
      <c r="E159" s="81"/>
      <c r="F159" s="451"/>
    </row>
    <row r="160" spans="1:6">
      <c r="A160" s="466" t="s">
        <v>140</v>
      </c>
      <c r="B160" s="458" t="e">
        <f>VLOOKUP(F158,'15_1'!$A$20:$B$32,2,0)</f>
        <v>#N/A</v>
      </c>
      <c r="C160" s="81"/>
      <c r="D160" s="139" t="s">
        <v>141</v>
      </c>
      <c r="E160" s="457">
        <f>DSUM('15_1'!A$12:J$32,'15_1'!$J$12,F157:F158)</f>
        <v>0</v>
      </c>
      <c r="F160" s="451"/>
    </row>
    <row r="161" spans="1:6">
      <c r="A161" s="466" t="s">
        <v>142</v>
      </c>
      <c r="B161" s="461">
        <v>28</v>
      </c>
      <c r="C161" s="81"/>
      <c r="D161" s="139" t="s">
        <v>143</v>
      </c>
      <c r="E161" s="459" t="str">
        <f>+Hijuelas!$G$7</f>
        <v>POR FRACCIÓN</v>
      </c>
      <c r="F161" s="451"/>
    </row>
    <row r="162" spans="1:6">
      <c r="A162" s="466" t="s">
        <v>144</v>
      </c>
      <c r="B162" s="462">
        <f>DSUM('15_1'!$A$12:$H$32,'15_1'!$H$12,F157:F158)</f>
        <v>0</v>
      </c>
      <c r="C162" s="81"/>
      <c r="D162" s="139" t="s">
        <v>145</v>
      </c>
      <c r="E162" s="458" t="e">
        <f>IF(VLOOKUP(F158,'15_1'!$A$20:$D$49,4,0)=1, "Definitivo 100%", "Eventual 80%")</f>
        <v>#N/A</v>
      </c>
      <c r="F162" s="583"/>
    </row>
    <row r="163" spans="1:6" ht="15.75">
      <c r="A163" s="450"/>
      <c r="B163" s="139" t="s">
        <v>146</v>
      </c>
      <c r="C163" s="477"/>
      <c r="D163" s="189" t="str">
        <f>IF(E163=1,"Domingo",IF(E163=2,"Lunes",IF(E163=3,"Martes",IF(E163=4,"Miercoles",IF(E163=5,"Jueves",IF(E163=6,"Viernes",IF(E163=7,"Sábado",0)))))))</f>
        <v>Sábado</v>
      </c>
      <c r="E163" s="190">
        <f>WEEKDAY(C163)</f>
        <v>7</v>
      </c>
      <c r="F163" s="453"/>
    </row>
    <row r="164" spans="1:6" ht="15.75">
      <c r="A164" s="450"/>
      <c r="B164" s="139" t="s">
        <v>147</v>
      </c>
      <c r="C164" s="477"/>
      <c r="D164" s="189" t="str">
        <f>IF(E164=1,"Domingo",IF(E164=2,"Lunes",IF(E164=3,"Martes",IF(E164=4,"Miercoles",IF(E164=5,"Jueves",IF(E164=6,"Viernes",IF(E164=7,"Sábado",0)))))))</f>
        <v>Sábado</v>
      </c>
      <c r="E164" s="190">
        <f>WEEKDAY(C164)</f>
        <v>7</v>
      </c>
      <c r="F164" s="453"/>
    </row>
    <row r="165" spans="1:6">
      <c r="A165" s="450"/>
      <c r="B165" s="81"/>
      <c r="C165" s="81"/>
      <c r="D165" s="81"/>
      <c r="E165" s="584"/>
      <c r="F165" s="583"/>
    </row>
    <row r="166" spans="1:6">
      <c r="A166" s="472">
        <f>+Mensajes!$B$7</f>
        <v>0</v>
      </c>
      <c r="B166" s="81"/>
      <c r="C166" s="81"/>
      <c r="D166" s="81"/>
      <c r="E166" s="81"/>
      <c r="F166" s="451"/>
    </row>
    <row r="167" spans="1:6">
      <c r="A167" s="472">
        <f>+Mensajes!$B$12</f>
        <v>0</v>
      </c>
      <c r="B167" s="81"/>
      <c r="C167" s="81"/>
      <c r="D167" s="81"/>
      <c r="E167" s="81"/>
      <c r="F167" s="451"/>
    </row>
    <row r="168" spans="1:6">
      <c r="A168" s="471"/>
      <c r="B168" s="81"/>
      <c r="C168" s="81"/>
      <c r="D168" s="81"/>
      <c r="E168" s="81"/>
      <c r="F168" s="451"/>
    </row>
    <row r="169" spans="1:6" ht="13.5" thickBot="1">
      <c r="A169" s="468"/>
      <c r="B169" s="455"/>
      <c r="C169" s="474"/>
      <c r="D169" s="454" t="str">
        <f>IF(DSUM('15_1'!$A$12:$Q$88,16,F157:F158)=COUNTIF('15_1'!$A$20:$A$88,F158),"","Regularice su Deuda")</f>
        <v/>
      </c>
      <c r="E169" s="455"/>
      <c r="F169" s="456"/>
    </row>
    <row r="170" spans="1:6" ht="13.5" thickBot="1"/>
    <row r="171" spans="1:6">
      <c r="A171" s="447"/>
      <c r="B171" s="448"/>
      <c r="C171" s="448"/>
      <c r="D171" s="448"/>
      <c r="E171" s="448"/>
      <c r="F171" s="449"/>
    </row>
    <row r="172" spans="1:6">
      <c r="A172" s="465" t="s">
        <v>64</v>
      </c>
      <c r="B172" s="81"/>
      <c r="C172" s="81"/>
      <c r="D172" s="81"/>
      <c r="E172" s="81"/>
      <c r="F172" s="451"/>
    </row>
    <row r="173" spans="1:6">
      <c r="A173" s="450"/>
      <c r="B173" s="81"/>
      <c r="C173" s="81"/>
      <c r="D173" s="81"/>
      <c r="E173" s="81"/>
      <c r="F173" s="451"/>
    </row>
    <row r="174" spans="1:6">
      <c r="A174" s="466" t="s">
        <v>139</v>
      </c>
      <c r="B174" s="146" t="e">
        <f>VLOOKUP(F175,'15_1'!$A$20:$G$32,7,0)</f>
        <v>#N/A</v>
      </c>
      <c r="C174" s="81"/>
      <c r="D174" s="81"/>
      <c r="E174" s="81"/>
      <c r="F174" s="452" t="s">
        <v>102</v>
      </c>
    </row>
    <row r="175" spans="1:6">
      <c r="A175" s="466" t="s">
        <v>72</v>
      </c>
      <c r="B175" s="146" t="str">
        <f>+'15_1'!$H$2</f>
        <v>Toma exclusiva ( Giangiulio )</v>
      </c>
      <c r="C175" s="81"/>
      <c r="D175" s="81"/>
      <c r="E175" s="81"/>
      <c r="F175" s="452">
        <v>11</v>
      </c>
    </row>
    <row r="176" spans="1:6">
      <c r="A176" s="450"/>
      <c r="B176" s="81"/>
      <c r="C176" s="81"/>
      <c r="D176" s="81"/>
      <c r="E176" s="81"/>
      <c r="F176" s="451"/>
    </row>
    <row r="177" spans="1:6">
      <c r="A177" s="466" t="s">
        <v>140</v>
      </c>
      <c r="B177" s="458" t="e">
        <f>VLOOKUP(F175,'15_1'!$A$20:$B$32,2,0)</f>
        <v>#N/A</v>
      </c>
      <c r="C177" s="81"/>
      <c r="D177" s="139" t="s">
        <v>141</v>
      </c>
      <c r="E177" s="457">
        <f>DSUM('15_1'!A$12:J$32,'15_1'!$J$12,F174:F175)</f>
        <v>0</v>
      </c>
      <c r="F177" s="451"/>
    </row>
    <row r="178" spans="1:6">
      <c r="A178" s="466" t="s">
        <v>142</v>
      </c>
      <c r="B178" s="461" t="s">
        <v>393</v>
      </c>
      <c r="C178" s="81"/>
      <c r="D178" s="139" t="s">
        <v>143</v>
      </c>
      <c r="E178" s="459" t="str">
        <f>+Hijuelas!$G$7</f>
        <v>POR FRACCIÓN</v>
      </c>
      <c r="F178" s="451"/>
    </row>
    <row r="179" spans="1:6">
      <c r="A179" s="466" t="s">
        <v>144</v>
      </c>
      <c r="B179" s="462">
        <f>DSUM('15_1'!$A$12:$H$32,'15_1'!$H$12,F174:F175)</f>
        <v>0</v>
      </c>
      <c r="C179" s="81"/>
      <c r="D179" s="139" t="s">
        <v>145</v>
      </c>
      <c r="E179" s="458" t="e">
        <f>IF(VLOOKUP(F175,'15_1'!$A$20:$D$49,4,0)=1, "Definitivo 100%", "Eventual 80%")</f>
        <v>#N/A</v>
      </c>
      <c r="F179" s="583"/>
    </row>
    <row r="180" spans="1:6" ht="15.75">
      <c r="A180" s="450"/>
      <c r="B180" s="139" t="s">
        <v>146</v>
      </c>
      <c r="C180" s="477"/>
      <c r="D180" s="189" t="str">
        <f>IF(E180=1,"Domingo",IF(E180=2,"Lunes",IF(E180=3,"Martes",IF(E180=4,"Miercoles",IF(E180=5,"Jueves",IF(E180=6,"Viernes",IF(E180=7,"Sábado",0)))))))</f>
        <v>Sábado</v>
      </c>
      <c r="E180" s="190">
        <f>WEEKDAY(C180)</f>
        <v>7</v>
      </c>
      <c r="F180" s="453"/>
    </row>
    <row r="181" spans="1:6" ht="15.75">
      <c r="A181" s="450"/>
      <c r="B181" s="139" t="s">
        <v>147</v>
      </c>
      <c r="C181" s="477"/>
      <c r="D181" s="189" t="str">
        <f>IF(E181=1,"Domingo",IF(E181=2,"Lunes",IF(E181=3,"Martes",IF(E181=4,"Miercoles",IF(E181=5,"Jueves",IF(E181=6,"Viernes",IF(E181=7,"Sábado",0)))))))</f>
        <v>Sábado</v>
      </c>
      <c r="E181" s="190">
        <f>WEEKDAY(C181)</f>
        <v>7</v>
      </c>
      <c r="F181" s="453"/>
    </row>
    <row r="182" spans="1:6">
      <c r="A182" s="450"/>
      <c r="B182" s="81"/>
      <c r="C182" s="81"/>
      <c r="D182" s="81"/>
      <c r="E182" s="584"/>
      <c r="F182" s="583"/>
    </row>
    <row r="183" spans="1:6">
      <c r="A183" s="472">
        <f>+Mensajes!$B$7</f>
        <v>0</v>
      </c>
      <c r="B183" s="81"/>
      <c r="C183" s="81"/>
      <c r="D183" s="81"/>
      <c r="E183" s="81"/>
      <c r="F183" s="451"/>
    </row>
    <row r="184" spans="1:6">
      <c r="A184" s="472">
        <f>+Mensajes!$B$12</f>
        <v>0</v>
      </c>
      <c r="B184" s="81"/>
      <c r="C184" s="81"/>
      <c r="D184" s="81"/>
      <c r="E184" s="81"/>
      <c r="F184" s="451"/>
    </row>
    <row r="185" spans="1:6">
      <c r="A185" s="471"/>
      <c r="B185" s="81"/>
      <c r="C185" s="81"/>
      <c r="D185" s="81"/>
      <c r="E185" s="81"/>
      <c r="F185" s="451"/>
    </row>
    <row r="186" spans="1:6" ht="13.5" thickBot="1">
      <c r="A186" s="468"/>
      <c r="B186" s="455"/>
      <c r="C186" s="474"/>
      <c r="D186" s="454" t="str">
        <f>IF(DSUM('15_1'!$A$12:$Q$88,16,F174:F175)=COUNTIF('15_1'!$A$20:$A$88,F175),"","Regularice su Deuda")</f>
        <v/>
      </c>
      <c r="E186" s="455"/>
      <c r="F186" s="456"/>
    </row>
    <row r="187" spans="1:6" ht="13.5" thickBot="1"/>
    <row r="188" spans="1:6">
      <c r="A188" s="447"/>
      <c r="B188" s="448"/>
      <c r="C188" s="448"/>
      <c r="D188" s="448"/>
      <c r="E188" s="448"/>
      <c r="F188" s="449"/>
    </row>
    <row r="189" spans="1:6">
      <c r="A189" s="465" t="s">
        <v>64</v>
      </c>
      <c r="B189" s="81"/>
      <c r="C189" s="81"/>
      <c r="D189" s="81"/>
      <c r="E189" s="81"/>
      <c r="F189" s="451"/>
    </row>
    <row r="190" spans="1:6">
      <c r="A190" s="450"/>
      <c r="B190" s="81"/>
      <c r="C190" s="81"/>
      <c r="D190" s="81"/>
      <c r="E190" s="81"/>
      <c r="F190" s="451"/>
    </row>
    <row r="191" spans="1:6">
      <c r="A191" s="466" t="s">
        <v>139</v>
      </c>
      <c r="B191" s="146" t="e">
        <f>VLOOKUP(F192,'15_1'!$A$20:$G$32,7,0)</f>
        <v>#N/A</v>
      </c>
      <c r="C191" s="81"/>
      <c r="D191" s="81"/>
      <c r="E191" s="81"/>
      <c r="F191" s="452" t="s">
        <v>102</v>
      </c>
    </row>
    <row r="192" spans="1:6">
      <c r="A192" s="466" t="s">
        <v>72</v>
      </c>
      <c r="B192" s="146" t="str">
        <f>+'15_1'!$H$2</f>
        <v>Toma exclusiva ( Giangiulio )</v>
      </c>
      <c r="C192" s="81"/>
      <c r="D192" s="81"/>
      <c r="E192" s="81"/>
      <c r="F192" s="452">
        <v>12</v>
      </c>
    </row>
    <row r="193" spans="1:6">
      <c r="A193" s="450"/>
      <c r="B193" s="81"/>
      <c r="C193" s="81"/>
      <c r="D193" s="81"/>
      <c r="E193" s="81"/>
      <c r="F193" s="451"/>
    </row>
    <row r="194" spans="1:6">
      <c r="A194" s="466" t="s">
        <v>140</v>
      </c>
      <c r="B194" s="458" t="e">
        <f>VLOOKUP(F192,'15_1'!$A$20:$B$32,2,0)</f>
        <v>#N/A</v>
      </c>
      <c r="C194" s="81"/>
      <c r="D194" s="139" t="s">
        <v>141</v>
      </c>
      <c r="E194" s="457">
        <f>DSUM('15_1'!A$12:J$32,'15_1'!$J$12,F191:F192)</f>
        <v>0</v>
      </c>
      <c r="F194" s="451"/>
    </row>
    <row r="195" spans="1:6">
      <c r="A195" s="466" t="s">
        <v>142</v>
      </c>
      <c r="B195" s="461">
        <v>27</v>
      </c>
      <c r="C195" s="81"/>
      <c r="D195" s="139" t="s">
        <v>143</v>
      </c>
      <c r="E195" s="459" t="str">
        <f>+Hijuelas!$G$7</f>
        <v>POR FRACCIÓN</v>
      </c>
      <c r="F195" s="451"/>
    </row>
    <row r="196" spans="1:6">
      <c r="A196" s="466" t="s">
        <v>144</v>
      </c>
      <c r="B196" s="462">
        <f>DSUM('15_1'!$A$12:$H$32,'15_1'!$H$12,F191:F192)</f>
        <v>0</v>
      </c>
      <c r="C196" s="81"/>
      <c r="D196" s="139" t="s">
        <v>145</v>
      </c>
      <c r="E196" s="458" t="e">
        <f>IF(VLOOKUP(F192,'15_1'!$A$20:$D$49,4,0)=1, "Definitivo 100%", "Eventual 80%")</f>
        <v>#N/A</v>
      </c>
      <c r="F196" s="583"/>
    </row>
    <row r="197" spans="1:6" ht="15.75">
      <c r="A197" s="450"/>
      <c r="B197" s="139" t="s">
        <v>146</v>
      </c>
      <c r="C197" s="477"/>
      <c r="D197" s="189" t="str">
        <f>IF(E197=1,"Domingo",IF(E197=2,"Lunes",IF(E197=3,"Martes",IF(E197=4,"Miercoles",IF(E197=5,"Jueves",IF(E197=6,"Viernes",IF(E197=7,"Sábado",0)))))))</f>
        <v>Sábado</v>
      </c>
      <c r="E197" s="190">
        <f>WEEKDAY(C197)</f>
        <v>7</v>
      </c>
      <c r="F197" s="453"/>
    </row>
    <row r="198" spans="1:6" ht="15.75">
      <c r="A198" s="450"/>
      <c r="B198" s="139" t="s">
        <v>147</v>
      </c>
      <c r="C198" s="477"/>
      <c r="D198" s="189" t="str">
        <f>IF(E198=1,"Domingo",IF(E198=2,"Lunes",IF(E198=3,"Martes",IF(E198=4,"Miercoles",IF(E198=5,"Jueves",IF(E198=6,"Viernes",IF(E198=7,"Sábado",0)))))))</f>
        <v>Sábado</v>
      </c>
      <c r="E198" s="190">
        <f>WEEKDAY(C198)</f>
        <v>7</v>
      </c>
      <c r="F198" s="453"/>
    </row>
    <row r="199" spans="1:6">
      <c r="A199" s="450"/>
      <c r="B199" s="81"/>
      <c r="C199" s="81"/>
      <c r="D199" s="81"/>
      <c r="E199" s="584"/>
      <c r="F199" s="583"/>
    </row>
    <row r="200" spans="1:6">
      <c r="A200" s="472">
        <f>+Mensajes!$B$7</f>
        <v>0</v>
      </c>
      <c r="B200" s="81"/>
      <c r="C200" s="81"/>
      <c r="D200" s="81"/>
      <c r="E200" s="81"/>
      <c r="F200" s="451"/>
    </row>
    <row r="201" spans="1:6">
      <c r="A201" s="472">
        <f>+Mensajes!$B$12</f>
        <v>0</v>
      </c>
      <c r="B201" s="81"/>
      <c r="C201" s="81"/>
      <c r="D201" s="81"/>
      <c r="E201" s="81"/>
      <c r="F201" s="451"/>
    </row>
    <row r="202" spans="1:6">
      <c r="A202" s="471"/>
      <c r="B202" s="81"/>
      <c r="C202" s="81"/>
      <c r="D202" s="81"/>
      <c r="E202" s="81"/>
      <c r="F202" s="451"/>
    </row>
    <row r="203" spans="1:6" ht="13.5" thickBot="1">
      <c r="A203" s="468"/>
      <c r="B203" s="455"/>
      <c r="C203" s="474"/>
      <c r="D203" s="454" t="str">
        <f>IF(DSUM('15_1'!$A$12:$Q$88,16,F191:F192)=COUNTIF('15_1'!$A$20:$A$88,F192),"","Regularice su Deuda")</f>
        <v/>
      </c>
      <c r="E203" s="455"/>
      <c r="F203" s="456"/>
    </row>
    <row r="204" spans="1:6" ht="13.5" thickBot="1"/>
    <row r="205" spans="1:6">
      <c r="A205" s="447"/>
      <c r="B205" s="448"/>
      <c r="C205" s="448"/>
      <c r="D205" s="448"/>
      <c r="E205" s="448"/>
      <c r="F205" s="449"/>
    </row>
    <row r="206" spans="1:6">
      <c r="A206" s="465" t="s">
        <v>64</v>
      </c>
      <c r="B206" s="81"/>
      <c r="C206" s="81"/>
      <c r="D206" s="81"/>
      <c r="E206" s="81"/>
      <c r="F206" s="451"/>
    </row>
    <row r="207" spans="1:6">
      <c r="A207" s="450"/>
      <c r="B207" s="81"/>
      <c r="C207" s="81"/>
      <c r="D207" s="81"/>
      <c r="E207" s="81"/>
      <c r="F207" s="451"/>
    </row>
    <row r="208" spans="1:6">
      <c r="A208" s="466" t="s">
        <v>139</v>
      </c>
      <c r="B208" s="146" t="e">
        <f>VLOOKUP(F209,'15_1'!$A$20:$G$32,7,0)</f>
        <v>#N/A</v>
      </c>
      <c r="C208" s="81"/>
      <c r="D208" s="81"/>
      <c r="E208" s="81"/>
      <c r="F208" s="452" t="s">
        <v>102</v>
      </c>
    </row>
    <row r="209" spans="1:6">
      <c r="A209" s="466" t="s">
        <v>72</v>
      </c>
      <c r="B209" s="146" t="str">
        <f>+'15_1'!$H$2</f>
        <v>Toma exclusiva ( Giangiulio )</v>
      </c>
      <c r="C209" s="81"/>
      <c r="D209" s="81"/>
      <c r="E209" s="81"/>
      <c r="F209" s="452">
        <v>13</v>
      </c>
    </row>
    <row r="210" spans="1:6">
      <c r="A210" s="450"/>
      <c r="B210" s="81"/>
      <c r="C210" s="81"/>
      <c r="D210" s="81"/>
      <c r="E210" s="81"/>
      <c r="F210" s="451"/>
    </row>
    <row r="211" spans="1:6">
      <c r="A211" s="466" t="s">
        <v>140</v>
      </c>
      <c r="B211" s="458" t="e">
        <f>VLOOKUP(F209,'15_1'!$A$20:$B$32,2,0)</f>
        <v>#N/A</v>
      </c>
      <c r="C211" s="81"/>
      <c r="D211" s="139" t="s">
        <v>141</v>
      </c>
      <c r="E211" s="457">
        <f>DSUM('15_1'!A$12:J$32,'15_1'!$J$12,F208:F209)</f>
        <v>0</v>
      </c>
      <c r="F211" s="451"/>
    </row>
    <row r="212" spans="1:6">
      <c r="A212" s="466" t="s">
        <v>142</v>
      </c>
      <c r="B212" s="461">
        <v>28</v>
      </c>
      <c r="C212" s="81"/>
      <c r="D212" s="139" t="s">
        <v>143</v>
      </c>
      <c r="E212" s="459" t="str">
        <f>+Hijuelas!$G$7</f>
        <v>POR FRACCIÓN</v>
      </c>
      <c r="F212" s="451"/>
    </row>
    <row r="213" spans="1:6">
      <c r="A213" s="466" t="s">
        <v>144</v>
      </c>
      <c r="B213" s="462">
        <f>DSUM('15_1'!$A$12:$H$32,'15_1'!$H$12,F208:F209)</f>
        <v>0</v>
      </c>
      <c r="C213" s="81"/>
      <c r="D213" s="139" t="s">
        <v>145</v>
      </c>
      <c r="E213" s="458" t="e">
        <f>IF(VLOOKUP(F209,'15_1'!$A$20:$D$49,4,0)=1, "Definitivo 100%", "Eventual 80%")</f>
        <v>#N/A</v>
      </c>
      <c r="F213" s="583"/>
    </row>
    <row r="214" spans="1:6" ht="15.75">
      <c r="A214" s="450"/>
      <c r="B214" s="139" t="s">
        <v>146</v>
      </c>
      <c r="C214" s="477"/>
      <c r="D214" s="189" t="str">
        <f>IF(E214=1,"Domingo",IF(E214=2,"Lunes",IF(E214=3,"Martes",IF(E214=4,"Miercoles",IF(E214=5,"Jueves",IF(E214=6,"Viernes",IF(E214=7,"Sábado",0)))))))</f>
        <v>Sábado</v>
      </c>
      <c r="E214" s="190">
        <f>WEEKDAY(C214)</f>
        <v>7</v>
      </c>
      <c r="F214" s="453"/>
    </row>
    <row r="215" spans="1:6" ht="15.75">
      <c r="A215" s="450"/>
      <c r="B215" s="139" t="s">
        <v>147</v>
      </c>
      <c r="C215" s="477"/>
      <c r="D215" s="189" t="str">
        <f>IF(E215=1,"Domingo",IF(E215=2,"Lunes",IF(E215=3,"Martes",IF(E215=4,"Miercoles",IF(E215=5,"Jueves",IF(E215=6,"Viernes",IF(E215=7,"Sábado",0)))))))</f>
        <v>Sábado</v>
      </c>
      <c r="E215" s="190">
        <f>WEEKDAY(C215)</f>
        <v>7</v>
      </c>
      <c r="F215" s="453"/>
    </row>
    <row r="216" spans="1:6">
      <c r="A216" s="450"/>
      <c r="B216" s="81"/>
      <c r="C216" s="81"/>
      <c r="D216" s="81"/>
      <c r="E216" s="584"/>
      <c r="F216" s="583"/>
    </row>
    <row r="217" spans="1:6">
      <c r="A217" s="472">
        <f>+Mensajes!$B$7</f>
        <v>0</v>
      </c>
      <c r="B217" s="81"/>
      <c r="C217" s="81"/>
      <c r="D217" s="81"/>
      <c r="E217" s="81"/>
      <c r="F217" s="451"/>
    </row>
    <row r="218" spans="1:6">
      <c r="A218" s="472">
        <f>+Mensajes!$B$12</f>
        <v>0</v>
      </c>
      <c r="B218" s="81"/>
      <c r="C218" s="81"/>
      <c r="D218" s="81"/>
      <c r="E218" s="81"/>
      <c r="F218" s="451"/>
    </row>
    <row r="219" spans="1:6">
      <c r="A219" s="471"/>
      <c r="B219" s="81"/>
      <c r="C219" s="81"/>
      <c r="D219" s="81"/>
      <c r="E219" s="81"/>
      <c r="F219" s="451"/>
    </row>
    <row r="220" spans="1:6" ht="13.5" thickBot="1">
      <c r="A220" s="468"/>
      <c r="B220" s="455"/>
      <c r="C220" s="474"/>
      <c r="D220" s="454" t="str">
        <f>IF(DSUM('15_1'!$A$12:$Q$88,16,F208:F209)=COUNTIF('15_1'!$A$20:$A$88,F209),"","Regularice su Deuda")</f>
        <v/>
      </c>
      <c r="E220" s="455"/>
      <c r="F220" s="456"/>
    </row>
    <row r="221" spans="1:6" ht="13.5" thickBot="1"/>
    <row r="222" spans="1:6">
      <c r="A222" s="447"/>
      <c r="B222" s="448"/>
      <c r="C222" s="448"/>
      <c r="D222" s="448"/>
      <c r="E222" s="448"/>
      <c r="F222" s="449"/>
    </row>
    <row r="223" spans="1:6">
      <c r="A223" s="465" t="s">
        <v>64</v>
      </c>
      <c r="B223" s="81"/>
      <c r="C223" s="81"/>
      <c r="D223" s="81"/>
      <c r="E223" s="81"/>
      <c r="F223" s="451"/>
    </row>
    <row r="224" spans="1:6">
      <c r="A224" s="450"/>
      <c r="B224" s="81"/>
      <c r="C224" s="81"/>
      <c r="D224" s="81"/>
      <c r="E224" s="81"/>
      <c r="F224" s="451"/>
    </row>
    <row r="225" spans="1:6">
      <c r="A225" s="466" t="s">
        <v>139</v>
      </c>
      <c r="B225" s="146" t="e">
        <f>VLOOKUP(F226,'15_1'!$A$20:$G$32,7,0)</f>
        <v>#N/A</v>
      </c>
      <c r="C225" s="81"/>
      <c r="D225" s="81"/>
      <c r="E225" s="81"/>
      <c r="F225" s="452" t="s">
        <v>102</v>
      </c>
    </row>
    <row r="226" spans="1:6">
      <c r="A226" s="466" t="s">
        <v>72</v>
      </c>
      <c r="B226" s="146" t="str">
        <f>+'15_1'!$H$2</f>
        <v>Toma exclusiva ( Giangiulio )</v>
      </c>
      <c r="C226" s="81"/>
      <c r="D226" s="81"/>
      <c r="E226" s="81"/>
      <c r="F226" s="452">
        <v>14</v>
      </c>
    </row>
    <row r="227" spans="1:6">
      <c r="A227" s="450"/>
      <c r="B227" s="81"/>
      <c r="C227" s="81"/>
      <c r="D227" s="81"/>
      <c r="E227" s="81"/>
      <c r="F227" s="451"/>
    </row>
    <row r="228" spans="1:6">
      <c r="A228" s="466" t="s">
        <v>140</v>
      </c>
      <c r="B228" s="458" t="e">
        <f>VLOOKUP(F226,'15_1'!$A$20:$B$32,2,0)</f>
        <v>#N/A</v>
      </c>
      <c r="C228" s="81"/>
      <c r="D228" s="139" t="s">
        <v>141</v>
      </c>
      <c r="E228" s="457">
        <f>DSUM('15_1'!A$12:J$32,'15_1'!$J$12,F225:F226)</f>
        <v>0</v>
      </c>
      <c r="F228" s="451"/>
    </row>
    <row r="229" spans="1:6">
      <c r="A229" s="466" t="s">
        <v>142</v>
      </c>
      <c r="B229" s="461">
        <v>29</v>
      </c>
      <c r="C229" s="81"/>
      <c r="D229" s="139" t="s">
        <v>143</v>
      </c>
      <c r="E229" s="459" t="str">
        <f>+Hijuelas!$G$7</f>
        <v>POR FRACCIÓN</v>
      </c>
      <c r="F229" s="451"/>
    </row>
    <row r="230" spans="1:6">
      <c r="A230" s="466" t="s">
        <v>144</v>
      </c>
      <c r="B230" s="462">
        <f>DSUM('15_1'!$A$12:$H$32,'15_1'!$H$12,F225:F226)</f>
        <v>0</v>
      </c>
      <c r="C230" s="81"/>
      <c r="D230" s="139" t="s">
        <v>145</v>
      </c>
      <c r="E230" s="458" t="e">
        <f>IF(VLOOKUP(F226,'15_1'!$A$20:$D$49,4,0)=1, "Definitivo 100%", "Eventual 80%")</f>
        <v>#N/A</v>
      </c>
      <c r="F230" s="583"/>
    </row>
    <row r="231" spans="1:6" ht="15.75">
      <c r="A231" s="450"/>
      <c r="B231" s="139" t="s">
        <v>146</v>
      </c>
      <c r="C231" s="477"/>
      <c r="D231" s="189" t="str">
        <f>IF(E231=1,"Domingo",IF(E231=2,"Lunes",IF(E231=3,"Martes",IF(E231=4,"Miercoles",IF(E231=5,"Jueves",IF(E231=6,"Viernes",IF(E231=7,"Sábado",0)))))))</f>
        <v>Sábado</v>
      </c>
      <c r="E231" s="190">
        <f>WEEKDAY(C231)</f>
        <v>7</v>
      </c>
      <c r="F231" s="453"/>
    </row>
    <row r="232" spans="1:6" ht="15.75">
      <c r="A232" s="450"/>
      <c r="B232" s="139" t="s">
        <v>147</v>
      </c>
      <c r="C232" s="477"/>
      <c r="D232" s="189" t="str">
        <f>IF(E232=1,"Domingo",IF(E232=2,"Lunes",IF(E232=3,"Martes",IF(E232=4,"Miercoles",IF(E232=5,"Jueves",IF(E232=6,"Viernes",IF(E232=7,"Sábado",0)))))))</f>
        <v>Sábado</v>
      </c>
      <c r="E232" s="190">
        <f>WEEKDAY(C232)</f>
        <v>7</v>
      </c>
      <c r="F232" s="453"/>
    </row>
    <row r="233" spans="1:6">
      <c r="A233" s="450"/>
      <c r="B233" s="81"/>
      <c r="C233" s="81"/>
      <c r="D233" s="81"/>
      <c r="E233" s="584"/>
      <c r="F233" s="583"/>
    </row>
    <row r="234" spans="1:6">
      <c r="A234" s="472">
        <f>+Mensajes!$B$7</f>
        <v>0</v>
      </c>
      <c r="B234" s="81"/>
      <c r="C234" s="81"/>
      <c r="D234" s="81"/>
      <c r="E234" s="81"/>
      <c r="F234" s="451"/>
    </row>
    <row r="235" spans="1:6">
      <c r="A235" s="472">
        <f>+Mensajes!$B$12</f>
        <v>0</v>
      </c>
      <c r="B235" s="81"/>
      <c r="C235" s="81"/>
      <c r="D235" s="81"/>
      <c r="E235" s="81"/>
      <c r="F235" s="451"/>
    </row>
    <row r="236" spans="1:6">
      <c r="A236" s="471"/>
      <c r="B236" s="81"/>
      <c r="C236" s="81"/>
      <c r="D236" s="81"/>
      <c r="E236" s="81"/>
      <c r="F236" s="451"/>
    </row>
    <row r="237" spans="1:6" ht="13.5" thickBot="1">
      <c r="A237" s="468"/>
      <c r="B237" s="455"/>
      <c r="C237" s="474"/>
      <c r="D237" s="454" t="str">
        <f>IF(DSUM('15_1'!$A$12:$Q$88,16,F225:F226)=COUNTIF('15_1'!$A$20:$A$88,F226),"","Regularice su Deuda")</f>
        <v/>
      </c>
      <c r="E237" s="455"/>
      <c r="F237" s="456"/>
    </row>
    <row r="238" spans="1:6" ht="13.5" thickBot="1"/>
    <row r="239" spans="1:6">
      <c r="A239" s="447"/>
      <c r="B239" s="448"/>
      <c r="C239" s="448"/>
      <c r="D239" s="448"/>
      <c r="E239" s="448"/>
      <c r="F239" s="449"/>
    </row>
    <row r="240" spans="1:6">
      <c r="A240" s="465" t="s">
        <v>64</v>
      </c>
      <c r="B240" s="81"/>
      <c r="C240" s="81"/>
      <c r="D240" s="81"/>
      <c r="E240" s="81"/>
      <c r="F240" s="451"/>
    </row>
    <row r="241" spans="1:6">
      <c r="A241" s="450"/>
      <c r="B241" s="81"/>
      <c r="C241" s="81"/>
      <c r="D241" s="81"/>
      <c r="E241" s="81"/>
      <c r="F241" s="451"/>
    </row>
    <row r="242" spans="1:6">
      <c r="A242" s="466" t="s">
        <v>139</v>
      </c>
      <c r="B242" s="146" t="e">
        <f>VLOOKUP(F243,'15_1'!$A$20:$G$32,7,0)</f>
        <v>#N/A</v>
      </c>
      <c r="C242" s="81"/>
      <c r="D242" s="81"/>
      <c r="E242" s="81"/>
      <c r="F242" s="452" t="s">
        <v>102</v>
      </c>
    </row>
    <row r="243" spans="1:6">
      <c r="A243" s="466" t="s">
        <v>72</v>
      </c>
      <c r="B243" s="146" t="str">
        <f>+'15_1'!$H$2</f>
        <v>Toma exclusiva ( Giangiulio )</v>
      </c>
      <c r="C243" s="81"/>
      <c r="D243" s="81"/>
      <c r="E243" s="81"/>
      <c r="F243" s="452">
        <v>15</v>
      </c>
    </row>
    <row r="244" spans="1:6">
      <c r="A244" s="450"/>
      <c r="B244" s="81"/>
      <c r="C244" s="81"/>
      <c r="D244" s="81"/>
      <c r="E244" s="81"/>
      <c r="F244" s="451"/>
    </row>
    <row r="245" spans="1:6">
      <c r="A245" s="466" t="s">
        <v>140</v>
      </c>
      <c r="B245" s="458" t="e">
        <f>VLOOKUP(F243,'15_1'!$A$20:$B$32,2,0)</f>
        <v>#N/A</v>
      </c>
      <c r="C245" s="81"/>
      <c r="D245" s="139" t="s">
        <v>141</v>
      </c>
      <c r="E245" s="457">
        <f>DSUM('15_1'!A$12:J$32,'15_1'!$J$12,F242:F243)</f>
        <v>0</v>
      </c>
      <c r="F245" s="451"/>
    </row>
    <row r="246" spans="1:6">
      <c r="A246" s="466" t="s">
        <v>142</v>
      </c>
      <c r="B246" s="461">
        <v>30</v>
      </c>
      <c r="C246" s="81"/>
      <c r="D246" s="139" t="s">
        <v>143</v>
      </c>
      <c r="E246" s="459" t="str">
        <f>+Hijuelas!$G$7</f>
        <v>POR FRACCIÓN</v>
      </c>
      <c r="F246" s="451"/>
    </row>
    <row r="247" spans="1:6">
      <c r="A247" s="466" t="s">
        <v>144</v>
      </c>
      <c r="B247" s="462">
        <f>DSUM('15_1'!$A$12:$H$32,'15_1'!$H$12,F242:F243)</f>
        <v>0</v>
      </c>
      <c r="C247" s="81"/>
      <c r="D247" s="139" t="s">
        <v>145</v>
      </c>
      <c r="E247" s="458" t="e">
        <f>IF(VLOOKUP(F243,'15_1'!$A$20:$D$49,4,0)=1, "Definitivo 100%", "Eventual 80%")</f>
        <v>#N/A</v>
      </c>
      <c r="F247" s="583"/>
    </row>
    <row r="248" spans="1:6" ht="15.75">
      <c r="A248" s="450"/>
      <c r="B248" s="139" t="s">
        <v>146</v>
      </c>
      <c r="C248" s="477"/>
      <c r="D248" s="189" t="str">
        <f>IF(E248=1,"Domingo",IF(E248=2,"Lunes",IF(E248=3,"Martes",IF(E248=4,"Miercoles",IF(E248=5,"Jueves",IF(E248=6,"Viernes",IF(E248=7,"Sábado",0)))))))</f>
        <v>Sábado</v>
      </c>
      <c r="E248" s="190">
        <f>WEEKDAY(C248)</f>
        <v>7</v>
      </c>
      <c r="F248" s="453"/>
    </row>
    <row r="249" spans="1:6" ht="15.75">
      <c r="A249" s="450"/>
      <c r="B249" s="139" t="s">
        <v>147</v>
      </c>
      <c r="C249" s="477"/>
      <c r="D249" s="189" t="str">
        <f>IF(E249=1,"Domingo",IF(E249=2,"Lunes",IF(E249=3,"Martes",IF(E249=4,"Miercoles",IF(E249=5,"Jueves",IF(E249=6,"Viernes",IF(E249=7,"Sábado",0)))))))</f>
        <v>Sábado</v>
      </c>
      <c r="E249" s="190">
        <f>WEEKDAY(C249)</f>
        <v>7</v>
      </c>
      <c r="F249" s="453"/>
    </row>
    <row r="250" spans="1:6">
      <c r="A250" s="450"/>
      <c r="B250" s="81"/>
      <c r="C250" s="81"/>
      <c r="D250" s="81"/>
      <c r="E250" s="584"/>
      <c r="F250" s="583"/>
    </row>
    <row r="251" spans="1:6">
      <c r="A251" s="472">
        <f>+Mensajes!$B$7</f>
        <v>0</v>
      </c>
      <c r="B251" s="81"/>
      <c r="C251" s="81"/>
      <c r="D251" s="81"/>
      <c r="E251" s="81"/>
      <c r="F251" s="451"/>
    </row>
    <row r="252" spans="1:6">
      <c r="A252" s="472">
        <f>+Mensajes!$B$12</f>
        <v>0</v>
      </c>
      <c r="B252" s="81"/>
      <c r="C252" s="81"/>
      <c r="D252" s="81"/>
      <c r="E252" s="81"/>
      <c r="F252" s="451"/>
    </row>
    <row r="253" spans="1:6">
      <c r="A253" s="471"/>
      <c r="B253" s="81"/>
      <c r="C253" s="81"/>
      <c r="D253" s="81"/>
      <c r="E253" s="81"/>
      <c r="F253" s="451"/>
    </row>
    <row r="254" spans="1:6" ht="13.5" thickBot="1">
      <c r="A254" s="468"/>
      <c r="B254" s="455"/>
      <c r="C254" s="474"/>
      <c r="D254" s="454" t="str">
        <f>IF(DSUM('15_1'!$A$12:$Q$88,16,F242:F243)=COUNTIF('15_1'!$A$20:$A$88,F243),"","Regularice su Deuda")</f>
        <v/>
      </c>
      <c r="E254" s="455"/>
      <c r="F254" s="456"/>
    </row>
    <row r="255" spans="1:6" ht="13.5" thickBot="1"/>
    <row r="256" spans="1:6">
      <c r="A256" s="447"/>
      <c r="B256" s="448"/>
      <c r="C256" s="448"/>
      <c r="D256" s="448"/>
      <c r="E256" s="448"/>
      <c r="F256" s="449"/>
    </row>
    <row r="257" spans="1:6">
      <c r="A257" s="465" t="s">
        <v>64</v>
      </c>
      <c r="B257" s="81"/>
      <c r="C257" s="81"/>
      <c r="D257" s="81"/>
      <c r="E257" s="81"/>
      <c r="F257" s="451"/>
    </row>
    <row r="258" spans="1:6">
      <c r="A258" s="450"/>
      <c r="B258" s="81"/>
      <c r="C258" s="81"/>
      <c r="D258" s="81"/>
      <c r="E258" s="81"/>
      <c r="F258" s="451"/>
    </row>
    <row r="259" spans="1:6">
      <c r="A259" s="466" t="s">
        <v>139</v>
      </c>
      <c r="B259" s="146" t="e">
        <f>VLOOKUP(F260,'15_1'!$A$20:$G$32,7,0)</f>
        <v>#N/A</v>
      </c>
      <c r="C259" s="81"/>
      <c r="D259" s="81"/>
      <c r="E259" s="81"/>
      <c r="F259" s="452" t="s">
        <v>102</v>
      </c>
    </row>
    <row r="260" spans="1:6">
      <c r="A260" s="466" t="s">
        <v>72</v>
      </c>
      <c r="B260" s="146" t="str">
        <f>+'15_1'!$H$2</f>
        <v>Toma exclusiva ( Giangiulio )</v>
      </c>
      <c r="C260" s="81"/>
      <c r="D260" s="81"/>
      <c r="E260" s="81"/>
      <c r="F260" s="452">
        <v>16</v>
      </c>
    </row>
    <row r="261" spans="1:6">
      <c r="A261" s="450"/>
      <c r="B261" s="81"/>
      <c r="C261" s="81"/>
      <c r="D261" s="81"/>
      <c r="E261" s="81"/>
      <c r="F261" s="451"/>
    </row>
    <row r="262" spans="1:6">
      <c r="A262" s="466" t="s">
        <v>140</v>
      </c>
      <c r="B262" s="458" t="e">
        <f>VLOOKUP(F260,'15_1'!$A$20:$B$32,2,0)</f>
        <v>#N/A</v>
      </c>
      <c r="C262" s="81"/>
      <c r="D262" s="139" t="s">
        <v>141</v>
      </c>
      <c r="E262" s="457">
        <f>DSUM('15_1'!A$12:J$32,'15_1'!$J$12,F259:F260)</f>
        <v>0</v>
      </c>
      <c r="F262" s="451"/>
    </row>
    <row r="263" spans="1:6">
      <c r="A263" s="466" t="s">
        <v>142</v>
      </c>
      <c r="B263" s="461">
        <v>31</v>
      </c>
      <c r="C263" s="81"/>
      <c r="D263" s="139" t="s">
        <v>143</v>
      </c>
      <c r="E263" s="459" t="str">
        <f>+Hijuelas!$G$7</f>
        <v>POR FRACCIÓN</v>
      </c>
      <c r="F263" s="451"/>
    </row>
    <row r="264" spans="1:6">
      <c r="A264" s="466" t="s">
        <v>144</v>
      </c>
      <c r="B264" s="462">
        <f>DSUM('15_1'!$A$12:$H$32,'15_1'!$H$12,F259:F260)</f>
        <v>0</v>
      </c>
      <c r="C264" s="81"/>
      <c r="D264" s="139" t="s">
        <v>145</v>
      </c>
      <c r="E264" s="458" t="e">
        <f>IF(VLOOKUP(F260,'15_1'!$A$20:$D$49,4,0)=1, "Definitivo 100%", "Eventual 80%")</f>
        <v>#N/A</v>
      </c>
      <c r="F264" s="583"/>
    </row>
    <row r="265" spans="1:6" ht="15.75">
      <c r="A265" s="450"/>
      <c r="B265" s="139" t="s">
        <v>146</v>
      </c>
      <c r="C265" s="477"/>
      <c r="D265" s="189" t="str">
        <f>IF(E265=1,"Domingo",IF(E265=2,"Lunes",IF(E265=3,"Martes",IF(E265=4,"Miercoles",IF(E265=5,"Jueves",IF(E265=6,"Viernes",IF(E265=7,"Sábado",0)))))))</f>
        <v>Sábado</v>
      </c>
      <c r="E265" s="190">
        <f>WEEKDAY(C265)</f>
        <v>7</v>
      </c>
      <c r="F265" s="453"/>
    </row>
    <row r="266" spans="1:6" ht="15.75">
      <c r="A266" s="450"/>
      <c r="B266" s="139" t="s">
        <v>147</v>
      </c>
      <c r="C266" s="477"/>
      <c r="D266" s="189" t="str">
        <f>IF(E266=1,"Domingo",IF(E266=2,"Lunes",IF(E266=3,"Martes",IF(E266=4,"Miercoles",IF(E266=5,"Jueves",IF(E266=6,"Viernes",IF(E266=7,"Sábado",0)))))))</f>
        <v>Sábado</v>
      </c>
      <c r="E266" s="190">
        <f>WEEKDAY(C266)</f>
        <v>7</v>
      </c>
      <c r="F266" s="453"/>
    </row>
    <row r="267" spans="1:6">
      <c r="A267" s="450"/>
      <c r="B267" s="81"/>
      <c r="C267" s="81"/>
      <c r="D267" s="81"/>
      <c r="E267" s="584"/>
      <c r="F267" s="583"/>
    </row>
    <row r="268" spans="1:6">
      <c r="A268" s="472">
        <f>+Mensajes!$B$7</f>
        <v>0</v>
      </c>
      <c r="B268" s="81"/>
      <c r="C268" s="81"/>
      <c r="D268" s="81"/>
      <c r="E268" s="81"/>
      <c r="F268" s="451"/>
    </row>
    <row r="269" spans="1:6">
      <c r="A269" s="472">
        <f>+Mensajes!$B$12</f>
        <v>0</v>
      </c>
      <c r="B269" s="81"/>
      <c r="C269" s="81"/>
      <c r="D269" s="81"/>
      <c r="E269" s="81"/>
      <c r="F269" s="451"/>
    </row>
    <row r="270" spans="1:6">
      <c r="A270" s="471"/>
      <c r="B270" s="81"/>
      <c r="C270" s="81"/>
      <c r="D270" s="81"/>
      <c r="E270" s="81"/>
      <c r="F270" s="451"/>
    </row>
    <row r="271" spans="1:6" ht="13.5" thickBot="1">
      <c r="A271" s="468"/>
      <c r="B271" s="455"/>
      <c r="C271" s="474"/>
      <c r="D271" s="454" t="str">
        <f>IF(DSUM('15_1'!$A$12:$Q$88,16,F259:F260)=COUNTIF('15_1'!$A$20:$A$88,F260),"","Regularice su Deuda")</f>
        <v/>
      </c>
      <c r="E271" s="455"/>
      <c r="F271" s="456"/>
    </row>
    <row r="272" spans="1:6" ht="13.5" thickBot="1"/>
    <row r="273" spans="1:6">
      <c r="A273" s="447"/>
      <c r="B273" s="448"/>
      <c r="C273" s="448"/>
      <c r="D273" s="448"/>
      <c r="E273" s="448"/>
      <c r="F273" s="449"/>
    </row>
    <row r="274" spans="1:6">
      <c r="A274" s="465" t="s">
        <v>64</v>
      </c>
      <c r="B274" s="81"/>
      <c r="C274" s="81"/>
      <c r="D274" s="81"/>
      <c r="E274" s="81"/>
      <c r="F274" s="451"/>
    </row>
    <row r="275" spans="1:6">
      <c r="A275" s="450"/>
      <c r="B275" s="81"/>
      <c r="C275" s="81"/>
      <c r="D275" s="81"/>
      <c r="E275" s="81"/>
      <c r="F275" s="451"/>
    </row>
    <row r="276" spans="1:6">
      <c r="A276" s="466" t="s">
        <v>139</v>
      </c>
      <c r="B276" s="146" t="e">
        <f>VLOOKUP(F277,'15_1'!$A$20:$G$32,7,0)</f>
        <v>#N/A</v>
      </c>
      <c r="C276" s="81"/>
      <c r="D276" s="81"/>
      <c r="E276" s="81"/>
      <c r="F276" s="452" t="s">
        <v>102</v>
      </c>
    </row>
    <row r="277" spans="1:6">
      <c r="A277" s="466" t="s">
        <v>72</v>
      </c>
      <c r="B277" s="146" t="str">
        <f>+'15_1'!$H$2</f>
        <v>Toma exclusiva ( Giangiulio )</v>
      </c>
      <c r="C277" s="81"/>
      <c r="D277" s="81"/>
      <c r="E277" s="81"/>
      <c r="F277" s="452">
        <v>17</v>
      </c>
    </row>
    <row r="278" spans="1:6">
      <c r="A278" s="450"/>
      <c r="B278" s="81"/>
      <c r="C278" s="81"/>
      <c r="D278" s="81"/>
      <c r="E278" s="81"/>
      <c r="F278" s="451"/>
    </row>
    <row r="279" spans="1:6">
      <c r="A279" s="466" t="s">
        <v>140</v>
      </c>
      <c r="B279" s="458" t="e">
        <f>VLOOKUP(F277,'15_1'!$A$20:$B$32,2,0)</f>
        <v>#N/A</v>
      </c>
      <c r="C279" s="81"/>
      <c r="D279" s="139" t="s">
        <v>141</v>
      </c>
      <c r="E279" s="457">
        <f>DSUM('15_1'!A$12:J$32,'15_1'!$J$12,F276:F277)</f>
        <v>0</v>
      </c>
      <c r="F279" s="451"/>
    </row>
    <row r="280" spans="1:6">
      <c r="A280" s="466" t="s">
        <v>142</v>
      </c>
      <c r="B280" s="461">
        <v>32</v>
      </c>
      <c r="C280" s="81"/>
      <c r="D280" s="139" t="s">
        <v>143</v>
      </c>
      <c r="E280" s="459" t="str">
        <f>+Hijuelas!$G$7</f>
        <v>POR FRACCIÓN</v>
      </c>
      <c r="F280" s="451"/>
    </row>
    <row r="281" spans="1:6">
      <c r="A281" s="466" t="s">
        <v>144</v>
      </c>
      <c r="B281" s="462">
        <f>DSUM('15_1'!$A$12:$H$32,'15_1'!$H$12,F276:F277)</f>
        <v>0</v>
      </c>
      <c r="C281" s="81"/>
      <c r="D281" s="139" t="s">
        <v>145</v>
      </c>
      <c r="E281" s="458" t="e">
        <f>IF(VLOOKUP(F277,'15_1'!$A$20:$D$49,4,0)=1, "Definitivo 100%", "Eventual 80%")</f>
        <v>#N/A</v>
      </c>
      <c r="F281" s="583"/>
    </row>
    <row r="282" spans="1:6" ht="15.75">
      <c r="A282" s="450"/>
      <c r="B282" s="139" t="s">
        <v>146</v>
      </c>
      <c r="C282" s="477"/>
      <c r="D282" s="189" t="str">
        <f>IF(E282=1,"Domingo",IF(E282=2,"Lunes",IF(E282=3,"Martes",IF(E282=4,"Miercoles",IF(E282=5,"Jueves",IF(E282=6,"Viernes",IF(E282=7,"Sábado",0)))))))</f>
        <v>Sábado</v>
      </c>
      <c r="E282" s="190">
        <f>WEEKDAY(C282)</f>
        <v>7</v>
      </c>
      <c r="F282" s="453"/>
    </row>
    <row r="283" spans="1:6" ht="15.75">
      <c r="A283" s="450"/>
      <c r="B283" s="139" t="s">
        <v>147</v>
      </c>
      <c r="C283" s="477"/>
      <c r="D283" s="189" t="str">
        <f>IF(E283=1,"Domingo",IF(E283=2,"Lunes",IF(E283=3,"Martes",IF(E283=4,"Miercoles",IF(E283=5,"Jueves",IF(E283=6,"Viernes",IF(E283=7,"Sábado",0)))))))</f>
        <v>Sábado</v>
      </c>
      <c r="E283" s="190">
        <f>WEEKDAY(C283)</f>
        <v>7</v>
      </c>
      <c r="F283" s="453"/>
    </row>
    <row r="284" spans="1:6">
      <c r="A284" s="450"/>
      <c r="B284" s="81"/>
      <c r="C284" s="81"/>
      <c r="D284" s="81"/>
      <c r="E284" s="584"/>
      <c r="F284" s="583"/>
    </row>
    <row r="285" spans="1:6">
      <c r="A285" s="472">
        <f>+Mensajes!$B$7</f>
        <v>0</v>
      </c>
      <c r="B285" s="81"/>
      <c r="C285" s="81"/>
      <c r="D285" s="81"/>
      <c r="E285" s="81"/>
      <c r="F285" s="451"/>
    </row>
    <row r="286" spans="1:6">
      <c r="A286" s="472">
        <f>+Mensajes!$B$12</f>
        <v>0</v>
      </c>
      <c r="B286" s="81"/>
      <c r="C286" s="81"/>
      <c r="D286" s="81"/>
      <c r="E286" s="81"/>
      <c r="F286" s="451"/>
    </row>
    <row r="287" spans="1:6">
      <c r="A287" s="471"/>
      <c r="B287" s="81"/>
      <c r="C287" s="81"/>
      <c r="D287" s="81"/>
      <c r="E287" s="81"/>
      <c r="F287" s="451"/>
    </row>
    <row r="288" spans="1:6" ht="13.5" thickBot="1">
      <c r="A288" s="468"/>
      <c r="B288" s="455"/>
      <c r="C288" s="474"/>
      <c r="D288" s="454" t="str">
        <f>IF(DSUM('15_1'!$A$12:$Q$88,16,F276:F277)=COUNTIF('15_1'!$A$20:$A$88,F277),"","Regularice su Deuda")</f>
        <v/>
      </c>
      <c r="E288" s="455"/>
      <c r="F288" s="456"/>
    </row>
  </sheetData>
  <phoneticPr fontId="0" type="noConversion"/>
  <pageMargins left="0.55118110236220474" right="0.47244094488188981" top="0.15748031496062992" bottom="0.19685039370078741" header="0" footer="0"/>
  <pageSetup paperSize="281" scale="80" orientation="portrait" r:id="rId1"/>
  <headerFooter alignWithMargins="0"/>
  <rowBreaks count="3" manualBreakCount="3">
    <brk id="85" max="5" man="1"/>
    <brk id="170" max="5" man="1"/>
    <brk id="255" max="5" man="1"/>
  </rowBreaks>
  <colBreaks count="1" manualBreakCount="1">
    <brk id="7" max="1048575" man="1"/>
  </colBreaks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21"/>
  <dimension ref="A1:U33"/>
  <sheetViews>
    <sheetView view="pageBreakPreview" zoomScale="75" zoomScaleNormal="75" workbookViewId="0" xr3:uid="{44C9DB06-433C-50F5-8210-7EB2F2901AA3}">
      <selection activeCell="K13" sqref="K13"/>
    </sheetView>
  </sheetViews>
  <sheetFormatPr defaultColWidth="11.42578125" defaultRowHeight="12.75"/>
  <cols>
    <col min="1" max="1" width="7.42578125" customWidth="1"/>
    <col min="2" max="2" width="7" customWidth="1"/>
    <col min="3" max="4" width="8.140625" customWidth="1"/>
    <col min="5" max="5" width="10.28515625" customWidth="1"/>
    <col min="6" max="6" width="13" customWidth="1"/>
    <col min="7" max="7" width="29.42578125" customWidth="1"/>
    <col min="8" max="8" width="14.28515625" bestFit="1" customWidth="1"/>
    <col min="9" max="9" width="7.7109375" bestFit="1" customWidth="1"/>
    <col min="10" max="10" width="9" bestFit="1" customWidth="1"/>
    <col min="11" max="12" width="17.5703125" bestFit="1" customWidth="1"/>
    <col min="13" max="13" width="18" customWidth="1"/>
    <col min="14" max="14" width="24.85546875" customWidth="1"/>
    <col min="15" max="15" width="22.85546875" customWidth="1"/>
    <col min="16" max="16" width="7" bestFit="1" customWidth="1"/>
    <col min="17" max="17" width="8.42578125" bestFit="1" customWidth="1"/>
    <col min="18" max="18" width="7.7109375" bestFit="1" customWidth="1"/>
    <col min="19" max="19" width="9.140625" bestFit="1" customWidth="1"/>
    <col min="20" max="20" width="20.140625" bestFit="1" customWidth="1"/>
    <col min="21" max="21" width="11" bestFit="1" customWidth="1"/>
  </cols>
  <sheetData>
    <row r="1" spans="1:2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21">
      <c r="A2" s="144" t="s">
        <v>187</v>
      </c>
      <c r="B2" s="137"/>
      <c r="C2" s="137"/>
      <c r="D2" s="137"/>
      <c r="E2" s="137"/>
      <c r="F2" s="137"/>
      <c r="G2" s="137"/>
      <c r="H2" s="137" t="s">
        <v>394</v>
      </c>
      <c r="I2" s="137"/>
      <c r="J2" s="137"/>
      <c r="K2" s="137"/>
      <c r="L2" s="137"/>
      <c r="M2" s="137"/>
      <c r="N2" s="137"/>
      <c r="O2" s="137"/>
    </row>
    <row r="3" spans="1:2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</row>
    <row r="4" spans="1:21" ht="13.5" thickBo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</row>
    <row r="5" spans="1:21">
      <c r="A5" s="669" t="s">
        <v>92</v>
      </c>
      <c r="B5" s="670"/>
      <c r="C5" s="662">
        <f>+Hijuelas!D26</f>
        <v>42973.541666666664</v>
      </c>
      <c r="D5" s="663"/>
      <c r="E5" s="664"/>
      <c r="F5" s="344"/>
      <c r="G5" s="344"/>
      <c r="H5" s="345" t="s">
        <v>93</v>
      </c>
      <c r="I5" s="346">
        <f>+Hijuelas!G6</f>
        <v>3.9895833333333335</v>
      </c>
      <c r="J5" s="137"/>
      <c r="K5" s="137"/>
      <c r="L5" s="137"/>
      <c r="M5" s="137"/>
      <c r="N5" s="137"/>
      <c r="O5" s="137"/>
    </row>
    <row r="6" spans="1:21" ht="13.5" thickBot="1">
      <c r="A6" s="671" t="s">
        <v>94</v>
      </c>
      <c r="B6" s="672"/>
      <c r="C6" s="665">
        <f>+L22</f>
        <v>42977.531250000007</v>
      </c>
      <c r="D6" s="666"/>
      <c r="E6" s="667"/>
      <c r="F6" s="344"/>
      <c r="G6" s="344"/>
      <c r="H6" s="347" t="s">
        <v>95</v>
      </c>
      <c r="I6" s="354">
        <v>8.3333333333333329E-2</v>
      </c>
      <c r="J6" s="344"/>
      <c r="K6" s="137"/>
      <c r="L6" s="578"/>
      <c r="M6" s="578"/>
      <c r="N6" s="137"/>
      <c r="O6" s="137"/>
    </row>
    <row r="7" spans="1:21" ht="13.5" thickBot="1">
      <c r="A7" s="137"/>
      <c r="B7" s="137"/>
      <c r="C7" s="137"/>
      <c r="D7" s="137"/>
      <c r="E7" s="137"/>
      <c r="F7" s="137"/>
      <c r="G7" s="137"/>
      <c r="H7" s="348" t="s">
        <v>96</v>
      </c>
      <c r="I7" s="349">
        <v>0</v>
      </c>
      <c r="J7" s="137"/>
      <c r="K7" s="137"/>
      <c r="L7" s="137"/>
      <c r="M7" s="137"/>
      <c r="N7" s="137"/>
      <c r="O7" s="137"/>
    </row>
    <row r="8" spans="1:2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</row>
    <row r="9" spans="1:21">
      <c r="A9" s="668" t="s">
        <v>97</v>
      </c>
      <c r="B9" s="668"/>
      <c r="C9" s="556">
        <f>I5-(I6+I7)</f>
        <v>3.90625</v>
      </c>
      <c r="D9" s="556"/>
      <c r="E9" s="555" t="s">
        <v>98</v>
      </c>
      <c r="F9" s="350">
        <f>+C9*60</f>
        <v>234.375</v>
      </c>
      <c r="G9" s="555" t="s">
        <v>99</v>
      </c>
      <c r="H9" s="351">
        <f>+H23</f>
        <v>88.696500000000015</v>
      </c>
      <c r="I9" s="555" t="s">
        <v>100</v>
      </c>
      <c r="J9" s="556">
        <f>IF(H9=0,0,F9/H9)</f>
        <v>2.6424379766958106</v>
      </c>
      <c r="K9" s="137"/>
      <c r="L9" s="137"/>
      <c r="M9" s="137"/>
      <c r="N9" s="137"/>
      <c r="O9" s="137"/>
    </row>
    <row r="10" spans="1:2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</row>
    <row r="11" spans="1:21" ht="13.5" thickBo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</row>
    <row r="12" spans="1:21" s="446" customFormat="1" ht="17.25" customHeight="1" thickBot="1">
      <c r="A12" s="357" t="s">
        <v>102</v>
      </c>
      <c r="B12" s="442" t="s">
        <v>103</v>
      </c>
      <c r="C12" s="357" t="s">
        <v>104</v>
      </c>
      <c r="D12" s="336" t="s">
        <v>322</v>
      </c>
      <c r="E12" s="336" t="s">
        <v>106</v>
      </c>
      <c r="F12" s="336" t="s">
        <v>153</v>
      </c>
      <c r="G12" s="442" t="s">
        <v>108</v>
      </c>
      <c r="H12" s="336" t="s">
        <v>154</v>
      </c>
      <c r="I12" s="336" t="s">
        <v>155</v>
      </c>
      <c r="J12" s="336" t="s">
        <v>110</v>
      </c>
      <c r="K12" s="336" t="s">
        <v>156</v>
      </c>
      <c r="L12" s="336" t="s">
        <v>157</v>
      </c>
      <c r="M12" s="554" t="s">
        <v>113</v>
      </c>
      <c r="N12" s="336" t="s">
        <v>114</v>
      </c>
      <c r="O12" s="336" t="s">
        <v>116</v>
      </c>
      <c r="P12" s="336" t="s">
        <v>117</v>
      </c>
      <c r="Q12" s="336" t="s">
        <v>118</v>
      </c>
      <c r="R12" s="336" t="s">
        <v>119</v>
      </c>
      <c r="S12" s="336" t="s">
        <v>120</v>
      </c>
      <c r="T12" s="442" t="s">
        <v>121</v>
      </c>
      <c r="U12" s="335" t="s">
        <v>122</v>
      </c>
    </row>
    <row r="13" spans="1:21" ht="30" customHeight="1" thickTop="1">
      <c r="A13" s="51">
        <v>1</v>
      </c>
      <c r="B13" s="420">
        <v>1212</v>
      </c>
      <c r="C13" s="133">
        <v>1</v>
      </c>
      <c r="D13" s="52">
        <v>1</v>
      </c>
      <c r="E13" s="103">
        <v>30.894400000000001</v>
      </c>
      <c r="F13" s="103" t="str">
        <f>IF(Q13=0,"NO",IF(Q13=1,"SI",IF(Q13=3,"cede turno","CONDICIONAL")))</f>
        <v>SI</v>
      </c>
      <c r="G13" s="443" t="s">
        <v>395</v>
      </c>
      <c r="H13" s="579">
        <f>IF(Hijuelas!$G$7="POR FRACCIÓN",IF(F13="NO",0,IF(F13="cede turno",0,IF(Hijuelas!$G$8="si",IF(D13=1,E13,E13*0.8),E13))),IF(F13="NO",0,IF(F13="cede turno",0,IF(Hijuelas!$G$8="si",IF(D13=1,ROUNDUP(E13,0),ROUNDUP(E13*0.8,0)),ROUNDUP(E13,0)))))</f>
        <v>30.894400000000001</v>
      </c>
      <c r="I13" s="580">
        <v>0</v>
      </c>
      <c r="J13" s="580">
        <f>+$J$9/60*H13</f>
        <v>1.3606089304538509</v>
      </c>
      <c r="K13" s="174">
        <f>+C5+I6</f>
        <v>42973.625</v>
      </c>
      <c r="L13" s="174">
        <f>+K13+J13</f>
        <v>42974.985608930452</v>
      </c>
      <c r="M13" s="174"/>
      <c r="N13" s="52"/>
      <c r="O13" s="52"/>
      <c r="P13" s="52" t="str">
        <f>+CONCATENATE(B13,C13)</f>
        <v>12121</v>
      </c>
      <c r="Q13" s="150">
        <f>VLOOKUP(P13,deuda!A$1:H$606,4,0)</f>
        <v>1</v>
      </c>
      <c r="R13" s="150">
        <f>VLOOKUP(P13,deuda!A$1:H$606,5,0)</f>
        <v>1</v>
      </c>
      <c r="S13" s="150">
        <f>IF(VLOOKUP(P13,deuda!A$1:H$606,6,0)=0,"",VLOOKUP(P13,deuda!A$1:H$606,6,0))</f>
        <v>6683.72</v>
      </c>
      <c r="T13" s="151" t="str">
        <f>IF((VLOOKUP(P13,deuda!A$1:H$606,7,0))=0,"",VLOOKUP(P13,deuda!A$1:H$606,7,0))</f>
        <v/>
      </c>
      <c r="U13" s="152" t="str">
        <f>IF((VLOOKUP(P13,deuda!A$1:H$550,8,0))=0,"",VLOOKUP(P13,deuda!A$1:H$606,8,0))</f>
        <v/>
      </c>
    </row>
    <row r="14" spans="1:21" ht="30" customHeight="1">
      <c r="A14" s="35">
        <v>1</v>
      </c>
      <c r="B14" s="7">
        <v>1212</v>
      </c>
      <c r="C14" s="26">
        <v>14</v>
      </c>
      <c r="D14" s="5">
        <v>1</v>
      </c>
      <c r="E14" s="9">
        <v>11.100899999999999</v>
      </c>
      <c r="F14" s="103" t="str">
        <f t="shared" ref="F14:F22" si="0">IF(Q14=0,"NO",IF(Q14=1,"SI",IF(Q14=3,"cede turno","CONDICIONAL")))</f>
        <v>SI</v>
      </c>
      <c r="G14" s="444" t="s">
        <v>395</v>
      </c>
      <c r="H14" s="579">
        <f>IF(Hijuelas!$G$7="POR FRACCIÓN",IF(F14="NO",0,IF(F14="cede turno",0,IF(Hijuelas!$G$8="si",IF(D14=1,E14,E14*0.8),E14))),IF(F14="NO",0,IF(F14="cede turno",0,IF(Hijuelas!$G$8="si",IF(D14=1,ROUNDUP(E14,0),ROUNDUP(E14*0.8,0)),ROUNDUP(E14,0)))))</f>
        <v>11.100899999999999</v>
      </c>
      <c r="I14" s="618">
        <v>0</v>
      </c>
      <c r="J14" s="580">
        <f t="shared" ref="J14:J22" si="1">+$J$9/60*H14</f>
        <v>0.48889066225837541</v>
      </c>
      <c r="K14" s="125">
        <f>+L13</f>
        <v>42974.985608930452</v>
      </c>
      <c r="L14" s="125">
        <f>+K14+J14</f>
        <v>42975.47449959271</v>
      </c>
      <c r="M14" s="174"/>
      <c r="N14" s="5"/>
      <c r="O14" s="5"/>
      <c r="P14" s="5" t="str">
        <f>+CONCATENATE(B14,C14)</f>
        <v>121214</v>
      </c>
      <c r="Q14" s="150">
        <f>VLOOKUP(P14,deuda!A$1:H$606,4,0)</f>
        <v>1</v>
      </c>
      <c r="R14" s="150">
        <f>VLOOKUP(P14,deuda!A$1:H$606,5,0)</f>
        <v>1</v>
      </c>
      <c r="S14" s="150">
        <f>IF(VLOOKUP(P14,deuda!A$1:H$606,6,0)=0,"",VLOOKUP(P14,deuda!A$1:H$606,6,0))</f>
        <v>2601.48</v>
      </c>
      <c r="T14" s="151" t="str">
        <f>IF((VLOOKUP(P14,deuda!A$1:H$606,7,0))=0,"",VLOOKUP(P14,deuda!A$1:H$606,7,0))</f>
        <v/>
      </c>
      <c r="U14" s="152" t="str">
        <f>IF((VLOOKUP(P14,deuda!A$1:H$550,8,0))=0,"",VLOOKUP(P14,deuda!A$1:H$606,8,0))</f>
        <v/>
      </c>
    </row>
    <row r="15" spans="1:21" ht="30" customHeight="1">
      <c r="A15" s="35">
        <v>1</v>
      </c>
      <c r="B15" s="7">
        <v>1212</v>
      </c>
      <c r="C15" s="26">
        <v>18</v>
      </c>
      <c r="D15" s="5">
        <v>1</v>
      </c>
      <c r="E15" s="9">
        <v>3.3311999999999999</v>
      </c>
      <c r="F15" s="103" t="str">
        <f t="shared" si="0"/>
        <v>SI</v>
      </c>
      <c r="G15" s="444" t="s">
        <v>395</v>
      </c>
      <c r="H15" s="579">
        <f>IF(Hijuelas!$G$7="POR FRACCIÓN",IF(F15="NO",0,IF(F15="cede turno",0,IF(Hijuelas!$G$8="si",IF(D15=1,E15,E15*0.8),E15))),IF(F15="NO",0,IF(F15="cede turno",0,IF(Hijuelas!$G$8="si",IF(D15=1,ROUNDUP(E15,0),ROUNDUP(E15*0.8,0)),ROUNDUP(E15,0)))))</f>
        <v>3.3311999999999999</v>
      </c>
      <c r="I15" s="618">
        <v>0</v>
      </c>
      <c r="J15" s="580">
        <f t="shared" si="1"/>
        <v>0.1467081564661514</v>
      </c>
      <c r="K15" s="125">
        <f t="shared" ref="K15:K22" si="2">+L14</f>
        <v>42975.47449959271</v>
      </c>
      <c r="L15" s="125">
        <f t="shared" ref="L15:L22" si="3">+K15+J15</f>
        <v>42975.62120774918</v>
      </c>
      <c r="M15" s="174"/>
      <c r="N15" s="5"/>
      <c r="O15" s="5"/>
      <c r="P15" s="5" t="str">
        <f t="shared" ref="P15:P22" si="4">+CONCATENATE(B15,C15)</f>
        <v>121218</v>
      </c>
      <c r="Q15" s="150">
        <f>VLOOKUP(P15,deuda!A$1:H$606,4,0)</f>
        <v>1</v>
      </c>
      <c r="R15" s="150">
        <f>VLOOKUP(P15,deuda!A$1:H$606,5,0)</f>
        <v>1</v>
      </c>
      <c r="S15" s="150">
        <f>IF(VLOOKUP(P15,deuda!A$1:H$606,6,0)=0,"",VLOOKUP(P15,deuda!A$1:H$606,6,0))</f>
        <v>882.65</v>
      </c>
      <c r="T15" s="151" t="str">
        <f>IF((VLOOKUP(P15,deuda!A$1:H$606,7,0))=0,"",VLOOKUP(P15,deuda!A$1:H$606,7,0))</f>
        <v/>
      </c>
      <c r="U15" s="152" t="str">
        <f>IF((VLOOKUP(P15,deuda!A$1:H$550,8,0))=0,"",VLOOKUP(P15,deuda!A$1:H$606,8,0))</f>
        <v/>
      </c>
    </row>
    <row r="16" spans="1:21" ht="30" customHeight="1">
      <c r="A16" s="35">
        <v>1</v>
      </c>
      <c r="B16" s="7">
        <v>1212</v>
      </c>
      <c r="C16" s="26">
        <v>19</v>
      </c>
      <c r="D16" s="5">
        <v>1</v>
      </c>
      <c r="E16" s="9">
        <v>36.823700000000002</v>
      </c>
      <c r="F16" s="103" t="str">
        <f t="shared" si="0"/>
        <v>SI</v>
      </c>
      <c r="G16" s="444" t="s">
        <v>395</v>
      </c>
      <c r="H16" s="579">
        <f>IF(Hijuelas!$G$7="POR FRACCIÓN",IF(F16="NO",0,IF(F16="cede turno",0,IF(Hijuelas!$G$8="si",IF(D16=1,E16,E16*0.8),E16))),IF(F16="NO",0,IF(F16="cede turno",0,IF(Hijuelas!$G$8="si",IF(D16=1,ROUNDUP(E16,0),ROUNDUP(E16*0.8,0)),ROUNDUP(E16,0)))))</f>
        <v>36.823700000000002</v>
      </c>
      <c r="I16" s="618">
        <v>0</v>
      </c>
      <c r="J16" s="580">
        <f t="shared" si="1"/>
        <v>1.6217390553742255</v>
      </c>
      <c r="K16" s="125">
        <f t="shared" si="2"/>
        <v>42975.62120774918</v>
      </c>
      <c r="L16" s="125">
        <f t="shared" si="3"/>
        <v>42977.242946804552</v>
      </c>
      <c r="M16" s="125"/>
      <c r="N16" s="5"/>
      <c r="O16" s="5"/>
      <c r="P16" s="5" t="str">
        <f t="shared" si="4"/>
        <v>121219</v>
      </c>
      <c r="Q16" s="150">
        <f>VLOOKUP(P16,deuda!A$1:H$606,4,0)</f>
        <v>1</v>
      </c>
      <c r="R16" s="150">
        <f>VLOOKUP(P16,deuda!A$1:H$606,5,0)</f>
        <v>1</v>
      </c>
      <c r="S16" s="150">
        <f>IF(VLOOKUP(P16,deuda!A$1:H$606,6,0)=0,"",VLOOKUP(P16,deuda!A$1:H$606,6,0))</f>
        <v>7972.83</v>
      </c>
      <c r="T16" s="151" t="str">
        <f>IF((VLOOKUP(P16,deuda!A$1:H$606,7,0))=0,"",VLOOKUP(P16,deuda!A$1:H$606,7,0))</f>
        <v/>
      </c>
      <c r="U16" s="152" t="str">
        <f>IF((VLOOKUP(P16,deuda!A$1:H$550,8,0))=0,"",VLOOKUP(P16,deuda!A$1:H$606,8,0))</f>
        <v/>
      </c>
    </row>
    <row r="17" spans="1:21" ht="30" customHeight="1">
      <c r="A17" s="35">
        <v>1</v>
      </c>
      <c r="B17" s="7">
        <v>1212</v>
      </c>
      <c r="C17" s="26">
        <v>20</v>
      </c>
      <c r="D17" s="5">
        <v>1</v>
      </c>
      <c r="E17" s="9">
        <v>3.4152999999999998</v>
      </c>
      <c r="F17" s="103" t="str">
        <f t="shared" si="0"/>
        <v>SI</v>
      </c>
      <c r="G17" s="444" t="s">
        <v>395</v>
      </c>
      <c r="H17" s="579">
        <f>IF(Hijuelas!$G$7="POR FRACCIÓN",IF(F17="NO",0,IF(F17="cede turno",0,IF(Hijuelas!$G$8="si",IF(D17=1,E17,E17*0.8),E17))),IF(F17="NO",0,IF(F17="cede turno",0,IF(Hijuelas!$G$8="si",IF(D17=1,ROUNDUP(E17,0),ROUNDUP(E17*0.8,0)),ROUNDUP(E17,0)))))</f>
        <v>3.4152999999999998</v>
      </c>
      <c r="I17" s="618">
        <v>0</v>
      </c>
      <c r="J17" s="580">
        <f t="shared" si="1"/>
        <v>0.15041197369682002</v>
      </c>
      <c r="K17" s="125">
        <f t="shared" si="2"/>
        <v>42977.242946804552</v>
      </c>
      <c r="L17" s="125">
        <f t="shared" si="3"/>
        <v>42977.393358778252</v>
      </c>
      <c r="M17" s="125"/>
      <c r="N17" s="5"/>
      <c r="O17" s="5"/>
      <c r="P17" s="5" t="str">
        <f t="shared" si="4"/>
        <v>121220</v>
      </c>
      <c r="Q17" s="150">
        <f>VLOOKUP(P17,deuda!A$1:H$606,4,0)</f>
        <v>1</v>
      </c>
      <c r="R17" s="150">
        <f>VLOOKUP(P17,deuda!A$1:H$606,5,0)</f>
        <v>1</v>
      </c>
      <c r="S17" s="150">
        <f>IF(VLOOKUP(P17,deuda!A$1:H$606,6,0)=0,"",VLOOKUP(P17,deuda!A$1:H$606,6,0))</f>
        <v>882.65</v>
      </c>
      <c r="T17" s="151" t="str">
        <f>IF((VLOOKUP(P17,deuda!A$1:H$606,7,0))=0,"",VLOOKUP(P17,deuda!A$1:H$606,7,0))</f>
        <v/>
      </c>
      <c r="U17" s="152" t="str">
        <f>IF((VLOOKUP(P17,deuda!A$1:H$550,8,0))=0,"",VLOOKUP(P17,deuda!A$1:H$606,8,0))</f>
        <v/>
      </c>
    </row>
    <row r="18" spans="1:21" ht="30" customHeight="1">
      <c r="A18" s="35">
        <v>2</v>
      </c>
      <c r="B18" s="7">
        <v>1212</v>
      </c>
      <c r="C18" s="26">
        <v>5</v>
      </c>
      <c r="D18" s="5">
        <v>1</v>
      </c>
      <c r="E18" s="9">
        <v>3</v>
      </c>
      <c r="F18" s="103" t="str">
        <f t="shared" si="0"/>
        <v>SI</v>
      </c>
      <c r="G18" s="444" t="s">
        <v>396</v>
      </c>
      <c r="H18" s="579">
        <f>IF(Hijuelas!$G$7="POR FRACCIÓN",IF(F18="NO",0,IF(F18="cede turno",0,IF(Hijuelas!$G$8="si",IF(D18=1,E18,E18*0.8),E18))),IF(F18="NO",0,IF(F18="cede turno",0,IF(Hijuelas!$G$8="si",IF(D18=1,ROUNDUP(E18,0),ROUNDUP(E18*0.8,0)),ROUNDUP(E18,0)))))</f>
        <v>3</v>
      </c>
      <c r="I18" s="618">
        <v>0</v>
      </c>
      <c r="J18" s="580">
        <f t="shared" si="1"/>
        <v>0.13212189883479053</v>
      </c>
      <c r="K18" s="125">
        <f t="shared" si="2"/>
        <v>42977.393358778252</v>
      </c>
      <c r="L18" s="125">
        <f t="shared" si="3"/>
        <v>42977.52548067709</v>
      </c>
      <c r="M18" s="125"/>
      <c r="N18" s="5"/>
      <c r="O18" s="5"/>
      <c r="P18" s="5" t="str">
        <f t="shared" si="4"/>
        <v>12125</v>
      </c>
      <c r="Q18" s="150">
        <f>VLOOKUP(P18,deuda!A$1:H$606,4,0)</f>
        <v>1</v>
      </c>
      <c r="R18" s="150">
        <f>VLOOKUP(P18,deuda!A$1:H$606,5,0)</f>
        <v>1</v>
      </c>
      <c r="S18" s="150">
        <f>IF(VLOOKUP(P18,deuda!A$1:H$606,6,0)=0,"",VLOOKUP(P18,deuda!A$1:H$606,6,0))</f>
        <v>624.64</v>
      </c>
      <c r="T18" s="151" t="str">
        <f>IF((VLOOKUP(P18,deuda!A$1:H$606,7,0))=0,"",VLOOKUP(P18,deuda!A$1:H$606,7,0))</f>
        <v/>
      </c>
      <c r="U18" s="152" t="str">
        <f>IF((VLOOKUP(P18,deuda!A$1:H$550,8,0))=0,"",VLOOKUP(P18,deuda!A$1:H$606,8,0))</f>
        <v/>
      </c>
    </row>
    <row r="19" spans="1:21" ht="30" customHeight="1">
      <c r="A19" s="35">
        <v>3</v>
      </c>
      <c r="B19" s="7">
        <v>1212</v>
      </c>
      <c r="C19" s="135">
        <v>9</v>
      </c>
      <c r="D19" s="5">
        <v>1</v>
      </c>
      <c r="E19" s="9">
        <v>0.13100000000000001</v>
      </c>
      <c r="F19" s="103" t="str">
        <f t="shared" si="0"/>
        <v>SI</v>
      </c>
      <c r="G19" s="444" t="s">
        <v>397</v>
      </c>
      <c r="H19" s="579">
        <f>IF(Hijuelas!$G$7="POR FRACCIÓN",IF(F19="NO",0,IF(F19="cede turno",0,IF(Hijuelas!$G$8="si",IF(D19=1,E19,E19*0.8),E19))),IF(F19="NO",0,IF(F19="cede turno",0,IF(Hijuelas!$G$8="si",IF(D19=1,ROUNDUP(E19,0),ROUNDUP(E19*0.8,0)),ROUNDUP(E19,0)))))</f>
        <v>0.13100000000000001</v>
      </c>
      <c r="I19" s="618">
        <v>0</v>
      </c>
      <c r="J19" s="580">
        <f t="shared" si="1"/>
        <v>5.7693229157858537E-3</v>
      </c>
      <c r="K19" s="125">
        <f t="shared" si="2"/>
        <v>42977.52548067709</v>
      </c>
      <c r="L19" s="125">
        <f t="shared" si="3"/>
        <v>42977.531250000007</v>
      </c>
      <c r="M19" s="125"/>
      <c r="N19" s="5"/>
      <c r="O19" s="5"/>
      <c r="P19" s="5" t="str">
        <f t="shared" si="4"/>
        <v>12129</v>
      </c>
      <c r="Q19" s="150">
        <f>VLOOKUP(P19,deuda!A$1:H$606,4,0)</f>
        <v>1</v>
      </c>
      <c r="R19" s="150">
        <f>VLOOKUP(P19,deuda!A$1:H$606,5,0)</f>
        <v>0</v>
      </c>
      <c r="S19" s="150" t="str">
        <f>IF(VLOOKUP(P19,deuda!A$1:H$606,6,0)=0,"",VLOOKUP(P19,deuda!A$1:H$606,6,0))</f>
        <v/>
      </c>
      <c r="T19" s="151" t="str">
        <f>IF((VLOOKUP(P19,deuda!A$1:H$606,7,0))=0,"",VLOOKUP(P19,deuda!A$1:H$606,7,0))</f>
        <v/>
      </c>
      <c r="U19" s="152" t="str">
        <f>IF((VLOOKUP(P19,deuda!A$1:H$550,8,0))=0,"",VLOOKUP(P19,deuda!A$1:H$606,8,0))</f>
        <v/>
      </c>
    </row>
    <row r="20" spans="1:21" ht="30" customHeight="1">
      <c r="A20" s="35">
        <v>4</v>
      </c>
      <c r="B20" s="7">
        <v>1212</v>
      </c>
      <c r="C20" s="26">
        <v>21</v>
      </c>
      <c r="D20" s="5">
        <v>1</v>
      </c>
      <c r="E20" s="9">
        <v>0.67230000000000001</v>
      </c>
      <c r="F20" s="103" t="str">
        <f t="shared" si="0"/>
        <v>NO</v>
      </c>
      <c r="G20" s="444" t="s">
        <v>398</v>
      </c>
      <c r="H20" s="579">
        <f>IF(Hijuelas!$G$7="POR FRACCIÓN",IF(F20="NO",0,IF(F20="cede turno",0,IF(Hijuelas!$G$8="si",IF(D20=1,E20,E20*0.8),E20))),IF(F20="NO",0,IF(F20="cede turno",0,IF(Hijuelas!$G$8="si",IF(D20=1,ROUNDUP(E20,0),ROUNDUP(E20*0.8,0)),ROUNDUP(E20,0)))))</f>
        <v>0</v>
      </c>
      <c r="I20" s="618">
        <v>0</v>
      </c>
      <c r="J20" s="580">
        <f t="shared" si="1"/>
        <v>0</v>
      </c>
      <c r="K20" s="125">
        <f t="shared" si="2"/>
        <v>42977.531250000007</v>
      </c>
      <c r="L20" s="125">
        <f t="shared" si="3"/>
        <v>42977.531250000007</v>
      </c>
      <c r="M20" s="125"/>
      <c r="N20" s="5"/>
      <c r="O20" s="5"/>
      <c r="P20" s="5" t="str">
        <f t="shared" si="4"/>
        <v>121221</v>
      </c>
      <c r="Q20" s="150">
        <f>VLOOKUP(P20,deuda!A$1:H$606,4,0)</f>
        <v>0</v>
      </c>
      <c r="R20" s="150">
        <f>VLOOKUP(P20,deuda!A$1:H$606,5,0)</f>
        <v>61</v>
      </c>
      <c r="S20" s="150">
        <f>IF(VLOOKUP(P20,deuda!A$1:H$606,6,0)=0,"",VLOOKUP(P20,deuda!A$1:H$606,6,0))</f>
        <v>13191.71</v>
      </c>
      <c r="T20" s="151" t="str">
        <f>IF((VLOOKUP(P20,deuda!A$1:H$606,7,0))=0,"",VLOOKUP(P20,deuda!A$1:H$606,7,0))</f>
        <v/>
      </c>
      <c r="U20" s="152" t="str">
        <f>IF((VLOOKUP(P20,deuda!A$1:H$550,8,0))=0,"",VLOOKUP(P20,deuda!A$1:H$606,8,0))</f>
        <v/>
      </c>
    </row>
    <row r="21" spans="1:21" ht="30" customHeight="1">
      <c r="A21" s="35">
        <v>5</v>
      </c>
      <c r="B21" s="7">
        <v>1212</v>
      </c>
      <c r="C21" s="26">
        <v>4</v>
      </c>
      <c r="D21" s="5">
        <v>1</v>
      </c>
      <c r="E21" s="9">
        <v>4.7939999999999996</v>
      </c>
      <c r="F21" s="103" t="str">
        <f t="shared" si="0"/>
        <v>NO</v>
      </c>
      <c r="G21" s="444" t="s">
        <v>399</v>
      </c>
      <c r="H21" s="579">
        <f>IF(Hijuelas!$G$7="POR FRACCIÓN",IF(F21="NO",0,IF(F21="cede turno",0,IF(Hijuelas!$G$8="si",IF(D21=1,E21,E21*0.8),E21))),IF(F21="NO",0,IF(F21="cede turno",0,IF(Hijuelas!$G$8="si",IF(D21=1,ROUNDUP(E21,0),ROUNDUP(E21*0.8,0)),ROUNDUP(E21,0)))))</f>
        <v>0</v>
      </c>
      <c r="I21" s="618">
        <v>0</v>
      </c>
      <c r="J21" s="580">
        <f t="shared" si="1"/>
        <v>0</v>
      </c>
      <c r="K21" s="125">
        <f t="shared" si="2"/>
        <v>42977.531250000007</v>
      </c>
      <c r="L21" s="125">
        <f t="shared" si="3"/>
        <v>42977.531250000007</v>
      </c>
      <c r="M21" s="125"/>
      <c r="N21" s="5"/>
      <c r="O21" s="5"/>
      <c r="P21" s="5" t="str">
        <f t="shared" si="4"/>
        <v>12124</v>
      </c>
      <c r="Q21" s="150">
        <f>VLOOKUP(P21,deuda!A$1:H$606,4,0)</f>
        <v>0</v>
      </c>
      <c r="R21" s="150">
        <f>VLOOKUP(P21,deuda!A$1:H$606,5,0)</f>
        <v>153</v>
      </c>
      <c r="S21" s="150">
        <f>IF(VLOOKUP(P21,deuda!A$1:H$606,6,0)=0,"",VLOOKUP(P21,deuda!A$1:H$606,6,0))</f>
        <v>102337</v>
      </c>
      <c r="T21" s="151" t="str">
        <f>IF((VLOOKUP(P21,deuda!A$1:H$606,7,0))=0,"",VLOOKUP(P21,deuda!A$1:H$606,7,0))</f>
        <v/>
      </c>
      <c r="U21" s="152" t="str">
        <f>IF((VLOOKUP(P21,deuda!A$1:H$550,8,0))=0,"",VLOOKUP(P21,deuda!A$1:H$606,8,0))</f>
        <v/>
      </c>
    </row>
    <row r="22" spans="1:21" ht="30" customHeight="1" thickBot="1">
      <c r="A22" s="36">
        <v>6</v>
      </c>
      <c r="B22" s="421">
        <v>1212</v>
      </c>
      <c r="C22" s="132">
        <v>13</v>
      </c>
      <c r="D22" s="29">
        <v>1</v>
      </c>
      <c r="E22" s="40">
        <v>0.26369999999999999</v>
      </c>
      <c r="F22" s="103" t="str">
        <f t="shared" si="0"/>
        <v>NO</v>
      </c>
      <c r="G22" s="445" t="s">
        <v>400</v>
      </c>
      <c r="H22" s="579">
        <f>IF(Hijuelas!$G$7="POR FRACCIÓN",IF(F22="NO",0,IF(F22="cede turno",0,IF(Hijuelas!$G$8="si",IF(D22=1,E22,E22*0.8),E22))),IF(F22="NO",0,IF(F22="cede turno",0,IF(Hijuelas!$G$8="si",IF(D22=1,ROUNDUP(E22,0),ROUNDUP(E22*0.8,0)),ROUNDUP(E22,0)))))</f>
        <v>0</v>
      </c>
      <c r="I22" s="621">
        <f>+H22*$J$9</f>
        <v>0</v>
      </c>
      <c r="J22" s="580">
        <f t="shared" si="1"/>
        <v>0</v>
      </c>
      <c r="K22" s="127">
        <f t="shared" si="2"/>
        <v>42977.531250000007</v>
      </c>
      <c r="L22" s="127">
        <f t="shared" si="3"/>
        <v>42977.531250000007</v>
      </c>
      <c r="M22" s="125"/>
      <c r="N22" s="29"/>
      <c r="O22" s="29"/>
      <c r="P22" s="29" t="str">
        <f t="shared" si="4"/>
        <v>121213</v>
      </c>
      <c r="Q22" s="150">
        <f>VLOOKUP(P22,deuda!A$1:H$606,4,0)</f>
        <v>0</v>
      </c>
      <c r="R22" s="150">
        <f>VLOOKUP(P22,deuda!A$1:H$606,5,0)</f>
        <v>176</v>
      </c>
      <c r="S22" s="150">
        <f>IF(VLOOKUP(P22,deuda!A$1:H$606,6,0)=0,"",VLOOKUP(P22,deuda!A$1:H$606,6,0))</f>
        <v>32667.69</v>
      </c>
      <c r="T22" s="151" t="str">
        <f>IF((VLOOKUP(P22,deuda!A$1:H$606,7,0))=0,"",VLOOKUP(P22,deuda!A$1:H$606,7,0))</f>
        <v/>
      </c>
      <c r="U22" s="152" t="str">
        <f>IF((VLOOKUP(P22,deuda!A$1:H$550,8,0))=0,"",VLOOKUP(P22,deuda!A$1:H$606,8,0))</f>
        <v/>
      </c>
    </row>
    <row r="23" spans="1:21" ht="30" customHeight="1">
      <c r="E23" s="360">
        <f>SUM(E13:E22)</f>
        <v>94.426500000000019</v>
      </c>
      <c r="F23" s="360">
        <f>SUM(F13:F22)</f>
        <v>0</v>
      </c>
      <c r="G23" s="211"/>
      <c r="H23" s="360">
        <f>SUM(H13:H22)</f>
        <v>88.696500000000015</v>
      </c>
      <c r="I23" s="580">
        <f>SUM(I13:I22)</f>
        <v>0</v>
      </c>
      <c r="J23" s="580">
        <f>SUM(J13:J22)</f>
        <v>3.9062499999999996</v>
      </c>
      <c r="M23" s="125"/>
    </row>
    <row r="24" spans="1:21">
      <c r="M24" s="125"/>
    </row>
    <row r="25" spans="1:21">
      <c r="M25" s="125"/>
    </row>
    <row r="26" spans="1:21">
      <c r="M26" s="125"/>
    </row>
    <row r="27" spans="1:21">
      <c r="M27" s="125"/>
    </row>
    <row r="28" spans="1:21">
      <c r="M28" s="125"/>
    </row>
    <row r="29" spans="1:21">
      <c r="M29" s="125"/>
    </row>
    <row r="30" spans="1:21">
      <c r="M30" s="125"/>
    </row>
    <row r="31" spans="1:21">
      <c r="M31" s="125"/>
    </row>
    <row r="32" spans="1:21">
      <c r="M32" s="125"/>
    </row>
    <row r="33" spans="13:13">
      <c r="M33" s="10"/>
    </row>
  </sheetData>
  <mergeCells count="5">
    <mergeCell ref="A9:B9"/>
    <mergeCell ref="A5:B5"/>
    <mergeCell ref="C5:E5"/>
    <mergeCell ref="A6:B6"/>
    <mergeCell ref="C6:E6"/>
  </mergeCells>
  <phoneticPr fontId="0" type="noConversion"/>
  <dataValidations disablePrompts="1" count="1">
    <dataValidation allowBlank="1" showInputMessage="1" showErrorMessage="1" errorTitle="ATENCIÓN" error="NO PUEDEN INGRESARSE VALORES" promptTitle="RECORDAR" prompt="NO OLVIDE VOLVER A PEGAR LA FORMULA PARA QUE LA PLANILLA LEA AUTOMATICAMENTE LOS DATOS " sqref="Q13:U22" xr:uid="{00000000-0002-0000-2400-000000000000}"/>
  </dataValidations>
  <pageMargins left="0.15748031496062992" right="0.15748031496062992" top="0.98425196850393704" bottom="0.98425196850393704" header="0" footer="0"/>
  <pageSetup paperSize="281" scale="85" orientation="landscape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41"/>
  <dimension ref="A1:G101"/>
  <sheetViews>
    <sheetView view="pageBreakPreview" zoomScale="75" zoomScaleNormal="100" workbookViewId="0" xr3:uid="{8CA7FA36-F026-53D8-85D7-7434F22EA588}">
      <selection activeCell="F109" sqref="F109"/>
    </sheetView>
  </sheetViews>
  <sheetFormatPr defaultColWidth="11.42578125" defaultRowHeight="12.75"/>
  <cols>
    <col min="2" max="2" width="11.5703125" bestFit="1" customWidth="1"/>
    <col min="3" max="3" width="21.85546875" bestFit="1" customWidth="1"/>
    <col min="5" max="6" width="11.5703125" bestFit="1" customWidth="1"/>
  </cols>
  <sheetData>
    <row r="1" spans="1:7">
      <c r="A1" s="447"/>
      <c r="B1" s="448"/>
      <c r="C1" s="448"/>
      <c r="D1" s="448"/>
      <c r="E1" s="448"/>
      <c r="F1" s="449"/>
      <c r="G1" s="81"/>
    </row>
    <row r="2" spans="1:7">
      <c r="A2" s="465" t="s">
        <v>64</v>
      </c>
      <c r="B2" s="81"/>
      <c r="C2" s="81"/>
      <c r="D2" s="81"/>
      <c r="E2" s="81"/>
      <c r="F2" s="451"/>
      <c r="G2" s="81"/>
    </row>
    <row r="3" spans="1:7">
      <c r="A3" s="450"/>
      <c r="B3" s="81"/>
      <c r="C3" s="81"/>
      <c r="D3" s="81"/>
      <c r="E3" s="81"/>
      <c r="F3" s="451"/>
      <c r="G3" s="81"/>
    </row>
    <row r="4" spans="1:7">
      <c r="A4" s="450" t="s">
        <v>139</v>
      </c>
      <c r="B4" s="81" t="str">
        <f>VLOOKUP(F5,'16_1'!$A$13:$G$23,7,0)</f>
        <v>QUATROCCHI DE FRANCO, MICAELA ARCANGELA</v>
      </c>
      <c r="C4" s="81"/>
      <c r="D4" s="81"/>
      <c r="E4" s="81"/>
      <c r="F4" s="452" t="s">
        <v>102</v>
      </c>
      <c r="G4" s="81"/>
    </row>
    <row r="5" spans="1:7">
      <c r="A5" s="450" t="s">
        <v>72</v>
      </c>
      <c r="B5" s="81" t="str">
        <f>+'16_1'!$H$2</f>
        <v>Hijuela Barros</v>
      </c>
      <c r="C5" s="81"/>
      <c r="D5" s="81"/>
      <c r="E5" s="81"/>
      <c r="F5" s="452">
        <v>1</v>
      </c>
      <c r="G5" s="81"/>
    </row>
    <row r="6" spans="1:7">
      <c r="A6" s="450"/>
      <c r="B6" s="81"/>
      <c r="C6" s="81"/>
      <c r="D6" s="81"/>
      <c r="E6" s="81"/>
      <c r="F6" s="451"/>
      <c r="G6" s="81"/>
    </row>
    <row r="7" spans="1:7">
      <c r="A7" s="466" t="s">
        <v>140</v>
      </c>
      <c r="B7" s="458">
        <f>VLOOKUP(F5,'16_1'!$A$13:$B$23,2,0)</f>
        <v>1212</v>
      </c>
      <c r="C7" s="81"/>
      <c r="D7" s="139" t="s">
        <v>141</v>
      </c>
      <c r="E7" s="457">
        <f>DSUM('16_1'!A$12:J$23,'16_1'!$J$12,F4:F5)</f>
        <v>3.7683587782494232</v>
      </c>
      <c r="F7" s="451"/>
      <c r="G7" s="81"/>
    </row>
    <row r="8" spans="1:7">
      <c r="A8" s="466" t="s">
        <v>142</v>
      </c>
      <c r="B8" s="461" t="s">
        <v>401</v>
      </c>
      <c r="C8" s="81"/>
      <c r="D8" s="139" t="s">
        <v>143</v>
      </c>
      <c r="E8" s="459" t="str">
        <f>+Hijuelas!$G$7</f>
        <v>POR FRACCIÓN</v>
      </c>
      <c r="F8" s="451"/>
      <c r="G8" s="81"/>
    </row>
    <row r="9" spans="1:7">
      <c r="A9" s="466" t="s">
        <v>144</v>
      </c>
      <c r="B9" s="462">
        <f>DSUM('16_1'!$A$12:$H$23,'16_1'!$H$12,F4:F5)</f>
        <v>85.565500000000014</v>
      </c>
      <c r="C9" s="81"/>
      <c r="D9" s="139" t="s">
        <v>145</v>
      </c>
      <c r="E9" s="458" t="str">
        <f>IF(VLOOKUP(F5,'16_1'!$A$13:$D$50,4,0)=1, "Definitivo 100%", "Eventual 80%")</f>
        <v>Definitivo 100%</v>
      </c>
      <c r="F9" s="583"/>
      <c r="G9" s="81"/>
    </row>
    <row r="10" spans="1:7" ht="15.75">
      <c r="A10" s="450"/>
      <c r="B10" s="139" t="s">
        <v>146</v>
      </c>
      <c r="C10" s="145">
        <f>DMIN('16_1'!A$12:K$23,'16_1'!$K$12,F4:F5)</f>
        <v>42973.625</v>
      </c>
      <c r="D10" s="189" t="str">
        <f>IF(E10=1,"Domingo",IF(E10=2,"Lunes",IF(E10=3,"Martes",IF(E10=4,"Miercoles",IF(E10=5,"Jueves",IF(E10=6,"Viernes",IF(E10=7,"Sábado",0)))))))</f>
        <v>Sábado</v>
      </c>
      <c r="E10" s="190">
        <f>WEEKDAY(C10)</f>
        <v>7</v>
      </c>
      <c r="F10" s="453" t="s">
        <v>62</v>
      </c>
      <c r="G10" s="81"/>
    </row>
    <row r="11" spans="1:7" ht="15.75">
      <c r="A11" s="450"/>
      <c r="B11" s="139" t="s">
        <v>147</v>
      </c>
      <c r="C11" s="145">
        <f>DMAX('16_1'!A$12:L$23,'16_1'!$L$12,F4:F5)</f>
        <v>42977.393358778252</v>
      </c>
      <c r="D11" s="189" t="str">
        <f>IF(E11=1,"Domingo",IF(E11=2,"Lunes",IF(E11=3,"Martes",IF(E11=4,"Miercoles",IF(E11=5,"Jueves",IF(E11=6,"Viernes",IF(E11=7,"Sábado",0)))))))</f>
        <v>Miercoles</v>
      </c>
      <c r="E11" s="190">
        <f>WEEKDAY(C11)</f>
        <v>4</v>
      </c>
      <c r="F11" s="453">
        <f>WEEKDAY(C11)</f>
        <v>4</v>
      </c>
      <c r="G11" s="81"/>
    </row>
    <row r="12" spans="1:7">
      <c r="A12" s="450"/>
      <c r="B12" s="81"/>
      <c r="C12" s="81"/>
      <c r="D12" s="81"/>
      <c r="E12" s="584"/>
      <c r="F12" s="583"/>
      <c r="G12" s="81"/>
    </row>
    <row r="13" spans="1:7">
      <c r="A13" s="472">
        <f>+Mensajes!$B$7</f>
        <v>0</v>
      </c>
      <c r="B13" s="81"/>
      <c r="C13" s="81"/>
      <c r="D13" s="81"/>
      <c r="E13" s="81"/>
      <c r="F13" s="451"/>
      <c r="G13" s="81"/>
    </row>
    <row r="14" spans="1:7">
      <c r="A14" s="472">
        <f>+Mensajes!$B$12</f>
        <v>0</v>
      </c>
      <c r="B14" s="81"/>
      <c r="C14" s="81"/>
      <c r="D14" s="81"/>
      <c r="E14" s="81"/>
      <c r="F14" s="451"/>
      <c r="G14" s="81"/>
    </row>
    <row r="15" spans="1:7">
      <c r="A15" s="471"/>
      <c r="B15" s="81"/>
      <c r="C15" s="81"/>
      <c r="D15" s="81"/>
      <c r="E15" s="81"/>
      <c r="F15" s="451"/>
      <c r="G15" s="81"/>
    </row>
    <row r="16" spans="1:7" ht="13.5" thickBot="1">
      <c r="A16" s="468"/>
      <c r="B16" s="455"/>
      <c r="C16" s="455"/>
      <c r="D16" s="454" t="str">
        <f>IF(DSUM('16_1'!$A$12:$Q$79,16,F4:F5)=COUNTIF('16_1'!$A$13:$A$79,F5),"","Regularice su Deuda")</f>
        <v>Regularice su Deuda</v>
      </c>
      <c r="E16" s="455"/>
      <c r="F16" s="456"/>
      <c r="G16" s="81"/>
    </row>
    <row r="17" spans="1:7" ht="13.5" thickBot="1"/>
    <row r="18" spans="1:7">
      <c r="A18" s="447"/>
      <c r="B18" s="448"/>
      <c r="C18" s="448"/>
      <c r="D18" s="448"/>
      <c r="E18" s="448"/>
      <c r="F18" s="449"/>
    </row>
    <row r="19" spans="1:7">
      <c r="A19" s="465" t="s">
        <v>64</v>
      </c>
      <c r="B19" s="81"/>
      <c r="C19" s="81"/>
      <c r="D19" s="81"/>
      <c r="E19" s="81"/>
      <c r="F19" s="451"/>
    </row>
    <row r="20" spans="1:7">
      <c r="A20" s="450"/>
      <c r="B20" s="81"/>
      <c r="C20" s="81"/>
      <c r="D20" s="81"/>
      <c r="E20" s="81"/>
      <c r="F20" s="451"/>
    </row>
    <row r="21" spans="1:7">
      <c r="A21" s="450" t="s">
        <v>139</v>
      </c>
      <c r="B21" s="81" t="str">
        <f>VLOOKUP(F22,'16_1'!$A$13:$G$23,7,0)</f>
        <v>VAZQUEZ, ANGEL HUMBERTO</v>
      </c>
      <c r="C21" s="81"/>
      <c r="D21" s="81"/>
      <c r="E21" s="81"/>
      <c r="F21" s="452" t="s">
        <v>102</v>
      </c>
    </row>
    <row r="22" spans="1:7">
      <c r="A22" s="450" t="s">
        <v>72</v>
      </c>
      <c r="B22" s="81" t="str">
        <f>+'16_1'!$H$2</f>
        <v>Hijuela Barros</v>
      </c>
      <c r="C22" s="81"/>
      <c r="D22" s="81"/>
      <c r="E22" s="81"/>
      <c r="F22" s="452">
        <v>2</v>
      </c>
    </row>
    <row r="23" spans="1:7">
      <c r="A23" s="450"/>
      <c r="B23" s="81"/>
      <c r="C23" s="81"/>
      <c r="D23" s="81"/>
      <c r="E23" s="81"/>
      <c r="F23" s="451"/>
    </row>
    <row r="24" spans="1:7">
      <c r="A24" s="466" t="s">
        <v>140</v>
      </c>
      <c r="B24" s="458">
        <f>VLOOKUP(F22,'16_1'!$A$13:$B$23,2,0)</f>
        <v>1212</v>
      </c>
      <c r="C24" s="81"/>
      <c r="D24" s="139" t="s">
        <v>141</v>
      </c>
      <c r="E24" s="457">
        <f>DSUM('16_1'!A$12:J$23,'16_1'!$J$12,F21:F22)</f>
        <v>0.13212189883479053</v>
      </c>
      <c r="F24" s="451"/>
    </row>
    <row r="25" spans="1:7">
      <c r="A25" s="466" t="s">
        <v>142</v>
      </c>
      <c r="B25" s="461">
        <v>5</v>
      </c>
      <c r="C25" s="81"/>
      <c r="D25" s="139" t="s">
        <v>143</v>
      </c>
      <c r="E25" s="459" t="str">
        <f>+Hijuelas!$G$7</f>
        <v>POR FRACCIÓN</v>
      </c>
      <c r="F25" s="451"/>
    </row>
    <row r="26" spans="1:7">
      <c r="A26" s="466" t="s">
        <v>144</v>
      </c>
      <c r="B26" s="462">
        <f>DSUM('16_1'!$A$12:$H$23,'16_1'!$H$12,F21:F22)</f>
        <v>3</v>
      </c>
      <c r="C26" s="81"/>
      <c r="D26" s="139" t="s">
        <v>145</v>
      </c>
      <c r="E26" s="458" t="str">
        <f>IF(VLOOKUP(F22,'16_1'!$A$13:$D$50,4,0)=1, "Definitivo 100%", "Eventual 80%")</f>
        <v>Definitivo 100%</v>
      </c>
      <c r="F26" s="583"/>
    </row>
    <row r="27" spans="1:7" ht="15.75">
      <c r="A27" s="450"/>
      <c r="B27" s="139" t="s">
        <v>146</v>
      </c>
      <c r="C27" s="145">
        <f>DMIN('16_1'!A$12:K$23,'16_1'!$K$12,F21:F22)</f>
        <v>42977.393358778252</v>
      </c>
      <c r="D27" s="189" t="str">
        <f>IF(E27=1,"Domingo",IF(E27=2,"Lunes",IF(E27=3,"Martes",IF(E27=4,"Miercoles",IF(E27=5,"Jueves",IF(E27=6,"Viernes",IF(E27=7,"Sábado",0)))))))</f>
        <v>Miercoles</v>
      </c>
      <c r="E27" s="190">
        <f>WEEKDAY(C27)</f>
        <v>4</v>
      </c>
      <c r="F27" s="453" t="s">
        <v>62</v>
      </c>
    </row>
    <row r="28" spans="1:7" ht="15.75">
      <c r="A28" s="450"/>
      <c r="B28" s="139" t="s">
        <v>147</v>
      </c>
      <c r="C28" s="145">
        <f>DMAX('16_1'!A$12:L$23,'16_1'!$L$12,F21:F22)</f>
        <v>42977.52548067709</v>
      </c>
      <c r="D28" s="189" t="str">
        <f>IF(E28=1,"Domingo",IF(E28=2,"Lunes",IF(E28=3,"Martes",IF(E28=4,"Miercoles",IF(E28=5,"Jueves",IF(E28=6,"Viernes",IF(E28=7,"Sábado",0)))))))</f>
        <v>Miercoles</v>
      </c>
      <c r="E28" s="190">
        <f>WEEKDAY(C28)</f>
        <v>4</v>
      </c>
      <c r="F28" s="453">
        <f>WEEKDAY(C28)</f>
        <v>4</v>
      </c>
    </row>
    <row r="29" spans="1:7">
      <c r="A29" s="450"/>
      <c r="B29" s="81"/>
      <c r="C29" s="81"/>
      <c r="D29" s="81"/>
      <c r="E29" s="584"/>
      <c r="F29" s="583"/>
      <c r="G29" t="s">
        <v>101</v>
      </c>
    </row>
    <row r="30" spans="1:7">
      <c r="A30" s="472">
        <f>+Mensajes!$B$7</f>
        <v>0</v>
      </c>
      <c r="B30" s="81"/>
      <c r="C30" s="81"/>
      <c r="D30" s="81"/>
      <c r="E30" s="81"/>
      <c r="F30" s="451"/>
    </row>
    <row r="31" spans="1:7">
      <c r="A31" s="472">
        <f>+Mensajes!$B$12</f>
        <v>0</v>
      </c>
      <c r="B31" s="81"/>
      <c r="C31" s="81"/>
      <c r="D31" s="81"/>
      <c r="E31" s="81"/>
      <c r="F31" s="451"/>
    </row>
    <row r="32" spans="1:7">
      <c r="A32" s="471"/>
      <c r="B32" s="81"/>
      <c r="C32" s="81"/>
      <c r="D32" s="81"/>
      <c r="E32" s="81"/>
      <c r="F32" s="451"/>
    </row>
    <row r="33" spans="1:6" ht="13.5" thickBot="1">
      <c r="A33" s="468"/>
      <c r="B33" s="455"/>
      <c r="C33" s="455"/>
      <c r="D33" s="454" t="str">
        <f>IF(DSUM('16_1'!$A$12:$Q$79,16,F21:F22)=COUNTIF('16_1'!$A$13:$A$79,F22),"","Regularice su Deuda")</f>
        <v>Regularice su Deuda</v>
      </c>
      <c r="E33" s="455"/>
      <c r="F33" s="456"/>
    </row>
    <row r="34" spans="1:6" ht="13.5" thickBot="1"/>
    <row r="35" spans="1:6">
      <c r="A35" s="447"/>
      <c r="B35" s="448"/>
      <c r="C35" s="448"/>
      <c r="D35" s="448"/>
      <c r="E35" s="448"/>
      <c r="F35" s="449"/>
    </row>
    <row r="36" spans="1:6">
      <c r="A36" s="465" t="s">
        <v>64</v>
      </c>
      <c r="B36" s="81"/>
      <c r="C36" s="81"/>
      <c r="D36" s="81"/>
      <c r="E36" s="81"/>
      <c r="F36" s="451"/>
    </row>
    <row r="37" spans="1:6">
      <c r="A37" s="450"/>
      <c r="B37" s="81"/>
      <c r="C37" s="81"/>
      <c r="D37" s="81"/>
      <c r="E37" s="81"/>
      <c r="F37" s="451"/>
    </row>
    <row r="38" spans="1:6">
      <c r="A38" s="450" t="s">
        <v>139</v>
      </c>
      <c r="B38" s="81" t="str">
        <f>VLOOKUP(F39,'16_1'!$A$13:$G$23,7,0)</f>
        <v>QUIROGA ROJAS, DORALIZA</v>
      </c>
      <c r="C38" s="81"/>
      <c r="D38" s="81"/>
      <c r="E38" s="81"/>
      <c r="F38" s="452" t="s">
        <v>102</v>
      </c>
    </row>
    <row r="39" spans="1:6">
      <c r="A39" s="450" t="s">
        <v>72</v>
      </c>
      <c r="B39" s="81" t="str">
        <f>+'16_1'!$H$2</f>
        <v>Hijuela Barros</v>
      </c>
      <c r="C39" s="81"/>
      <c r="D39" s="81"/>
      <c r="E39" s="81"/>
      <c r="F39" s="452">
        <v>3</v>
      </c>
    </row>
    <row r="40" spans="1:6">
      <c r="A40" s="450"/>
      <c r="B40" s="81"/>
      <c r="C40" s="81"/>
      <c r="D40" s="81"/>
      <c r="E40" s="81"/>
      <c r="F40" s="451"/>
    </row>
    <row r="41" spans="1:6">
      <c r="A41" s="466" t="s">
        <v>140</v>
      </c>
      <c r="B41" s="458">
        <f>VLOOKUP(F39,'16_1'!$A$13:$B$23,2,0)</f>
        <v>1212</v>
      </c>
      <c r="C41" s="81"/>
      <c r="D41" s="139" t="s">
        <v>141</v>
      </c>
      <c r="E41" s="457">
        <f>DSUM('16_1'!A$12:J$23,'16_1'!$J$12,F38:F39)</f>
        <v>5.7693229157858537E-3</v>
      </c>
      <c r="F41" s="451"/>
    </row>
    <row r="42" spans="1:6">
      <c r="A42" s="466" t="s">
        <v>142</v>
      </c>
      <c r="B42" s="461">
        <v>9</v>
      </c>
      <c r="C42" s="81"/>
      <c r="D42" s="139" t="s">
        <v>143</v>
      </c>
      <c r="E42" s="459" t="str">
        <f>+Hijuelas!$G$7</f>
        <v>POR FRACCIÓN</v>
      </c>
      <c r="F42" s="451"/>
    </row>
    <row r="43" spans="1:6">
      <c r="A43" s="466" t="s">
        <v>144</v>
      </c>
      <c r="B43" s="462">
        <f>DSUM('16_1'!$A$12:$H$23,'16_1'!$H$12,F38:F39)</f>
        <v>0.13100000000000001</v>
      </c>
      <c r="C43" s="81"/>
      <c r="D43" s="139" t="s">
        <v>145</v>
      </c>
      <c r="E43" s="458" t="str">
        <f>IF(VLOOKUP(F39,'16_1'!$A$13:$D$50,4,0)=1, "Definitivo 100%", "Eventual 80%")</f>
        <v>Definitivo 100%</v>
      </c>
      <c r="F43" s="583"/>
    </row>
    <row r="44" spans="1:6" ht="15.75">
      <c r="A44" s="450"/>
      <c r="B44" s="139" t="s">
        <v>146</v>
      </c>
      <c r="C44" s="145">
        <f>DMIN('16_1'!A$12:K$23,'16_1'!$K$12,F38:F39)</f>
        <v>42977.52548067709</v>
      </c>
      <c r="D44" s="189" t="str">
        <f>IF(E44=1,"Domingo",IF(E44=2,"Lunes",IF(E44=3,"Martes",IF(E44=4,"Miercoles",IF(E44=5,"Jueves",IF(E44=6,"Viernes",IF(E44=7,"Sábado",0)))))))</f>
        <v>Miercoles</v>
      </c>
      <c r="E44" s="190">
        <f>WEEKDAY(C44)</f>
        <v>4</v>
      </c>
      <c r="F44" s="453" t="s">
        <v>62</v>
      </c>
    </row>
    <row r="45" spans="1:6" ht="15.75">
      <c r="A45" s="450"/>
      <c r="B45" s="139" t="s">
        <v>147</v>
      </c>
      <c r="C45" s="145">
        <f>DMAX('16_1'!A$12:L$23,'16_1'!$L$12,F38:F39)</f>
        <v>42977.531250000007</v>
      </c>
      <c r="D45" s="189" t="str">
        <f>IF(E45=1,"Domingo",IF(E45=2,"Lunes",IF(E45=3,"Martes",IF(E45=4,"Miercoles",IF(E45=5,"Jueves",IF(E45=6,"Viernes",IF(E45=7,"Sábado",0)))))))</f>
        <v>Miercoles</v>
      </c>
      <c r="E45" s="190">
        <f>WEEKDAY(C45)</f>
        <v>4</v>
      </c>
      <c r="F45" s="453">
        <f>WEEKDAY(C45)</f>
        <v>4</v>
      </c>
    </row>
    <row r="46" spans="1:6">
      <c r="A46" s="450"/>
      <c r="B46" s="81"/>
      <c r="C46" s="81"/>
      <c r="D46" s="81"/>
      <c r="E46" s="584"/>
      <c r="F46" s="583"/>
    </row>
    <row r="47" spans="1:6">
      <c r="A47" s="472">
        <f>+Mensajes!$B$7</f>
        <v>0</v>
      </c>
      <c r="B47" s="81"/>
      <c r="C47" s="81"/>
      <c r="D47" s="81"/>
      <c r="E47" s="81"/>
      <c r="F47" s="451"/>
    </row>
    <row r="48" spans="1:6">
      <c r="A48" s="472">
        <f>+Mensajes!$B$12</f>
        <v>0</v>
      </c>
      <c r="B48" s="81"/>
      <c r="C48" s="81"/>
      <c r="D48" s="81"/>
      <c r="E48" s="81"/>
      <c r="F48" s="451"/>
    </row>
    <row r="49" spans="1:6">
      <c r="A49" s="471"/>
      <c r="B49" s="81"/>
      <c r="C49" s="81"/>
      <c r="D49" s="81"/>
      <c r="E49" s="81"/>
      <c r="F49" s="451"/>
    </row>
    <row r="50" spans="1:6" ht="13.5" thickBot="1">
      <c r="A50" s="468"/>
      <c r="B50" s="455"/>
      <c r="C50" s="455"/>
      <c r="D50" s="454" t="str">
        <f>IF(DSUM('16_1'!$A$12:$Q$79,16,F38:F39)=COUNTIF('16_1'!$A$13:$A$79,F39),"","Regularice su Deuda")</f>
        <v>Regularice su Deuda</v>
      </c>
      <c r="E50" s="455"/>
      <c r="F50" s="456"/>
    </row>
    <row r="51" spans="1:6" ht="13.5" thickBot="1"/>
    <row r="52" spans="1:6">
      <c r="A52" s="447"/>
      <c r="B52" s="448"/>
      <c r="C52" s="448"/>
      <c r="D52" s="448"/>
      <c r="E52" s="448"/>
      <c r="F52" s="449"/>
    </row>
    <row r="53" spans="1:6">
      <c r="A53" s="465" t="s">
        <v>64</v>
      </c>
      <c r="B53" s="81"/>
      <c r="C53" s="81"/>
      <c r="D53" s="81"/>
      <c r="E53" s="81"/>
      <c r="F53" s="451"/>
    </row>
    <row r="54" spans="1:6">
      <c r="A54" s="450"/>
      <c r="B54" s="81"/>
      <c r="C54" s="81"/>
      <c r="D54" s="81"/>
      <c r="E54" s="81"/>
      <c r="F54" s="451"/>
    </row>
    <row r="55" spans="1:6">
      <c r="A55" s="450" t="s">
        <v>139</v>
      </c>
      <c r="B55" s="81" t="str">
        <f>VLOOKUP(F56,'16_1'!$A$13:$G$23,7,0)</f>
        <v>QUIROGA, MERCEDES</v>
      </c>
      <c r="C55" s="81"/>
      <c r="D55" s="81"/>
      <c r="E55" s="81"/>
      <c r="F55" s="452" t="s">
        <v>102</v>
      </c>
    </row>
    <row r="56" spans="1:6">
      <c r="A56" s="450" t="s">
        <v>72</v>
      </c>
      <c r="B56" s="81" t="str">
        <f>+'16_1'!$H$2</f>
        <v>Hijuela Barros</v>
      </c>
      <c r="C56" s="81"/>
      <c r="D56" s="81"/>
      <c r="E56" s="81"/>
      <c r="F56" s="452">
        <v>4</v>
      </c>
    </row>
    <row r="57" spans="1:6">
      <c r="A57" s="450"/>
      <c r="B57" s="81"/>
      <c r="C57" s="81"/>
      <c r="D57" s="81"/>
      <c r="E57" s="81"/>
      <c r="F57" s="451"/>
    </row>
    <row r="58" spans="1:6">
      <c r="A58" s="466" t="s">
        <v>140</v>
      </c>
      <c r="B58" s="458">
        <f>VLOOKUP(F56,'16_1'!$A$13:$B$23,2,0)</f>
        <v>1212</v>
      </c>
      <c r="C58" s="81"/>
      <c r="D58" s="139" t="s">
        <v>141</v>
      </c>
      <c r="E58" s="457">
        <f>DSUM('16_1'!A$12:J$23,'16_1'!$J$12,F55:F56)</f>
        <v>0</v>
      </c>
      <c r="F58" s="451"/>
    </row>
    <row r="59" spans="1:6">
      <c r="A59" s="466" t="s">
        <v>142</v>
      </c>
      <c r="B59" s="461">
        <v>21</v>
      </c>
      <c r="C59" s="81"/>
      <c r="D59" s="139" t="s">
        <v>143</v>
      </c>
      <c r="E59" s="459" t="str">
        <f>+Hijuelas!$G$7</f>
        <v>POR FRACCIÓN</v>
      </c>
      <c r="F59" s="451"/>
    </row>
    <row r="60" spans="1:6">
      <c r="A60" s="466" t="s">
        <v>144</v>
      </c>
      <c r="B60" s="462">
        <f>DSUM('16_1'!$A$12:$H$23,'16_1'!$H$12,F55:F56)</f>
        <v>0</v>
      </c>
      <c r="C60" s="81"/>
      <c r="D60" s="139" t="s">
        <v>145</v>
      </c>
      <c r="E60" s="458" t="str">
        <f>IF(VLOOKUP(F56,'16_1'!$A$13:$D$50,4,0)=1, "Definitivo 100%", "Eventual 80%")</f>
        <v>Definitivo 100%</v>
      </c>
      <c r="F60" s="583"/>
    </row>
    <row r="61" spans="1:6" ht="15.75">
      <c r="A61" s="450"/>
      <c r="B61" s="139" t="s">
        <v>146</v>
      </c>
      <c r="C61" s="145">
        <f>DMIN('16_1'!A$12:K$23,'16_1'!$K$12,F55:F56)</f>
        <v>42977.531250000007</v>
      </c>
      <c r="D61" s="189" t="str">
        <f>IF(E61=1,"Domingo",IF(E61=2,"Lunes",IF(E61=3,"Martes",IF(E61=4,"Miercoles",IF(E61=5,"Jueves",IF(E61=6,"Viernes",IF(E61=7,"Sábado",0)))))))</f>
        <v>Miercoles</v>
      </c>
      <c r="E61" s="190">
        <f>WEEKDAY(C61)</f>
        <v>4</v>
      </c>
      <c r="F61" s="453" t="s">
        <v>62</v>
      </c>
    </row>
    <row r="62" spans="1:6" ht="15.75">
      <c r="A62" s="450"/>
      <c r="B62" s="139" t="s">
        <v>147</v>
      </c>
      <c r="C62" s="145">
        <f>DMAX('16_1'!A$12:L$23,'16_1'!$L$12,F55:F56)</f>
        <v>42977.531250000007</v>
      </c>
      <c r="D62" s="189" t="str">
        <f>IF(E62=1,"Domingo",IF(E62=2,"Lunes",IF(E62=3,"Martes",IF(E62=4,"Miercoles",IF(E62=5,"Jueves",IF(E62=6,"Viernes",IF(E62=7,"Sábado",0)))))))</f>
        <v>Miercoles</v>
      </c>
      <c r="E62" s="190">
        <f>WEEKDAY(C62)</f>
        <v>4</v>
      </c>
      <c r="F62" s="453">
        <f>WEEKDAY(C62)</f>
        <v>4</v>
      </c>
    </row>
    <row r="63" spans="1:6">
      <c r="A63" s="450"/>
      <c r="B63" s="81"/>
      <c r="C63" s="81"/>
      <c r="D63" s="81"/>
      <c r="E63" s="584"/>
      <c r="F63" s="583"/>
    </row>
    <row r="64" spans="1:6">
      <c r="A64" s="472">
        <f>+Mensajes!$B$7</f>
        <v>0</v>
      </c>
      <c r="B64" s="81"/>
      <c r="C64" s="81"/>
      <c r="D64" s="81"/>
      <c r="E64" s="81"/>
      <c r="F64" s="451"/>
    </row>
    <row r="65" spans="1:6">
      <c r="A65" s="472">
        <f>+Mensajes!$B$12</f>
        <v>0</v>
      </c>
      <c r="B65" s="81"/>
      <c r="C65" s="81"/>
      <c r="D65" s="81"/>
      <c r="E65" s="81"/>
      <c r="F65" s="451"/>
    </row>
    <row r="66" spans="1:6">
      <c r="A66" s="471"/>
      <c r="B66" s="81"/>
      <c r="C66" s="81"/>
      <c r="D66" s="81"/>
      <c r="E66" s="81"/>
      <c r="F66" s="451"/>
    </row>
    <row r="67" spans="1:6" ht="13.5" thickBot="1">
      <c r="A67" s="468"/>
      <c r="B67" s="455"/>
      <c r="C67" s="455"/>
      <c r="D67" s="454" t="str">
        <f>IF(DSUM('16_1'!$A$12:$Q$79,16,F55:F56)=COUNTIF('16_1'!$A$13:$A$79,F56),"","Regularice su Deuda")</f>
        <v>Regularice su Deuda</v>
      </c>
      <c r="E67" s="455"/>
      <c r="F67" s="456"/>
    </row>
    <row r="68" spans="1:6" ht="13.5" thickBot="1"/>
    <row r="69" spans="1:6">
      <c r="A69" s="447"/>
      <c r="B69" s="448"/>
      <c r="C69" s="448"/>
      <c r="D69" s="448"/>
      <c r="E69" s="448"/>
      <c r="F69" s="449"/>
    </row>
    <row r="70" spans="1:6">
      <c r="A70" s="465" t="s">
        <v>64</v>
      </c>
      <c r="B70" s="81"/>
      <c r="C70" s="81"/>
      <c r="D70" s="81"/>
      <c r="E70" s="81"/>
      <c r="F70" s="451"/>
    </row>
    <row r="71" spans="1:6">
      <c r="A71" s="450"/>
      <c r="B71" s="81"/>
      <c r="C71" s="81"/>
      <c r="D71" s="81"/>
      <c r="E71" s="81"/>
      <c r="F71" s="451"/>
    </row>
    <row r="72" spans="1:6">
      <c r="A72" s="450" t="s">
        <v>139</v>
      </c>
      <c r="B72" s="81" t="str">
        <f>VLOOKUP(F73,'16_1'!$A$13:$G$23,7,0)</f>
        <v>ROJAS VDA.DE QUIROGA, GUILLERMINA</v>
      </c>
      <c r="C72" s="81"/>
      <c r="D72" s="81"/>
      <c r="E72" s="81"/>
      <c r="F72" s="452" t="s">
        <v>102</v>
      </c>
    </row>
    <row r="73" spans="1:6">
      <c r="A73" s="450" t="s">
        <v>72</v>
      </c>
      <c r="B73" s="81" t="str">
        <f>+'16_1'!$H$2</f>
        <v>Hijuela Barros</v>
      </c>
      <c r="C73" s="81"/>
      <c r="D73" s="81"/>
      <c r="E73" s="81"/>
      <c r="F73" s="452">
        <v>5</v>
      </c>
    </row>
    <row r="74" spans="1:6">
      <c r="A74" s="450"/>
      <c r="B74" s="81"/>
      <c r="C74" s="81"/>
      <c r="D74" s="81"/>
      <c r="E74" s="81"/>
      <c r="F74" s="451"/>
    </row>
    <row r="75" spans="1:6">
      <c r="A75" s="466" t="s">
        <v>140</v>
      </c>
      <c r="B75" s="458">
        <f>VLOOKUP(F73,'16_1'!$A$13:$B$23,2,0)</f>
        <v>1212</v>
      </c>
      <c r="C75" s="81"/>
      <c r="D75" s="139" t="s">
        <v>141</v>
      </c>
      <c r="E75" s="457">
        <f>DSUM('16_1'!A$12:J$23,'16_1'!$J$12,F72:F73)</f>
        <v>0</v>
      </c>
      <c r="F75" s="451"/>
    </row>
    <row r="76" spans="1:6">
      <c r="A76" s="466" t="s">
        <v>142</v>
      </c>
      <c r="B76" s="461">
        <v>4</v>
      </c>
      <c r="C76" s="81"/>
      <c r="D76" s="139" t="s">
        <v>143</v>
      </c>
      <c r="E76" s="459" t="str">
        <f>+Hijuelas!$G$7</f>
        <v>POR FRACCIÓN</v>
      </c>
      <c r="F76" s="451"/>
    </row>
    <row r="77" spans="1:6">
      <c r="A77" s="466" t="s">
        <v>144</v>
      </c>
      <c r="B77" s="462">
        <f>DSUM('16_1'!$A$12:$H$23,'16_1'!$H$12,F72:F73)</f>
        <v>0</v>
      </c>
      <c r="C77" s="81"/>
      <c r="D77" s="139" t="s">
        <v>145</v>
      </c>
      <c r="E77" s="458" t="str">
        <f>IF(VLOOKUP(F73,'16_1'!$A$13:$D$50,4,0)=1, "Definitivo 100%", "Eventual 80%")</f>
        <v>Definitivo 100%</v>
      </c>
      <c r="F77" s="583"/>
    </row>
    <row r="78" spans="1:6" ht="15.75">
      <c r="A78" s="450"/>
      <c r="B78" s="139" t="s">
        <v>146</v>
      </c>
      <c r="C78" s="145">
        <f>DMIN('16_1'!A$12:K$23,'16_1'!$K$12,F72:F73)</f>
        <v>42977.531250000007</v>
      </c>
      <c r="D78" s="189" t="str">
        <f>IF(E78=1,"Domingo",IF(E78=2,"Lunes",IF(E78=3,"Martes",IF(E78=4,"Miercoles",IF(E78=5,"Jueves",IF(E78=6,"Viernes",IF(E78=7,"Sábado",0)))))))</f>
        <v>Miercoles</v>
      </c>
      <c r="E78" s="190">
        <f>WEEKDAY(C78)</f>
        <v>4</v>
      </c>
      <c r="F78" s="453" t="s">
        <v>62</v>
      </c>
    </row>
    <row r="79" spans="1:6" ht="15.75">
      <c r="A79" s="450"/>
      <c r="B79" s="139" t="s">
        <v>147</v>
      </c>
      <c r="C79" s="145">
        <f>DMAX('16_1'!A$12:L$23,'16_1'!$L$12,F72:F73)</f>
        <v>42977.531250000007</v>
      </c>
      <c r="D79" s="189" t="str">
        <f>IF(E79=1,"Domingo",IF(E79=2,"Lunes",IF(E79=3,"Martes",IF(E79=4,"Miercoles",IF(E79=5,"Jueves",IF(E79=6,"Viernes",IF(E79=7,"Sábado",0)))))))</f>
        <v>Miercoles</v>
      </c>
      <c r="E79" s="190">
        <f>WEEKDAY(C79)</f>
        <v>4</v>
      </c>
      <c r="F79" s="453">
        <f>WEEKDAY(C79)</f>
        <v>4</v>
      </c>
    </row>
    <row r="80" spans="1:6">
      <c r="A80" s="450"/>
      <c r="B80" s="81"/>
      <c r="C80" s="81"/>
      <c r="D80" s="81"/>
      <c r="E80" s="584"/>
      <c r="F80" s="583"/>
    </row>
    <row r="81" spans="1:6">
      <c r="A81" s="472">
        <f>+Mensajes!$B$7</f>
        <v>0</v>
      </c>
      <c r="B81" s="81"/>
      <c r="C81" s="81"/>
      <c r="D81" s="81"/>
      <c r="E81" s="81"/>
      <c r="F81" s="451"/>
    </row>
    <row r="82" spans="1:6">
      <c r="A82" s="472">
        <f>+Mensajes!$B$12</f>
        <v>0</v>
      </c>
      <c r="B82" s="81"/>
      <c r="C82" s="81"/>
      <c r="D82" s="81"/>
      <c r="E82" s="81"/>
      <c r="F82" s="451"/>
    </row>
    <row r="83" spans="1:6">
      <c r="A83" s="471"/>
      <c r="B83" s="81"/>
      <c r="C83" s="81"/>
      <c r="D83" s="81"/>
      <c r="E83" s="81"/>
      <c r="F83" s="451"/>
    </row>
    <row r="84" spans="1:6" ht="13.5" thickBot="1">
      <c r="A84" s="468"/>
      <c r="B84" s="455"/>
      <c r="C84" s="455"/>
      <c r="D84" s="454" t="str">
        <f>IF(DSUM('16_1'!$A$12:$Q$79,16,F72:F73)=COUNTIF('16_1'!$A$13:$A$79,F73),"","Regularice su Deuda")</f>
        <v>Regularice su Deuda</v>
      </c>
      <c r="E84" s="455"/>
      <c r="F84" s="456"/>
    </row>
    <row r="85" spans="1:6" ht="13.5" thickBot="1"/>
    <row r="86" spans="1:6">
      <c r="A86" s="447"/>
      <c r="B86" s="448"/>
      <c r="C86" s="448"/>
      <c r="D86" s="448"/>
      <c r="E86" s="448"/>
      <c r="F86" s="449"/>
    </row>
    <row r="87" spans="1:6">
      <c r="A87" s="465" t="s">
        <v>64</v>
      </c>
      <c r="B87" s="81"/>
      <c r="C87" s="81"/>
      <c r="D87" s="81"/>
      <c r="E87" s="81"/>
      <c r="F87" s="451"/>
    </row>
    <row r="88" spans="1:6">
      <c r="A88" s="450"/>
      <c r="B88" s="81"/>
      <c r="C88" s="81"/>
      <c r="D88" s="81"/>
      <c r="E88" s="81"/>
      <c r="F88" s="451"/>
    </row>
    <row r="89" spans="1:6">
      <c r="A89" s="450" t="s">
        <v>139</v>
      </c>
      <c r="B89" s="81" t="str">
        <f>VLOOKUP(F90,'16_1'!$A$13:$G$23,7,0)</f>
        <v>ROJAS VDA.DE QUIROGA, GUILLERMINA Y QUATROCCHI, JOSE</v>
      </c>
      <c r="C89" s="81"/>
      <c r="D89" s="81"/>
      <c r="E89" s="81"/>
      <c r="F89" s="452" t="s">
        <v>102</v>
      </c>
    </row>
    <row r="90" spans="1:6">
      <c r="A90" s="450" t="s">
        <v>72</v>
      </c>
      <c r="B90" s="81" t="str">
        <f>+'16_1'!$H$2</f>
        <v>Hijuela Barros</v>
      </c>
      <c r="C90" s="81"/>
      <c r="D90" s="81"/>
      <c r="E90" s="81"/>
      <c r="F90" s="452">
        <v>6</v>
      </c>
    </row>
    <row r="91" spans="1:6">
      <c r="A91" s="450"/>
      <c r="B91" s="81"/>
      <c r="C91" s="81"/>
      <c r="D91" s="81"/>
      <c r="E91" s="81"/>
      <c r="F91" s="451"/>
    </row>
    <row r="92" spans="1:6">
      <c r="A92" s="466" t="s">
        <v>140</v>
      </c>
      <c r="B92" s="458">
        <f>VLOOKUP(F90,'16_1'!$A$13:$B$23,2,0)</f>
        <v>1212</v>
      </c>
      <c r="C92" s="81"/>
      <c r="D92" s="139" t="s">
        <v>141</v>
      </c>
      <c r="E92" s="457">
        <f>DSUM('16_1'!A$12:J$23,'16_1'!$J$12,F89:F90)</f>
        <v>0</v>
      </c>
      <c r="F92" s="451"/>
    </row>
    <row r="93" spans="1:6">
      <c r="A93" s="466" t="s">
        <v>142</v>
      </c>
      <c r="B93" s="461">
        <v>13</v>
      </c>
      <c r="C93" s="81"/>
      <c r="D93" s="139" t="s">
        <v>143</v>
      </c>
      <c r="E93" s="459" t="str">
        <f>+Hijuelas!$G$7</f>
        <v>POR FRACCIÓN</v>
      </c>
      <c r="F93" s="451"/>
    </row>
    <row r="94" spans="1:6">
      <c r="A94" s="466" t="s">
        <v>144</v>
      </c>
      <c r="B94" s="462">
        <f>DSUM('16_1'!$A$12:$H$23,'16_1'!$H$12,F89:F90)</f>
        <v>0</v>
      </c>
      <c r="C94" s="81"/>
      <c r="D94" s="139" t="s">
        <v>145</v>
      </c>
      <c r="E94" s="458" t="str">
        <f>IF(VLOOKUP(F90,'16_1'!$A$13:$D$50,4,0)=1, "Definitivo 100%", "Eventual 80%")</f>
        <v>Definitivo 100%</v>
      </c>
      <c r="F94" s="583"/>
    </row>
    <row r="95" spans="1:6" ht="15.75">
      <c r="A95" s="450"/>
      <c r="B95" s="139" t="s">
        <v>146</v>
      </c>
      <c r="C95" s="145">
        <f>DMIN('16_1'!A$12:K$23,'16_1'!$K$12,F89:F90)</f>
        <v>42977.531250000007</v>
      </c>
      <c r="D95" s="189" t="str">
        <f>IF(E95=1,"Domingo",IF(E95=2,"Lunes",IF(E95=3,"Martes",IF(E95=4,"Miercoles",IF(E95=5,"Jueves",IF(E95=6,"Viernes",IF(E95=7,"Sábado",0)))))))</f>
        <v>Miercoles</v>
      </c>
      <c r="E95" s="190">
        <f>WEEKDAY(C95)</f>
        <v>4</v>
      </c>
      <c r="F95" s="453" t="s">
        <v>62</v>
      </c>
    </row>
    <row r="96" spans="1:6" ht="15.75">
      <c r="A96" s="450"/>
      <c r="B96" s="139" t="s">
        <v>147</v>
      </c>
      <c r="C96" s="145">
        <f>DMAX('16_1'!A$12:L$23,'16_1'!$L$12,F89:F90)</f>
        <v>42977.531250000007</v>
      </c>
      <c r="D96" s="189" t="str">
        <f>IF(E96=1,"Domingo",IF(E96=2,"Lunes",IF(E96=3,"Martes",IF(E96=4,"Miercoles",IF(E96=5,"Jueves",IF(E96=6,"Viernes",IF(E96=7,"Sábado",0)))))))</f>
        <v>Miercoles</v>
      </c>
      <c r="E96" s="190">
        <f>WEEKDAY(C96)</f>
        <v>4</v>
      </c>
      <c r="F96" s="453">
        <f>WEEKDAY(C96)</f>
        <v>4</v>
      </c>
    </row>
    <row r="97" spans="1:6">
      <c r="A97" s="450"/>
      <c r="B97" s="81"/>
      <c r="C97" s="81"/>
      <c r="D97" s="81"/>
      <c r="E97" s="584"/>
      <c r="F97" s="583"/>
    </row>
    <row r="98" spans="1:6">
      <c r="A98" s="472">
        <f>+Mensajes!$B$7</f>
        <v>0</v>
      </c>
      <c r="B98" s="81"/>
      <c r="C98" s="81"/>
      <c r="D98" s="81"/>
      <c r="E98" s="81"/>
      <c r="F98" s="451"/>
    </row>
    <row r="99" spans="1:6">
      <c r="A99" s="472">
        <f>+Mensajes!$B$12</f>
        <v>0</v>
      </c>
      <c r="B99" s="81"/>
      <c r="C99" s="81"/>
      <c r="D99" s="81"/>
      <c r="E99" s="81"/>
      <c r="F99" s="451"/>
    </row>
    <row r="100" spans="1:6">
      <c r="A100" s="471"/>
      <c r="B100" s="81"/>
      <c r="C100" s="81"/>
      <c r="D100" s="81"/>
      <c r="E100" s="81"/>
      <c r="F100" s="451"/>
    </row>
    <row r="101" spans="1:6" ht="13.5" thickBot="1">
      <c r="A101" s="468"/>
      <c r="B101" s="455"/>
      <c r="C101" s="455"/>
      <c r="D101" s="454" t="str">
        <f>IF(DSUM('16_1'!$A$12:$Q$79,16,F89:F90)=COUNTIF('16_1'!$A$13:$A$79,F90),"","Regularice su Deuda")</f>
        <v>Regularice su Deuda</v>
      </c>
      <c r="E101" s="455"/>
      <c r="F101" s="456"/>
    </row>
  </sheetData>
  <phoneticPr fontId="0" type="noConversion"/>
  <pageMargins left="0.73" right="0.51" top="0.17" bottom="0.18" header="0" footer="0"/>
  <pageSetup paperSize="281" scale="85" orientation="portrait" r:id="rId1"/>
  <headerFooter alignWithMargins="0"/>
  <rowBreaks count="1" manualBreakCount="1">
    <brk id="68" max="6" man="1"/>
  </rowBreaks>
  <colBreaks count="1" manualBreakCount="1">
    <brk id="7" max="1048575" man="1"/>
  </colBreaks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22"/>
  <dimension ref="A2:U280"/>
  <sheetViews>
    <sheetView zoomScale="75" zoomScaleNormal="100" workbookViewId="0" xr3:uid="{87752282-9950-53E0-ACC6-858909551C9B}">
      <selection activeCell="E22" sqref="E22"/>
    </sheetView>
  </sheetViews>
  <sheetFormatPr defaultColWidth="11.42578125" defaultRowHeight="12.75"/>
  <cols>
    <col min="1" max="1" width="8.7109375" style="11" customWidth="1"/>
    <col min="2" max="2" width="13.7109375" style="11" customWidth="1"/>
    <col min="3" max="3" width="10.85546875" customWidth="1"/>
    <col min="4" max="4" width="14.85546875" customWidth="1"/>
    <col min="5" max="5" width="12.42578125" customWidth="1"/>
    <col min="6" max="6" width="7.5703125" customWidth="1"/>
    <col min="7" max="7" width="14.140625" bestFit="1" customWidth="1"/>
    <col min="8" max="8" width="10.42578125" customWidth="1"/>
    <col min="9" max="9" width="9.7109375" bestFit="1" customWidth="1"/>
    <col min="10" max="10" width="10.85546875" bestFit="1" customWidth="1"/>
    <col min="11" max="11" width="15.42578125" bestFit="1" customWidth="1"/>
    <col min="12" max="12" width="18" bestFit="1" customWidth="1"/>
    <col min="13" max="13" width="15.28515625" bestFit="1" customWidth="1"/>
    <col min="14" max="14" width="20.5703125" bestFit="1" customWidth="1"/>
    <col min="15" max="15" width="28.28515625" customWidth="1"/>
    <col min="16" max="16" width="26" customWidth="1"/>
    <col min="17" max="17" width="25" customWidth="1"/>
    <col min="19" max="21" width="11.5703125" bestFit="1" customWidth="1"/>
  </cols>
  <sheetData>
    <row r="2" spans="1:13">
      <c r="B2" s="685" t="s">
        <v>187</v>
      </c>
      <c r="C2" s="685"/>
      <c r="D2" s="685"/>
      <c r="E2" s="685"/>
      <c r="F2" s="685"/>
      <c r="G2" t="s">
        <v>402</v>
      </c>
    </row>
    <row r="5" spans="1:13" ht="13.5" thickBot="1"/>
    <row r="6" spans="1:13">
      <c r="A6" s="688" t="s">
        <v>92</v>
      </c>
      <c r="B6" s="689"/>
      <c r="C6" s="690" t="e">
        <f>+Hijuelas!#REF!</f>
        <v>#REF!</v>
      </c>
      <c r="D6" s="691"/>
      <c r="E6" s="3"/>
      <c r="F6" s="3"/>
      <c r="G6" s="24" t="s">
        <v>93</v>
      </c>
      <c r="H6" s="170">
        <f>+Hijuelas!G6</f>
        <v>3.9895833333333335</v>
      </c>
    </row>
    <row r="7" spans="1:13" ht="13.5" thickBot="1">
      <c r="A7" s="692" t="s">
        <v>94</v>
      </c>
      <c r="B7" s="693"/>
      <c r="C7" s="694" t="e">
        <f>+C6+H6</f>
        <v>#REF!</v>
      </c>
      <c r="D7" s="695"/>
      <c r="E7" s="3"/>
      <c r="F7" s="3"/>
      <c r="G7" s="26" t="s">
        <v>95</v>
      </c>
      <c r="H7" s="634">
        <f>+J20</f>
        <v>8.3333333333333329E-2</v>
      </c>
      <c r="I7" s="3"/>
      <c r="K7" s="635"/>
    </row>
    <row r="8" spans="1:13" ht="13.5" thickBot="1">
      <c r="G8" s="132" t="s">
        <v>96</v>
      </c>
      <c r="H8" s="172">
        <f>+K20</f>
        <v>0.29166666666666663</v>
      </c>
    </row>
    <row r="10" spans="1:13">
      <c r="A10" s="696" t="s">
        <v>97</v>
      </c>
      <c r="B10" s="696"/>
      <c r="C10" s="168">
        <f>H6-(H7+H8)</f>
        <v>3.6145833333333335</v>
      </c>
      <c r="D10" s="558" t="s">
        <v>98</v>
      </c>
      <c r="E10" s="169">
        <f>+C10*60</f>
        <v>216.875</v>
      </c>
      <c r="F10" s="558" t="s">
        <v>99</v>
      </c>
      <c r="G10" s="167" t="e">
        <f>+G20</f>
        <v>#N/A</v>
      </c>
      <c r="H10" s="558" t="s">
        <v>100</v>
      </c>
      <c r="I10" s="168" t="e">
        <f>+E10/G10</f>
        <v>#N/A</v>
      </c>
      <c r="M10" s="124"/>
    </row>
    <row r="11" spans="1:13">
      <c r="M11" s="124"/>
    </row>
    <row r="12" spans="1:13" ht="13.5" thickBot="1">
      <c r="M12" s="124"/>
    </row>
    <row r="13" spans="1:13" ht="13.5" thickBot="1">
      <c r="A13" s="34" t="s">
        <v>102</v>
      </c>
      <c r="B13" s="372" t="s">
        <v>403</v>
      </c>
      <c r="C13" s="373" t="s">
        <v>106</v>
      </c>
      <c r="D13" s="336" t="s">
        <v>153</v>
      </c>
      <c r="E13" s="686" t="s">
        <v>108</v>
      </c>
      <c r="F13" s="687"/>
      <c r="G13" s="336" t="s">
        <v>154</v>
      </c>
      <c r="H13" s="373" t="s">
        <v>304</v>
      </c>
      <c r="I13" s="372" t="s">
        <v>110</v>
      </c>
      <c r="J13" s="374" t="s">
        <v>404</v>
      </c>
      <c r="K13" s="375" t="s">
        <v>405</v>
      </c>
      <c r="L13" s="373" t="s">
        <v>156</v>
      </c>
      <c r="M13" s="376" t="s">
        <v>157</v>
      </c>
    </row>
    <row r="14" spans="1:13" ht="13.5" thickTop="1">
      <c r="A14" s="35">
        <v>1</v>
      </c>
      <c r="B14" s="230" t="s">
        <v>406</v>
      </c>
      <c r="C14" s="93">
        <f>D71</f>
        <v>117.05329999999999</v>
      </c>
      <c r="D14" s="93" t="e">
        <f>E71</f>
        <v>#N/A</v>
      </c>
      <c r="E14" s="231"/>
      <c r="F14" s="231"/>
      <c r="G14" s="93" t="e">
        <f>H71</f>
        <v>#N/A</v>
      </c>
      <c r="H14" s="232" t="e">
        <f t="shared" ref="H14:H19" si="0">G14*$I$10</f>
        <v>#N/A</v>
      </c>
      <c r="I14" s="233" t="e">
        <f t="shared" ref="I14:I19" si="1">H14/60</f>
        <v>#N/A</v>
      </c>
      <c r="J14" s="238">
        <v>8.3333333333333329E-2</v>
      </c>
      <c r="K14" s="234">
        <v>6.25E-2</v>
      </c>
      <c r="L14" s="174" t="e">
        <f>+C29+H7+K14</f>
        <v>#REF!</v>
      </c>
      <c r="M14" s="235" t="e">
        <f t="shared" ref="M14:M19" si="2">+L14+I14</f>
        <v>#REF!</v>
      </c>
    </row>
    <row r="15" spans="1:13">
      <c r="A15" s="35">
        <v>1</v>
      </c>
      <c r="B15" s="148" t="s">
        <v>407</v>
      </c>
      <c r="C15" s="27">
        <f>D124</f>
        <v>96.999600000000001</v>
      </c>
      <c r="D15" s="27" t="e">
        <f>E124</f>
        <v>#N/A</v>
      </c>
      <c r="E15" s="179"/>
      <c r="F15" s="179"/>
      <c r="G15" s="27" t="e">
        <f>H124</f>
        <v>#N/A</v>
      </c>
      <c r="H15" s="191" t="e">
        <f t="shared" si="0"/>
        <v>#N/A</v>
      </c>
      <c r="I15" s="192" t="e">
        <f t="shared" si="1"/>
        <v>#N/A</v>
      </c>
      <c r="J15" s="239">
        <v>0</v>
      </c>
      <c r="K15" s="198">
        <v>4.1666666666666664E-2</v>
      </c>
      <c r="L15" s="125" t="e">
        <f>+M14+K15</f>
        <v>#REF!</v>
      </c>
      <c r="M15" s="214" t="e">
        <f t="shared" si="2"/>
        <v>#REF!</v>
      </c>
    </row>
    <row r="16" spans="1:13">
      <c r="A16" s="35">
        <v>2</v>
      </c>
      <c r="B16" s="148" t="s">
        <v>408</v>
      </c>
      <c r="C16" s="27">
        <f>D185</f>
        <v>16.245499999999996</v>
      </c>
      <c r="D16" s="27">
        <f>E185</f>
        <v>12.4055</v>
      </c>
      <c r="E16" s="179"/>
      <c r="F16" s="179"/>
      <c r="G16" s="27">
        <f>H185</f>
        <v>12.4055</v>
      </c>
      <c r="H16" s="191" t="e">
        <f t="shared" si="0"/>
        <v>#N/A</v>
      </c>
      <c r="I16" s="192" t="e">
        <f t="shared" si="1"/>
        <v>#N/A</v>
      </c>
      <c r="J16" s="239">
        <v>0</v>
      </c>
      <c r="K16" s="198">
        <v>4.1666666666666664E-2</v>
      </c>
      <c r="L16" s="125" t="e">
        <f>+M15+K16</f>
        <v>#REF!</v>
      </c>
      <c r="M16" s="214" t="e">
        <f t="shared" si="2"/>
        <v>#REF!</v>
      </c>
    </row>
    <row r="17" spans="1:13">
      <c r="A17" s="35">
        <v>2</v>
      </c>
      <c r="B17" s="148" t="s">
        <v>409</v>
      </c>
      <c r="C17" s="27">
        <f>D159</f>
        <v>41.728300000000004</v>
      </c>
      <c r="D17" s="27" t="e">
        <f>E159</f>
        <v>#N/A</v>
      </c>
      <c r="E17" s="179"/>
      <c r="F17" s="179"/>
      <c r="G17" s="27" t="e">
        <f>H159</f>
        <v>#N/A</v>
      </c>
      <c r="H17" s="191" t="e">
        <f t="shared" si="0"/>
        <v>#N/A</v>
      </c>
      <c r="I17" s="192" t="e">
        <f t="shared" si="1"/>
        <v>#N/A</v>
      </c>
      <c r="J17" s="239">
        <v>0</v>
      </c>
      <c r="K17" s="198">
        <v>4.1666666666666664E-2</v>
      </c>
      <c r="L17" s="125" t="e">
        <f>+M16+K17</f>
        <v>#REF!</v>
      </c>
      <c r="M17" s="214" t="e">
        <f t="shared" si="2"/>
        <v>#REF!</v>
      </c>
    </row>
    <row r="18" spans="1:13">
      <c r="A18" s="35">
        <v>2</v>
      </c>
      <c r="B18" s="148" t="s">
        <v>410</v>
      </c>
      <c r="C18" s="27">
        <f>D239</f>
        <v>98.739900000000006</v>
      </c>
      <c r="D18" s="27" t="e">
        <f>E239</f>
        <v>#N/A</v>
      </c>
      <c r="E18" s="179"/>
      <c r="F18" s="179"/>
      <c r="G18" s="27" t="e">
        <f>H239</f>
        <v>#N/A</v>
      </c>
      <c r="H18" s="191" t="e">
        <f t="shared" si="0"/>
        <v>#N/A</v>
      </c>
      <c r="I18" s="192" t="e">
        <f t="shared" si="1"/>
        <v>#N/A</v>
      </c>
      <c r="J18" s="239">
        <v>0</v>
      </c>
      <c r="K18" s="198">
        <v>4.1666666666666664E-2</v>
      </c>
      <c r="L18" s="125" t="e">
        <f>+M17+K18</f>
        <v>#REF!</v>
      </c>
      <c r="M18" s="214" t="e">
        <f t="shared" si="2"/>
        <v>#REF!</v>
      </c>
    </row>
    <row r="19" spans="1:13" ht="13.5" thickBot="1">
      <c r="A19" s="36">
        <v>3</v>
      </c>
      <c r="B19" s="209" t="s">
        <v>411</v>
      </c>
      <c r="C19" s="30">
        <f>D280</f>
        <v>101.32489999999999</v>
      </c>
      <c r="D19" s="30" t="e">
        <f>+G19</f>
        <v>#N/A</v>
      </c>
      <c r="E19" s="180"/>
      <c r="F19" s="180"/>
      <c r="G19" s="30" t="e">
        <f>H280</f>
        <v>#N/A</v>
      </c>
      <c r="H19" s="193" t="e">
        <f t="shared" si="0"/>
        <v>#N/A</v>
      </c>
      <c r="I19" s="194" t="e">
        <f t="shared" si="1"/>
        <v>#N/A</v>
      </c>
      <c r="J19" s="240">
        <v>0</v>
      </c>
      <c r="K19" s="199">
        <v>6.25E-2</v>
      </c>
      <c r="L19" s="127" t="e">
        <f>+M18+K19</f>
        <v>#REF!</v>
      </c>
      <c r="M19" s="215" t="e">
        <f t="shared" si="2"/>
        <v>#REF!</v>
      </c>
    </row>
    <row r="20" spans="1:13">
      <c r="C20" s="73">
        <f>SUM(C14:C19)</f>
        <v>472.0915</v>
      </c>
      <c r="D20" s="73" t="e">
        <f>SUM(D14:D19)</f>
        <v>#N/A</v>
      </c>
      <c r="E20" s="10"/>
      <c r="F20" s="10"/>
      <c r="G20" s="73" t="e">
        <f>SUM(G14:G19)</f>
        <v>#N/A</v>
      </c>
      <c r="H20" s="229" t="e">
        <f>SUM(H14:H19)</f>
        <v>#N/A</v>
      </c>
      <c r="I20" s="229" t="e">
        <f>+SUM(I14:I19)</f>
        <v>#N/A</v>
      </c>
      <c r="J20" s="3">
        <f>+SUM(J14:J19)</f>
        <v>8.3333333333333329E-2</v>
      </c>
      <c r="K20" s="229">
        <f>+SUM(K14:K19)</f>
        <v>0.29166666666666663</v>
      </c>
    </row>
    <row r="24" spans="1:13">
      <c r="A24" s="241" t="s">
        <v>412</v>
      </c>
    </row>
    <row r="26" spans="1:13">
      <c r="C26" s="1" t="s">
        <v>413</v>
      </c>
    </row>
    <row r="28" spans="1:13" ht="13.5" thickBot="1"/>
    <row r="29" spans="1:13">
      <c r="A29" s="688" t="s">
        <v>92</v>
      </c>
      <c r="B29" s="689"/>
      <c r="C29" s="690" t="e">
        <f>+C6</f>
        <v>#REF!</v>
      </c>
      <c r="D29" s="691"/>
      <c r="E29" s="3"/>
      <c r="F29" s="3"/>
      <c r="G29" s="24" t="s">
        <v>93</v>
      </c>
      <c r="H29" s="170" t="e">
        <f>+I14</f>
        <v>#N/A</v>
      </c>
    </row>
    <row r="30" spans="1:13" ht="13.5" thickBot="1">
      <c r="A30" s="692" t="s">
        <v>94</v>
      </c>
      <c r="B30" s="693"/>
      <c r="C30" s="694" t="e">
        <f>+L70</f>
        <v>#REF!</v>
      </c>
      <c r="D30" s="695"/>
      <c r="E30" s="3"/>
      <c r="F30" s="3"/>
      <c r="G30" s="26" t="s">
        <v>95</v>
      </c>
      <c r="H30" s="171">
        <f>+J14</f>
        <v>8.3333333333333329E-2</v>
      </c>
      <c r="I30" s="3"/>
      <c r="K30" s="635"/>
    </row>
    <row r="31" spans="1:13" ht="13.5" thickBot="1">
      <c r="G31" s="132" t="s">
        <v>96</v>
      </c>
      <c r="H31" s="172">
        <f>+K14</f>
        <v>6.25E-2</v>
      </c>
    </row>
    <row r="33" spans="1:21">
      <c r="A33" s="696" t="s">
        <v>97</v>
      </c>
      <c r="B33" s="696"/>
      <c r="C33" s="168" t="e">
        <f>+H29-H30-H31</f>
        <v>#N/A</v>
      </c>
      <c r="D33" s="558" t="s">
        <v>98</v>
      </c>
      <c r="E33" s="169" t="e">
        <f>+C33*60</f>
        <v>#N/A</v>
      </c>
      <c r="F33" s="558" t="s">
        <v>99</v>
      </c>
      <c r="G33" s="167" t="e">
        <f>+H71</f>
        <v>#N/A</v>
      </c>
      <c r="H33" s="558" t="s">
        <v>100</v>
      </c>
      <c r="I33" s="168" t="e">
        <f>+E33/G33</f>
        <v>#N/A</v>
      </c>
    </row>
    <row r="35" spans="1:21" ht="13.5" thickBot="1"/>
    <row r="36" spans="1:21" s="58" customFormat="1" ht="15" customHeight="1" thickBot="1">
      <c r="A36" s="335" t="s">
        <v>102</v>
      </c>
      <c r="B36" s="560" t="s">
        <v>103</v>
      </c>
      <c r="C36" s="560" t="s">
        <v>104</v>
      </c>
      <c r="D36" s="560" t="s">
        <v>106</v>
      </c>
      <c r="E36" s="560" t="s">
        <v>414</v>
      </c>
      <c r="F36" s="684" t="s">
        <v>108</v>
      </c>
      <c r="G36" s="684"/>
      <c r="H36" s="129" t="s">
        <v>415</v>
      </c>
      <c r="I36" s="129" t="s">
        <v>304</v>
      </c>
      <c r="J36" s="559" t="s">
        <v>110</v>
      </c>
      <c r="K36" s="129" t="s">
        <v>156</v>
      </c>
      <c r="L36" s="129" t="s">
        <v>157</v>
      </c>
      <c r="M36" s="130" t="s">
        <v>114</v>
      </c>
      <c r="N36" s="256" t="s">
        <v>158</v>
      </c>
      <c r="O36" s="32" t="s">
        <v>116</v>
      </c>
      <c r="P36" s="32" t="s">
        <v>117</v>
      </c>
      <c r="Q36" s="32" t="s">
        <v>118</v>
      </c>
      <c r="R36" s="32" t="s">
        <v>119</v>
      </c>
      <c r="S36" s="32" t="s">
        <v>120</v>
      </c>
      <c r="T36" s="32" t="s">
        <v>121</v>
      </c>
      <c r="U36" s="185" t="s">
        <v>122</v>
      </c>
    </row>
    <row r="37" spans="1:21">
      <c r="A37" s="51">
        <v>1</v>
      </c>
      <c r="B37" s="150">
        <v>1213</v>
      </c>
      <c r="C37" s="52">
        <v>1</v>
      </c>
      <c r="D37" s="44">
        <v>10.5</v>
      </c>
      <c r="E37" s="44" t="s">
        <v>101</v>
      </c>
      <c r="F37" s="52" t="s">
        <v>416</v>
      </c>
      <c r="G37" s="134"/>
      <c r="H37" s="579" t="str">
        <f>E37</f>
        <v xml:space="preserve"> </v>
      </c>
      <c r="I37" s="629" t="e">
        <f>+H37*$I$33</f>
        <v>#VALUE!</v>
      </c>
      <c r="J37" s="580" t="e">
        <f>+I37/60</f>
        <v>#VALUE!</v>
      </c>
      <c r="K37" s="174" t="e">
        <f>+C29+H30+H31</f>
        <v>#REF!</v>
      </c>
      <c r="L37" s="174" t="e">
        <f>+K37+J37</f>
        <v>#REF!</v>
      </c>
      <c r="M37" s="52"/>
      <c r="N37" s="52"/>
      <c r="O37" s="52"/>
      <c r="P37" s="52" t="str">
        <f>+CONCATENATE(B37,C37)</f>
        <v>12131</v>
      </c>
      <c r="Q37" s="150">
        <f>VLOOKUP(P37,deuda!A$1:H$550,4,0)</f>
        <v>1</v>
      </c>
      <c r="R37" s="150">
        <f>VLOOKUP(P37,deuda!A$1:H$550,5,0)</f>
        <v>0</v>
      </c>
      <c r="S37" s="150" t="str">
        <f>IF(VLOOKUP(P37,deuda!A$1:H$550,6,0)=0,"",VLOOKUP(P37,deuda!A$1:H$550,6,0))</f>
        <v/>
      </c>
      <c r="T37" s="151" t="str">
        <f>IF((VLOOKUP(P37,deuda!A$1:H$550,7,0))=0,"",VLOOKUP(P37,deuda!A$1:H$550,7,0))</f>
        <v/>
      </c>
      <c r="U37" s="152" t="str">
        <f>IF((VLOOKUP(P37,deuda!A$1:H$550,8,0))=0,"",VLOOKUP(P37,deuda!A$1:H$550,8,0))</f>
        <v/>
      </c>
    </row>
    <row r="38" spans="1:21">
      <c r="A38" s="35">
        <v>1</v>
      </c>
      <c r="B38" s="6">
        <v>1213</v>
      </c>
      <c r="C38" s="5">
        <v>2</v>
      </c>
      <c r="D38" s="21">
        <v>11.535600000000001</v>
      </c>
      <c r="E38" s="21">
        <f>IF((VLOOKUP(P38,deuda!A$1:H$550,4,0)=1),D38,0)</f>
        <v>11.535600000000001</v>
      </c>
      <c r="F38" s="5" t="s">
        <v>416</v>
      </c>
      <c r="G38" s="48"/>
      <c r="H38" s="636">
        <f>E38</f>
        <v>11.535600000000001</v>
      </c>
      <c r="I38" s="620" t="e">
        <f t="shared" ref="I38:I70" si="3">+H38*$I$33</f>
        <v>#N/A</v>
      </c>
      <c r="J38" s="618" t="e">
        <f t="shared" ref="J38:J70" si="4">+I38/60</f>
        <v>#N/A</v>
      </c>
      <c r="K38" s="125" t="e">
        <f>+L37</f>
        <v>#REF!</v>
      </c>
      <c r="L38" s="125" t="e">
        <f>+K38+J38</f>
        <v>#REF!</v>
      </c>
      <c r="M38" s="5"/>
      <c r="N38" s="5"/>
      <c r="O38" s="5"/>
      <c r="P38" s="5" t="str">
        <f>+CONCATENATE(B38,C38)</f>
        <v>12132</v>
      </c>
      <c r="Q38" s="6">
        <f>VLOOKUP(P38,deuda!A$1:H$550,4,0)</f>
        <v>1</v>
      </c>
      <c r="R38" s="6">
        <f>VLOOKUP(P38,deuda!A$1:H$550,5,0)</f>
        <v>0</v>
      </c>
      <c r="S38" s="6" t="str">
        <f>IF(VLOOKUP(P38,deuda!A$1:H$550,6,0)=0,"",VLOOKUP(P38,deuda!A$1:H$550,6,0))</f>
        <v/>
      </c>
      <c r="T38" s="149" t="str">
        <f>IF((VLOOKUP(P38,deuda!A$1:H$550,7,0))=0,"",VLOOKUP(P38,deuda!A$1:H$550,7,0))</f>
        <v/>
      </c>
      <c r="U38" s="153" t="str">
        <f>IF((VLOOKUP(P38,deuda!A$1:H$550,8,0))=0,"",VLOOKUP(P38,deuda!A$1:H$550,8,0))</f>
        <v/>
      </c>
    </row>
    <row r="39" spans="1:21">
      <c r="A39" s="35">
        <v>1</v>
      </c>
      <c r="B39" s="6">
        <v>1213</v>
      </c>
      <c r="C39" s="5">
        <v>3</v>
      </c>
      <c r="D39" s="21">
        <v>6.6398999999999999</v>
      </c>
      <c r="E39" s="21">
        <f>IF((VLOOKUP(P39,deuda!A$1:H$550,4,0)=1),D39,0)</f>
        <v>6.6398999999999999</v>
      </c>
      <c r="F39" s="5" t="s">
        <v>416</v>
      </c>
      <c r="G39" s="48"/>
      <c r="H39" s="636">
        <f t="shared" ref="H39:H48" si="5">E39</f>
        <v>6.6398999999999999</v>
      </c>
      <c r="I39" s="620" t="e">
        <f t="shared" si="3"/>
        <v>#N/A</v>
      </c>
      <c r="J39" s="618" t="e">
        <f t="shared" si="4"/>
        <v>#N/A</v>
      </c>
      <c r="K39" s="125" t="e">
        <f t="shared" ref="K39:K70" si="6">+L38</f>
        <v>#REF!</v>
      </c>
      <c r="L39" s="125" t="e">
        <f t="shared" ref="L39:L48" si="7">+K39+J39</f>
        <v>#REF!</v>
      </c>
      <c r="M39" s="5"/>
      <c r="N39" s="5"/>
      <c r="O39" s="5"/>
      <c r="P39" s="5" t="str">
        <f t="shared" ref="P39:P48" si="8">+CONCATENATE(B39,C39)</f>
        <v>12133</v>
      </c>
      <c r="Q39" s="6">
        <f>VLOOKUP(P39,deuda!A$1:H$550,4,0)</f>
        <v>1</v>
      </c>
      <c r="R39" s="6">
        <f>VLOOKUP(P39,deuda!A$1:H$550,5,0)</f>
        <v>0</v>
      </c>
      <c r="S39" s="6" t="str">
        <f>IF(VLOOKUP(P39,deuda!A$1:H$550,6,0)=0,"",VLOOKUP(P39,deuda!A$1:H$550,6,0))</f>
        <v/>
      </c>
      <c r="T39" s="149" t="str">
        <f>IF((VLOOKUP(P39,deuda!A$1:H$550,7,0))=0,"",VLOOKUP(P39,deuda!A$1:H$550,7,0))</f>
        <v/>
      </c>
      <c r="U39" s="153" t="str">
        <f>IF((VLOOKUP(P39,deuda!A$1:H$550,8,0))=0,"",VLOOKUP(P39,deuda!A$1:H$550,8,0))</f>
        <v/>
      </c>
    </row>
    <row r="40" spans="1:21">
      <c r="A40" s="35">
        <v>2</v>
      </c>
      <c r="B40" s="6">
        <v>1213</v>
      </c>
      <c r="C40" s="5">
        <v>140</v>
      </c>
      <c r="D40" s="21">
        <v>0.14330000000000001</v>
      </c>
      <c r="E40" s="21" t="e">
        <f>IF((VLOOKUP(P40,deuda!A$1:H$550,4,0)=1),D40,0)</f>
        <v>#N/A</v>
      </c>
      <c r="F40" s="5" t="s">
        <v>417</v>
      </c>
      <c r="G40" s="48"/>
      <c r="H40" s="636" t="e">
        <f t="shared" si="5"/>
        <v>#N/A</v>
      </c>
      <c r="I40" s="620" t="e">
        <f t="shared" si="3"/>
        <v>#N/A</v>
      </c>
      <c r="J40" s="618" t="e">
        <f t="shared" si="4"/>
        <v>#N/A</v>
      </c>
      <c r="K40" s="125" t="e">
        <f t="shared" si="6"/>
        <v>#REF!</v>
      </c>
      <c r="L40" s="125" t="e">
        <f t="shared" si="7"/>
        <v>#REF!</v>
      </c>
      <c r="M40" s="5"/>
      <c r="N40" s="5"/>
      <c r="O40" s="5"/>
      <c r="P40" s="5" t="str">
        <f t="shared" si="8"/>
        <v>1213140</v>
      </c>
      <c r="Q40" s="6" t="e">
        <f>VLOOKUP(P40,deuda!A$1:H$550,4,0)</f>
        <v>#N/A</v>
      </c>
      <c r="R40" s="6" t="e">
        <f>VLOOKUP(P40,deuda!A$1:H$550,5,0)</f>
        <v>#N/A</v>
      </c>
      <c r="S40" s="6" t="e">
        <f>IF(VLOOKUP(P40,deuda!A$1:H$550,6,0)=0,"",VLOOKUP(P40,deuda!A$1:H$550,6,0))</f>
        <v>#N/A</v>
      </c>
      <c r="T40" s="149" t="e">
        <f>IF((VLOOKUP(P40,deuda!A$1:H$550,7,0))=0,"",VLOOKUP(P40,deuda!A$1:H$550,7,0))</f>
        <v>#N/A</v>
      </c>
      <c r="U40" s="153" t="e">
        <f>IF((VLOOKUP(P40,deuda!A$1:H$550,8,0))=0,"",VLOOKUP(P40,deuda!A$1:H$550,8,0))</f>
        <v>#N/A</v>
      </c>
    </row>
    <row r="41" spans="1:21">
      <c r="A41" s="35">
        <v>2</v>
      </c>
      <c r="B41" s="6">
        <v>1213</v>
      </c>
      <c r="C41" s="5">
        <v>184</v>
      </c>
      <c r="D41" s="21">
        <v>0.79900000000000004</v>
      </c>
      <c r="E41" s="21">
        <f>IF((VLOOKUP(P41,deuda!A$1:H$550,4,0)=1),D41,0)</f>
        <v>0.79900000000000004</v>
      </c>
      <c r="F41" s="5" t="s">
        <v>417</v>
      </c>
      <c r="G41" s="48"/>
      <c r="H41" s="636">
        <f t="shared" si="5"/>
        <v>0.79900000000000004</v>
      </c>
      <c r="I41" s="620" t="e">
        <f t="shared" si="3"/>
        <v>#N/A</v>
      </c>
      <c r="J41" s="618" t="e">
        <f t="shared" si="4"/>
        <v>#N/A</v>
      </c>
      <c r="K41" s="125" t="e">
        <f t="shared" si="6"/>
        <v>#REF!</v>
      </c>
      <c r="L41" s="125" t="e">
        <f t="shared" si="7"/>
        <v>#REF!</v>
      </c>
      <c r="M41" s="5"/>
      <c r="N41" s="5"/>
      <c r="O41" s="5"/>
      <c r="P41" s="5" t="str">
        <f t="shared" si="8"/>
        <v>1213184</v>
      </c>
      <c r="Q41" s="6">
        <f>VLOOKUP(P41,deuda!A$1:H$550,4,0)</f>
        <v>1</v>
      </c>
      <c r="R41" s="6">
        <f>VLOOKUP(P41,deuda!A$1:H$550,5,0)</f>
        <v>0</v>
      </c>
      <c r="S41" s="6" t="str">
        <f>IF(VLOOKUP(P41,deuda!A$1:H$550,6,0)=0,"",VLOOKUP(P41,deuda!A$1:H$550,6,0))</f>
        <v/>
      </c>
      <c r="T41" s="149" t="str">
        <f>IF((VLOOKUP(P41,deuda!A$1:H$550,7,0))=0,"",VLOOKUP(P41,deuda!A$1:H$550,7,0))</f>
        <v/>
      </c>
      <c r="U41" s="153" t="str">
        <f>IF((VLOOKUP(P41,deuda!A$1:H$550,8,0))=0,"",VLOOKUP(P41,deuda!A$1:H$550,8,0))</f>
        <v/>
      </c>
    </row>
    <row r="42" spans="1:21">
      <c r="A42" s="35">
        <v>3</v>
      </c>
      <c r="B42" s="6">
        <v>1213</v>
      </c>
      <c r="C42" s="5">
        <v>141</v>
      </c>
      <c r="D42" s="21">
        <v>1.0466</v>
      </c>
      <c r="E42" s="21">
        <f>IF((VLOOKUP(P42,deuda!A$1:H$550,4,0)=1),D42,0)</f>
        <v>0</v>
      </c>
      <c r="F42" s="5" t="s">
        <v>418</v>
      </c>
      <c r="G42" s="48"/>
      <c r="H42" s="636">
        <f t="shared" si="5"/>
        <v>0</v>
      </c>
      <c r="I42" s="620" t="e">
        <f t="shared" si="3"/>
        <v>#N/A</v>
      </c>
      <c r="J42" s="618" t="e">
        <f t="shared" si="4"/>
        <v>#N/A</v>
      </c>
      <c r="K42" s="125" t="e">
        <f t="shared" si="6"/>
        <v>#REF!</v>
      </c>
      <c r="L42" s="125" t="e">
        <f t="shared" si="7"/>
        <v>#REF!</v>
      </c>
      <c r="M42" s="5"/>
      <c r="N42" s="5"/>
      <c r="O42" s="5"/>
      <c r="P42" s="5" t="str">
        <f t="shared" si="8"/>
        <v>1213141</v>
      </c>
      <c r="Q42" s="6">
        <f>VLOOKUP(P42,deuda!A$1:H$550,4,0)</f>
        <v>0</v>
      </c>
      <c r="R42" s="6">
        <f>VLOOKUP(P42,deuda!A$1:H$550,5,0)</f>
        <v>38</v>
      </c>
      <c r="S42" s="6">
        <f>IF(VLOOKUP(P42,deuda!A$1:H$550,6,0)=0,"",VLOOKUP(P42,deuda!A$1:H$550,6,0))</f>
        <v>16903.689999999999</v>
      </c>
      <c r="T42" s="149" t="str">
        <f>IF((VLOOKUP(P42,deuda!A$1:H$550,7,0))=0,"",VLOOKUP(P42,deuda!A$1:H$550,7,0))</f>
        <v/>
      </c>
      <c r="U42" s="153" t="str">
        <f>IF((VLOOKUP(P42,deuda!A$1:H$550,8,0))=0,"",VLOOKUP(P42,deuda!A$1:H$550,8,0))</f>
        <v/>
      </c>
    </row>
    <row r="43" spans="1:21">
      <c r="A43" s="35">
        <v>4</v>
      </c>
      <c r="B43" s="6">
        <v>1213</v>
      </c>
      <c r="C43" s="5">
        <v>143</v>
      </c>
      <c r="D43" s="21">
        <v>0.05</v>
      </c>
      <c r="E43" s="21">
        <f>IF((VLOOKUP(P43,deuda!A$1:H$550,4,0)=1),D43,0)</f>
        <v>0</v>
      </c>
      <c r="F43" s="5" t="s">
        <v>419</v>
      </c>
      <c r="G43" s="48"/>
      <c r="H43" s="636">
        <f t="shared" si="5"/>
        <v>0</v>
      </c>
      <c r="I43" s="620" t="e">
        <f t="shared" si="3"/>
        <v>#N/A</v>
      </c>
      <c r="J43" s="618" t="e">
        <f t="shared" si="4"/>
        <v>#N/A</v>
      </c>
      <c r="K43" s="125" t="e">
        <f t="shared" si="6"/>
        <v>#REF!</v>
      </c>
      <c r="L43" s="125" t="e">
        <f t="shared" si="7"/>
        <v>#REF!</v>
      </c>
      <c r="M43" s="5"/>
      <c r="N43" s="5"/>
      <c r="O43" s="5"/>
      <c r="P43" s="5" t="str">
        <f t="shared" si="8"/>
        <v>1213143</v>
      </c>
      <c r="Q43" s="6">
        <f>VLOOKUP(P43,deuda!A$1:H$550,4,0)</f>
        <v>0</v>
      </c>
      <c r="R43" s="6">
        <f>VLOOKUP(P43,deuda!A$1:H$550,5,0)</f>
        <v>28</v>
      </c>
      <c r="S43" s="6">
        <f>IF(VLOOKUP(P43,deuda!A$1:H$550,6,0)=0,"",VLOOKUP(P43,deuda!A$1:H$550,6,0))</f>
        <v>16469.91</v>
      </c>
      <c r="T43" s="149" t="str">
        <f>IF((VLOOKUP(P43,deuda!A$1:H$550,7,0))=0,"",VLOOKUP(P43,deuda!A$1:H$550,7,0))</f>
        <v/>
      </c>
      <c r="U43" s="153" t="str">
        <f>IF((VLOOKUP(P43,deuda!A$1:H$550,8,0))=0,"",VLOOKUP(P43,deuda!A$1:H$550,8,0))</f>
        <v/>
      </c>
    </row>
    <row r="44" spans="1:21">
      <c r="A44" s="35">
        <v>5</v>
      </c>
      <c r="B44" s="6">
        <v>1213</v>
      </c>
      <c r="C44" s="5">
        <v>151</v>
      </c>
      <c r="D44" s="21">
        <v>0.92059999999999997</v>
      </c>
      <c r="E44" s="21">
        <f>IF((VLOOKUP(P44,deuda!A$1:H$550,4,0)=1),D44,0)</f>
        <v>0</v>
      </c>
      <c r="F44" s="5" t="s">
        <v>420</v>
      </c>
      <c r="G44" s="48"/>
      <c r="H44" s="636">
        <f t="shared" si="5"/>
        <v>0</v>
      </c>
      <c r="I44" s="620" t="e">
        <f t="shared" si="3"/>
        <v>#N/A</v>
      </c>
      <c r="J44" s="618" t="e">
        <f t="shared" si="4"/>
        <v>#N/A</v>
      </c>
      <c r="K44" s="125" t="e">
        <f t="shared" si="6"/>
        <v>#REF!</v>
      </c>
      <c r="L44" s="125" t="e">
        <f t="shared" si="7"/>
        <v>#REF!</v>
      </c>
      <c r="M44" s="5"/>
      <c r="N44" s="5"/>
      <c r="O44" s="5"/>
      <c r="P44" s="5" t="str">
        <f t="shared" si="8"/>
        <v>1213151</v>
      </c>
      <c r="Q44" s="6">
        <f>VLOOKUP(P44,deuda!A$1:H$550,4,0)</f>
        <v>0</v>
      </c>
      <c r="R44" s="6">
        <f>VLOOKUP(P44,deuda!A$1:H$550,5,0)</f>
        <v>12</v>
      </c>
      <c r="S44" s="6">
        <f>IF(VLOOKUP(P44,deuda!A$1:H$550,6,0)=0,"",VLOOKUP(P44,deuda!A$1:H$550,6,0))</f>
        <v>3006.01</v>
      </c>
      <c r="T44" s="149" t="str">
        <f>IF((VLOOKUP(P44,deuda!A$1:H$550,7,0))=0,"",VLOOKUP(P44,deuda!A$1:H$550,7,0))</f>
        <v/>
      </c>
      <c r="U44" s="153" t="str">
        <f>IF((VLOOKUP(P44,deuda!A$1:H$550,8,0))=0,"",VLOOKUP(P44,deuda!A$1:H$550,8,0))</f>
        <v/>
      </c>
    </row>
    <row r="45" spans="1:21">
      <c r="A45" s="35">
        <v>6</v>
      </c>
      <c r="B45" s="6">
        <v>1213</v>
      </c>
      <c r="C45" s="5">
        <v>305</v>
      </c>
      <c r="D45" s="21">
        <v>32.580100000000002</v>
      </c>
      <c r="E45" s="21">
        <f>IF((VLOOKUP(P45,deuda!A$1:H$550,4,0)=1),D45,0)</f>
        <v>32.580100000000002</v>
      </c>
      <c r="F45" s="5" t="s">
        <v>395</v>
      </c>
      <c r="G45" s="48"/>
      <c r="H45" s="636">
        <f t="shared" si="5"/>
        <v>32.580100000000002</v>
      </c>
      <c r="I45" s="620" t="e">
        <f t="shared" si="3"/>
        <v>#N/A</v>
      </c>
      <c r="J45" s="618" t="e">
        <f t="shared" si="4"/>
        <v>#N/A</v>
      </c>
      <c r="K45" s="125" t="e">
        <f t="shared" si="6"/>
        <v>#REF!</v>
      </c>
      <c r="L45" s="125" t="e">
        <f t="shared" si="7"/>
        <v>#REF!</v>
      </c>
      <c r="M45" s="5"/>
      <c r="N45" s="5"/>
      <c r="O45" s="5"/>
      <c r="P45" s="5" t="str">
        <f t="shared" si="8"/>
        <v>1213305</v>
      </c>
      <c r="Q45" s="6">
        <f>VLOOKUP(P45,deuda!A$1:H$550,4,0)</f>
        <v>1</v>
      </c>
      <c r="R45" s="6">
        <f>VLOOKUP(P45,deuda!A$1:H$550,5,0)</f>
        <v>1</v>
      </c>
      <c r="S45" s="6">
        <f>IF(VLOOKUP(P45,deuda!A$1:H$550,6,0)=0,"",VLOOKUP(P45,deuda!A$1:H$550,6,0))</f>
        <v>7113.41</v>
      </c>
      <c r="T45" s="149" t="str">
        <f>IF((VLOOKUP(P45,deuda!A$1:H$550,7,0))=0,"",VLOOKUP(P45,deuda!A$1:H$550,7,0))</f>
        <v/>
      </c>
      <c r="U45" s="153" t="str">
        <f>IF((VLOOKUP(P45,deuda!A$1:H$550,8,0))=0,"",VLOOKUP(P45,deuda!A$1:H$550,8,0))</f>
        <v/>
      </c>
    </row>
    <row r="46" spans="1:21">
      <c r="A46" s="35">
        <v>7</v>
      </c>
      <c r="B46" s="6">
        <v>1213</v>
      </c>
      <c r="C46" s="5">
        <v>304</v>
      </c>
      <c r="D46" s="21">
        <v>9.5116999999999994</v>
      </c>
      <c r="E46" s="21">
        <f>IF((VLOOKUP(P46,deuda!A$1:H$550,4,0)=1),D46,0)</f>
        <v>9.5116999999999994</v>
      </c>
      <c r="F46" s="5" t="s">
        <v>421</v>
      </c>
      <c r="G46" s="48"/>
      <c r="H46" s="636">
        <f t="shared" si="5"/>
        <v>9.5116999999999994</v>
      </c>
      <c r="I46" s="620" t="e">
        <f t="shared" si="3"/>
        <v>#N/A</v>
      </c>
      <c r="J46" s="618" t="e">
        <f t="shared" si="4"/>
        <v>#N/A</v>
      </c>
      <c r="K46" s="125" t="e">
        <f t="shared" si="6"/>
        <v>#REF!</v>
      </c>
      <c r="L46" s="125" t="e">
        <f t="shared" si="7"/>
        <v>#REF!</v>
      </c>
      <c r="M46" s="5"/>
      <c r="N46" s="5"/>
      <c r="O46" s="5"/>
      <c r="P46" s="5" t="str">
        <f t="shared" si="8"/>
        <v>1213304</v>
      </c>
      <c r="Q46" s="6">
        <f>VLOOKUP(P46,deuda!A$1:H$550,4,0)</f>
        <v>1</v>
      </c>
      <c r="R46" s="6">
        <f>VLOOKUP(P46,deuda!A$1:H$550,5,0)</f>
        <v>2</v>
      </c>
      <c r="S46" s="6">
        <f>IF(VLOOKUP(P46,deuda!A$1:H$550,6,0)=0,"",VLOOKUP(P46,deuda!A$1:H$550,6,0))</f>
        <v>7566.1</v>
      </c>
      <c r="T46" s="149" t="str">
        <f>IF((VLOOKUP(P46,deuda!A$1:H$550,7,0))=0,"",VLOOKUP(P46,deuda!A$1:H$550,7,0))</f>
        <v/>
      </c>
      <c r="U46" s="153" t="str">
        <f>IF((VLOOKUP(P46,deuda!A$1:H$550,8,0))=0,"",VLOOKUP(P46,deuda!A$1:H$550,8,0))</f>
        <v/>
      </c>
    </row>
    <row r="47" spans="1:21">
      <c r="A47" s="35">
        <v>8</v>
      </c>
      <c r="B47" s="6">
        <v>1213</v>
      </c>
      <c r="C47" s="5">
        <v>194</v>
      </c>
      <c r="D47" s="21">
        <v>6.1170999999999998</v>
      </c>
      <c r="E47" s="21">
        <f>IF((VLOOKUP(P47,deuda!A$1:H$550,4,0)=1),D47,0)</f>
        <v>6.1170999999999998</v>
      </c>
      <c r="F47" s="5" t="s">
        <v>422</v>
      </c>
      <c r="G47" s="48"/>
      <c r="H47" s="636">
        <f t="shared" si="5"/>
        <v>6.1170999999999998</v>
      </c>
      <c r="I47" s="620" t="e">
        <f t="shared" si="3"/>
        <v>#N/A</v>
      </c>
      <c r="J47" s="618" t="e">
        <f t="shared" si="4"/>
        <v>#N/A</v>
      </c>
      <c r="K47" s="125" t="e">
        <f t="shared" si="6"/>
        <v>#REF!</v>
      </c>
      <c r="L47" s="125" t="e">
        <f t="shared" si="7"/>
        <v>#REF!</v>
      </c>
      <c r="M47" s="5"/>
      <c r="N47" s="5"/>
      <c r="O47" s="5"/>
      <c r="P47" s="5" t="str">
        <f t="shared" si="8"/>
        <v>1213194</v>
      </c>
      <c r="Q47" s="6">
        <f>VLOOKUP(P47,deuda!A$1:H$550,4,0)</f>
        <v>1</v>
      </c>
      <c r="R47" s="6">
        <f>VLOOKUP(P47,deuda!A$1:H$550,5,0)</f>
        <v>1</v>
      </c>
      <c r="S47" s="6">
        <f>IF(VLOOKUP(P47,deuda!A$1:H$550,6,0)=0,"",VLOOKUP(P47,deuda!A$1:H$550,6,0))</f>
        <v>1468.75</v>
      </c>
      <c r="T47" s="149" t="str">
        <f>IF((VLOOKUP(P47,deuda!A$1:H$550,7,0))=0,"",VLOOKUP(P47,deuda!A$1:H$550,7,0))</f>
        <v/>
      </c>
      <c r="U47" s="153" t="str">
        <f>IF((VLOOKUP(P47,deuda!A$1:H$550,8,0))=0,"",VLOOKUP(P47,deuda!A$1:H$550,8,0))</f>
        <v/>
      </c>
    </row>
    <row r="48" spans="1:21">
      <c r="A48" s="35">
        <v>9</v>
      </c>
      <c r="B48" s="6">
        <v>1213</v>
      </c>
      <c r="C48" s="5">
        <v>259</v>
      </c>
      <c r="D48" s="21">
        <v>0.80359999999999998</v>
      </c>
      <c r="E48" s="21" t="e">
        <f>IF((VLOOKUP(P48,deuda!A$1:H$550,4,0)=1),D48,0)</f>
        <v>#N/A</v>
      </c>
      <c r="F48" s="5" t="s">
        <v>423</v>
      </c>
      <c r="G48" s="48"/>
      <c r="H48" s="636" t="e">
        <f t="shared" si="5"/>
        <v>#N/A</v>
      </c>
      <c r="I48" s="620" t="e">
        <f t="shared" si="3"/>
        <v>#N/A</v>
      </c>
      <c r="J48" s="618" t="e">
        <f t="shared" si="4"/>
        <v>#N/A</v>
      </c>
      <c r="K48" s="125" t="e">
        <f t="shared" si="6"/>
        <v>#REF!</v>
      </c>
      <c r="L48" s="125" t="e">
        <f t="shared" si="7"/>
        <v>#REF!</v>
      </c>
      <c r="M48" s="5"/>
      <c r="N48" s="5"/>
      <c r="O48" s="5"/>
      <c r="P48" s="5" t="str">
        <f t="shared" si="8"/>
        <v>1213259</v>
      </c>
      <c r="Q48" s="6" t="e">
        <f>VLOOKUP(P48,deuda!A$1:H$550,4,0)</f>
        <v>#N/A</v>
      </c>
      <c r="R48" s="6" t="e">
        <f>VLOOKUP(P48,deuda!A$1:H$550,5,0)</f>
        <v>#N/A</v>
      </c>
      <c r="S48" s="6" t="e">
        <f>IF(VLOOKUP(P48,deuda!A$1:H$550,6,0)=0,"",VLOOKUP(P48,deuda!A$1:H$550,6,0))</f>
        <v>#N/A</v>
      </c>
      <c r="T48" s="149" t="e">
        <f>IF((VLOOKUP(P48,deuda!A$1:H$550,7,0))=0,"",VLOOKUP(P48,deuda!A$1:H$550,7,0))</f>
        <v>#N/A</v>
      </c>
      <c r="U48" s="153" t="e">
        <f>IF((VLOOKUP(P48,deuda!A$1:H$550,8,0))=0,"",VLOOKUP(P48,deuda!A$1:H$550,8,0))</f>
        <v>#N/A</v>
      </c>
    </row>
    <row r="49" spans="1:21">
      <c r="A49" s="35">
        <v>10</v>
      </c>
      <c r="B49" s="6">
        <v>1213</v>
      </c>
      <c r="C49" s="5">
        <v>260</v>
      </c>
      <c r="D49" s="21">
        <v>0.69989999999999997</v>
      </c>
      <c r="E49" s="21">
        <f>IF((VLOOKUP(P49,deuda!A$1:H$550,4,0)=1),D49,0)</f>
        <v>0.69989999999999997</v>
      </c>
      <c r="F49" s="5" t="s">
        <v>424</v>
      </c>
      <c r="G49" s="48"/>
      <c r="H49" s="636">
        <f t="shared" ref="H49:H70" si="9">E49</f>
        <v>0.69989999999999997</v>
      </c>
      <c r="I49" s="620" t="e">
        <f t="shared" si="3"/>
        <v>#N/A</v>
      </c>
      <c r="J49" s="618" t="e">
        <f t="shared" si="4"/>
        <v>#N/A</v>
      </c>
      <c r="K49" s="125" t="e">
        <f t="shared" si="6"/>
        <v>#REF!</v>
      </c>
      <c r="L49" s="125" t="e">
        <f t="shared" ref="L49:L70" si="10">+K49+J49</f>
        <v>#REF!</v>
      </c>
      <c r="M49" s="5"/>
      <c r="N49" s="5"/>
      <c r="O49" s="5"/>
      <c r="P49" s="5" t="str">
        <f t="shared" ref="P49:P70" si="11">+CONCATENATE(B49,C49)</f>
        <v>1213260</v>
      </c>
      <c r="Q49" s="6">
        <f>VLOOKUP(P49,deuda!A$1:H$550,4,0)</f>
        <v>1</v>
      </c>
      <c r="R49" s="6">
        <f>VLOOKUP(P49,deuda!A$1:H$550,5,0)</f>
        <v>1</v>
      </c>
      <c r="S49" s="6">
        <f>IF(VLOOKUP(P49,deuda!A$1:H$550,6,0)=0,"",VLOOKUP(P49,deuda!A$1:H$550,6,0))</f>
        <v>182.19</v>
      </c>
      <c r="T49" s="149" t="str">
        <f>IF((VLOOKUP(P49,deuda!A$1:H$550,7,0))=0,"",VLOOKUP(P49,deuda!A$1:H$550,7,0))</f>
        <v/>
      </c>
      <c r="U49" s="153" t="str">
        <f>IF((VLOOKUP(P49,deuda!A$1:H$550,8,0))=0,"",VLOOKUP(P49,deuda!A$1:H$550,8,0))</f>
        <v/>
      </c>
    </row>
    <row r="50" spans="1:21">
      <c r="A50" s="35">
        <v>11</v>
      </c>
      <c r="B50" s="6">
        <v>1213</v>
      </c>
      <c r="C50" s="5">
        <v>261</v>
      </c>
      <c r="D50" s="21">
        <v>0.68989999999999996</v>
      </c>
      <c r="E50" s="21">
        <f>IF((VLOOKUP(P50,deuda!A$1:H$550,4,0)=1),D50,0)</f>
        <v>0.68989999999999996</v>
      </c>
      <c r="F50" s="5" t="s">
        <v>425</v>
      </c>
      <c r="G50" s="48"/>
      <c r="H50" s="636">
        <f t="shared" si="9"/>
        <v>0.68989999999999996</v>
      </c>
      <c r="I50" s="620" t="e">
        <f t="shared" si="3"/>
        <v>#N/A</v>
      </c>
      <c r="J50" s="618" t="e">
        <f t="shared" si="4"/>
        <v>#N/A</v>
      </c>
      <c r="K50" s="125" t="e">
        <f t="shared" si="6"/>
        <v>#REF!</v>
      </c>
      <c r="L50" s="125" t="e">
        <f t="shared" si="10"/>
        <v>#REF!</v>
      </c>
      <c r="M50" s="5"/>
      <c r="N50" s="5"/>
      <c r="O50" s="5"/>
      <c r="P50" s="5" t="str">
        <f t="shared" si="11"/>
        <v>1213261</v>
      </c>
      <c r="Q50" s="6">
        <f>VLOOKUP(P50,deuda!A$1:H$550,4,0)</f>
        <v>1</v>
      </c>
      <c r="R50" s="6">
        <f>VLOOKUP(P50,deuda!A$1:H$550,5,0)</f>
        <v>0</v>
      </c>
      <c r="S50" s="6" t="str">
        <f>IF(VLOOKUP(P50,deuda!A$1:H$550,6,0)=0,"",VLOOKUP(P50,deuda!A$1:H$550,6,0))</f>
        <v/>
      </c>
      <c r="T50" s="149" t="str">
        <f>IF((VLOOKUP(P50,deuda!A$1:H$550,7,0))=0,"",VLOOKUP(P50,deuda!A$1:H$550,7,0))</f>
        <v/>
      </c>
      <c r="U50" s="153" t="str">
        <f>IF((VLOOKUP(P50,deuda!A$1:H$550,8,0))=0,"",VLOOKUP(P50,deuda!A$1:H$550,8,0))</f>
        <v/>
      </c>
    </row>
    <row r="51" spans="1:21">
      <c r="A51" s="35">
        <v>12</v>
      </c>
      <c r="B51" s="6">
        <v>1213</v>
      </c>
      <c r="C51" s="5">
        <v>262</v>
      </c>
      <c r="D51" s="21">
        <v>0.67989999999999995</v>
      </c>
      <c r="E51" s="21">
        <f>IF((VLOOKUP(P51,deuda!A$1:H$550,4,0)=1),D51,0)</f>
        <v>0</v>
      </c>
      <c r="F51" s="5" t="s">
        <v>426</v>
      </c>
      <c r="G51" s="48"/>
      <c r="H51" s="636">
        <f t="shared" si="9"/>
        <v>0</v>
      </c>
      <c r="I51" s="620" t="e">
        <f t="shared" si="3"/>
        <v>#N/A</v>
      </c>
      <c r="J51" s="618" t="e">
        <f t="shared" si="4"/>
        <v>#N/A</v>
      </c>
      <c r="K51" s="125" t="e">
        <f t="shared" si="6"/>
        <v>#REF!</v>
      </c>
      <c r="L51" s="125" t="e">
        <f t="shared" si="10"/>
        <v>#REF!</v>
      </c>
      <c r="M51" s="5"/>
      <c r="N51" s="5"/>
      <c r="O51" s="5"/>
      <c r="P51" s="5" t="str">
        <f t="shared" si="11"/>
        <v>1213262</v>
      </c>
      <c r="Q51" s="6">
        <f>VLOOKUP(P51,deuda!A$1:H$550,4,0)</f>
        <v>0</v>
      </c>
      <c r="R51" s="6">
        <f>VLOOKUP(P51,deuda!A$1:H$550,5,0)</f>
        <v>13</v>
      </c>
      <c r="S51" s="6">
        <f>IF(VLOOKUP(P51,deuda!A$1:H$550,6,0)=0,"",VLOOKUP(P51,deuda!A$1:H$550,6,0))</f>
        <v>4809.5200000000004</v>
      </c>
      <c r="T51" s="149" t="str">
        <f>IF((VLOOKUP(P51,deuda!A$1:H$550,7,0))=0,"",VLOOKUP(P51,deuda!A$1:H$550,7,0))</f>
        <v/>
      </c>
      <c r="U51" s="153" t="str">
        <f>IF((VLOOKUP(P51,deuda!A$1:H$550,8,0))=0,"",VLOOKUP(P51,deuda!A$1:H$550,8,0))</f>
        <v/>
      </c>
    </row>
    <row r="52" spans="1:21">
      <c r="A52" s="35">
        <v>13</v>
      </c>
      <c r="B52" s="6">
        <v>1213</v>
      </c>
      <c r="C52" s="5">
        <v>17</v>
      </c>
      <c r="D52" s="21">
        <v>0.35780000000000001</v>
      </c>
      <c r="E52" s="21">
        <f>IF((VLOOKUP(P52,deuda!A$1:H$550,4,0)=1),D52,0)</f>
        <v>0</v>
      </c>
      <c r="F52" s="5" t="s">
        <v>427</v>
      </c>
      <c r="G52" s="48"/>
      <c r="H52" s="636">
        <f t="shared" si="9"/>
        <v>0</v>
      </c>
      <c r="I52" s="620" t="e">
        <f t="shared" si="3"/>
        <v>#N/A</v>
      </c>
      <c r="J52" s="618" t="e">
        <f t="shared" si="4"/>
        <v>#N/A</v>
      </c>
      <c r="K52" s="125" t="e">
        <f t="shared" si="6"/>
        <v>#REF!</v>
      </c>
      <c r="L52" s="125" t="e">
        <f t="shared" si="10"/>
        <v>#REF!</v>
      </c>
      <c r="M52" s="5"/>
      <c r="N52" s="5"/>
      <c r="O52" s="5"/>
      <c r="P52" s="5" t="str">
        <f t="shared" si="11"/>
        <v>121317</v>
      </c>
      <c r="Q52" s="6">
        <f>VLOOKUP(P52,deuda!A$1:H$550,4,0)</f>
        <v>0</v>
      </c>
      <c r="R52" s="6">
        <f>VLOOKUP(P52,deuda!A$1:H$550,5,0)</f>
        <v>6</v>
      </c>
      <c r="S52" s="6">
        <f>IF(VLOOKUP(P52,deuda!A$1:H$550,6,0)=0,"",VLOOKUP(P52,deuda!A$1:H$550,6,0))</f>
        <v>1475.46</v>
      </c>
      <c r="T52" s="149" t="str">
        <f>IF((VLOOKUP(P52,deuda!A$1:H$550,7,0))=0,"",VLOOKUP(P52,deuda!A$1:H$550,7,0))</f>
        <v/>
      </c>
      <c r="U52" s="153" t="str">
        <f>IF((VLOOKUP(P52,deuda!A$1:H$550,8,0))=0,"",VLOOKUP(P52,deuda!A$1:H$550,8,0))</f>
        <v/>
      </c>
    </row>
    <row r="53" spans="1:21">
      <c r="A53" s="35">
        <v>14</v>
      </c>
      <c r="B53" s="6">
        <v>1213</v>
      </c>
      <c r="C53" s="5">
        <v>164</v>
      </c>
      <c r="D53" s="21">
        <v>0.17349999999999999</v>
      </c>
      <c r="E53" s="21">
        <f>IF((VLOOKUP(P53,deuda!A$1:H$550,4,0)=1),D53,0)</f>
        <v>0</v>
      </c>
      <c r="F53" s="5" t="s">
        <v>428</v>
      </c>
      <c r="G53" s="48"/>
      <c r="H53" s="636">
        <f t="shared" si="9"/>
        <v>0</v>
      </c>
      <c r="I53" s="620" t="e">
        <f t="shared" si="3"/>
        <v>#N/A</v>
      </c>
      <c r="J53" s="618" t="e">
        <f t="shared" si="4"/>
        <v>#N/A</v>
      </c>
      <c r="K53" s="125" t="e">
        <f t="shared" si="6"/>
        <v>#REF!</v>
      </c>
      <c r="L53" s="125" t="e">
        <f t="shared" si="10"/>
        <v>#REF!</v>
      </c>
      <c r="M53" s="5"/>
      <c r="N53" s="5"/>
      <c r="O53" s="5"/>
      <c r="P53" s="5" t="str">
        <f t="shared" si="11"/>
        <v>1213164</v>
      </c>
      <c r="Q53" s="6">
        <f>VLOOKUP(P53,deuda!A$1:H$550,4,0)</f>
        <v>0</v>
      </c>
      <c r="R53" s="6">
        <f>VLOOKUP(P53,deuda!A$1:H$550,5,0)</f>
        <v>196</v>
      </c>
      <c r="S53" s="6">
        <f>IF(VLOOKUP(P53,deuda!A$1:H$550,6,0)=0,"",VLOOKUP(P53,deuda!A$1:H$550,6,0))</f>
        <v>46639.91</v>
      </c>
      <c r="T53" s="149" t="str">
        <f>IF((VLOOKUP(P53,deuda!A$1:H$550,7,0))=0,"",VLOOKUP(P53,deuda!A$1:H$550,7,0))</f>
        <v/>
      </c>
      <c r="U53" s="153" t="str">
        <f>IF((VLOOKUP(P53,deuda!A$1:H$550,8,0))=0,"",VLOOKUP(P53,deuda!A$1:H$550,8,0))</f>
        <v/>
      </c>
    </row>
    <row r="54" spans="1:21">
      <c r="A54" s="35">
        <v>15</v>
      </c>
      <c r="B54" s="6">
        <v>1213</v>
      </c>
      <c r="C54" s="5">
        <v>214</v>
      </c>
      <c r="D54" s="21">
        <v>0.17030000000000001</v>
      </c>
      <c r="E54" s="21" t="e">
        <f>IF((VLOOKUP(P54,deuda!A$1:H$550,4,0)=1),D54,0)</f>
        <v>#N/A</v>
      </c>
      <c r="F54" s="5" t="s">
        <v>429</v>
      </c>
      <c r="G54" s="5"/>
      <c r="H54" s="636" t="e">
        <f t="shared" si="9"/>
        <v>#N/A</v>
      </c>
      <c r="I54" s="620" t="e">
        <f t="shared" si="3"/>
        <v>#N/A</v>
      </c>
      <c r="J54" s="618" t="e">
        <f t="shared" si="4"/>
        <v>#N/A</v>
      </c>
      <c r="K54" s="125" t="e">
        <f t="shared" si="6"/>
        <v>#REF!</v>
      </c>
      <c r="L54" s="125" t="e">
        <f t="shared" si="10"/>
        <v>#REF!</v>
      </c>
      <c r="M54" s="5"/>
      <c r="N54" s="5"/>
      <c r="O54" s="5"/>
      <c r="P54" s="5" t="str">
        <f t="shared" si="11"/>
        <v>1213214</v>
      </c>
      <c r="Q54" s="6" t="e">
        <f>VLOOKUP(P54,deuda!A$1:H$550,4,0)</f>
        <v>#N/A</v>
      </c>
      <c r="R54" s="6" t="e">
        <f>VLOOKUP(P54,deuda!A$1:H$550,5,0)</f>
        <v>#N/A</v>
      </c>
      <c r="S54" s="6" t="e">
        <f>IF(VLOOKUP(P54,deuda!A$1:H$550,6,0)=0,"",VLOOKUP(P54,deuda!A$1:H$550,6,0))</f>
        <v>#N/A</v>
      </c>
      <c r="T54" s="149" t="e">
        <f>IF((VLOOKUP(P54,deuda!A$1:H$550,7,0))=0,"",VLOOKUP(P54,deuda!A$1:H$550,7,0))</f>
        <v>#N/A</v>
      </c>
      <c r="U54" s="153" t="e">
        <f>IF((VLOOKUP(P54,deuda!A$1:H$550,8,0))=0,"",VLOOKUP(P54,deuda!A$1:H$550,8,0))</f>
        <v>#N/A</v>
      </c>
    </row>
    <row r="55" spans="1:21">
      <c r="A55" s="35">
        <v>16</v>
      </c>
      <c r="B55" s="6">
        <v>1213</v>
      </c>
      <c r="C55" s="5">
        <v>81</v>
      </c>
      <c r="D55" s="21">
        <v>0.7</v>
      </c>
      <c r="E55" s="21">
        <f>IF((VLOOKUP(P55,deuda!A$1:H$550,4,0)=1),D55,0)</f>
        <v>0</v>
      </c>
      <c r="F55" s="5" t="s">
        <v>430</v>
      </c>
      <c r="G55" s="48"/>
      <c r="H55" s="636">
        <f t="shared" si="9"/>
        <v>0</v>
      </c>
      <c r="I55" s="620" t="e">
        <f t="shared" si="3"/>
        <v>#N/A</v>
      </c>
      <c r="J55" s="618" t="e">
        <f t="shared" si="4"/>
        <v>#N/A</v>
      </c>
      <c r="K55" s="125" t="e">
        <f t="shared" si="6"/>
        <v>#REF!</v>
      </c>
      <c r="L55" s="125" t="e">
        <f t="shared" si="10"/>
        <v>#REF!</v>
      </c>
      <c r="M55" s="5"/>
      <c r="N55" s="5"/>
      <c r="O55" s="5"/>
      <c r="P55" s="5" t="str">
        <f t="shared" si="11"/>
        <v>121381</v>
      </c>
      <c r="Q55" s="6">
        <f>VLOOKUP(P55,deuda!A$1:H$550,4,0)</f>
        <v>0</v>
      </c>
      <c r="R55" s="6">
        <f>VLOOKUP(P55,deuda!A$1:H$550,5,0)</f>
        <v>132</v>
      </c>
      <c r="S55" s="6">
        <f>IF(VLOOKUP(P55,deuda!A$1:H$550,6,0)=0,"",VLOOKUP(P55,deuda!A$1:H$550,6,0))</f>
        <v>28751.48</v>
      </c>
      <c r="T55" s="149" t="str">
        <f>IF((VLOOKUP(P55,deuda!A$1:H$550,7,0))=0,"",VLOOKUP(P55,deuda!A$1:H$550,7,0))</f>
        <v/>
      </c>
      <c r="U55" s="153" t="str">
        <f>IF((VLOOKUP(P55,deuda!A$1:H$550,8,0))=0,"",VLOOKUP(P55,deuda!A$1:H$550,8,0))</f>
        <v/>
      </c>
    </row>
    <row r="56" spans="1:21">
      <c r="A56" s="35">
        <v>17</v>
      </c>
      <c r="B56" s="6">
        <v>1213</v>
      </c>
      <c r="C56" s="5">
        <v>80</v>
      </c>
      <c r="D56" s="21">
        <v>0.32269999999999999</v>
      </c>
      <c r="E56" s="21">
        <f>IF((VLOOKUP(P56,deuda!A$1:H$550,4,0)=1),D56,0)</f>
        <v>0.32269999999999999</v>
      </c>
      <c r="F56" s="5" t="s">
        <v>431</v>
      </c>
      <c r="G56" s="48"/>
      <c r="H56" s="636">
        <f t="shared" si="9"/>
        <v>0.32269999999999999</v>
      </c>
      <c r="I56" s="620" t="e">
        <f t="shared" si="3"/>
        <v>#N/A</v>
      </c>
      <c r="J56" s="618" t="e">
        <f t="shared" si="4"/>
        <v>#N/A</v>
      </c>
      <c r="K56" s="125" t="e">
        <f t="shared" si="6"/>
        <v>#REF!</v>
      </c>
      <c r="L56" s="125" t="e">
        <f t="shared" si="10"/>
        <v>#REF!</v>
      </c>
      <c r="M56" s="5"/>
      <c r="N56" s="5"/>
      <c r="O56" s="5"/>
      <c r="P56" s="5" t="str">
        <f t="shared" si="11"/>
        <v>121380</v>
      </c>
      <c r="Q56" s="6">
        <f>VLOOKUP(P56,deuda!A$1:H$550,4,0)</f>
        <v>1</v>
      </c>
      <c r="R56" s="6">
        <f>VLOOKUP(P56,deuda!A$1:H$550,5,0)</f>
        <v>2</v>
      </c>
      <c r="S56" s="6">
        <f>IF(VLOOKUP(P56,deuda!A$1:H$550,6,0)=0,"",VLOOKUP(P56,deuda!A$1:H$550,6,0))</f>
        <v>4551.6400000000003</v>
      </c>
      <c r="T56" s="149" t="str">
        <f>IF((VLOOKUP(P56,deuda!A$1:H$550,7,0))=0,"",VLOOKUP(P56,deuda!A$1:H$550,7,0))</f>
        <v/>
      </c>
      <c r="U56" s="153" t="str">
        <f>IF((VLOOKUP(P56,deuda!A$1:H$550,8,0))=0,"",VLOOKUP(P56,deuda!A$1:H$550,8,0))</f>
        <v/>
      </c>
    </row>
    <row r="57" spans="1:21">
      <c r="A57" s="35">
        <v>18</v>
      </c>
      <c r="B57" s="6">
        <v>1213</v>
      </c>
      <c r="C57" s="5">
        <v>82</v>
      </c>
      <c r="D57" s="21">
        <v>0.65</v>
      </c>
      <c r="E57" s="21">
        <f>IF((VLOOKUP(P57,deuda!A$1:H$550,4,0)=1),D57,0)</f>
        <v>0</v>
      </c>
      <c r="F57" s="5" t="s">
        <v>432</v>
      </c>
      <c r="G57" s="48"/>
      <c r="H57" s="636">
        <f t="shared" si="9"/>
        <v>0</v>
      </c>
      <c r="I57" s="620" t="e">
        <f t="shared" si="3"/>
        <v>#N/A</v>
      </c>
      <c r="J57" s="618" t="e">
        <f t="shared" si="4"/>
        <v>#N/A</v>
      </c>
      <c r="K57" s="125" t="e">
        <f t="shared" si="6"/>
        <v>#REF!</v>
      </c>
      <c r="L57" s="125" t="e">
        <f t="shared" si="10"/>
        <v>#REF!</v>
      </c>
      <c r="M57" s="5"/>
      <c r="N57" s="5"/>
      <c r="O57" s="5"/>
      <c r="P57" s="5" t="str">
        <f t="shared" si="11"/>
        <v>121382</v>
      </c>
      <c r="Q57" s="6">
        <f>VLOOKUP(P57,deuda!A$1:H$550,4,0)</f>
        <v>0</v>
      </c>
      <c r="R57" s="6">
        <f>VLOOKUP(P57,deuda!A$1:H$550,5,0)</f>
        <v>162</v>
      </c>
      <c r="S57" s="6">
        <f>IF(VLOOKUP(P57,deuda!A$1:H$550,6,0)=0,"",VLOOKUP(P57,deuda!A$1:H$550,6,0))</f>
        <v>36734.769999999997</v>
      </c>
      <c r="T57" s="149" t="str">
        <f>IF((VLOOKUP(P57,deuda!A$1:H$550,7,0))=0,"",VLOOKUP(P57,deuda!A$1:H$550,7,0))</f>
        <v/>
      </c>
      <c r="U57" s="153" t="str">
        <f>IF((VLOOKUP(P57,deuda!A$1:H$550,8,0))=0,"",VLOOKUP(P57,deuda!A$1:H$550,8,0))</f>
        <v/>
      </c>
    </row>
    <row r="58" spans="1:21">
      <c r="A58" s="35">
        <v>19</v>
      </c>
      <c r="B58" s="6">
        <v>1213</v>
      </c>
      <c r="C58" s="5">
        <v>83</v>
      </c>
      <c r="D58" s="21">
        <v>6.4714</v>
      </c>
      <c r="E58" s="21" t="e">
        <f>IF((VLOOKUP(P58,deuda!A$1:H$550,4,0)=1),D58,0)</f>
        <v>#N/A</v>
      </c>
      <c r="F58" s="5" t="s">
        <v>433</v>
      </c>
      <c r="G58" s="48"/>
      <c r="H58" s="636" t="e">
        <f t="shared" si="9"/>
        <v>#N/A</v>
      </c>
      <c r="I58" s="620" t="e">
        <f t="shared" si="3"/>
        <v>#N/A</v>
      </c>
      <c r="J58" s="618" t="e">
        <f t="shared" si="4"/>
        <v>#N/A</v>
      </c>
      <c r="K58" s="125" t="e">
        <f t="shared" si="6"/>
        <v>#REF!</v>
      </c>
      <c r="L58" s="125" t="e">
        <f t="shared" si="10"/>
        <v>#REF!</v>
      </c>
      <c r="M58" s="5"/>
      <c r="N58" s="5"/>
      <c r="O58" s="5"/>
      <c r="P58" s="5" t="str">
        <f t="shared" si="11"/>
        <v>121383</v>
      </c>
      <c r="Q58" s="6" t="e">
        <f>VLOOKUP(P58,deuda!A$1:H$550,4,0)</f>
        <v>#N/A</v>
      </c>
      <c r="R58" s="6" t="e">
        <f>VLOOKUP(P58,deuda!A$1:H$550,5,0)</f>
        <v>#N/A</v>
      </c>
      <c r="S58" s="6" t="e">
        <f>IF(VLOOKUP(P58,deuda!A$1:H$550,6,0)=0,"",VLOOKUP(P58,deuda!A$1:H$550,6,0))</f>
        <v>#N/A</v>
      </c>
      <c r="T58" s="149" t="e">
        <f>IF((VLOOKUP(P58,deuda!A$1:H$550,7,0))=0,"",VLOOKUP(P58,deuda!A$1:H$550,7,0))</f>
        <v>#N/A</v>
      </c>
      <c r="U58" s="153" t="e">
        <f>IF((VLOOKUP(P58,deuda!A$1:H$550,8,0))=0,"",VLOOKUP(P58,deuda!A$1:H$550,8,0))</f>
        <v>#N/A</v>
      </c>
    </row>
    <row r="59" spans="1:21">
      <c r="A59" s="35">
        <v>20</v>
      </c>
      <c r="B59" s="6">
        <v>1213</v>
      </c>
      <c r="C59" s="5">
        <v>243</v>
      </c>
      <c r="D59" s="21">
        <v>0.1162</v>
      </c>
      <c r="E59" s="21">
        <f>IF((VLOOKUP(P59,deuda!A$1:H$550,4,0)=1),D59,0)</f>
        <v>0</v>
      </c>
      <c r="F59" s="5" t="s">
        <v>367</v>
      </c>
      <c r="G59" s="5"/>
      <c r="H59" s="636">
        <f t="shared" si="9"/>
        <v>0</v>
      </c>
      <c r="I59" s="620" t="e">
        <f t="shared" si="3"/>
        <v>#N/A</v>
      </c>
      <c r="J59" s="618" t="e">
        <f t="shared" si="4"/>
        <v>#N/A</v>
      </c>
      <c r="K59" s="125" t="e">
        <f t="shared" si="6"/>
        <v>#REF!</v>
      </c>
      <c r="L59" s="125" t="e">
        <f t="shared" si="10"/>
        <v>#REF!</v>
      </c>
      <c r="M59" s="5"/>
      <c r="N59" s="5"/>
      <c r="O59" s="5"/>
      <c r="P59" s="5" t="str">
        <f t="shared" si="11"/>
        <v>1213243</v>
      </c>
      <c r="Q59" s="6">
        <f>VLOOKUP(P59,deuda!A$1:H$550,4,0)</f>
        <v>0</v>
      </c>
      <c r="R59" s="6">
        <f>VLOOKUP(P59,deuda!A$1:H$550,5,0)</f>
        <v>4</v>
      </c>
      <c r="S59" s="6">
        <f>IF(VLOOKUP(P59,deuda!A$1:H$550,6,0)=0,"",VLOOKUP(P59,deuda!A$1:H$550,6,0))</f>
        <v>981.72</v>
      </c>
      <c r="T59" s="149" t="str">
        <f>IF((VLOOKUP(P59,deuda!A$1:H$550,7,0))=0,"",VLOOKUP(P59,deuda!A$1:H$550,7,0))</f>
        <v/>
      </c>
      <c r="U59" s="153" t="str">
        <f>IF((VLOOKUP(P59,deuda!A$1:H$550,8,0))=0,"",VLOOKUP(P59,deuda!A$1:H$550,8,0))</f>
        <v/>
      </c>
    </row>
    <row r="60" spans="1:21">
      <c r="A60" s="35">
        <v>20</v>
      </c>
      <c r="B60" s="6">
        <v>1213</v>
      </c>
      <c r="C60" s="5">
        <v>248</v>
      </c>
      <c r="D60" s="21">
        <v>1</v>
      </c>
      <c r="E60" s="21">
        <f>IF((VLOOKUP(P60,deuda!A$1:H$550,4,0)=1),D60,0)</f>
        <v>0</v>
      </c>
      <c r="F60" s="5" t="s">
        <v>367</v>
      </c>
      <c r="G60" s="5"/>
      <c r="H60" s="636">
        <f t="shared" si="9"/>
        <v>0</v>
      </c>
      <c r="I60" s="620" t="e">
        <f t="shared" si="3"/>
        <v>#N/A</v>
      </c>
      <c r="J60" s="618" t="e">
        <f t="shared" si="4"/>
        <v>#N/A</v>
      </c>
      <c r="K60" s="125" t="e">
        <f t="shared" si="6"/>
        <v>#REF!</v>
      </c>
      <c r="L60" s="125" t="e">
        <f t="shared" si="10"/>
        <v>#REF!</v>
      </c>
      <c r="M60" s="5"/>
      <c r="N60" s="5"/>
      <c r="O60" s="5"/>
      <c r="P60" s="5" t="str">
        <f t="shared" si="11"/>
        <v>1213248</v>
      </c>
      <c r="Q60" s="6">
        <f>VLOOKUP(P60,deuda!A$1:H$550,4,0)</f>
        <v>0</v>
      </c>
      <c r="R60" s="6">
        <f>VLOOKUP(P60,deuda!A$1:H$550,5,0)</f>
        <v>4</v>
      </c>
      <c r="S60" s="6">
        <f>IF(VLOOKUP(P60,deuda!A$1:H$550,6,0)=0,"",VLOOKUP(P60,deuda!A$1:H$550,6,0))</f>
        <v>1307.81</v>
      </c>
      <c r="T60" s="149" t="str">
        <f>IF((VLOOKUP(P60,deuda!A$1:H$550,7,0))=0,"",VLOOKUP(P60,deuda!A$1:H$550,7,0))</f>
        <v/>
      </c>
      <c r="U60" s="153" t="str">
        <f>IF((VLOOKUP(P60,deuda!A$1:H$550,8,0))=0,"",VLOOKUP(P60,deuda!A$1:H$550,8,0))</f>
        <v/>
      </c>
    </row>
    <row r="61" spans="1:21">
      <c r="A61" s="35">
        <v>20</v>
      </c>
      <c r="B61" s="6">
        <v>1213</v>
      </c>
      <c r="C61" s="5">
        <v>283</v>
      </c>
      <c r="D61" s="21">
        <v>0.1162</v>
      </c>
      <c r="E61" s="21">
        <f>IF((VLOOKUP(P61,deuda!A$1:H$550,4,0)=1),D61,0)</f>
        <v>0</v>
      </c>
      <c r="F61" s="5" t="s">
        <v>367</v>
      </c>
      <c r="G61" s="5"/>
      <c r="H61" s="636">
        <f t="shared" si="9"/>
        <v>0</v>
      </c>
      <c r="I61" s="620" t="e">
        <f t="shared" si="3"/>
        <v>#N/A</v>
      </c>
      <c r="J61" s="618" t="e">
        <f t="shared" si="4"/>
        <v>#N/A</v>
      </c>
      <c r="K61" s="125" t="e">
        <f t="shared" si="6"/>
        <v>#REF!</v>
      </c>
      <c r="L61" s="125" t="e">
        <f t="shared" si="10"/>
        <v>#REF!</v>
      </c>
      <c r="M61" s="5"/>
      <c r="N61" s="5"/>
      <c r="O61" s="5"/>
      <c r="P61" s="5" t="str">
        <f t="shared" si="11"/>
        <v>1213283</v>
      </c>
      <c r="Q61" s="6">
        <f>VLOOKUP(P61,deuda!A$1:H$550,4,0)</f>
        <v>0</v>
      </c>
      <c r="R61" s="6">
        <f>VLOOKUP(P61,deuda!A$1:H$550,5,0)</f>
        <v>4</v>
      </c>
      <c r="S61" s="6">
        <f>IF(VLOOKUP(P61,deuda!A$1:H$550,6,0)=0,"",VLOOKUP(P61,deuda!A$1:H$550,6,0))</f>
        <v>1307.81</v>
      </c>
      <c r="T61" s="149" t="str">
        <f>IF((VLOOKUP(P61,deuda!A$1:H$550,7,0))=0,"",VLOOKUP(P61,deuda!A$1:H$550,7,0))</f>
        <v/>
      </c>
      <c r="U61" s="153" t="str">
        <f>IF((VLOOKUP(P61,deuda!A$1:H$550,8,0))=0,"",VLOOKUP(P61,deuda!A$1:H$550,8,0))</f>
        <v/>
      </c>
    </row>
    <row r="62" spans="1:21">
      <c r="A62" s="35">
        <v>20</v>
      </c>
      <c r="B62" s="6">
        <v>1213</v>
      </c>
      <c r="C62" s="5">
        <v>247</v>
      </c>
      <c r="D62" s="21">
        <v>11.038</v>
      </c>
      <c r="E62" s="21">
        <f>IF((VLOOKUP(P62,deuda!A$1:H$550,4,0)=1),D62,0)</f>
        <v>0</v>
      </c>
      <c r="F62" s="5" t="s">
        <v>367</v>
      </c>
      <c r="G62" s="48"/>
      <c r="H62" s="636">
        <f t="shared" si="9"/>
        <v>0</v>
      </c>
      <c r="I62" s="620" t="e">
        <f t="shared" si="3"/>
        <v>#N/A</v>
      </c>
      <c r="J62" s="618" t="e">
        <f t="shared" si="4"/>
        <v>#N/A</v>
      </c>
      <c r="K62" s="125" t="e">
        <f t="shared" si="6"/>
        <v>#REF!</v>
      </c>
      <c r="L62" s="125" t="e">
        <f t="shared" si="10"/>
        <v>#REF!</v>
      </c>
      <c r="M62" s="5"/>
      <c r="N62" s="5"/>
      <c r="O62" s="5"/>
      <c r="P62" s="5" t="str">
        <f t="shared" si="11"/>
        <v>1213247</v>
      </c>
      <c r="Q62" s="6">
        <f>VLOOKUP(P62,deuda!A$1:H$550,4,0)</f>
        <v>0</v>
      </c>
      <c r="R62" s="6">
        <f>VLOOKUP(P62,deuda!A$1:H$550,5,0)</f>
        <v>4</v>
      </c>
      <c r="S62" s="6">
        <f>IF(VLOOKUP(P62,deuda!A$1:H$550,6,0)=0,"",VLOOKUP(P62,deuda!A$1:H$550,6,0))</f>
        <v>13992.72</v>
      </c>
      <c r="T62" s="149" t="str">
        <f>IF((VLOOKUP(P62,deuda!A$1:H$550,7,0))=0,"",VLOOKUP(P62,deuda!A$1:H$550,7,0))</f>
        <v/>
      </c>
      <c r="U62" s="153" t="str">
        <f>IF((VLOOKUP(P62,deuda!A$1:H$550,8,0))=0,"",VLOOKUP(P62,deuda!A$1:H$550,8,0))</f>
        <v/>
      </c>
    </row>
    <row r="63" spans="1:21">
      <c r="A63" s="35">
        <v>21</v>
      </c>
      <c r="B63" s="6">
        <v>1213</v>
      </c>
      <c r="C63" s="5">
        <v>246</v>
      </c>
      <c r="D63" s="21">
        <v>3.5491000000000001</v>
      </c>
      <c r="E63" s="21">
        <f>IF((VLOOKUP(P63,deuda!A$1:H$550,4,0)=1),D63,0)</f>
        <v>3.5491000000000001</v>
      </c>
      <c r="F63" s="5" t="s">
        <v>434</v>
      </c>
      <c r="G63" s="48"/>
      <c r="H63" s="636">
        <f t="shared" si="9"/>
        <v>3.5491000000000001</v>
      </c>
      <c r="I63" s="620" t="e">
        <f t="shared" si="3"/>
        <v>#N/A</v>
      </c>
      <c r="J63" s="618" t="e">
        <f t="shared" si="4"/>
        <v>#N/A</v>
      </c>
      <c r="K63" s="125" t="e">
        <f t="shared" si="6"/>
        <v>#REF!</v>
      </c>
      <c r="L63" s="125" t="e">
        <f t="shared" si="10"/>
        <v>#REF!</v>
      </c>
      <c r="M63" s="5"/>
      <c r="N63" s="5"/>
      <c r="O63" s="5"/>
      <c r="P63" s="5" t="str">
        <f t="shared" si="11"/>
        <v>1213246</v>
      </c>
      <c r="Q63" s="6">
        <f>VLOOKUP(P63,deuda!A$1:H$550,4,0)</f>
        <v>1</v>
      </c>
      <c r="R63" s="6">
        <f>VLOOKUP(P63,deuda!A$1:H$550,5,0)</f>
        <v>0</v>
      </c>
      <c r="S63" s="6" t="str">
        <f>IF(VLOOKUP(P63,deuda!A$1:H$550,6,0)=0,"",VLOOKUP(P63,deuda!A$1:H$550,6,0))</f>
        <v/>
      </c>
      <c r="T63" s="149" t="str">
        <f>IF((VLOOKUP(P63,deuda!A$1:H$550,7,0))=0,"",VLOOKUP(P63,deuda!A$1:H$550,7,0))</f>
        <v/>
      </c>
      <c r="U63" s="153" t="str">
        <f>IF((VLOOKUP(P63,deuda!A$1:H$550,8,0))=0,"",VLOOKUP(P63,deuda!A$1:H$550,8,0))</f>
        <v/>
      </c>
    </row>
    <row r="64" spans="1:21">
      <c r="A64" s="35">
        <v>22</v>
      </c>
      <c r="B64" s="6">
        <v>1213</v>
      </c>
      <c r="C64" s="5">
        <v>290</v>
      </c>
      <c r="D64" s="21">
        <v>0.55720000000000003</v>
      </c>
      <c r="E64" s="21">
        <f>IF((VLOOKUP(P64,deuda!A$1:H$550,4,0)=1),D64,0)</f>
        <v>0</v>
      </c>
      <c r="F64" s="5" t="s">
        <v>435</v>
      </c>
      <c r="G64" s="5"/>
      <c r="H64" s="636">
        <f t="shared" si="9"/>
        <v>0</v>
      </c>
      <c r="I64" s="620" t="e">
        <f t="shared" si="3"/>
        <v>#N/A</v>
      </c>
      <c r="J64" s="618" t="e">
        <f t="shared" si="4"/>
        <v>#N/A</v>
      </c>
      <c r="K64" s="125" t="e">
        <f t="shared" si="6"/>
        <v>#REF!</v>
      </c>
      <c r="L64" s="125" t="e">
        <f t="shared" si="10"/>
        <v>#REF!</v>
      </c>
      <c r="M64" s="5"/>
      <c r="N64" s="5"/>
      <c r="O64" s="5"/>
      <c r="P64" s="5" t="str">
        <f t="shared" si="11"/>
        <v>1213290</v>
      </c>
      <c r="Q64" s="6">
        <f>VLOOKUP(P64,deuda!A$1:H$550,4,0)</f>
        <v>0</v>
      </c>
      <c r="R64" s="6">
        <f>VLOOKUP(P64,deuda!A$1:H$550,5,0)</f>
        <v>99</v>
      </c>
      <c r="S64" s="6">
        <f>IF(VLOOKUP(P64,deuda!A$1:H$550,6,0)=0,"",VLOOKUP(P64,deuda!A$1:H$550,6,0))</f>
        <v>17794.87</v>
      </c>
      <c r="T64" s="149" t="str">
        <f>IF((VLOOKUP(P64,deuda!A$1:H$550,7,0))=0,"",VLOOKUP(P64,deuda!A$1:H$550,7,0))</f>
        <v/>
      </c>
      <c r="U64" s="153" t="str">
        <f>IF((VLOOKUP(P64,deuda!A$1:H$550,8,0))=0,"",VLOOKUP(P64,deuda!A$1:H$550,8,0))</f>
        <v/>
      </c>
    </row>
    <row r="65" spans="1:21">
      <c r="A65" s="35">
        <v>23</v>
      </c>
      <c r="B65" s="6">
        <v>1213</v>
      </c>
      <c r="C65" s="5">
        <v>21</v>
      </c>
      <c r="D65" s="21">
        <v>1.1616</v>
      </c>
      <c r="E65" s="21" t="e">
        <f>IF((VLOOKUP(P65,deuda!A$1:H$550,4,0)=1),D65,0)</f>
        <v>#N/A</v>
      </c>
      <c r="F65" s="5" t="s">
        <v>435</v>
      </c>
      <c r="G65" s="48"/>
      <c r="H65" s="636" t="e">
        <f t="shared" si="9"/>
        <v>#N/A</v>
      </c>
      <c r="I65" s="620" t="e">
        <f t="shared" si="3"/>
        <v>#N/A</v>
      </c>
      <c r="J65" s="618" t="e">
        <f t="shared" si="4"/>
        <v>#N/A</v>
      </c>
      <c r="K65" s="125" t="e">
        <f t="shared" si="6"/>
        <v>#REF!</v>
      </c>
      <c r="L65" s="125" t="e">
        <f t="shared" si="10"/>
        <v>#REF!</v>
      </c>
      <c r="M65" s="5"/>
      <c r="N65" s="5"/>
      <c r="O65" s="5"/>
      <c r="P65" s="5" t="str">
        <f t="shared" si="11"/>
        <v>121321</v>
      </c>
      <c r="Q65" s="6" t="e">
        <f>VLOOKUP(P65,deuda!A$1:H$550,4,0)</f>
        <v>#N/A</v>
      </c>
      <c r="R65" s="6" t="e">
        <f>VLOOKUP(P65,deuda!A$1:H$550,5,0)</f>
        <v>#N/A</v>
      </c>
      <c r="S65" s="6" t="e">
        <f>IF(VLOOKUP(P65,deuda!A$1:H$550,6,0)=0,"",VLOOKUP(P65,deuda!A$1:H$550,6,0))</f>
        <v>#N/A</v>
      </c>
      <c r="T65" s="149" t="e">
        <f>IF((VLOOKUP(P65,deuda!A$1:H$550,7,0))=0,"",VLOOKUP(P65,deuda!A$1:H$550,7,0))</f>
        <v>#N/A</v>
      </c>
      <c r="U65" s="153" t="e">
        <f>IF((VLOOKUP(P65,deuda!A$1:H$550,8,0))=0,"",VLOOKUP(P65,deuda!A$1:H$550,8,0))</f>
        <v>#N/A</v>
      </c>
    </row>
    <row r="66" spans="1:21">
      <c r="A66" s="35">
        <v>24</v>
      </c>
      <c r="B66" s="6">
        <v>1213</v>
      </c>
      <c r="C66" s="5">
        <v>75</v>
      </c>
      <c r="D66" s="21">
        <v>0.65669999999999995</v>
      </c>
      <c r="E66" s="21" t="e">
        <f>IF((VLOOKUP(P66,deuda!A$1:H$550,4,0)=1),D66,0)</f>
        <v>#N/A</v>
      </c>
      <c r="F66" s="5" t="s">
        <v>436</v>
      </c>
      <c r="G66" s="48"/>
      <c r="H66" s="636" t="e">
        <f t="shared" si="9"/>
        <v>#N/A</v>
      </c>
      <c r="I66" s="620" t="e">
        <f t="shared" si="3"/>
        <v>#N/A</v>
      </c>
      <c r="J66" s="618" t="e">
        <f t="shared" si="4"/>
        <v>#N/A</v>
      </c>
      <c r="K66" s="125" t="e">
        <f t="shared" si="6"/>
        <v>#REF!</v>
      </c>
      <c r="L66" s="125" t="e">
        <f t="shared" si="10"/>
        <v>#REF!</v>
      </c>
      <c r="M66" s="5"/>
      <c r="N66" s="5"/>
      <c r="O66" s="5"/>
      <c r="P66" s="5" t="str">
        <f t="shared" si="11"/>
        <v>121375</v>
      </c>
      <c r="Q66" s="6" t="e">
        <f>VLOOKUP(P66,deuda!A$1:H$550,4,0)</f>
        <v>#N/A</v>
      </c>
      <c r="R66" s="6" t="e">
        <f>VLOOKUP(P66,deuda!A$1:H$550,5,0)</f>
        <v>#N/A</v>
      </c>
      <c r="S66" s="6" t="e">
        <f>IF(VLOOKUP(P66,deuda!A$1:H$550,6,0)=0,"",VLOOKUP(P66,deuda!A$1:H$550,6,0))</f>
        <v>#N/A</v>
      </c>
      <c r="T66" s="149" t="e">
        <f>IF((VLOOKUP(P66,deuda!A$1:H$550,7,0))=0,"",VLOOKUP(P66,deuda!A$1:H$550,7,0))</f>
        <v>#N/A</v>
      </c>
      <c r="U66" s="153" t="e">
        <f>IF((VLOOKUP(P66,deuda!A$1:H$550,8,0))=0,"",VLOOKUP(P66,deuda!A$1:H$550,8,0))</f>
        <v>#N/A</v>
      </c>
    </row>
    <row r="67" spans="1:21">
      <c r="A67" s="35">
        <v>25</v>
      </c>
      <c r="B67" s="6">
        <v>1213</v>
      </c>
      <c r="C67" s="5">
        <v>292</v>
      </c>
      <c r="D67" s="21">
        <v>0.22500000000000001</v>
      </c>
      <c r="E67" s="21">
        <f>IF((VLOOKUP(P67,deuda!A$1:H$550,4,0)=1),D67,0)</f>
        <v>0</v>
      </c>
      <c r="F67" s="5" t="s">
        <v>437</v>
      </c>
      <c r="G67" s="5"/>
      <c r="H67" s="636">
        <f t="shared" si="9"/>
        <v>0</v>
      </c>
      <c r="I67" s="620" t="e">
        <f t="shared" si="3"/>
        <v>#N/A</v>
      </c>
      <c r="J67" s="618" t="e">
        <f t="shared" si="4"/>
        <v>#N/A</v>
      </c>
      <c r="K67" s="125" t="e">
        <f t="shared" si="6"/>
        <v>#REF!</v>
      </c>
      <c r="L67" s="125" t="e">
        <f t="shared" si="10"/>
        <v>#REF!</v>
      </c>
      <c r="M67" s="5"/>
      <c r="N67" s="5"/>
      <c r="O67" s="5"/>
      <c r="P67" s="5" t="str">
        <f t="shared" si="11"/>
        <v>1213292</v>
      </c>
      <c r="Q67" s="6">
        <f>VLOOKUP(P67,deuda!A$1:H$550,4,0)</f>
        <v>0</v>
      </c>
      <c r="R67" s="6">
        <f>VLOOKUP(P67,deuda!A$1:H$550,5,0)</f>
        <v>140</v>
      </c>
      <c r="S67" s="6">
        <f>IF(VLOOKUP(P67,deuda!A$1:H$550,6,0)=0,"",VLOOKUP(P67,deuda!A$1:H$550,6,0))</f>
        <v>28223.91</v>
      </c>
      <c r="T67" s="149" t="str">
        <f>IF((VLOOKUP(P67,deuda!A$1:H$550,7,0))=0,"",VLOOKUP(P67,deuda!A$1:H$550,7,0))</f>
        <v/>
      </c>
      <c r="U67" s="153" t="str">
        <f>IF((VLOOKUP(P67,deuda!A$1:H$550,8,0))=0,"",VLOOKUP(P67,deuda!A$1:H$550,8,0))</f>
        <v/>
      </c>
    </row>
    <row r="68" spans="1:21">
      <c r="A68" s="35">
        <v>25</v>
      </c>
      <c r="B68" s="6">
        <v>1213</v>
      </c>
      <c r="C68" s="5">
        <v>293</v>
      </c>
      <c r="D68" s="21">
        <v>3.4775999999999998</v>
      </c>
      <c r="E68" s="21">
        <f>IF((VLOOKUP(P68,deuda!A$1:H$550,4,0)=1),D68,0)</f>
        <v>0</v>
      </c>
      <c r="F68" s="5" t="s">
        <v>437</v>
      </c>
      <c r="G68" s="5"/>
      <c r="H68" s="636">
        <f t="shared" si="9"/>
        <v>0</v>
      </c>
      <c r="I68" s="620" t="e">
        <f t="shared" si="3"/>
        <v>#N/A</v>
      </c>
      <c r="J68" s="618" t="e">
        <f t="shared" si="4"/>
        <v>#N/A</v>
      </c>
      <c r="K68" s="125" t="e">
        <f t="shared" si="6"/>
        <v>#REF!</v>
      </c>
      <c r="L68" s="125" t="e">
        <f t="shared" si="10"/>
        <v>#REF!</v>
      </c>
      <c r="M68" s="5"/>
      <c r="N68" s="5"/>
      <c r="O68" s="5"/>
      <c r="P68" s="5" t="str">
        <f t="shared" si="11"/>
        <v>1213293</v>
      </c>
      <c r="Q68" s="6">
        <f>VLOOKUP(P68,deuda!A$1:H$550,4,0)</f>
        <v>0</v>
      </c>
      <c r="R68" s="6">
        <f>VLOOKUP(P68,deuda!A$1:H$550,5,0)</f>
        <v>45</v>
      </c>
      <c r="S68" s="6">
        <f>IF(VLOOKUP(P68,deuda!A$1:H$550,6,0)=0,"",VLOOKUP(P68,deuda!A$1:H$550,6,0))</f>
        <v>20013.43</v>
      </c>
      <c r="T68" s="149" t="str">
        <f>IF((VLOOKUP(P68,deuda!A$1:H$550,7,0))=0,"",VLOOKUP(P68,deuda!A$1:H$550,7,0))</f>
        <v/>
      </c>
      <c r="U68" s="153" t="str">
        <f>IF((VLOOKUP(P68,deuda!A$1:H$550,8,0))=0,"",VLOOKUP(P68,deuda!A$1:H$550,8,0))</f>
        <v/>
      </c>
    </row>
    <row r="69" spans="1:21">
      <c r="A69" s="35">
        <v>25</v>
      </c>
      <c r="B69" s="6">
        <v>1213</v>
      </c>
      <c r="C69" s="5">
        <v>297</v>
      </c>
      <c r="D69" s="21">
        <v>3.5628000000000002</v>
      </c>
      <c r="E69" s="21">
        <f>IF((VLOOKUP(P69,deuda!A$1:H$550,4,0)=1),D69,0)</f>
        <v>3.5628000000000002</v>
      </c>
      <c r="F69" s="5" t="s">
        <v>437</v>
      </c>
      <c r="G69" s="5"/>
      <c r="H69" s="636">
        <f t="shared" si="9"/>
        <v>3.5628000000000002</v>
      </c>
      <c r="I69" s="620" t="e">
        <f t="shared" si="3"/>
        <v>#N/A</v>
      </c>
      <c r="J69" s="618" t="e">
        <f t="shared" si="4"/>
        <v>#N/A</v>
      </c>
      <c r="K69" s="125" t="e">
        <f t="shared" si="6"/>
        <v>#REF!</v>
      </c>
      <c r="L69" s="125" t="e">
        <f t="shared" si="10"/>
        <v>#REF!</v>
      </c>
      <c r="M69" s="5"/>
      <c r="N69" s="5"/>
      <c r="O69" s="5"/>
      <c r="P69" s="5" t="str">
        <f t="shared" si="11"/>
        <v>1213297</v>
      </c>
      <c r="Q69" s="6">
        <f>VLOOKUP(P69,deuda!A$1:H$550,4,0)</f>
        <v>1</v>
      </c>
      <c r="R69" s="6">
        <f>VLOOKUP(P69,deuda!A$1:H$550,5,0)</f>
        <v>1</v>
      </c>
      <c r="S69" s="6">
        <f>IF(VLOOKUP(P69,deuda!A$1:H$550,6,0)=0,"",VLOOKUP(P69,deuda!A$1:H$550,6,0))</f>
        <v>882.65</v>
      </c>
      <c r="T69" s="149" t="str">
        <f>IF((VLOOKUP(P69,deuda!A$1:H$550,7,0))=0,"",VLOOKUP(P69,deuda!A$1:H$550,7,0))</f>
        <v/>
      </c>
      <c r="U69" s="153" t="str">
        <f>IF((VLOOKUP(P69,deuda!A$1:H$550,8,0))=0,"",VLOOKUP(P69,deuda!A$1:H$550,8,0))</f>
        <v/>
      </c>
    </row>
    <row r="70" spans="1:21" ht="13.5" thickBot="1">
      <c r="A70" s="36">
        <v>26</v>
      </c>
      <c r="B70" s="33">
        <v>1213</v>
      </c>
      <c r="C70" s="29">
        <v>322</v>
      </c>
      <c r="D70" s="46">
        <v>0.03</v>
      </c>
      <c r="E70" s="46">
        <f>IF((VLOOKUP(P70,deuda!A$1:H$550,4,0)=1),D70,0)</f>
        <v>0</v>
      </c>
      <c r="F70" s="29" t="s">
        <v>438</v>
      </c>
      <c r="G70" s="29"/>
      <c r="H70" s="637">
        <f t="shared" si="9"/>
        <v>0</v>
      </c>
      <c r="I70" s="630" t="e">
        <f t="shared" si="3"/>
        <v>#N/A</v>
      </c>
      <c r="J70" s="621" t="e">
        <f t="shared" si="4"/>
        <v>#N/A</v>
      </c>
      <c r="K70" s="127" t="e">
        <f t="shared" si="6"/>
        <v>#REF!</v>
      </c>
      <c r="L70" s="127" t="e">
        <f t="shared" si="10"/>
        <v>#REF!</v>
      </c>
      <c r="M70" s="29"/>
      <c r="N70" s="29"/>
      <c r="O70" s="29"/>
      <c r="P70" s="29" t="str">
        <f t="shared" si="11"/>
        <v>1213322</v>
      </c>
      <c r="Q70" s="33">
        <f>VLOOKUP(P70,deuda!A$1:H$550,4,0)</f>
        <v>0</v>
      </c>
      <c r="R70" s="33">
        <f>VLOOKUP(P70,deuda!A$1:H$550,5,0)</f>
        <v>7</v>
      </c>
      <c r="S70" s="33">
        <f>IF(VLOOKUP(P70,deuda!A$1:H$550,6,0)=0,"",VLOOKUP(P70,deuda!A$1:H$550,6,0))</f>
        <v>5188.82</v>
      </c>
      <c r="T70" s="154" t="str">
        <f>IF((VLOOKUP(P70,deuda!A$1:H$550,7,0))=0,"",VLOOKUP(P70,deuda!A$1:H$550,7,0))</f>
        <v/>
      </c>
      <c r="U70" s="155" t="str">
        <f>IF((VLOOKUP(P70,deuda!A$1:H$550,8,0))=0,"",VLOOKUP(P70,deuda!A$1:H$550,8,0))</f>
        <v/>
      </c>
    </row>
    <row r="71" spans="1:21">
      <c r="A71" s="13"/>
      <c r="B71" s="13"/>
      <c r="C71" s="10"/>
      <c r="D71" s="73">
        <f>SUM(D37:D70)</f>
        <v>117.05329999999999</v>
      </c>
      <c r="E71" s="73" t="e">
        <f>SUM(E37:E70)</f>
        <v>#N/A</v>
      </c>
      <c r="F71" s="10"/>
      <c r="G71" s="10"/>
      <c r="H71" s="73" t="e">
        <f>SUM(H37:H70)</f>
        <v>#N/A</v>
      </c>
      <c r="I71" s="247" t="e">
        <f>+SUM(I37:I70)</f>
        <v>#VALUE!</v>
      </c>
      <c r="J71" s="229" t="e">
        <f>I71/60</f>
        <v>#VALUE!</v>
      </c>
      <c r="K71" s="89"/>
      <c r="L71" s="89"/>
      <c r="M71" s="10"/>
      <c r="N71" s="10"/>
      <c r="O71" s="10"/>
      <c r="P71" s="10"/>
      <c r="Q71" s="10"/>
      <c r="R71" s="10"/>
      <c r="S71" s="10"/>
      <c r="T71" s="10"/>
      <c r="U71" s="10"/>
    </row>
    <row r="72" spans="1:21">
      <c r="A72" s="13"/>
      <c r="B72" s="13"/>
      <c r="C72" s="10"/>
      <c r="D72" s="73"/>
      <c r="E72" s="73"/>
      <c r="F72" s="10"/>
      <c r="G72" s="10"/>
      <c r="H72" s="73"/>
      <c r="I72" s="10"/>
      <c r="J72" s="10"/>
      <c r="K72" s="10"/>
      <c r="L72" s="10"/>
      <c r="M72" s="10"/>
      <c r="N72" s="10"/>
      <c r="O72" s="10"/>
    </row>
    <row r="73" spans="1:21">
      <c r="A73" s="13"/>
      <c r="B73" s="13"/>
      <c r="C73" s="10"/>
      <c r="D73" s="73"/>
      <c r="E73" s="73"/>
      <c r="F73" s="10"/>
      <c r="G73" s="10"/>
      <c r="H73" s="73"/>
      <c r="I73" s="10"/>
      <c r="J73" s="10"/>
      <c r="K73" s="10"/>
      <c r="L73" s="10"/>
      <c r="M73" s="10"/>
      <c r="N73" s="10"/>
      <c r="O73" s="10"/>
    </row>
    <row r="74" spans="1:21">
      <c r="B74" s="13"/>
      <c r="C74" s="10"/>
      <c r="D74" s="73"/>
      <c r="E74" s="73"/>
      <c r="F74" s="10"/>
      <c r="G74" s="10"/>
      <c r="H74" s="73"/>
      <c r="I74" s="10"/>
      <c r="J74" s="10"/>
      <c r="K74" s="10"/>
      <c r="L74" s="10"/>
      <c r="M74" s="10"/>
      <c r="N74" s="10"/>
      <c r="O74" s="10"/>
    </row>
    <row r="75" spans="1:21">
      <c r="A75" s="47" t="s">
        <v>439</v>
      </c>
    </row>
    <row r="76" spans="1:21">
      <c r="A76" s="47"/>
    </row>
    <row r="77" spans="1:21">
      <c r="C77" s="1" t="s">
        <v>413</v>
      </c>
    </row>
    <row r="78" spans="1:21" ht="13.5" thickBot="1"/>
    <row r="79" spans="1:21">
      <c r="A79" s="688" t="s">
        <v>92</v>
      </c>
      <c r="B79" s="689"/>
      <c r="C79" s="690" t="e">
        <f>+L70</f>
        <v>#REF!</v>
      </c>
      <c r="D79" s="691"/>
      <c r="E79" s="3"/>
      <c r="F79" s="3"/>
      <c r="G79" s="24" t="s">
        <v>93</v>
      </c>
      <c r="H79" s="170" t="e">
        <f>+I15</f>
        <v>#N/A</v>
      </c>
    </row>
    <row r="80" spans="1:21" ht="13.5" thickBot="1">
      <c r="A80" s="692" t="s">
        <v>94</v>
      </c>
      <c r="B80" s="693"/>
      <c r="C80" s="694" t="e">
        <f>+L123</f>
        <v>#REF!</v>
      </c>
      <c r="D80" s="695"/>
      <c r="E80" s="3"/>
      <c r="F80" s="3"/>
      <c r="G80" s="26" t="s">
        <v>95</v>
      </c>
      <c r="H80" s="171">
        <f>+J15</f>
        <v>0</v>
      </c>
      <c r="I80" s="3"/>
      <c r="K80" s="635"/>
    </row>
    <row r="81" spans="1:21" ht="13.5" thickBot="1">
      <c r="G81" s="132" t="s">
        <v>96</v>
      </c>
      <c r="H81" s="172">
        <f>+K15</f>
        <v>4.1666666666666664E-2</v>
      </c>
    </row>
    <row r="83" spans="1:21">
      <c r="A83" s="696" t="s">
        <v>97</v>
      </c>
      <c r="B83" s="696"/>
      <c r="C83" s="254" t="e">
        <f>+H79-H80-H81</f>
        <v>#N/A</v>
      </c>
      <c r="D83" s="558" t="s">
        <v>98</v>
      </c>
      <c r="E83" s="169" t="e">
        <f>+C83*60</f>
        <v>#N/A</v>
      </c>
      <c r="F83" s="558" t="s">
        <v>99</v>
      </c>
      <c r="G83" s="167" t="e">
        <f>+H124</f>
        <v>#N/A</v>
      </c>
      <c r="H83" s="558" t="s">
        <v>100</v>
      </c>
      <c r="I83" s="168" t="e">
        <f>+E83/G83</f>
        <v>#N/A</v>
      </c>
    </row>
    <row r="84" spans="1:21" ht="13.5" thickBot="1"/>
    <row r="85" spans="1:21" s="58" customFormat="1" ht="20.25" customHeight="1" thickBot="1">
      <c r="A85" s="23" t="s">
        <v>102</v>
      </c>
      <c r="B85" s="559" t="s">
        <v>103</v>
      </c>
      <c r="C85" s="559" t="s">
        <v>104</v>
      </c>
      <c r="D85" s="129" t="s">
        <v>106</v>
      </c>
      <c r="E85" s="129" t="s">
        <v>414</v>
      </c>
      <c r="F85" s="683" t="s">
        <v>108</v>
      </c>
      <c r="G85" s="683"/>
      <c r="H85" s="129" t="s">
        <v>415</v>
      </c>
      <c r="I85" s="129" t="s">
        <v>304</v>
      </c>
      <c r="J85" s="559" t="s">
        <v>110</v>
      </c>
      <c r="K85" s="129" t="s">
        <v>156</v>
      </c>
      <c r="L85" s="129" t="s">
        <v>157</v>
      </c>
      <c r="M85" s="130" t="s">
        <v>114</v>
      </c>
      <c r="N85" s="256" t="s">
        <v>158</v>
      </c>
      <c r="O85" s="32" t="s">
        <v>116</v>
      </c>
      <c r="P85" s="32" t="s">
        <v>117</v>
      </c>
      <c r="Q85" s="32" t="s">
        <v>118</v>
      </c>
      <c r="R85" s="32" t="s">
        <v>119</v>
      </c>
      <c r="S85" s="32" t="s">
        <v>120</v>
      </c>
      <c r="T85" s="32" t="s">
        <v>121</v>
      </c>
      <c r="U85" s="185" t="s">
        <v>122</v>
      </c>
    </row>
    <row r="86" spans="1:21">
      <c r="A86" s="34">
        <v>1</v>
      </c>
      <c r="B86" s="32">
        <v>1213</v>
      </c>
      <c r="C86" s="25">
        <v>84</v>
      </c>
      <c r="D86" s="37">
        <v>2.6511999999999998</v>
      </c>
      <c r="E86" s="37">
        <f>IF((VLOOKUP(P86,deuda!A$1:H$550,4,0)=1),D86,0)</f>
        <v>2.6511999999999998</v>
      </c>
      <c r="F86" s="25" t="s">
        <v>440</v>
      </c>
      <c r="G86" s="25"/>
      <c r="H86" s="638">
        <f>E86</f>
        <v>2.6511999999999998</v>
      </c>
      <c r="I86" s="639" t="e">
        <f>+H86*$I$83</f>
        <v>#N/A</v>
      </c>
      <c r="J86" s="640" t="e">
        <f>+I86/60</f>
        <v>#N/A</v>
      </c>
      <c r="K86" s="126" t="e">
        <f>+C79+H80+H81</f>
        <v>#REF!</v>
      </c>
      <c r="L86" s="126" t="e">
        <f>+K86+J86</f>
        <v>#REF!</v>
      </c>
      <c r="M86" s="212"/>
      <c r="N86" s="213"/>
      <c r="O86" s="52"/>
      <c r="P86" s="52" t="str">
        <f>+CONCATENATE(B86,C86)</f>
        <v>121384</v>
      </c>
      <c r="Q86" s="150">
        <f>VLOOKUP(P86,deuda!A$1:H$550,4,0)</f>
        <v>1</v>
      </c>
      <c r="R86" s="150">
        <f>VLOOKUP(P86,deuda!A$1:H$550,5,0)</f>
        <v>0</v>
      </c>
      <c r="S86" s="150" t="str">
        <f>IF(VLOOKUP(P86,deuda!A$1:H$550,6,0)=0,"",VLOOKUP(P86,deuda!A$1:H$550,6,0))</f>
        <v/>
      </c>
      <c r="T86" s="151" t="str">
        <f>IF((VLOOKUP(P86,deuda!A$1:H$550,7,0))=0,"",VLOOKUP(P86,deuda!A$1:H$550,7,0))</f>
        <v/>
      </c>
      <c r="U86" s="152" t="str">
        <f>IF((VLOOKUP(P86,deuda!A$1:H$550,8,0))=0,"",VLOOKUP(P86,deuda!A$1:H$550,8,0))</f>
        <v/>
      </c>
    </row>
    <row r="87" spans="1:21">
      <c r="A87" s="35">
        <v>2</v>
      </c>
      <c r="B87" s="6">
        <v>1213</v>
      </c>
      <c r="C87" s="5">
        <v>312</v>
      </c>
      <c r="D87" s="9">
        <v>11.285500000000001</v>
      </c>
      <c r="E87" s="9">
        <f>IF((VLOOKUP(P87,deuda!A$1:H$550,4,0)=1),D87,0)</f>
        <v>11.285500000000001</v>
      </c>
      <c r="F87" s="5" t="s">
        <v>441</v>
      </c>
      <c r="G87" s="5"/>
      <c r="H87" s="636">
        <f>E87</f>
        <v>11.285500000000001</v>
      </c>
      <c r="I87" s="629" t="e">
        <f t="shared" ref="I87:I123" si="12">+H87*$I$83</f>
        <v>#N/A</v>
      </c>
      <c r="J87" s="618" t="e">
        <f t="shared" ref="J87:J123" si="13">+I87/60</f>
        <v>#N/A</v>
      </c>
      <c r="K87" s="125" t="e">
        <f>+L86</f>
        <v>#REF!</v>
      </c>
      <c r="L87" s="125" t="e">
        <f>+K87+J87</f>
        <v>#REF!</v>
      </c>
      <c r="M87" s="28"/>
      <c r="N87" s="8"/>
      <c r="O87" s="5"/>
      <c r="P87" s="5" t="str">
        <f>+CONCATENATE(B87,C87)</f>
        <v>1213312</v>
      </c>
      <c r="Q87" s="6">
        <f>VLOOKUP(P87,deuda!A$1:H$550,4,0)</f>
        <v>1</v>
      </c>
      <c r="R87" s="6">
        <f>VLOOKUP(P87,deuda!A$1:H$550,5,0)</f>
        <v>2</v>
      </c>
      <c r="S87" s="6">
        <f>IF(VLOOKUP(P87,deuda!A$1:H$550,6,0)=0,"",VLOOKUP(P87,deuda!A$1:H$550,6,0))</f>
        <v>5262.37</v>
      </c>
      <c r="T87" s="149" t="str">
        <f>IF((VLOOKUP(P87,deuda!A$1:H$550,7,0))=0,"",VLOOKUP(P87,deuda!A$1:H$550,7,0))</f>
        <v/>
      </c>
      <c r="U87" s="153" t="str">
        <f>IF((VLOOKUP(P87,deuda!A$1:H$550,8,0))=0,"",VLOOKUP(P87,deuda!A$1:H$550,8,0))</f>
        <v/>
      </c>
    </row>
    <row r="88" spans="1:21">
      <c r="A88" s="35">
        <v>3</v>
      </c>
      <c r="B88" s="6">
        <v>1213</v>
      </c>
      <c r="C88" s="5">
        <v>76</v>
      </c>
      <c r="D88" s="9">
        <v>0.67669999999999997</v>
      </c>
      <c r="E88" s="9">
        <f>IF((VLOOKUP(P88,deuda!A$1:H$550,4,0)=1),D88,0)</f>
        <v>0</v>
      </c>
      <c r="F88" s="5" t="s">
        <v>442</v>
      </c>
      <c r="G88" s="5"/>
      <c r="H88" s="636">
        <f t="shared" ref="H88:H123" si="14">E88</f>
        <v>0</v>
      </c>
      <c r="I88" s="629" t="e">
        <f t="shared" si="12"/>
        <v>#N/A</v>
      </c>
      <c r="J88" s="618" t="e">
        <f t="shared" si="13"/>
        <v>#N/A</v>
      </c>
      <c r="K88" s="125" t="e">
        <f t="shared" ref="K88:K123" si="15">+L87</f>
        <v>#REF!</v>
      </c>
      <c r="L88" s="125" t="e">
        <f t="shared" ref="L88:L123" si="16">+K88+J88</f>
        <v>#REF!</v>
      </c>
      <c r="M88" s="28"/>
      <c r="N88" s="8"/>
      <c r="O88" s="5"/>
      <c r="P88" s="5" t="str">
        <f t="shared" ref="P88:P123" si="17">+CONCATENATE(B88,C88)</f>
        <v>121376</v>
      </c>
      <c r="Q88" s="6">
        <f>VLOOKUP(P88,deuda!A$1:H$550,4,0)</f>
        <v>0</v>
      </c>
      <c r="R88" s="6">
        <f>VLOOKUP(P88,deuda!A$1:H$550,5,0)</f>
        <v>20</v>
      </c>
      <c r="S88" s="6">
        <f>IF(VLOOKUP(P88,deuda!A$1:H$550,6,0)=0,"",VLOOKUP(P88,deuda!A$1:H$550,6,0))</f>
        <v>6151.14</v>
      </c>
      <c r="T88" s="149" t="str">
        <f>IF((VLOOKUP(P88,deuda!A$1:H$550,7,0))=0,"",VLOOKUP(P88,deuda!A$1:H$550,7,0))</f>
        <v/>
      </c>
      <c r="U88" s="153" t="str">
        <f>IF((VLOOKUP(P88,deuda!A$1:H$550,8,0))=0,"",VLOOKUP(P88,deuda!A$1:H$550,8,0))</f>
        <v/>
      </c>
    </row>
    <row r="89" spans="1:21">
      <c r="A89" s="35">
        <v>4</v>
      </c>
      <c r="B89" s="6">
        <v>1213</v>
      </c>
      <c r="C89" s="5">
        <v>7</v>
      </c>
      <c r="D89" s="9">
        <v>0.183</v>
      </c>
      <c r="E89" s="9">
        <f>IF((VLOOKUP(P89,deuda!A$1:H$550,4,0)=1),D89,0)</f>
        <v>0</v>
      </c>
      <c r="F89" s="5" t="s">
        <v>443</v>
      </c>
      <c r="G89" s="5"/>
      <c r="H89" s="636">
        <f t="shared" si="14"/>
        <v>0</v>
      </c>
      <c r="I89" s="629" t="e">
        <f t="shared" si="12"/>
        <v>#N/A</v>
      </c>
      <c r="J89" s="618" t="e">
        <f t="shared" si="13"/>
        <v>#N/A</v>
      </c>
      <c r="K89" s="125" t="e">
        <f t="shared" si="15"/>
        <v>#REF!</v>
      </c>
      <c r="L89" s="125" t="e">
        <f t="shared" si="16"/>
        <v>#REF!</v>
      </c>
      <c r="M89" s="28"/>
      <c r="N89" s="8"/>
      <c r="O89" s="5"/>
      <c r="P89" s="5" t="str">
        <f t="shared" si="17"/>
        <v>12137</v>
      </c>
      <c r="Q89" s="6">
        <f>VLOOKUP(P89,deuda!A$1:H$550,4,0)</f>
        <v>0</v>
      </c>
      <c r="R89" s="6">
        <f>VLOOKUP(P89,deuda!A$1:H$550,5,0)</f>
        <v>146</v>
      </c>
      <c r="S89" s="6">
        <f>IF(VLOOKUP(P89,deuda!A$1:H$550,6,0)=0,"",VLOOKUP(P89,deuda!A$1:H$550,6,0))</f>
        <v>40687.65</v>
      </c>
      <c r="T89" s="149" t="str">
        <f>IF((VLOOKUP(P89,deuda!A$1:H$550,7,0))=0,"",VLOOKUP(P89,deuda!A$1:H$550,7,0))</f>
        <v/>
      </c>
      <c r="U89" s="153" t="str">
        <f>IF((VLOOKUP(P89,deuda!A$1:H$550,8,0))=0,"",VLOOKUP(P89,deuda!A$1:H$550,8,0))</f>
        <v/>
      </c>
    </row>
    <row r="90" spans="1:21">
      <c r="A90" s="35">
        <v>4</v>
      </c>
      <c r="B90" s="6">
        <v>1213</v>
      </c>
      <c r="C90" s="5">
        <v>71</v>
      </c>
      <c r="D90" s="9">
        <v>9.2989999999999995</v>
      </c>
      <c r="E90" s="9">
        <f>IF((VLOOKUP(P90,deuda!A$1:H$550,4,0)=1),D90,0)</f>
        <v>0</v>
      </c>
      <c r="F90" s="5" t="s">
        <v>444</v>
      </c>
      <c r="G90" s="5"/>
      <c r="H90" s="636">
        <f t="shared" si="14"/>
        <v>0</v>
      </c>
      <c r="I90" s="629" t="e">
        <f t="shared" si="12"/>
        <v>#N/A</v>
      </c>
      <c r="J90" s="618" t="e">
        <f t="shared" si="13"/>
        <v>#N/A</v>
      </c>
      <c r="K90" s="125" t="e">
        <f t="shared" si="15"/>
        <v>#REF!</v>
      </c>
      <c r="L90" s="125" t="e">
        <f t="shared" si="16"/>
        <v>#REF!</v>
      </c>
      <c r="M90" s="28"/>
      <c r="N90" s="8"/>
      <c r="O90" s="5"/>
      <c r="P90" s="5" t="str">
        <f t="shared" si="17"/>
        <v>121371</v>
      </c>
      <c r="Q90" s="6">
        <f>VLOOKUP(P90,deuda!A$1:H$550,4,0)</f>
        <v>0</v>
      </c>
      <c r="R90" s="6">
        <f>VLOOKUP(P90,deuda!A$1:H$550,5,0)</f>
        <v>36</v>
      </c>
      <c r="S90" s="6">
        <f>IF(VLOOKUP(P90,deuda!A$1:H$550,6,0)=0,"",VLOOKUP(P90,deuda!A$1:H$550,6,0))</f>
        <v>75289.649999999994</v>
      </c>
      <c r="T90" s="149" t="str">
        <f>IF((VLOOKUP(P90,deuda!A$1:H$550,7,0))=0,"",VLOOKUP(P90,deuda!A$1:H$550,7,0))</f>
        <v/>
      </c>
      <c r="U90" s="153" t="str">
        <f>IF((VLOOKUP(P90,deuda!A$1:H$550,8,0))=0,"",VLOOKUP(P90,deuda!A$1:H$550,8,0))</f>
        <v/>
      </c>
    </row>
    <row r="91" spans="1:21">
      <c r="A91" s="35">
        <v>5</v>
      </c>
      <c r="B91" s="6">
        <v>1213</v>
      </c>
      <c r="C91" s="5">
        <v>137</v>
      </c>
      <c r="D91" s="9">
        <v>1.2117</v>
      </c>
      <c r="E91" s="9">
        <f>IF((VLOOKUP(P91,deuda!A$1:H$550,4,0)=1),D91,0)</f>
        <v>0</v>
      </c>
      <c r="F91" s="5" t="s">
        <v>445</v>
      </c>
      <c r="G91" s="5"/>
      <c r="H91" s="636">
        <f t="shared" si="14"/>
        <v>0</v>
      </c>
      <c r="I91" s="629" t="e">
        <f t="shared" si="12"/>
        <v>#N/A</v>
      </c>
      <c r="J91" s="618" t="e">
        <f t="shared" si="13"/>
        <v>#N/A</v>
      </c>
      <c r="K91" s="125" t="e">
        <f t="shared" si="15"/>
        <v>#REF!</v>
      </c>
      <c r="L91" s="125" t="e">
        <f t="shared" si="16"/>
        <v>#REF!</v>
      </c>
      <c r="M91" s="28"/>
      <c r="N91" s="8"/>
      <c r="O91" s="5"/>
      <c r="P91" s="5" t="str">
        <f t="shared" si="17"/>
        <v>1213137</v>
      </c>
      <c r="Q91" s="6">
        <f>VLOOKUP(P91,deuda!A$1:H$550,4,0)</f>
        <v>0</v>
      </c>
      <c r="R91" s="6">
        <f>VLOOKUP(P91,deuda!A$1:H$550,5,0)</f>
        <v>36</v>
      </c>
      <c r="S91" s="6">
        <f>IF(VLOOKUP(P91,deuda!A$1:H$550,6,0)=0,"",VLOOKUP(P91,deuda!A$1:H$550,6,0))</f>
        <v>17569.509999999998</v>
      </c>
      <c r="T91" s="149" t="str">
        <f>IF((VLOOKUP(P91,deuda!A$1:H$550,7,0))=0,"",VLOOKUP(P91,deuda!A$1:H$550,7,0))</f>
        <v/>
      </c>
      <c r="U91" s="153" t="str">
        <f>IF((VLOOKUP(P91,deuda!A$1:H$550,8,0))=0,"",VLOOKUP(P91,deuda!A$1:H$550,8,0))</f>
        <v/>
      </c>
    </row>
    <row r="92" spans="1:21">
      <c r="A92" s="35">
        <v>6</v>
      </c>
      <c r="B92" s="6">
        <v>1213</v>
      </c>
      <c r="C92" s="5">
        <v>300</v>
      </c>
      <c r="D92" s="9">
        <v>9.1499999999999998E-2</v>
      </c>
      <c r="E92" s="9">
        <f>IF((VLOOKUP(P92,deuda!A$1:H$550,4,0)=1),D92,0)</f>
        <v>0</v>
      </c>
      <c r="F92" s="5" t="s">
        <v>446</v>
      </c>
      <c r="G92" s="5"/>
      <c r="H92" s="636">
        <f t="shared" si="14"/>
        <v>0</v>
      </c>
      <c r="I92" s="629" t="e">
        <f t="shared" si="12"/>
        <v>#N/A</v>
      </c>
      <c r="J92" s="618" t="e">
        <f t="shared" si="13"/>
        <v>#N/A</v>
      </c>
      <c r="K92" s="125" t="e">
        <f t="shared" si="15"/>
        <v>#REF!</v>
      </c>
      <c r="L92" s="125" t="e">
        <f t="shared" si="16"/>
        <v>#REF!</v>
      </c>
      <c r="M92" s="28"/>
      <c r="N92" s="8"/>
      <c r="O92" s="5"/>
      <c r="P92" s="5" t="str">
        <f t="shared" si="17"/>
        <v>1213300</v>
      </c>
      <c r="Q92" s="6">
        <f>VLOOKUP(P92,deuda!A$1:H$550,4,0)</f>
        <v>0</v>
      </c>
      <c r="R92" s="6">
        <f>VLOOKUP(P92,deuda!A$1:H$550,5,0)</f>
        <v>66</v>
      </c>
      <c r="S92" s="6">
        <f>IF(VLOOKUP(P92,deuda!A$1:H$550,6,0)=0,"",VLOOKUP(P92,deuda!A$1:H$550,6,0))</f>
        <v>25610.14</v>
      </c>
      <c r="T92" s="149" t="str">
        <f>IF((VLOOKUP(P92,deuda!A$1:H$550,7,0))=0,"",VLOOKUP(P92,deuda!A$1:H$550,7,0))</f>
        <v/>
      </c>
      <c r="U92" s="153" t="str">
        <f>IF((VLOOKUP(P92,deuda!A$1:H$550,8,0))=0,"",VLOOKUP(P92,deuda!A$1:H$550,8,0))</f>
        <v/>
      </c>
    </row>
    <row r="93" spans="1:21">
      <c r="A93" s="35">
        <v>7</v>
      </c>
      <c r="B93" s="6">
        <v>1213</v>
      </c>
      <c r="C93" s="5">
        <v>303</v>
      </c>
      <c r="D93" s="9">
        <v>3.2759999999999998</v>
      </c>
      <c r="E93" s="9">
        <f>IF((VLOOKUP(P93,deuda!A$1:H$550,4,0)=1),D93,0)</f>
        <v>3.2759999999999998</v>
      </c>
      <c r="F93" s="5" t="s">
        <v>447</v>
      </c>
      <c r="G93" s="5"/>
      <c r="H93" s="636">
        <f t="shared" si="14"/>
        <v>3.2759999999999998</v>
      </c>
      <c r="I93" s="629" t="e">
        <f t="shared" si="12"/>
        <v>#N/A</v>
      </c>
      <c r="J93" s="618" t="e">
        <f t="shared" si="13"/>
        <v>#N/A</v>
      </c>
      <c r="K93" s="125" t="e">
        <f t="shared" si="15"/>
        <v>#REF!</v>
      </c>
      <c r="L93" s="125" t="e">
        <f t="shared" si="16"/>
        <v>#REF!</v>
      </c>
      <c r="M93" s="28"/>
      <c r="N93" s="8"/>
      <c r="O93" s="5"/>
      <c r="P93" s="5" t="str">
        <f t="shared" si="17"/>
        <v>1213303</v>
      </c>
      <c r="Q93" s="6">
        <f>VLOOKUP(P93,deuda!A$1:H$550,4,0)</f>
        <v>1</v>
      </c>
      <c r="R93" s="6">
        <f>VLOOKUP(P93,deuda!A$1:H$550,5,0)</f>
        <v>0</v>
      </c>
      <c r="S93" s="6" t="str">
        <f>IF(VLOOKUP(P93,deuda!A$1:H$550,6,0)=0,"",VLOOKUP(P93,deuda!A$1:H$550,6,0))</f>
        <v/>
      </c>
      <c r="T93" s="149" t="str">
        <f>IF((VLOOKUP(P93,deuda!A$1:H$550,7,0))=0,"",VLOOKUP(P93,deuda!A$1:H$550,7,0))</f>
        <v/>
      </c>
      <c r="U93" s="153" t="str">
        <f>IF((VLOOKUP(P93,deuda!A$1:H$550,8,0))=0,"",VLOOKUP(P93,deuda!A$1:H$550,8,0))</f>
        <v/>
      </c>
    </row>
    <row r="94" spans="1:21">
      <c r="A94" s="35">
        <v>7</v>
      </c>
      <c r="B94" s="6">
        <v>1213</v>
      </c>
      <c r="C94" s="5">
        <v>308</v>
      </c>
      <c r="D94" s="9">
        <v>7.9882999999999997</v>
      </c>
      <c r="E94" s="9">
        <f>IF((VLOOKUP(P94,deuda!A$1:H$550,4,0)=1),D94,0)</f>
        <v>7.9882999999999997</v>
      </c>
      <c r="F94" s="5" t="s">
        <v>447</v>
      </c>
      <c r="G94" s="5"/>
      <c r="H94" s="636">
        <f t="shared" si="14"/>
        <v>7.9882999999999997</v>
      </c>
      <c r="I94" s="629" t="e">
        <f t="shared" si="12"/>
        <v>#N/A</v>
      </c>
      <c r="J94" s="618" t="e">
        <f t="shared" si="13"/>
        <v>#N/A</v>
      </c>
      <c r="K94" s="125" t="e">
        <f t="shared" si="15"/>
        <v>#REF!</v>
      </c>
      <c r="L94" s="125" t="e">
        <f t="shared" si="16"/>
        <v>#REF!</v>
      </c>
      <c r="M94" s="28"/>
      <c r="N94" s="8"/>
      <c r="O94" s="5"/>
      <c r="P94" s="5" t="str">
        <f t="shared" si="17"/>
        <v>1213308</v>
      </c>
      <c r="Q94" s="6">
        <f>VLOOKUP(P94,deuda!A$1:H$550,4,0)</f>
        <v>1</v>
      </c>
      <c r="R94" s="6">
        <f>VLOOKUP(P94,deuda!A$1:H$550,5,0)</f>
        <v>0</v>
      </c>
      <c r="S94" s="6" t="str">
        <f>IF(VLOOKUP(P94,deuda!A$1:H$550,6,0)=0,"",VLOOKUP(P94,deuda!A$1:H$550,6,0))</f>
        <v/>
      </c>
      <c r="T94" s="149" t="str">
        <f>IF((VLOOKUP(P94,deuda!A$1:H$550,7,0))=0,"",VLOOKUP(P94,deuda!A$1:H$550,7,0))</f>
        <v/>
      </c>
      <c r="U94" s="153" t="str">
        <f>IF((VLOOKUP(P94,deuda!A$1:H$550,8,0))=0,"",VLOOKUP(P94,deuda!A$1:H$550,8,0))</f>
        <v/>
      </c>
    </row>
    <row r="95" spans="1:21">
      <c r="A95" s="35">
        <v>7</v>
      </c>
      <c r="B95" s="6">
        <v>1213</v>
      </c>
      <c r="C95" s="5">
        <v>88</v>
      </c>
      <c r="D95" s="9">
        <v>14.723599999999999</v>
      </c>
      <c r="E95" s="9">
        <f>IF((VLOOKUP(P95,deuda!A$1:H$550,4,0)=1),D95,0)</f>
        <v>14.723599999999999</v>
      </c>
      <c r="F95" s="5" t="s">
        <v>447</v>
      </c>
      <c r="G95" s="5"/>
      <c r="H95" s="636">
        <f t="shared" si="14"/>
        <v>14.723599999999999</v>
      </c>
      <c r="I95" s="629" t="e">
        <f t="shared" si="12"/>
        <v>#N/A</v>
      </c>
      <c r="J95" s="618" t="e">
        <f t="shared" si="13"/>
        <v>#N/A</v>
      </c>
      <c r="K95" s="125" t="e">
        <f t="shared" si="15"/>
        <v>#REF!</v>
      </c>
      <c r="L95" s="125" t="e">
        <f t="shared" si="16"/>
        <v>#REF!</v>
      </c>
      <c r="M95" s="28"/>
      <c r="N95" s="8"/>
      <c r="O95" s="5"/>
      <c r="P95" s="5" t="str">
        <f t="shared" si="17"/>
        <v>121388</v>
      </c>
      <c r="Q95" s="6">
        <f>VLOOKUP(P95,deuda!A$1:H$550,4,0)</f>
        <v>1</v>
      </c>
      <c r="R95" s="6">
        <f>VLOOKUP(P95,deuda!A$1:H$550,5,0)</f>
        <v>0</v>
      </c>
      <c r="S95" s="6" t="str">
        <f>IF(VLOOKUP(P95,deuda!A$1:H$550,6,0)=0,"",VLOOKUP(P95,deuda!A$1:H$550,6,0))</f>
        <v/>
      </c>
      <c r="T95" s="149" t="str">
        <f>IF((VLOOKUP(P95,deuda!A$1:H$550,7,0))=0,"",VLOOKUP(P95,deuda!A$1:H$550,7,0))</f>
        <v/>
      </c>
      <c r="U95" s="153" t="str">
        <f>IF((VLOOKUP(P95,deuda!A$1:H$550,8,0))=0,"",VLOOKUP(P95,deuda!A$1:H$550,8,0))</f>
        <v/>
      </c>
    </row>
    <row r="96" spans="1:21">
      <c r="A96" s="35">
        <v>7</v>
      </c>
      <c r="B96" s="6">
        <v>1213</v>
      </c>
      <c r="C96" s="5">
        <v>159</v>
      </c>
      <c r="D96" s="9">
        <v>4.6924999999999999</v>
      </c>
      <c r="E96" s="9">
        <f>IF((VLOOKUP(P96,deuda!A$1:H$550,4,0)=1),D96,0)</f>
        <v>4.6924999999999999</v>
      </c>
      <c r="F96" s="5" t="s">
        <v>447</v>
      </c>
      <c r="G96" s="5"/>
      <c r="H96" s="636">
        <f t="shared" si="14"/>
        <v>4.6924999999999999</v>
      </c>
      <c r="I96" s="629" t="e">
        <f t="shared" si="12"/>
        <v>#N/A</v>
      </c>
      <c r="J96" s="618" t="e">
        <f t="shared" si="13"/>
        <v>#N/A</v>
      </c>
      <c r="K96" s="125" t="e">
        <f t="shared" si="15"/>
        <v>#REF!</v>
      </c>
      <c r="L96" s="125" t="e">
        <f t="shared" si="16"/>
        <v>#REF!</v>
      </c>
      <c r="M96" s="28"/>
      <c r="N96" s="8"/>
      <c r="O96" s="5"/>
      <c r="P96" s="5" t="str">
        <f t="shared" si="17"/>
        <v>1213159</v>
      </c>
      <c r="Q96" s="6">
        <f>VLOOKUP(P96,deuda!A$1:H$550,4,0)</f>
        <v>1</v>
      </c>
      <c r="R96" s="6">
        <f>VLOOKUP(P96,deuda!A$1:H$550,5,0)</f>
        <v>0</v>
      </c>
      <c r="S96" s="6" t="str">
        <f>IF(VLOOKUP(P96,deuda!A$1:H$550,6,0)=0,"",VLOOKUP(P96,deuda!A$1:H$550,6,0))</f>
        <v/>
      </c>
      <c r="T96" s="149" t="str">
        <f>IF((VLOOKUP(P96,deuda!A$1:H$550,7,0))=0,"",VLOOKUP(P96,deuda!A$1:H$550,7,0))</f>
        <v/>
      </c>
      <c r="U96" s="153" t="str">
        <f>IF((VLOOKUP(P96,deuda!A$1:H$550,8,0))=0,"",VLOOKUP(P96,deuda!A$1:H$550,8,0))</f>
        <v/>
      </c>
    </row>
    <row r="97" spans="1:21">
      <c r="A97" s="35">
        <v>8</v>
      </c>
      <c r="B97" s="6">
        <v>1213</v>
      </c>
      <c r="C97" s="5">
        <v>91</v>
      </c>
      <c r="D97" s="9">
        <v>4.6063999999999998</v>
      </c>
      <c r="E97" s="9">
        <f>IF((VLOOKUP(P97,deuda!A$1:H$550,4,0)=1),D97,0)</f>
        <v>4.6063999999999998</v>
      </c>
      <c r="F97" s="5" t="s">
        <v>448</v>
      </c>
      <c r="G97" s="5"/>
      <c r="H97" s="636">
        <f t="shared" si="14"/>
        <v>4.6063999999999998</v>
      </c>
      <c r="I97" s="629" t="e">
        <f t="shared" si="12"/>
        <v>#N/A</v>
      </c>
      <c r="J97" s="618" t="e">
        <f t="shared" si="13"/>
        <v>#N/A</v>
      </c>
      <c r="K97" s="125" t="e">
        <f t="shared" si="15"/>
        <v>#REF!</v>
      </c>
      <c r="L97" s="125" t="e">
        <f t="shared" si="16"/>
        <v>#REF!</v>
      </c>
      <c r="M97" s="28"/>
      <c r="N97" s="8"/>
      <c r="O97" s="5"/>
      <c r="P97" s="5" t="str">
        <f t="shared" si="17"/>
        <v>121391</v>
      </c>
      <c r="Q97" s="6">
        <f>VLOOKUP(P97,deuda!A$1:H$550,4,0)</f>
        <v>1</v>
      </c>
      <c r="R97" s="6">
        <f>VLOOKUP(P97,deuda!A$1:H$550,5,0)</f>
        <v>0</v>
      </c>
      <c r="S97" s="6" t="str">
        <f>IF(VLOOKUP(P97,deuda!A$1:H$550,6,0)=0,"",VLOOKUP(P97,deuda!A$1:H$550,6,0))</f>
        <v/>
      </c>
      <c r="T97" s="149" t="str">
        <f>IF((VLOOKUP(P97,deuda!A$1:H$550,7,0))=0,"",VLOOKUP(P97,deuda!A$1:H$550,7,0))</f>
        <v/>
      </c>
      <c r="U97" s="153" t="str">
        <f>IF((VLOOKUP(P97,deuda!A$1:H$550,8,0))=0,"",VLOOKUP(P97,deuda!A$1:H$550,8,0))</f>
        <v/>
      </c>
    </row>
    <row r="98" spans="1:21">
      <c r="A98" s="35">
        <v>9</v>
      </c>
      <c r="B98" s="6">
        <v>1213</v>
      </c>
      <c r="C98" s="5">
        <v>92</v>
      </c>
      <c r="D98" s="9">
        <v>0.60699999999999998</v>
      </c>
      <c r="E98" s="9">
        <f>IF((VLOOKUP(P98,deuda!A$1:H$550,4,0)=1),D98,0)</f>
        <v>0.60699999999999998</v>
      </c>
      <c r="F98" s="5" t="s">
        <v>449</v>
      </c>
      <c r="G98" s="5"/>
      <c r="H98" s="636">
        <f t="shared" si="14"/>
        <v>0.60699999999999998</v>
      </c>
      <c r="I98" s="629" t="e">
        <f t="shared" si="12"/>
        <v>#N/A</v>
      </c>
      <c r="J98" s="618" t="e">
        <f t="shared" si="13"/>
        <v>#N/A</v>
      </c>
      <c r="K98" s="125" t="e">
        <f t="shared" si="15"/>
        <v>#REF!</v>
      </c>
      <c r="L98" s="125" t="e">
        <f t="shared" si="16"/>
        <v>#REF!</v>
      </c>
      <c r="M98" s="28"/>
      <c r="N98" s="8"/>
      <c r="O98" s="5"/>
      <c r="P98" s="5" t="str">
        <f t="shared" si="17"/>
        <v>121392</v>
      </c>
      <c r="Q98" s="6">
        <f>VLOOKUP(P98,deuda!A$1:H$550,4,0)</f>
        <v>1</v>
      </c>
      <c r="R98" s="6">
        <f>VLOOKUP(P98,deuda!A$1:H$550,5,0)</f>
        <v>0</v>
      </c>
      <c r="S98" s="6" t="str">
        <f>IF(VLOOKUP(P98,deuda!A$1:H$550,6,0)=0,"",VLOOKUP(P98,deuda!A$1:H$550,6,0))</f>
        <v/>
      </c>
      <c r="T98" s="149" t="str">
        <f>IF((VLOOKUP(P98,deuda!A$1:H$550,7,0))=0,"",VLOOKUP(P98,deuda!A$1:H$550,7,0))</f>
        <v/>
      </c>
      <c r="U98" s="153" t="str">
        <f>IF((VLOOKUP(P98,deuda!A$1:H$550,8,0))=0,"",VLOOKUP(P98,deuda!A$1:H$550,8,0))</f>
        <v/>
      </c>
    </row>
    <row r="99" spans="1:21">
      <c r="A99" s="35">
        <v>10</v>
      </c>
      <c r="B99" s="6">
        <v>1213</v>
      </c>
      <c r="C99" s="5">
        <v>93</v>
      </c>
      <c r="D99" s="9">
        <v>2.2999999999999998</v>
      </c>
      <c r="E99" s="9">
        <f>IF((VLOOKUP(P99,deuda!A$1:H$550,4,0)=1),D99,0)</f>
        <v>2.2999999999999998</v>
      </c>
      <c r="F99" s="5" t="s">
        <v>450</v>
      </c>
      <c r="G99" s="5"/>
      <c r="H99" s="636">
        <f t="shared" si="14"/>
        <v>2.2999999999999998</v>
      </c>
      <c r="I99" s="629" t="e">
        <f t="shared" si="12"/>
        <v>#N/A</v>
      </c>
      <c r="J99" s="618" t="e">
        <f t="shared" si="13"/>
        <v>#N/A</v>
      </c>
      <c r="K99" s="125" t="e">
        <f t="shared" si="15"/>
        <v>#REF!</v>
      </c>
      <c r="L99" s="125" t="e">
        <f t="shared" si="16"/>
        <v>#REF!</v>
      </c>
      <c r="M99" s="28"/>
      <c r="N99" s="8"/>
      <c r="O99" s="5"/>
      <c r="P99" s="5" t="str">
        <f t="shared" si="17"/>
        <v>121393</v>
      </c>
      <c r="Q99" s="6">
        <f>VLOOKUP(P99,deuda!A$1:H$550,4,0)</f>
        <v>1</v>
      </c>
      <c r="R99" s="6">
        <f>VLOOKUP(P99,deuda!A$1:H$550,5,0)</f>
        <v>0</v>
      </c>
      <c r="S99" s="6" t="str">
        <f>IF(VLOOKUP(P99,deuda!A$1:H$550,6,0)=0,"",VLOOKUP(P99,deuda!A$1:H$550,6,0))</f>
        <v/>
      </c>
      <c r="T99" s="149" t="str">
        <f>IF((VLOOKUP(P99,deuda!A$1:H$550,7,0))=0,"",VLOOKUP(P99,deuda!A$1:H$550,7,0))</f>
        <v/>
      </c>
      <c r="U99" s="153" t="str">
        <f>IF((VLOOKUP(P99,deuda!A$1:H$550,8,0))=0,"",VLOOKUP(P99,deuda!A$1:H$550,8,0))</f>
        <v/>
      </c>
    </row>
    <row r="100" spans="1:21">
      <c r="A100" s="35">
        <v>11</v>
      </c>
      <c r="B100" s="6">
        <v>1213</v>
      </c>
      <c r="C100" s="5">
        <v>306</v>
      </c>
      <c r="D100" s="9">
        <v>4.5285000000000002</v>
      </c>
      <c r="E100" s="9">
        <f>IF((VLOOKUP(P100,deuda!A$1:H$550,4,0)=1),D100,0)</f>
        <v>4.5285000000000002</v>
      </c>
      <c r="F100" s="5" t="s">
        <v>451</v>
      </c>
      <c r="G100" s="5"/>
      <c r="H100" s="636">
        <f t="shared" si="14"/>
        <v>4.5285000000000002</v>
      </c>
      <c r="I100" s="629" t="e">
        <f t="shared" si="12"/>
        <v>#N/A</v>
      </c>
      <c r="J100" s="618" t="e">
        <f t="shared" si="13"/>
        <v>#N/A</v>
      </c>
      <c r="K100" s="125" t="e">
        <f t="shared" si="15"/>
        <v>#REF!</v>
      </c>
      <c r="L100" s="125" t="e">
        <f t="shared" si="16"/>
        <v>#REF!</v>
      </c>
      <c r="M100" s="28"/>
      <c r="N100" s="8"/>
      <c r="O100" s="5"/>
      <c r="P100" s="5" t="str">
        <f t="shared" si="17"/>
        <v>1213306</v>
      </c>
      <c r="Q100" s="6">
        <f>VLOOKUP(P100,deuda!A$1:H$550,4,0)</f>
        <v>1</v>
      </c>
      <c r="R100" s="6">
        <f>VLOOKUP(P100,deuda!A$1:H$550,5,0)</f>
        <v>0</v>
      </c>
      <c r="S100" s="6" t="str">
        <f>IF(VLOOKUP(P100,deuda!A$1:H$550,6,0)=0,"",VLOOKUP(P100,deuda!A$1:H$550,6,0))</f>
        <v/>
      </c>
      <c r="T100" s="149" t="str">
        <f>IF((VLOOKUP(P100,deuda!A$1:H$550,7,0))=0,"",VLOOKUP(P100,deuda!A$1:H$550,7,0))</f>
        <v/>
      </c>
      <c r="U100" s="153" t="str">
        <f>IF((VLOOKUP(P100,deuda!A$1:H$550,8,0))=0,"",VLOOKUP(P100,deuda!A$1:H$550,8,0))</f>
        <v/>
      </c>
    </row>
    <row r="101" spans="1:21">
      <c r="A101" s="35">
        <v>12</v>
      </c>
      <c r="B101" s="6">
        <v>1213</v>
      </c>
      <c r="C101" s="5">
        <v>200</v>
      </c>
      <c r="D101" s="9">
        <v>0.7883</v>
      </c>
      <c r="E101" s="9">
        <f>IF((VLOOKUP(P101,deuda!A$1:H$550,4,0)=1),D101,0)</f>
        <v>0</v>
      </c>
      <c r="F101" s="5" t="s">
        <v>452</v>
      </c>
      <c r="G101" s="5"/>
      <c r="H101" s="636">
        <f t="shared" si="14"/>
        <v>0</v>
      </c>
      <c r="I101" s="629" t="e">
        <f t="shared" si="12"/>
        <v>#N/A</v>
      </c>
      <c r="J101" s="618" t="e">
        <f t="shared" si="13"/>
        <v>#N/A</v>
      </c>
      <c r="K101" s="125" t="e">
        <f t="shared" si="15"/>
        <v>#REF!</v>
      </c>
      <c r="L101" s="125" t="e">
        <f t="shared" si="16"/>
        <v>#REF!</v>
      </c>
      <c r="M101" s="28"/>
      <c r="N101" s="8"/>
      <c r="O101" s="5"/>
      <c r="P101" s="5" t="str">
        <f t="shared" si="17"/>
        <v>1213200</v>
      </c>
      <c r="Q101" s="6">
        <f>VLOOKUP(P101,deuda!A$1:H$550,4,0)</f>
        <v>0</v>
      </c>
      <c r="R101" s="6">
        <f>VLOOKUP(P101,deuda!A$1:H$550,5,0)</f>
        <v>15</v>
      </c>
      <c r="S101" s="6">
        <f>IF(VLOOKUP(P101,deuda!A$1:H$550,6,0)=0,"",VLOOKUP(P101,deuda!A$1:H$550,6,0))</f>
        <v>6264.31</v>
      </c>
      <c r="T101" s="149" t="str">
        <f>IF((VLOOKUP(P101,deuda!A$1:H$550,7,0))=0,"",VLOOKUP(P101,deuda!A$1:H$550,7,0))</f>
        <v/>
      </c>
      <c r="U101" s="153" t="str">
        <f>IF((VLOOKUP(P101,deuda!A$1:H$550,8,0))=0,"",VLOOKUP(P101,deuda!A$1:H$550,8,0))</f>
        <v/>
      </c>
    </row>
    <row r="102" spans="1:21">
      <c r="A102" s="35">
        <v>13</v>
      </c>
      <c r="B102" s="6">
        <v>1213</v>
      </c>
      <c r="C102" s="5">
        <v>94</v>
      </c>
      <c r="D102" s="9">
        <v>0.7228</v>
      </c>
      <c r="E102" s="9">
        <f>IF((VLOOKUP(P102,deuda!A$1:H$550,4,0)=1),D102,0)</f>
        <v>0.7228</v>
      </c>
      <c r="F102" s="5" t="s">
        <v>453</v>
      </c>
      <c r="G102" s="5"/>
      <c r="H102" s="636">
        <f t="shared" si="14"/>
        <v>0.7228</v>
      </c>
      <c r="I102" s="629" t="e">
        <f t="shared" si="12"/>
        <v>#N/A</v>
      </c>
      <c r="J102" s="618" t="e">
        <f t="shared" si="13"/>
        <v>#N/A</v>
      </c>
      <c r="K102" s="125" t="e">
        <f t="shared" si="15"/>
        <v>#REF!</v>
      </c>
      <c r="L102" s="125" t="e">
        <f t="shared" si="16"/>
        <v>#REF!</v>
      </c>
      <c r="M102" s="28"/>
      <c r="N102" s="8"/>
      <c r="O102" s="5"/>
      <c r="P102" s="5" t="str">
        <f t="shared" si="17"/>
        <v>121394</v>
      </c>
      <c r="Q102" s="6">
        <f>VLOOKUP(P102,deuda!A$1:H$550,4,0)</f>
        <v>1</v>
      </c>
      <c r="R102" s="6">
        <f>VLOOKUP(P102,deuda!A$1:H$550,5,0)</f>
        <v>0</v>
      </c>
      <c r="S102" s="6" t="str">
        <f>IF(VLOOKUP(P102,deuda!A$1:H$550,6,0)=0,"",VLOOKUP(P102,deuda!A$1:H$550,6,0))</f>
        <v/>
      </c>
      <c r="T102" s="149" t="str">
        <f>IF((VLOOKUP(P102,deuda!A$1:H$550,7,0))=0,"",VLOOKUP(P102,deuda!A$1:H$550,7,0))</f>
        <v/>
      </c>
      <c r="U102" s="153" t="str">
        <f>IF((VLOOKUP(P102,deuda!A$1:H$550,8,0))=0,"",VLOOKUP(P102,deuda!A$1:H$550,8,0))</f>
        <v/>
      </c>
    </row>
    <row r="103" spans="1:21">
      <c r="A103" s="35">
        <v>14</v>
      </c>
      <c r="B103" s="6">
        <v>1213</v>
      </c>
      <c r="C103" s="5">
        <v>95</v>
      </c>
      <c r="D103" s="9">
        <v>0.5</v>
      </c>
      <c r="E103" s="9">
        <f>IF((VLOOKUP(P103,deuda!A$1:H$550,4,0)=1),D103,0)</f>
        <v>0.5</v>
      </c>
      <c r="F103" s="5" t="s">
        <v>454</v>
      </c>
      <c r="G103" s="5"/>
      <c r="H103" s="636">
        <f t="shared" si="14"/>
        <v>0.5</v>
      </c>
      <c r="I103" s="629" t="e">
        <f t="shared" si="12"/>
        <v>#N/A</v>
      </c>
      <c r="J103" s="618" t="e">
        <f t="shared" si="13"/>
        <v>#N/A</v>
      </c>
      <c r="K103" s="125" t="e">
        <f t="shared" si="15"/>
        <v>#REF!</v>
      </c>
      <c r="L103" s="125" t="e">
        <f t="shared" si="16"/>
        <v>#REF!</v>
      </c>
      <c r="M103" s="28"/>
      <c r="N103" s="8"/>
      <c r="O103" s="5"/>
      <c r="P103" s="5" t="str">
        <f t="shared" si="17"/>
        <v>121395</v>
      </c>
      <c r="Q103" s="6">
        <f>VLOOKUP(P103,deuda!A$1:H$550,4,0)</f>
        <v>1</v>
      </c>
      <c r="R103" s="6">
        <f>VLOOKUP(P103,deuda!A$1:H$550,5,0)</f>
        <v>2</v>
      </c>
      <c r="S103" s="6">
        <f>IF(VLOOKUP(P103,deuda!A$1:H$550,6,0)=0,"",VLOOKUP(P103,deuda!A$1:H$550,6,0))</f>
        <v>492.15</v>
      </c>
      <c r="T103" s="149" t="str">
        <f>IF((VLOOKUP(P103,deuda!A$1:H$550,7,0))=0,"",VLOOKUP(P103,deuda!A$1:H$550,7,0))</f>
        <v/>
      </c>
      <c r="U103" s="153" t="str">
        <f>IF((VLOOKUP(P103,deuda!A$1:H$550,8,0))=0,"",VLOOKUP(P103,deuda!A$1:H$550,8,0))</f>
        <v/>
      </c>
    </row>
    <row r="104" spans="1:21">
      <c r="A104" s="35">
        <v>15</v>
      </c>
      <c r="B104" s="6">
        <v>1213</v>
      </c>
      <c r="C104" s="5">
        <v>101</v>
      </c>
      <c r="D104" s="9">
        <v>6.9199999999999998E-2</v>
      </c>
      <c r="E104" s="9">
        <f>IF((VLOOKUP(P104,deuda!A$1:H$550,4,0)=1),D104,0)</f>
        <v>0</v>
      </c>
      <c r="F104" s="5" t="s">
        <v>455</v>
      </c>
      <c r="G104" s="5"/>
      <c r="H104" s="636">
        <f t="shared" si="14"/>
        <v>0</v>
      </c>
      <c r="I104" s="629" t="e">
        <f t="shared" si="12"/>
        <v>#N/A</v>
      </c>
      <c r="J104" s="618" t="e">
        <f t="shared" si="13"/>
        <v>#N/A</v>
      </c>
      <c r="K104" s="125" t="e">
        <f t="shared" si="15"/>
        <v>#REF!</v>
      </c>
      <c r="L104" s="125" t="e">
        <f t="shared" si="16"/>
        <v>#REF!</v>
      </c>
      <c r="M104" s="28"/>
      <c r="N104" s="8"/>
      <c r="O104" s="5"/>
      <c r="P104" s="5" t="str">
        <f t="shared" si="17"/>
        <v>1213101</v>
      </c>
      <c r="Q104" s="6">
        <f>VLOOKUP(P104,deuda!A$1:H$550,4,0)</f>
        <v>0</v>
      </c>
      <c r="R104" s="6">
        <f>VLOOKUP(P104,deuda!A$1:H$550,5,0)</f>
        <v>207</v>
      </c>
      <c r="S104" s="6">
        <f>IF(VLOOKUP(P104,deuda!A$1:H$550,6,0)=0,"",VLOOKUP(P104,deuda!A$1:H$550,6,0))</f>
        <v>59205.78</v>
      </c>
      <c r="T104" s="149" t="str">
        <f>IF((VLOOKUP(P104,deuda!A$1:H$550,7,0))=0,"",VLOOKUP(P104,deuda!A$1:H$550,7,0))</f>
        <v/>
      </c>
      <c r="U104" s="153" t="str">
        <f>IF((VLOOKUP(P104,deuda!A$1:H$550,8,0))=0,"",VLOOKUP(P104,deuda!A$1:H$550,8,0))</f>
        <v/>
      </c>
    </row>
    <row r="105" spans="1:21">
      <c r="A105" s="35">
        <v>15</v>
      </c>
      <c r="B105" s="6">
        <v>1213</v>
      </c>
      <c r="C105" s="5">
        <v>209</v>
      </c>
      <c r="D105" s="9">
        <v>0.27300000000000002</v>
      </c>
      <c r="E105" s="9">
        <f>IF((VLOOKUP(P105,deuda!A$1:H$550,4,0)=1),D105,0)</f>
        <v>0</v>
      </c>
      <c r="F105" s="5" t="s">
        <v>456</v>
      </c>
      <c r="G105" s="5"/>
      <c r="H105" s="636">
        <f t="shared" si="14"/>
        <v>0</v>
      </c>
      <c r="I105" s="629" t="e">
        <f t="shared" si="12"/>
        <v>#N/A</v>
      </c>
      <c r="J105" s="618" t="e">
        <f t="shared" si="13"/>
        <v>#N/A</v>
      </c>
      <c r="K105" s="125" t="e">
        <f t="shared" si="15"/>
        <v>#REF!</v>
      </c>
      <c r="L105" s="125" t="e">
        <f t="shared" si="16"/>
        <v>#REF!</v>
      </c>
      <c r="M105" s="28"/>
      <c r="N105" s="8"/>
      <c r="O105" s="5"/>
      <c r="P105" s="5" t="str">
        <f t="shared" si="17"/>
        <v>1213209</v>
      </c>
      <c r="Q105" s="6">
        <f>VLOOKUP(P105,deuda!A$1:H$550,4,0)</f>
        <v>0</v>
      </c>
      <c r="R105" s="6">
        <f>VLOOKUP(P105,deuda!A$1:H$550,5,0)</f>
        <v>203</v>
      </c>
      <c r="S105" s="6">
        <f>IF(VLOOKUP(P105,deuda!A$1:H$550,6,0)=0,"",VLOOKUP(P105,deuda!A$1:H$550,6,0))</f>
        <v>55035.38</v>
      </c>
      <c r="T105" s="149" t="str">
        <f>IF((VLOOKUP(P105,deuda!A$1:H$550,7,0))=0,"",VLOOKUP(P105,deuda!A$1:H$550,7,0))</f>
        <v/>
      </c>
      <c r="U105" s="153" t="str">
        <f>IF((VLOOKUP(P105,deuda!A$1:H$550,8,0))=0,"",VLOOKUP(P105,deuda!A$1:H$550,8,0))</f>
        <v/>
      </c>
    </row>
    <row r="106" spans="1:21">
      <c r="A106" s="35">
        <v>16</v>
      </c>
      <c r="B106" s="6">
        <v>1213</v>
      </c>
      <c r="C106" s="5">
        <v>212</v>
      </c>
      <c r="D106" s="9">
        <v>0.1381</v>
      </c>
      <c r="E106" s="9">
        <f>IF((VLOOKUP(P106,deuda!A$1:H$550,4,0)=1),D106,0)</f>
        <v>0.1381</v>
      </c>
      <c r="F106" s="5" t="s">
        <v>457</v>
      </c>
      <c r="G106" s="5"/>
      <c r="H106" s="636">
        <f t="shared" si="14"/>
        <v>0.1381</v>
      </c>
      <c r="I106" s="629" t="e">
        <f t="shared" si="12"/>
        <v>#N/A</v>
      </c>
      <c r="J106" s="618" t="e">
        <f t="shared" si="13"/>
        <v>#N/A</v>
      </c>
      <c r="K106" s="125" t="e">
        <f t="shared" si="15"/>
        <v>#REF!</v>
      </c>
      <c r="L106" s="125" t="e">
        <f t="shared" si="16"/>
        <v>#REF!</v>
      </c>
      <c r="M106" s="28"/>
      <c r="N106" s="8"/>
      <c r="O106" s="5"/>
      <c r="P106" s="5" t="str">
        <f t="shared" si="17"/>
        <v>1213212</v>
      </c>
      <c r="Q106" s="6">
        <f>VLOOKUP(P106,deuda!A$1:H$550,4,0)</f>
        <v>1</v>
      </c>
      <c r="R106" s="6">
        <f>VLOOKUP(P106,deuda!A$1:H$550,5,0)</f>
        <v>0</v>
      </c>
      <c r="S106" s="6" t="str">
        <f>IF(VLOOKUP(P106,deuda!A$1:H$550,6,0)=0,"",VLOOKUP(P106,deuda!A$1:H$550,6,0))</f>
        <v/>
      </c>
      <c r="T106" s="149" t="str">
        <f>IF((VLOOKUP(P106,deuda!A$1:H$550,7,0))=0,"",VLOOKUP(P106,deuda!A$1:H$550,7,0))</f>
        <v/>
      </c>
      <c r="U106" s="153" t="str">
        <f>IF((VLOOKUP(P106,deuda!A$1:H$550,8,0))=0,"",VLOOKUP(P106,deuda!A$1:H$550,8,0))</f>
        <v/>
      </c>
    </row>
    <row r="107" spans="1:21">
      <c r="A107" s="35">
        <v>17</v>
      </c>
      <c r="B107" s="6">
        <v>1213</v>
      </c>
      <c r="C107" s="5">
        <v>105</v>
      </c>
      <c r="D107" s="9">
        <v>0.27229999999999999</v>
      </c>
      <c r="E107" s="9">
        <f>IF((VLOOKUP(P107,deuda!A$1:H$550,4,0)=1),D107,0)</f>
        <v>0</v>
      </c>
      <c r="F107" s="5" t="s">
        <v>458</v>
      </c>
      <c r="G107" s="5"/>
      <c r="H107" s="636">
        <f t="shared" si="14"/>
        <v>0</v>
      </c>
      <c r="I107" s="629" t="e">
        <f t="shared" si="12"/>
        <v>#N/A</v>
      </c>
      <c r="J107" s="618" t="e">
        <f t="shared" si="13"/>
        <v>#N/A</v>
      </c>
      <c r="K107" s="125" t="e">
        <f t="shared" si="15"/>
        <v>#REF!</v>
      </c>
      <c r="L107" s="125" t="e">
        <f t="shared" si="16"/>
        <v>#REF!</v>
      </c>
      <c r="M107" s="28"/>
      <c r="N107" s="8"/>
      <c r="O107" s="5"/>
      <c r="P107" s="5" t="str">
        <f t="shared" si="17"/>
        <v>1213105</v>
      </c>
      <c r="Q107" s="6">
        <f>VLOOKUP(P107,deuda!A$1:H$550,4,0)</f>
        <v>0</v>
      </c>
      <c r="R107" s="6">
        <f>VLOOKUP(P107,deuda!A$1:H$550,5,0)</f>
        <v>206</v>
      </c>
      <c r="S107" s="6">
        <f>IF(VLOOKUP(P107,deuda!A$1:H$550,6,0)=0,"",VLOOKUP(P107,deuda!A$1:H$550,6,0))</f>
        <v>49918.32</v>
      </c>
      <c r="T107" s="149" t="str">
        <f>IF((VLOOKUP(P107,deuda!A$1:H$550,7,0))=0,"",VLOOKUP(P107,deuda!A$1:H$550,7,0))</f>
        <v/>
      </c>
      <c r="U107" s="153" t="str">
        <f>IF((VLOOKUP(P107,deuda!A$1:H$550,8,0))=0,"",VLOOKUP(P107,deuda!A$1:H$550,8,0))</f>
        <v/>
      </c>
    </row>
    <row r="108" spans="1:21">
      <c r="A108" s="35">
        <v>18</v>
      </c>
      <c r="B108" s="6">
        <v>1213</v>
      </c>
      <c r="C108" s="5">
        <v>216</v>
      </c>
      <c r="D108" s="9">
        <v>6.9000000000000006E-2</v>
      </c>
      <c r="E108" s="9">
        <f>IF((VLOOKUP(P108,deuda!A$1:H$550,4,0)=1),D108,0)</f>
        <v>6.9000000000000006E-2</v>
      </c>
      <c r="F108" s="5" t="s">
        <v>459</v>
      </c>
      <c r="G108" s="5"/>
      <c r="H108" s="636">
        <f t="shared" si="14"/>
        <v>6.9000000000000006E-2</v>
      </c>
      <c r="I108" s="629" t="e">
        <f t="shared" si="12"/>
        <v>#N/A</v>
      </c>
      <c r="J108" s="618" t="e">
        <f t="shared" si="13"/>
        <v>#N/A</v>
      </c>
      <c r="K108" s="125" t="e">
        <f t="shared" si="15"/>
        <v>#REF!</v>
      </c>
      <c r="L108" s="125" t="e">
        <f t="shared" si="16"/>
        <v>#REF!</v>
      </c>
      <c r="M108" s="28"/>
      <c r="N108" s="8"/>
      <c r="O108" s="5"/>
      <c r="P108" s="5" t="str">
        <f t="shared" si="17"/>
        <v>1213216</v>
      </c>
      <c r="Q108" s="6">
        <f>VLOOKUP(P108,deuda!A$1:H$550,4,0)</f>
        <v>1</v>
      </c>
      <c r="R108" s="6">
        <f>VLOOKUP(P108,deuda!A$1:H$550,5,0)</f>
        <v>0</v>
      </c>
      <c r="S108" s="6" t="str">
        <f>IF(VLOOKUP(P108,deuda!A$1:H$550,6,0)=0,"",VLOOKUP(P108,deuda!A$1:H$550,6,0))</f>
        <v/>
      </c>
      <c r="T108" s="149" t="str">
        <f>IF((VLOOKUP(P108,deuda!A$1:H$550,7,0))=0,"",VLOOKUP(P108,deuda!A$1:H$550,7,0))</f>
        <v/>
      </c>
      <c r="U108" s="153" t="str">
        <f>IF((VLOOKUP(P108,deuda!A$1:H$550,8,0))=0,"",VLOOKUP(P108,deuda!A$1:H$550,8,0))</f>
        <v/>
      </c>
    </row>
    <row r="109" spans="1:21">
      <c r="A109" s="35">
        <v>19</v>
      </c>
      <c r="B109" s="6">
        <v>1213</v>
      </c>
      <c r="C109" s="5">
        <v>103</v>
      </c>
      <c r="D109" s="9">
        <v>0.11849999999999999</v>
      </c>
      <c r="E109" s="9">
        <f>IF((VLOOKUP(P109,deuda!A$1:H$550,4,0)=1),D109,0)</f>
        <v>0.11849999999999999</v>
      </c>
      <c r="F109" s="5" t="s">
        <v>460</v>
      </c>
      <c r="G109" s="5"/>
      <c r="H109" s="636">
        <f t="shared" si="14"/>
        <v>0.11849999999999999</v>
      </c>
      <c r="I109" s="629" t="e">
        <f t="shared" si="12"/>
        <v>#N/A</v>
      </c>
      <c r="J109" s="618" t="e">
        <f t="shared" si="13"/>
        <v>#N/A</v>
      </c>
      <c r="K109" s="125" t="e">
        <f t="shared" si="15"/>
        <v>#REF!</v>
      </c>
      <c r="L109" s="125" t="e">
        <f t="shared" si="16"/>
        <v>#REF!</v>
      </c>
      <c r="M109" s="28"/>
      <c r="N109" s="8"/>
      <c r="O109" s="5"/>
      <c r="P109" s="5" t="str">
        <f t="shared" si="17"/>
        <v>1213103</v>
      </c>
      <c r="Q109" s="6">
        <f>VLOOKUP(P109,deuda!A$1:H$550,4,0)</f>
        <v>1</v>
      </c>
      <c r="R109" s="6">
        <f>VLOOKUP(P109,deuda!A$1:H$550,5,0)</f>
        <v>2</v>
      </c>
      <c r="S109" s="6">
        <f>IF(VLOOKUP(P109,deuda!A$1:H$550,6,0)=0,"",VLOOKUP(P109,deuda!A$1:H$550,6,0))</f>
        <v>510.61</v>
      </c>
      <c r="T109" s="149" t="str">
        <f>IF((VLOOKUP(P109,deuda!A$1:H$550,7,0))=0,"",VLOOKUP(P109,deuda!A$1:H$550,7,0))</f>
        <v/>
      </c>
      <c r="U109" s="153" t="str">
        <f>IF((VLOOKUP(P109,deuda!A$1:H$550,8,0))=0,"",VLOOKUP(P109,deuda!A$1:H$550,8,0))</f>
        <v/>
      </c>
    </row>
    <row r="110" spans="1:21">
      <c r="A110" s="35">
        <v>20</v>
      </c>
      <c r="B110" s="6">
        <v>1213</v>
      </c>
      <c r="C110" s="5">
        <v>89</v>
      </c>
      <c r="D110" s="9">
        <v>3.8035000000000001</v>
      </c>
      <c r="E110" s="9">
        <f>IF((VLOOKUP(P110,deuda!A$1:H$550,4,0)=1),D110,0)</f>
        <v>3.8035000000000001</v>
      </c>
      <c r="F110" s="5" t="s">
        <v>461</v>
      </c>
      <c r="G110" s="5"/>
      <c r="H110" s="636">
        <f t="shared" si="14"/>
        <v>3.8035000000000001</v>
      </c>
      <c r="I110" s="629" t="e">
        <f t="shared" si="12"/>
        <v>#N/A</v>
      </c>
      <c r="J110" s="618" t="e">
        <f t="shared" si="13"/>
        <v>#N/A</v>
      </c>
      <c r="K110" s="125" t="e">
        <f t="shared" si="15"/>
        <v>#REF!</v>
      </c>
      <c r="L110" s="125" t="e">
        <f t="shared" si="16"/>
        <v>#REF!</v>
      </c>
      <c r="M110" s="28"/>
      <c r="N110" s="8"/>
      <c r="O110" s="5"/>
      <c r="P110" s="5" t="str">
        <f t="shared" si="17"/>
        <v>121389</v>
      </c>
      <c r="Q110" s="6">
        <f>VLOOKUP(P110,deuda!A$1:H$550,4,0)</f>
        <v>1</v>
      </c>
      <c r="R110" s="6">
        <f>VLOOKUP(P110,deuda!A$1:H$550,5,0)</f>
        <v>1</v>
      </c>
      <c r="S110" s="6">
        <f>IF(VLOOKUP(P110,deuda!A$1:H$550,6,0)=0,"",VLOOKUP(P110,deuda!A$1:H$550,6,0))</f>
        <v>8494.8799999999992</v>
      </c>
      <c r="T110" s="149" t="str">
        <f>IF((VLOOKUP(P110,deuda!A$1:H$550,7,0))=0,"",VLOOKUP(P110,deuda!A$1:H$550,7,0))</f>
        <v/>
      </c>
      <c r="U110" s="153" t="str">
        <f>IF((VLOOKUP(P110,deuda!A$1:H$550,8,0))=0,"",VLOOKUP(P110,deuda!A$1:H$550,8,0))</f>
        <v/>
      </c>
    </row>
    <row r="111" spans="1:21">
      <c r="A111" s="35">
        <v>20</v>
      </c>
      <c r="B111" s="6">
        <v>1213</v>
      </c>
      <c r="C111" s="5">
        <v>104</v>
      </c>
      <c r="D111" s="9">
        <v>4</v>
      </c>
      <c r="E111" s="9">
        <f>IF((VLOOKUP(P111,deuda!A$1:H$550,4,0)=1),D111,0)</f>
        <v>4</v>
      </c>
      <c r="F111" s="5" t="s">
        <v>461</v>
      </c>
      <c r="G111" s="5"/>
      <c r="H111" s="636">
        <f t="shared" si="14"/>
        <v>4</v>
      </c>
      <c r="I111" s="629" t="e">
        <f t="shared" si="12"/>
        <v>#N/A</v>
      </c>
      <c r="J111" s="618" t="e">
        <f t="shared" si="13"/>
        <v>#N/A</v>
      </c>
      <c r="K111" s="125" t="e">
        <f t="shared" si="15"/>
        <v>#REF!</v>
      </c>
      <c r="L111" s="125" t="e">
        <f t="shared" si="16"/>
        <v>#REF!</v>
      </c>
      <c r="M111" s="28"/>
      <c r="N111" s="8"/>
      <c r="O111" s="5"/>
      <c r="P111" s="5" t="str">
        <f t="shared" si="17"/>
        <v>1213104</v>
      </c>
      <c r="Q111" s="6">
        <f>VLOOKUP(P111,deuda!A$1:H$550,4,0)</f>
        <v>1</v>
      </c>
      <c r="R111" s="6">
        <f>VLOOKUP(P111,deuda!A$1:H$550,5,0)</f>
        <v>2</v>
      </c>
      <c r="S111" s="6">
        <f>IF(VLOOKUP(P111,deuda!A$1:H$550,6,0)=0,"",VLOOKUP(P111,deuda!A$1:H$550,6,0))</f>
        <v>4911.3999999999996</v>
      </c>
      <c r="T111" s="149" t="str">
        <f>IF((VLOOKUP(P111,deuda!A$1:H$550,7,0))=0,"",VLOOKUP(P111,deuda!A$1:H$550,7,0))</f>
        <v/>
      </c>
      <c r="U111" s="153" t="str">
        <f>IF((VLOOKUP(P111,deuda!A$1:H$550,8,0))=0,"",VLOOKUP(P111,deuda!A$1:H$550,8,0))</f>
        <v/>
      </c>
    </row>
    <row r="112" spans="1:21">
      <c r="A112" s="35">
        <v>20</v>
      </c>
      <c r="B112" s="6">
        <v>1213</v>
      </c>
      <c r="C112" s="5">
        <v>106</v>
      </c>
      <c r="D112" s="9">
        <v>4.2218999999999998</v>
      </c>
      <c r="E112" s="9">
        <f>IF((VLOOKUP(P112,deuda!A$1:H$550,4,0)=1),D112,0)</f>
        <v>4.2218999999999998</v>
      </c>
      <c r="F112" s="5" t="s">
        <v>462</v>
      </c>
      <c r="G112" s="5"/>
      <c r="H112" s="636">
        <f t="shared" si="14"/>
        <v>4.2218999999999998</v>
      </c>
      <c r="I112" s="629" t="e">
        <f t="shared" si="12"/>
        <v>#N/A</v>
      </c>
      <c r="J112" s="618" t="e">
        <f t="shared" si="13"/>
        <v>#N/A</v>
      </c>
      <c r="K112" s="125" t="e">
        <f t="shared" si="15"/>
        <v>#REF!</v>
      </c>
      <c r="L112" s="125" t="e">
        <f t="shared" si="16"/>
        <v>#REF!</v>
      </c>
      <c r="M112" s="28"/>
      <c r="N112" s="8"/>
      <c r="O112" s="5"/>
      <c r="P112" s="5" t="str">
        <f t="shared" si="17"/>
        <v>1213106</v>
      </c>
      <c r="Q112" s="6">
        <f>VLOOKUP(P112,deuda!A$1:H$550,4,0)</f>
        <v>1</v>
      </c>
      <c r="R112" s="6">
        <f>VLOOKUP(P112,deuda!A$1:H$550,5,0)</f>
        <v>1</v>
      </c>
      <c r="S112" s="6">
        <f>IF(VLOOKUP(P112,deuda!A$1:H$550,6,0)=0,"",VLOOKUP(P112,deuda!A$1:H$550,6,0))</f>
        <v>-812.68</v>
      </c>
      <c r="T112" s="149" t="str">
        <f>IF((VLOOKUP(P112,deuda!A$1:H$550,7,0))=0,"",VLOOKUP(P112,deuda!A$1:H$550,7,0))</f>
        <v/>
      </c>
      <c r="U112" s="153" t="str">
        <f>IF((VLOOKUP(P112,deuda!A$1:H$550,8,0))=0,"",VLOOKUP(P112,deuda!A$1:H$550,8,0))</f>
        <v/>
      </c>
    </row>
    <row r="113" spans="1:21">
      <c r="A113" s="35">
        <v>20</v>
      </c>
      <c r="B113" s="6">
        <v>1213</v>
      </c>
      <c r="C113" s="5">
        <v>108</v>
      </c>
      <c r="D113" s="9">
        <v>0.82730000000000004</v>
      </c>
      <c r="E113" s="9">
        <f>IF((VLOOKUP(P113,deuda!A$1:H$550,4,0)=1),D113,0)</f>
        <v>0.82730000000000004</v>
      </c>
      <c r="F113" s="5" t="s">
        <v>461</v>
      </c>
      <c r="G113" s="5"/>
      <c r="H113" s="636">
        <f t="shared" si="14"/>
        <v>0.82730000000000004</v>
      </c>
      <c r="I113" s="629" t="e">
        <f t="shared" si="12"/>
        <v>#N/A</v>
      </c>
      <c r="J113" s="618" t="e">
        <f t="shared" si="13"/>
        <v>#N/A</v>
      </c>
      <c r="K113" s="125" t="e">
        <f t="shared" si="15"/>
        <v>#REF!</v>
      </c>
      <c r="L113" s="125" t="e">
        <f t="shared" si="16"/>
        <v>#REF!</v>
      </c>
      <c r="M113" s="28"/>
      <c r="N113" s="8"/>
      <c r="O113" s="5"/>
      <c r="P113" s="5" t="str">
        <f t="shared" si="17"/>
        <v>1213108</v>
      </c>
      <c r="Q113" s="6">
        <f>VLOOKUP(P113,deuda!A$1:H$550,4,0)</f>
        <v>1</v>
      </c>
      <c r="R113" s="6">
        <f>VLOOKUP(P113,deuda!A$1:H$550,5,0)</f>
        <v>2</v>
      </c>
      <c r="S113" s="6">
        <f>IF(VLOOKUP(P113,deuda!A$1:H$550,6,0)=0,"",VLOOKUP(P113,deuda!A$1:H$550,6,0))</f>
        <v>2374.87</v>
      </c>
      <c r="T113" s="149" t="str">
        <f>IF((VLOOKUP(P113,deuda!A$1:H$550,7,0))=0,"",VLOOKUP(P113,deuda!A$1:H$550,7,0))</f>
        <v/>
      </c>
      <c r="U113" s="153" t="str">
        <f>IF((VLOOKUP(P113,deuda!A$1:H$550,8,0))=0,"",VLOOKUP(P113,deuda!A$1:H$550,8,0))</f>
        <v/>
      </c>
    </row>
    <row r="114" spans="1:21">
      <c r="A114" s="35">
        <v>20</v>
      </c>
      <c r="B114" s="6">
        <v>1213</v>
      </c>
      <c r="C114" s="5">
        <v>109</v>
      </c>
      <c r="D114" s="9">
        <v>0.2419</v>
      </c>
      <c r="E114" s="9" t="e">
        <f>IF((VLOOKUP(P114,deuda!A$1:H$550,4,0)=1),D114,0)</f>
        <v>#N/A</v>
      </c>
      <c r="F114" s="5" t="s">
        <v>462</v>
      </c>
      <c r="G114" s="5"/>
      <c r="H114" s="636" t="e">
        <f t="shared" si="14"/>
        <v>#N/A</v>
      </c>
      <c r="I114" s="629" t="e">
        <f t="shared" si="12"/>
        <v>#N/A</v>
      </c>
      <c r="J114" s="618" t="e">
        <f t="shared" si="13"/>
        <v>#N/A</v>
      </c>
      <c r="K114" s="125" t="e">
        <f t="shared" si="15"/>
        <v>#REF!</v>
      </c>
      <c r="L114" s="125" t="e">
        <f t="shared" si="16"/>
        <v>#REF!</v>
      </c>
      <c r="M114" s="28"/>
      <c r="N114" s="8"/>
      <c r="O114" s="5"/>
      <c r="P114" s="5" t="str">
        <f t="shared" si="17"/>
        <v>1213109</v>
      </c>
      <c r="Q114" s="6" t="e">
        <f>VLOOKUP(P114,deuda!A$1:H$550,4,0)</f>
        <v>#N/A</v>
      </c>
      <c r="R114" s="6" t="e">
        <f>VLOOKUP(P114,deuda!A$1:H$550,5,0)</f>
        <v>#N/A</v>
      </c>
      <c r="S114" s="6" t="e">
        <f>IF(VLOOKUP(P114,deuda!A$1:H$550,6,0)=0,"",VLOOKUP(P114,deuda!A$1:H$550,6,0))</f>
        <v>#N/A</v>
      </c>
      <c r="T114" s="149" t="e">
        <f>IF((VLOOKUP(P114,deuda!A$1:H$550,7,0))=0,"",VLOOKUP(P114,deuda!A$1:H$550,7,0))</f>
        <v>#N/A</v>
      </c>
      <c r="U114" s="153" t="e">
        <f>IF((VLOOKUP(P114,deuda!A$1:H$550,8,0))=0,"",VLOOKUP(P114,deuda!A$1:H$550,8,0))</f>
        <v>#N/A</v>
      </c>
    </row>
    <row r="115" spans="1:21">
      <c r="A115" s="35">
        <v>20</v>
      </c>
      <c r="B115" s="6">
        <v>1213</v>
      </c>
      <c r="C115" s="5">
        <v>110</v>
      </c>
      <c r="D115" s="9">
        <v>0.2419</v>
      </c>
      <c r="E115" s="9" t="e">
        <f>IF((VLOOKUP(P115,deuda!A$1:H$550,4,0)=1),D115,0)</f>
        <v>#N/A</v>
      </c>
      <c r="F115" s="5" t="s">
        <v>461</v>
      </c>
      <c r="G115" s="5"/>
      <c r="H115" s="636" t="e">
        <f t="shared" si="14"/>
        <v>#N/A</v>
      </c>
      <c r="I115" s="629" t="e">
        <f t="shared" si="12"/>
        <v>#N/A</v>
      </c>
      <c r="J115" s="618" t="e">
        <f t="shared" si="13"/>
        <v>#N/A</v>
      </c>
      <c r="K115" s="125" t="e">
        <f t="shared" si="15"/>
        <v>#REF!</v>
      </c>
      <c r="L115" s="125" t="e">
        <f t="shared" si="16"/>
        <v>#REF!</v>
      </c>
      <c r="M115" s="28"/>
      <c r="N115" s="8"/>
      <c r="O115" s="5"/>
      <c r="P115" s="5" t="str">
        <f t="shared" si="17"/>
        <v>1213110</v>
      </c>
      <c r="Q115" s="6" t="e">
        <f>VLOOKUP(P115,deuda!A$1:H$550,4,0)</f>
        <v>#N/A</v>
      </c>
      <c r="R115" s="6" t="e">
        <f>VLOOKUP(P115,deuda!A$1:H$550,5,0)</f>
        <v>#N/A</v>
      </c>
      <c r="S115" s="6" t="e">
        <f>IF(VLOOKUP(P115,deuda!A$1:H$550,6,0)=0,"",VLOOKUP(P115,deuda!A$1:H$550,6,0))</f>
        <v>#N/A</v>
      </c>
      <c r="T115" s="149" t="e">
        <f>IF((VLOOKUP(P115,deuda!A$1:H$550,7,0))=0,"",VLOOKUP(P115,deuda!A$1:H$550,7,0))</f>
        <v>#N/A</v>
      </c>
      <c r="U115" s="153" t="e">
        <f>IF((VLOOKUP(P115,deuda!A$1:H$550,8,0))=0,"",VLOOKUP(P115,deuda!A$1:H$550,8,0))</f>
        <v>#N/A</v>
      </c>
    </row>
    <row r="116" spans="1:21">
      <c r="A116" s="35">
        <v>20</v>
      </c>
      <c r="B116" s="6">
        <v>1213</v>
      </c>
      <c r="C116" s="5">
        <v>111</v>
      </c>
      <c r="D116" s="9">
        <v>0.2419</v>
      </c>
      <c r="E116" s="9" t="e">
        <f>IF((VLOOKUP(P116,deuda!A$1:H$550,4,0)=1),D116,0)</f>
        <v>#N/A</v>
      </c>
      <c r="F116" s="5" t="s">
        <v>461</v>
      </c>
      <c r="G116" s="5"/>
      <c r="H116" s="636" t="e">
        <f t="shared" si="14"/>
        <v>#N/A</v>
      </c>
      <c r="I116" s="629" t="e">
        <f t="shared" si="12"/>
        <v>#N/A</v>
      </c>
      <c r="J116" s="618" t="e">
        <f t="shared" si="13"/>
        <v>#N/A</v>
      </c>
      <c r="K116" s="125" t="e">
        <f t="shared" si="15"/>
        <v>#REF!</v>
      </c>
      <c r="L116" s="125" t="e">
        <f t="shared" si="16"/>
        <v>#REF!</v>
      </c>
      <c r="M116" s="28"/>
      <c r="N116" s="8"/>
      <c r="O116" s="5"/>
      <c r="P116" s="5" t="str">
        <f t="shared" si="17"/>
        <v>1213111</v>
      </c>
      <c r="Q116" s="6" t="e">
        <f>VLOOKUP(P116,deuda!A$1:H$550,4,0)</f>
        <v>#N/A</v>
      </c>
      <c r="R116" s="6" t="e">
        <f>VLOOKUP(P116,deuda!A$1:H$550,5,0)</f>
        <v>#N/A</v>
      </c>
      <c r="S116" s="6" t="e">
        <f>IF(VLOOKUP(P116,deuda!A$1:H$550,6,0)=0,"",VLOOKUP(P116,deuda!A$1:H$550,6,0))</f>
        <v>#N/A</v>
      </c>
      <c r="T116" s="149" t="e">
        <f>IF((VLOOKUP(P116,deuda!A$1:H$550,7,0))=0,"",VLOOKUP(P116,deuda!A$1:H$550,7,0))</f>
        <v>#N/A</v>
      </c>
      <c r="U116" s="153" t="e">
        <f>IF((VLOOKUP(P116,deuda!A$1:H$550,8,0))=0,"",VLOOKUP(P116,deuda!A$1:H$550,8,0))</f>
        <v>#N/A</v>
      </c>
    </row>
    <row r="117" spans="1:21">
      <c r="A117" s="35">
        <v>20</v>
      </c>
      <c r="B117" s="6">
        <v>1213</v>
      </c>
      <c r="C117" s="5">
        <v>112</v>
      </c>
      <c r="D117" s="9">
        <v>0.2419</v>
      </c>
      <c r="E117" s="9" t="e">
        <f>IF((VLOOKUP(P117,deuda!A$1:H$550,4,0)=1),D117,0)</f>
        <v>#N/A</v>
      </c>
      <c r="F117" s="5" t="s">
        <v>461</v>
      </c>
      <c r="G117" s="5"/>
      <c r="H117" s="636" t="e">
        <f t="shared" si="14"/>
        <v>#N/A</v>
      </c>
      <c r="I117" s="629" t="e">
        <f t="shared" si="12"/>
        <v>#N/A</v>
      </c>
      <c r="J117" s="618" t="e">
        <f t="shared" si="13"/>
        <v>#N/A</v>
      </c>
      <c r="K117" s="125" t="e">
        <f t="shared" si="15"/>
        <v>#REF!</v>
      </c>
      <c r="L117" s="125" t="e">
        <f t="shared" si="16"/>
        <v>#REF!</v>
      </c>
      <c r="M117" s="28"/>
      <c r="N117" s="8"/>
      <c r="O117" s="5"/>
      <c r="P117" s="5" t="str">
        <f t="shared" si="17"/>
        <v>1213112</v>
      </c>
      <c r="Q117" s="6" t="e">
        <f>VLOOKUP(P117,deuda!A$1:H$550,4,0)</f>
        <v>#N/A</v>
      </c>
      <c r="R117" s="6" t="e">
        <f>VLOOKUP(P117,deuda!A$1:H$550,5,0)</f>
        <v>#N/A</v>
      </c>
      <c r="S117" s="6" t="e">
        <f>IF(VLOOKUP(P117,deuda!A$1:H$550,6,0)=0,"",VLOOKUP(P117,deuda!A$1:H$550,6,0))</f>
        <v>#N/A</v>
      </c>
      <c r="T117" s="149" t="e">
        <f>IF((VLOOKUP(P117,deuda!A$1:H$550,7,0))=0,"",VLOOKUP(P117,deuda!A$1:H$550,7,0))</f>
        <v>#N/A</v>
      </c>
      <c r="U117" s="153" t="e">
        <f>IF((VLOOKUP(P117,deuda!A$1:H$550,8,0))=0,"",VLOOKUP(P117,deuda!A$1:H$550,8,0))</f>
        <v>#N/A</v>
      </c>
    </row>
    <row r="118" spans="1:21">
      <c r="A118" s="35">
        <v>20</v>
      </c>
      <c r="B118" s="6">
        <v>1213</v>
      </c>
      <c r="C118" s="5">
        <v>113</v>
      </c>
      <c r="D118" s="9">
        <v>0.2419</v>
      </c>
      <c r="E118" s="9">
        <f>IF((VLOOKUP(P118,deuda!A$1:H$550,4,0)=1),D118,0)</f>
        <v>0.2419</v>
      </c>
      <c r="F118" s="5" t="s">
        <v>461</v>
      </c>
      <c r="G118" s="5"/>
      <c r="H118" s="636">
        <f t="shared" si="14"/>
        <v>0.2419</v>
      </c>
      <c r="I118" s="629" t="e">
        <f t="shared" si="12"/>
        <v>#N/A</v>
      </c>
      <c r="J118" s="618" t="e">
        <f t="shared" si="13"/>
        <v>#N/A</v>
      </c>
      <c r="K118" s="125" t="e">
        <f t="shared" si="15"/>
        <v>#REF!</v>
      </c>
      <c r="L118" s="125" t="e">
        <f t="shared" si="16"/>
        <v>#REF!</v>
      </c>
      <c r="M118" s="28"/>
      <c r="N118" s="8"/>
      <c r="O118" s="5"/>
      <c r="P118" s="5" t="str">
        <f t="shared" si="17"/>
        <v>1213113</v>
      </c>
      <c r="Q118" s="6">
        <f>VLOOKUP(P118,deuda!A$1:H$550,4,0)</f>
        <v>1</v>
      </c>
      <c r="R118" s="6">
        <f>VLOOKUP(P118,deuda!A$1:H$550,5,0)</f>
        <v>2</v>
      </c>
      <c r="S118" s="6">
        <f>IF(VLOOKUP(P118,deuda!A$1:H$550,6,0)=0,"",VLOOKUP(P118,deuda!A$1:H$550,6,0))</f>
        <v>2383.1</v>
      </c>
      <c r="T118" s="149" t="str">
        <f>IF((VLOOKUP(P118,deuda!A$1:H$550,7,0))=0,"",VLOOKUP(P118,deuda!A$1:H$550,7,0))</f>
        <v/>
      </c>
      <c r="U118" s="153" t="str">
        <f>IF((VLOOKUP(P118,deuda!A$1:H$550,8,0))=0,"",VLOOKUP(P118,deuda!A$1:H$550,8,0))</f>
        <v/>
      </c>
    </row>
    <row r="119" spans="1:21">
      <c r="A119" s="35">
        <v>20</v>
      </c>
      <c r="B119" s="6">
        <v>1213</v>
      </c>
      <c r="C119" s="5">
        <v>122</v>
      </c>
      <c r="D119" s="9">
        <v>7.7</v>
      </c>
      <c r="E119" s="9">
        <f>IF((VLOOKUP(P119,deuda!A$1:H$550,4,0)=1),D119,0)</f>
        <v>7.7</v>
      </c>
      <c r="F119" s="5" t="s">
        <v>461</v>
      </c>
      <c r="G119" s="5"/>
      <c r="H119" s="636">
        <f t="shared" si="14"/>
        <v>7.7</v>
      </c>
      <c r="I119" s="629" t="e">
        <f t="shared" si="12"/>
        <v>#N/A</v>
      </c>
      <c r="J119" s="618" t="e">
        <f t="shared" si="13"/>
        <v>#N/A</v>
      </c>
      <c r="K119" s="125" t="e">
        <f t="shared" si="15"/>
        <v>#REF!</v>
      </c>
      <c r="L119" s="125" t="e">
        <f t="shared" si="16"/>
        <v>#REF!</v>
      </c>
      <c r="M119" s="28"/>
      <c r="N119" s="8"/>
      <c r="O119" s="5"/>
      <c r="P119" s="5" t="str">
        <f t="shared" si="17"/>
        <v>1213122</v>
      </c>
      <c r="Q119" s="6">
        <f>VLOOKUP(P119,deuda!A$1:H$550,4,0)</f>
        <v>1</v>
      </c>
      <c r="R119" s="6">
        <f>VLOOKUP(P119,deuda!A$1:H$550,5,0)</f>
        <v>2</v>
      </c>
      <c r="S119" s="6">
        <f>IF(VLOOKUP(P119,deuda!A$1:H$550,6,0)=0,"",VLOOKUP(P119,deuda!A$1:H$550,6,0))</f>
        <v>3489.32</v>
      </c>
      <c r="T119" s="149" t="str">
        <f>IF((VLOOKUP(P119,deuda!A$1:H$550,7,0))=0,"",VLOOKUP(P119,deuda!A$1:H$550,7,0))</f>
        <v/>
      </c>
      <c r="U119" s="153" t="str">
        <f>IF((VLOOKUP(P119,deuda!A$1:H$550,8,0))=0,"",VLOOKUP(P119,deuda!A$1:H$550,8,0))</f>
        <v/>
      </c>
    </row>
    <row r="120" spans="1:21">
      <c r="A120" s="35">
        <v>21</v>
      </c>
      <c r="B120" s="6">
        <v>1213</v>
      </c>
      <c r="C120" s="5">
        <v>153</v>
      </c>
      <c r="D120" s="9">
        <v>0.71870000000000001</v>
      </c>
      <c r="E120" s="9">
        <f>IF((VLOOKUP(P120,deuda!A$1:H$550,4,0)=1),D120,0)</f>
        <v>0</v>
      </c>
      <c r="F120" s="5" t="s">
        <v>463</v>
      </c>
      <c r="G120" s="5"/>
      <c r="H120" s="636">
        <f t="shared" si="14"/>
        <v>0</v>
      </c>
      <c r="I120" s="629" t="e">
        <f t="shared" si="12"/>
        <v>#N/A</v>
      </c>
      <c r="J120" s="618" t="e">
        <f t="shared" si="13"/>
        <v>#N/A</v>
      </c>
      <c r="K120" s="125" t="e">
        <f t="shared" si="15"/>
        <v>#REF!</v>
      </c>
      <c r="L120" s="125" t="e">
        <f t="shared" si="16"/>
        <v>#REF!</v>
      </c>
      <c r="M120" s="28"/>
      <c r="N120" s="8"/>
      <c r="O120" s="5"/>
      <c r="P120" s="5" t="str">
        <f t="shared" si="17"/>
        <v>1213153</v>
      </c>
      <c r="Q120" s="6">
        <f>VLOOKUP(P120,deuda!A$1:H$550,4,0)</f>
        <v>0</v>
      </c>
      <c r="R120" s="6">
        <f>VLOOKUP(P120,deuda!A$1:H$550,5,0)</f>
        <v>186</v>
      </c>
      <c r="S120" s="6">
        <f>IF(VLOOKUP(P120,deuda!A$1:H$550,6,0)=0,"",VLOOKUP(P120,deuda!A$1:H$550,6,0))</f>
        <v>43443.58</v>
      </c>
      <c r="T120" s="149" t="str">
        <f>IF((VLOOKUP(P120,deuda!A$1:H$550,7,0))=0,"",VLOOKUP(P120,deuda!A$1:H$550,7,0))</f>
        <v/>
      </c>
      <c r="U120" s="153" t="str">
        <f>IF((VLOOKUP(P120,deuda!A$1:H$550,8,0))=0,"",VLOOKUP(P120,deuda!A$1:H$550,8,0))</f>
        <v/>
      </c>
    </row>
    <row r="121" spans="1:21">
      <c r="A121" s="35">
        <v>22</v>
      </c>
      <c r="B121" s="6">
        <v>1213</v>
      </c>
      <c r="C121" s="5">
        <v>161</v>
      </c>
      <c r="D121" s="9">
        <v>1.1927000000000001</v>
      </c>
      <c r="E121" s="9">
        <f>IF((VLOOKUP(P121,deuda!A$1:H$550,4,0)=1),D121,0)</f>
        <v>1.1927000000000001</v>
      </c>
      <c r="F121" s="5" t="s">
        <v>464</v>
      </c>
      <c r="G121" s="5"/>
      <c r="H121" s="636">
        <f t="shared" si="14"/>
        <v>1.1927000000000001</v>
      </c>
      <c r="I121" s="629" t="e">
        <f t="shared" si="12"/>
        <v>#N/A</v>
      </c>
      <c r="J121" s="618" t="e">
        <f t="shared" si="13"/>
        <v>#N/A</v>
      </c>
      <c r="K121" s="125" t="e">
        <f t="shared" si="15"/>
        <v>#REF!</v>
      </c>
      <c r="L121" s="125" t="e">
        <f t="shared" si="16"/>
        <v>#REF!</v>
      </c>
      <c r="M121" s="28"/>
      <c r="N121" s="8"/>
      <c r="O121" s="5"/>
      <c r="P121" s="5" t="str">
        <f t="shared" si="17"/>
        <v>1213161</v>
      </c>
      <c r="Q121" s="6">
        <f>VLOOKUP(P121,deuda!A$1:H$550,4,0)</f>
        <v>1</v>
      </c>
      <c r="R121" s="6">
        <f>VLOOKUP(P121,deuda!A$1:H$550,5,0)</f>
        <v>0</v>
      </c>
      <c r="S121" s="6" t="str">
        <f>IF(VLOOKUP(P121,deuda!A$1:H$550,6,0)=0,"",VLOOKUP(P121,deuda!A$1:H$550,6,0))</f>
        <v/>
      </c>
      <c r="T121" s="149" t="str">
        <f>IF((VLOOKUP(P121,deuda!A$1:H$550,7,0))=0,"",VLOOKUP(P121,deuda!A$1:H$550,7,0))</f>
        <v/>
      </c>
      <c r="U121" s="153" t="str">
        <f>IF((VLOOKUP(P121,deuda!A$1:H$550,8,0))=0,"",VLOOKUP(P121,deuda!A$1:H$550,8,0))</f>
        <v/>
      </c>
    </row>
    <row r="122" spans="1:21">
      <c r="A122" s="35">
        <v>23</v>
      </c>
      <c r="B122" s="6">
        <v>1213</v>
      </c>
      <c r="C122" s="5">
        <v>152</v>
      </c>
      <c r="D122" s="9">
        <v>1.7895000000000001</v>
      </c>
      <c r="E122" s="9">
        <f>IF((VLOOKUP(P122,deuda!A$1:H$550,4,0)=1),D122,0)</f>
        <v>0</v>
      </c>
      <c r="F122" s="5" t="s">
        <v>465</v>
      </c>
      <c r="G122" s="5"/>
      <c r="H122" s="636">
        <f t="shared" si="14"/>
        <v>0</v>
      </c>
      <c r="I122" s="629" t="e">
        <f t="shared" si="12"/>
        <v>#N/A</v>
      </c>
      <c r="J122" s="618" t="e">
        <f t="shared" si="13"/>
        <v>#N/A</v>
      </c>
      <c r="K122" s="125" t="e">
        <f t="shared" si="15"/>
        <v>#REF!</v>
      </c>
      <c r="L122" s="125" t="e">
        <f t="shared" si="16"/>
        <v>#REF!</v>
      </c>
      <c r="M122" s="28"/>
      <c r="N122" s="8"/>
      <c r="O122" s="5"/>
      <c r="P122" s="5" t="str">
        <f t="shared" si="17"/>
        <v>1213152</v>
      </c>
      <c r="Q122" s="6">
        <f>VLOOKUP(P122,deuda!A$1:H$550,4,0)</f>
        <v>0</v>
      </c>
      <c r="R122" s="6">
        <f>VLOOKUP(P122,deuda!A$1:H$550,5,0)</f>
        <v>21</v>
      </c>
      <c r="S122" s="6">
        <f>IF(VLOOKUP(P122,deuda!A$1:H$550,6,0)=0,"",VLOOKUP(P122,deuda!A$1:H$550,6,0))</f>
        <v>9687.5</v>
      </c>
      <c r="T122" s="149" t="str">
        <f>IF((VLOOKUP(P122,deuda!A$1:H$550,7,0))=0,"",VLOOKUP(P122,deuda!A$1:H$550,7,0))</f>
        <v/>
      </c>
      <c r="U122" s="153" t="str">
        <f>IF((VLOOKUP(P122,deuda!A$1:H$550,8,0))=0,"",VLOOKUP(P122,deuda!A$1:H$550,8,0))</f>
        <v/>
      </c>
    </row>
    <row r="123" spans="1:21" ht="13.5" thickBot="1">
      <c r="A123" s="36">
        <v>24</v>
      </c>
      <c r="B123" s="33">
        <v>1213</v>
      </c>
      <c r="C123" s="29">
        <v>162</v>
      </c>
      <c r="D123" s="40">
        <v>0.46439999999999998</v>
      </c>
      <c r="E123" s="40">
        <f>IF((VLOOKUP(P123,deuda!A$1:H$550,4,0)=1),D123,0)</f>
        <v>0.46439999999999998</v>
      </c>
      <c r="F123" s="29" t="s">
        <v>466</v>
      </c>
      <c r="G123" s="29"/>
      <c r="H123" s="637">
        <f t="shared" si="14"/>
        <v>0.46439999999999998</v>
      </c>
      <c r="I123" s="641" t="e">
        <f t="shared" si="12"/>
        <v>#N/A</v>
      </c>
      <c r="J123" s="621" t="e">
        <f t="shared" si="13"/>
        <v>#N/A</v>
      </c>
      <c r="K123" s="127" t="e">
        <f t="shared" si="15"/>
        <v>#REF!</v>
      </c>
      <c r="L123" s="127" t="e">
        <f t="shared" si="16"/>
        <v>#REF!</v>
      </c>
      <c r="M123" s="31"/>
      <c r="N123" s="41"/>
      <c r="O123" s="29"/>
      <c r="P123" s="29" t="str">
        <f t="shared" si="17"/>
        <v>1213162</v>
      </c>
      <c r="Q123" s="33">
        <f>VLOOKUP(P123,deuda!A$1:H$550,4,0)</f>
        <v>1</v>
      </c>
      <c r="R123" s="33">
        <f>VLOOKUP(P123,deuda!A$1:H$550,5,0)</f>
        <v>1</v>
      </c>
      <c r="S123" s="33">
        <f>IF(VLOOKUP(P123,deuda!A$1:H$550,6,0)=0,"",VLOOKUP(P123,deuda!A$1:H$550,6,0))</f>
        <v>244.87</v>
      </c>
      <c r="T123" s="154" t="str">
        <f>IF((VLOOKUP(P123,deuda!A$1:H$550,7,0))=0,"",VLOOKUP(P123,deuda!A$1:H$550,7,0))</f>
        <v/>
      </c>
      <c r="U123" s="155" t="str">
        <f>IF((VLOOKUP(P123,deuda!A$1:H$550,8,0))=0,"",VLOOKUP(P123,deuda!A$1:H$550,8,0))</f>
        <v/>
      </c>
    </row>
    <row r="124" spans="1:21">
      <c r="D124" s="15">
        <f>SUM(D86:D123)</f>
        <v>96.999600000000001</v>
      </c>
      <c r="E124" s="15" t="e">
        <f>SUM(E86:E123)</f>
        <v>#N/A</v>
      </c>
      <c r="H124" s="15" t="e">
        <f>SUM(H86:H123)</f>
        <v>#N/A</v>
      </c>
      <c r="I124" s="255" t="e">
        <f>SUM(I86:I123)</f>
        <v>#N/A</v>
      </c>
      <c r="J124" s="257" t="e">
        <f>SUM(J86:J123)</f>
        <v>#N/A</v>
      </c>
      <c r="K124" s="39"/>
      <c r="L124" s="39"/>
    </row>
    <row r="125" spans="1:21">
      <c r="D125" s="15"/>
      <c r="E125" s="15"/>
      <c r="H125" s="15"/>
      <c r="I125" s="4"/>
      <c r="J125" s="39"/>
      <c r="K125" s="39"/>
      <c r="L125" s="39"/>
    </row>
    <row r="126" spans="1:21">
      <c r="A126" s="11" t="s">
        <v>101</v>
      </c>
      <c r="D126" s="15"/>
      <c r="E126" s="15"/>
      <c r="H126" s="15"/>
      <c r="I126" s="4"/>
      <c r="J126" s="39"/>
      <c r="K126" s="39"/>
      <c r="L126" s="39"/>
    </row>
    <row r="127" spans="1:21">
      <c r="D127" s="15"/>
      <c r="E127" s="15"/>
      <c r="H127" s="15"/>
      <c r="I127" s="4"/>
      <c r="J127" s="39"/>
      <c r="K127" s="39"/>
      <c r="L127" s="39"/>
    </row>
    <row r="128" spans="1:21">
      <c r="A128" s="47" t="s">
        <v>467</v>
      </c>
      <c r="D128" s="15"/>
      <c r="E128" s="15"/>
      <c r="H128" s="15"/>
      <c r="I128" s="4"/>
      <c r="J128" s="39"/>
      <c r="K128" s="39"/>
      <c r="L128" s="39"/>
    </row>
    <row r="129" spans="1:21">
      <c r="A129" s="211"/>
      <c r="D129" s="15"/>
    </row>
    <row r="131" spans="1:21">
      <c r="C131" s="1" t="s">
        <v>413</v>
      </c>
    </row>
    <row r="133" spans="1:21" ht="13.5" thickBot="1"/>
    <row r="134" spans="1:21">
      <c r="A134" s="688" t="s">
        <v>92</v>
      </c>
      <c r="B134" s="689"/>
      <c r="C134" s="690" t="e">
        <f>+L123</f>
        <v>#REF!</v>
      </c>
      <c r="D134" s="691"/>
      <c r="E134" s="3"/>
      <c r="F134" s="3"/>
      <c r="G134" s="24" t="s">
        <v>93</v>
      </c>
      <c r="H134" s="170" t="e">
        <f>+I17</f>
        <v>#N/A</v>
      </c>
    </row>
    <row r="135" spans="1:21" ht="13.5" thickBot="1">
      <c r="A135" s="692" t="s">
        <v>94</v>
      </c>
      <c r="B135" s="693"/>
      <c r="C135" s="694" t="e">
        <f>+L158</f>
        <v>#REF!</v>
      </c>
      <c r="D135" s="695"/>
      <c r="E135" s="3"/>
      <c r="F135" s="3"/>
      <c r="G135" s="26" t="s">
        <v>95</v>
      </c>
      <c r="H135" s="171">
        <f>+J17</f>
        <v>0</v>
      </c>
      <c r="I135" s="3"/>
      <c r="K135" s="635"/>
    </row>
    <row r="136" spans="1:21" ht="13.5" thickBot="1">
      <c r="G136" s="132" t="s">
        <v>96</v>
      </c>
      <c r="H136" s="172">
        <f>+K17</f>
        <v>4.1666666666666664E-2</v>
      </c>
    </row>
    <row r="138" spans="1:21">
      <c r="A138" s="696" t="s">
        <v>97</v>
      </c>
      <c r="B138" s="696"/>
      <c r="C138" s="168" t="e">
        <f>+H134-H135-H136</f>
        <v>#N/A</v>
      </c>
      <c r="D138" s="558" t="s">
        <v>98</v>
      </c>
      <c r="E138" s="169" t="e">
        <f>+C138*60</f>
        <v>#N/A</v>
      </c>
      <c r="F138" s="558" t="s">
        <v>99</v>
      </c>
      <c r="G138" s="167" t="e">
        <f>+H159</f>
        <v>#N/A</v>
      </c>
      <c r="H138" s="558" t="s">
        <v>100</v>
      </c>
      <c r="I138" s="168" t="e">
        <f>+E138/G138</f>
        <v>#N/A</v>
      </c>
    </row>
    <row r="140" spans="1:21" ht="13.5" thickBot="1"/>
    <row r="141" spans="1:21" s="58" customFormat="1" ht="20.25" customHeight="1" thickBot="1">
      <c r="A141" s="23" t="s">
        <v>102</v>
      </c>
      <c r="B141" s="559" t="s">
        <v>103</v>
      </c>
      <c r="C141" s="559" t="s">
        <v>104</v>
      </c>
      <c r="D141" s="129" t="s">
        <v>106</v>
      </c>
      <c r="E141" s="129" t="s">
        <v>414</v>
      </c>
      <c r="F141" s="683" t="s">
        <v>108</v>
      </c>
      <c r="G141" s="683"/>
      <c r="H141" s="129" t="s">
        <v>415</v>
      </c>
      <c r="I141" s="129" t="s">
        <v>304</v>
      </c>
      <c r="J141" s="559" t="s">
        <v>110</v>
      </c>
      <c r="K141" s="129" t="s">
        <v>156</v>
      </c>
      <c r="L141" s="129" t="s">
        <v>157</v>
      </c>
      <c r="M141" s="130" t="s">
        <v>114</v>
      </c>
      <c r="N141" s="256" t="s">
        <v>158</v>
      </c>
      <c r="O141" s="32" t="s">
        <v>116</v>
      </c>
      <c r="P141" s="32" t="s">
        <v>117</v>
      </c>
      <c r="Q141" s="32" t="s">
        <v>118</v>
      </c>
      <c r="R141" s="32" t="s">
        <v>119</v>
      </c>
      <c r="S141" s="32" t="s">
        <v>120</v>
      </c>
      <c r="T141" s="32" t="s">
        <v>121</v>
      </c>
      <c r="U141" s="185" t="s">
        <v>122</v>
      </c>
    </row>
    <row r="142" spans="1:21">
      <c r="A142" s="34">
        <v>1</v>
      </c>
      <c r="B142" s="32">
        <v>1213</v>
      </c>
      <c r="C142" s="25">
        <v>319</v>
      </c>
      <c r="D142" s="37">
        <v>0.44359999999999999</v>
      </c>
      <c r="E142" s="37">
        <f>IF((VLOOKUP(P142,deuda!A$1:H$550,4,0))=1,D142,0)</f>
        <v>0.44359999999999999</v>
      </c>
      <c r="F142" s="25" t="s">
        <v>468</v>
      </c>
      <c r="G142" s="25"/>
      <c r="H142" s="638">
        <f>E142</f>
        <v>0.44359999999999999</v>
      </c>
      <c r="I142" s="639" t="e">
        <f>+H142*$I$138</f>
        <v>#N/A</v>
      </c>
      <c r="J142" s="640" t="e">
        <f>+I142/60</f>
        <v>#N/A</v>
      </c>
      <c r="K142" s="126" t="e">
        <f>+C134+H135+H136</f>
        <v>#REF!</v>
      </c>
      <c r="L142" s="126" t="e">
        <f>+K142+J142</f>
        <v>#REF!</v>
      </c>
      <c r="M142" s="212"/>
      <c r="N142" s="213"/>
      <c r="O142" s="52"/>
      <c r="P142" s="52" t="str">
        <f>+CONCATENATE(B142,C142)</f>
        <v>1213319</v>
      </c>
      <c r="Q142" s="150">
        <f>VLOOKUP(P142,deuda!A$1:H$550,4,0)</f>
        <v>1</v>
      </c>
      <c r="R142" s="150">
        <f>VLOOKUP(P142,deuda!A$1:H$550,5,0)</f>
        <v>1</v>
      </c>
      <c r="S142" s="150">
        <f>IF(VLOOKUP(P142,deuda!A$1:H$550,6,0)=0,"",VLOOKUP(P142,deuda!A$1:H$550,6,0))</f>
        <v>238.07</v>
      </c>
      <c r="T142" s="151" t="str">
        <f>IF((VLOOKUP(P142,deuda!A$1:H$550,7,0))=0,"",VLOOKUP(P142,deuda!A$1:H$550,7,0))</f>
        <v/>
      </c>
      <c r="U142" s="152" t="str">
        <f>IF((VLOOKUP(P142,deuda!A$1:H$550,8,0))=0,"",VLOOKUP(P142,deuda!A$1:H$550,8,0))</f>
        <v/>
      </c>
    </row>
    <row r="143" spans="1:21">
      <c r="A143" s="35">
        <v>2</v>
      </c>
      <c r="B143" s="6">
        <v>1213</v>
      </c>
      <c r="C143" s="5">
        <v>49</v>
      </c>
      <c r="D143" s="9">
        <v>3.1314000000000002</v>
      </c>
      <c r="E143" s="9">
        <f>IF((VLOOKUP(P143,deuda!A$1:H$550,4,0))=1,D143,0)</f>
        <v>3.1314000000000002</v>
      </c>
      <c r="F143" s="5" t="s">
        <v>469</v>
      </c>
      <c r="G143" s="5"/>
      <c r="H143" s="636">
        <f>E143</f>
        <v>3.1314000000000002</v>
      </c>
      <c r="I143" s="629" t="e">
        <f t="shared" ref="I143:I158" si="18">+H143*$I$138</f>
        <v>#N/A</v>
      </c>
      <c r="J143" s="618" t="e">
        <f t="shared" ref="J143:J158" si="19">+I143/60</f>
        <v>#N/A</v>
      </c>
      <c r="K143" s="125" t="e">
        <f>+L142</f>
        <v>#REF!</v>
      </c>
      <c r="L143" s="125" t="e">
        <f>+K143+J143</f>
        <v>#REF!</v>
      </c>
      <c r="M143" s="28"/>
      <c r="N143" s="8"/>
      <c r="O143" s="5"/>
      <c r="P143" s="5" t="str">
        <f>+CONCATENATE(B143,C143)</f>
        <v>121349</v>
      </c>
      <c r="Q143" s="6">
        <f>VLOOKUP(P143,deuda!A$1:H$550,4,0)</f>
        <v>1</v>
      </c>
      <c r="R143" s="6">
        <f>VLOOKUP(P143,deuda!A$1:H$550,5,0)</f>
        <v>0</v>
      </c>
      <c r="S143" s="6" t="str">
        <f>IF(VLOOKUP(P143,deuda!A$1:H$550,6,0)=0,"",VLOOKUP(P143,deuda!A$1:H$550,6,0))</f>
        <v/>
      </c>
      <c r="T143" s="149" t="str">
        <f>IF((VLOOKUP(P143,deuda!A$1:H$550,7,0))=0,"",VLOOKUP(P143,deuda!A$1:H$550,7,0))</f>
        <v/>
      </c>
      <c r="U143" s="153" t="str">
        <f>IF((VLOOKUP(P143,deuda!A$1:H$550,8,0))=0,"",VLOOKUP(P143,deuda!A$1:H$550,8,0))</f>
        <v/>
      </c>
    </row>
    <row r="144" spans="1:21">
      <c r="A144" s="35">
        <v>3</v>
      </c>
      <c r="B144" s="6">
        <v>1213</v>
      </c>
      <c r="C144" s="5">
        <v>291</v>
      </c>
      <c r="D144" s="9">
        <v>4.0974000000000004</v>
      </c>
      <c r="E144" s="9">
        <f>IF((VLOOKUP(P144,deuda!A$1:H$550,4,0))=1,D144,0)</f>
        <v>4.0974000000000004</v>
      </c>
      <c r="F144" s="5" t="s">
        <v>470</v>
      </c>
      <c r="G144" s="5"/>
      <c r="H144" s="636">
        <f t="shared" ref="H144:H158" si="20">E144</f>
        <v>4.0974000000000004</v>
      </c>
      <c r="I144" s="629" t="e">
        <f t="shared" si="18"/>
        <v>#N/A</v>
      </c>
      <c r="J144" s="618" t="e">
        <f t="shared" si="19"/>
        <v>#N/A</v>
      </c>
      <c r="K144" s="125" t="e">
        <f t="shared" ref="K144:K158" si="21">+L143</f>
        <v>#REF!</v>
      </c>
      <c r="L144" s="125" t="e">
        <f t="shared" ref="L144:L158" si="22">+K144+J144</f>
        <v>#REF!</v>
      </c>
      <c r="M144" s="28"/>
      <c r="N144" s="8"/>
      <c r="O144" s="5"/>
      <c r="P144" s="5" t="str">
        <f t="shared" ref="P144:P158" si="23">+CONCATENATE(B144,C144)</f>
        <v>1213291</v>
      </c>
      <c r="Q144" s="6">
        <f>VLOOKUP(P144,deuda!A$1:H$550,4,0)</f>
        <v>1</v>
      </c>
      <c r="R144" s="6">
        <f>VLOOKUP(P144,deuda!A$1:H$550,5,0)</f>
        <v>0</v>
      </c>
      <c r="S144" s="6">
        <f>IF(VLOOKUP(P144,deuda!A$1:H$550,6,0)=0,"",VLOOKUP(P144,deuda!A$1:H$550,6,0))</f>
        <v>2889.83</v>
      </c>
      <c r="T144" s="149" t="str">
        <f>IF((VLOOKUP(P144,deuda!A$1:H$550,7,0))=0,"",VLOOKUP(P144,deuda!A$1:H$550,7,0))</f>
        <v/>
      </c>
      <c r="U144" s="153" t="str">
        <f>IF((VLOOKUP(P144,deuda!A$1:H$550,8,0))=0,"",VLOOKUP(P144,deuda!A$1:H$550,8,0))</f>
        <v/>
      </c>
    </row>
    <row r="145" spans="1:21">
      <c r="A145" s="35">
        <v>4</v>
      </c>
      <c r="B145" s="6">
        <v>1213</v>
      </c>
      <c r="C145" s="5">
        <v>301</v>
      </c>
      <c r="D145" s="9">
        <v>9.2210000000000001</v>
      </c>
      <c r="E145" s="9" t="e">
        <f>IF((VLOOKUP(P145,deuda!A$1:H$550,4,0))=1,D145,0)</f>
        <v>#N/A</v>
      </c>
      <c r="F145" s="5" t="s">
        <v>471</v>
      </c>
      <c r="G145" s="5"/>
      <c r="H145" s="636" t="e">
        <f t="shared" si="20"/>
        <v>#N/A</v>
      </c>
      <c r="I145" s="629" t="e">
        <f t="shared" si="18"/>
        <v>#N/A</v>
      </c>
      <c r="J145" s="618" t="e">
        <f t="shared" si="19"/>
        <v>#N/A</v>
      </c>
      <c r="K145" s="125" t="e">
        <f t="shared" si="21"/>
        <v>#REF!</v>
      </c>
      <c r="L145" s="125" t="e">
        <f t="shared" si="22"/>
        <v>#REF!</v>
      </c>
      <c r="M145" s="28"/>
      <c r="N145" s="8"/>
      <c r="O145" s="5"/>
      <c r="P145" s="5" t="str">
        <f t="shared" si="23"/>
        <v>1213301</v>
      </c>
      <c r="Q145" s="6" t="e">
        <f>VLOOKUP(P145,deuda!A$1:H$550,4,0)</f>
        <v>#N/A</v>
      </c>
      <c r="R145" s="6" t="e">
        <f>VLOOKUP(P145,deuda!A$1:H$550,5,0)</f>
        <v>#N/A</v>
      </c>
      <c r="S145" s="6" t="e">
        <f>IF(VLOOKUP(P145,deuda!A$1:H$550,6,0)=0,"",VLOOKUP(P145,deuda!A$1:H$550,6,0))</f>
        <v>#N/A</v>
      </c>
      <c r="T145" s="149" t="e">
        <f>IF((VLOOKUP(P145,deuda!A$1:H$550,7,0))=0,"",VLOOKUP(P145,deuda!A$1:H$550,7,0))</f>
        <v>#N/A</v>
      </c>
      <c r="U145" s="153" t="e">
        <f>IF((VLOOKUP(P145,deuda!A$1:H$550,8,0))=0,"",VLOOKUP(P145,deuda!A$1:H$550,8,0))</f>
        <v>#N/A</v>
      </c>
    </row>
    <row r="146" spans="1:21">
      <c r="A146" s="35">
        <v>5</v>
      </c>
      <c r="B146" s="6">
        <v>1213</v>
      </c>
      <c r="C146" s="5">
        <v>336</v>
      </c>
      <c r="D146" s="9">
        <v>1.8263</v>
      </c>
      <c r="E146" s="9">
        <f>IF((VLOOKUP(P146,deuda!A$1:H$550,4,0))=1,D146,0)</f>
        <v>1.8263</v>
      </c>
      <c r="F146" s="5" t="s">
        <v>472</v>
      </c>
      <c r="G146" s="5"/>
      <c r="H146" s="636">
        <f t="shared" si="20"/>
        <v>1.8263</v>
      </c>
      <c r="I146" s="629" t="e">
        <f t="shared" si="18"/>
        <v>#N/A</v>
      </c>
      <c r="J146" s="618" t="e">
        <f t="shared" si="19"/>
        <v>#N/A</v>
      </c>
      <c r="K146" s="125" t="e">
        <f t="shared" si="21"/>
        <v>#REF!</v>
      </c>
      <c r="L146" s="125" t="e">
        <f t="shared" si="22"/>
        <v>#REF!</v>
      </c>
      <c r="M146" s="28"/>
      <c r="N146" s="8"/>
      <c r="O146" s="5"/>
      <c r="P146" s="5" t="str">
        <f t="shared" si="23"/>
        <v>1213336</v>
      </c>
      <c r="Q146" s="6">
        <f>VLOOKUP(P146,deuda!A$1:H$550,4,0)</f>
        <v>1</v>
      </c>
      <c r="R146" s="6">
        <f>VLOOKUP(P146,deuda!A$1:H$550,5,0)</f>
        <v>0</v>
      </c>
      <c r="S146" s="6" t="str">
        <f>IF(VLOOKUP(P146,deuda!A$1:H$550,6,0)=0,"",VLOOKUP(P146,deuda!A$1:H$550,6,0))</f>
        <v/>
      </c>
      <c r="T146" s="149" t="str">
        <f>IF((VLOOKUP(P146,deuda!A$1:H$550,7,0))=0,"",VLOOKUP(P146,deuda!A$1:H$550,7,0))</f>
        <v/>
      </c>
      <c r="U146" s="153" t="str">
        <f>IF((VLOOKUP(P146,deuda!A$1:H$550,8,0))=0,"",VLOOKUP(P146,deuda!A$1:H$550,8,0))</f>
        <v/>
      </c>
    </row>
    <row r="147" spans="1:21">
      <c r="A147" s="35">
        <v>6</v>
      </c>
      <c r="B147" s="6">
        <v>1213</v>
      </c>
      <c r="C147" s="5">
        <v>61</v>
      </c>
      <c r="D147" s="9">
        <v>0.92049999999999998</v>
      </c>
      <c r="E147" s="9">
        <f>IF((VLOOKUP(P147,deuda!A$1:H$550,4,0))=1,D147,0)</f>
        <v>0</v>
      </c>
      <c r="F147" s="5" t="s">
        <v>473</v>
      </c>
      <c r="G147" s="5"/>
      <c r="H147" s="636">
        <f t="shared" si="20"/>
        <v>0</v>
      </c>
      <c r="I147" s="629" t="e">
        <f t="shared" si="18"/>
        <v>#N/A</v>
      </c>
      <c r="J147" s="618" t="e">
        <f t="shared" si="19"/>
        <v>#N/A</v>
      </c>
      <c r="K147" s="125" t="e">
        <f t="shared" si="21"/>
        <v>#REF!</v>
      </c>
      <c r="L147" s="125" t="e">
        <f t="shared" si="22"/>
        <v>#REF!</v>
      </c>
      <c r="M147" s="28"/>
      <c r="N147" s="8"/>
      <c r="O147" s="5"/>
      <c r="P147" s="5" t="str">
        <f t="shared" si="23"/>
        <v>121361</v>
      </c>
      <c r="Q147" s="6">
        <f>VLOOKUP(P147,deuda!A$1:H$550,4,0)</f>
        <v>0</v>
      </c>
      <c r="R147" s="6">
        <f>VLOOKUP(P147,deuda!A$1:H$550,5,0)</f>
        <v>28</v>
      </c>
      <c r="S147" s="6">
        <f>IF(VLOOKUP(P147,deuda!A$1:H$550,6,0)=0,"",VLOOKUP(P147,deuda!A$1:H$550,6,0))</f>
        <v>7792.83</v>
      </c>
      <c r="T147" s="149" t="str">
        <f>IF((VLOOKUP(P147,deuda!A$1:H$550,7,0))=0,"",VLOOKUP(P147,deuda!A$1:H$550,7,0))</f>
        <v/>
      </c>
      <c r="U147" s="153" t="str">
        <f>IF((VLOOKUP(P147,deuda!A$1:H$550,8,0))=0,"",VLOOKUP(P147,deuda!A$1:H$550,8,0))</f>
        <v/>
      </c>
    </row>
    <row r="148" spans="1:21">
      <c r="A148" s="35">
        <v>7</v>
      </c>
      <c r="B148" s="6">
        <v>1213</v>
      </c>
      <c r="C148" s="5">
        <v>190</v>
      </c>
      <c r="D148" s="9">
        <v>0.47660000000000002</v>
      </c>
      <c r="E148" s="9">
        <f>IF((VLOOKUP(P148,deuda!A$1:H$550,4,0))=1,D148,0)</f>
        <v>0</v>
      </c>
      <c r="F148" s="5" t="s">
        <v>474</v>
      </c>
      <c r="G148" s="5"/>
      <c r="H148" s="636">
        <f t="shared" si="20"/>
        <v>0</v>
      </c>
      <c r="I148" s="629" t="e">
        <f t="shared" si="18"/>
        <v>#N/A</v>
      </c>
      <c r="J148" s="618" t="e">
        <f t="shared" si="19"/>
        <v>#N/A</v>
      </c>
      <c r="K148" s="125" t="e">
        <f t="shared" si="21"/>
        <v>#REF!</v>
      </c>
      <c r="L148" s="125" t="e">
        <f t="shared" si="22"/>
        <v>#REF!</v>
      </c>
      <c r="M148" s="28"/>
      <c r="N148" s="8"/>
      <c r="O148" s="5"/>
      <c r="P148" s="5" t="str">
        <f t="shared" si="23"/>
        <v>1213190</v>
      </c>
      <c r="Q148" s="6">
        <f>VLOOKUP(P148,deuda!A$1:H$550,4,0)</f>
        <v>0</v>
      </c>
      <c r="R148" s="6">
        <f>VLOOKUP(P148,deuda!A$1:H$550,5,0)</f>
        <v>27</v>
      </c>
      <c r="S148" s="6">
        <f>IF(VLOOKUP(P148,deuda!A$1:H$550,6,0)=0,"",VLOOKUP(P148,deuda!A$1:H$550,6,0))</f>
        <v>7607.14</v>
      </c>
      <c r="T148" s="149" t="str">
        <f>IF((VLOOKUP(P148,deuda!A$1:H$550,7,0))=0,"",VLOOKUP(P148,deuda!A$1:H$550,7,0))</f>
        <v/>
      </c>
      <c r="U148" s="153" t="str">
        <f>IF((VLOOKUP(P148,deuda!A$1:H$550,8,0))=0,"",VLOOKUP(P148,deuda!A$1:H$550,8,0))</f>
        <v/>
      </c>
    </row>
    <row r="149" spans="1:21">
      <c r="A149" s="35">
        <v>8</v>
      </c>
      <c r="B149" s="6">
        <v>1213</v>
      </c>
      <c r="C149" s="5">
        <v>298</v>
      </c>
      <c r="D149" s="9">
        <v>2.1753</v>
      </c>
      <c r="E149" s="9">
        <f>IF((VLOOKUP(P149,deuda!A$1:H$550,4,0))=1,D149,0)</f>
        <v>2.1753</v>
      </c>
      <c r="F149" s="5" t="s">
        <v>475</v>
      </c>
      <c r="G149" s="5"/>
      <c r="H149" s="636">
        <f t="shared" si="20"/>
        <v>2.1753</v>
      </c>
      <c r="I149" s="629" t="e">
        <f t="shared" si="18"/>
        <v>#N/A</v>
      </c>
      <c r="J149" s="618" t="e">
        <f t="shared" si="19"/>
        <v>#N/A</v>
      </c>
      <c r="K149" s="125" t="e">
        <f t="shared" si="21"/>
        <v>#REF!</v>
      </c>
      <c r="L149" s="125" t="e">
        <f t="shared" si="22"/>
        <v>#REF!</v>
      </c>
      <c r="M149" s="28"/>
      <c r="N149" s="8"/>
      <c r="O149" s="5"/>
      <c r="P149" s="5" t="str">
        <f t="shared" si="23"/>
        <v>1213298</v>
      </c>
      <c r="Q149" s="6">
        <f>VLOOKUP(P149,deuda!A$1:H$550,4,0)</f>
        <v>1</v>
      </c>
      <c r="R149" s="6">
        <f>VLOOKUP(P149,deuda!A$1:H$550,5,0)</f>
        <v>1</v>
      </c>
      <c r="S149" s="6">
        <f>IF(VLOOKUP(P149,deuda!A$1:H$550,6,0)=0,"",VLOOKUP(P149,deuda!A$1:H$550,6,0))</f>
        <v>667.8</v>
      </c>
      <c r="T149" s="149" t="str">
        <f>IF((VLOOKUP(P149,deuda!A$1:H$550,7,0))=0,"",VLOOKUP(P149,deuda!A$1:H$550,7,0))</f>
        <v/>
      </c>
      <c r="U149" s="153" t="str">
        <f>IF((VLOOKUP(P149,deuda!A$1:H$550,8,0))=0,"",VLOOKUP(P149,deuda!A$1:H$550,8,0))</f>
        <v/>
      </c>
    </row>
    <row r="150" spans="1:21">
      <c r="A150" s="35">
        <v>8</v>
      </c>
      <c r="B150" s="6">
        <v>1213</v>
      </c>
      <c r="C150" s="5">
        <v>299</v>
      </c>
      <c r="D150" s="9">
        <v>4.9768999999999997</v>
      </c>
      <c r="E150" s="9">
        <f>IF((VLOOKUP(P150,deuda!A$1:H$550,4,0))=1,D150,0)</f>
        <v>4.9768999999999997</v>
      </c>
      <c r="F150" s="5" t="s">
        <v>475</v>
      </c>
      <c r="G150" s="5"/>
      <c r="H150" s="636">
        <f t="shared" si="20"/>
        <v>4.9768999999999997</v>
      </c>
      <c r="I150" s="629" t="e">
        <f t="shared" si="18"/>
        <v>#N/A</v>
      </c>
      <c r="J150" s="618" t="e">
        <f t="shared" si="19"/>
        <v>#N/A</v>
      </c>
      <c r="K150" s="125" t="e">
        <f t="shared" si="21"/>
        <v>#REF!</v>
      </c>
      <c r="L150" s="125" t="e">
        <f t="shared" si="22"/>
        <v>#REF!</v>
      </c>
      <c r="M150" s="28"/>
      <c r="N150" s="8"/>
      <c r="O150" s="5"/>
      <c r="P150" s="5" t="str">
        <f t="shared" si="23"/>
        <v>1213299</v>
      </c>
      <c r="Q150" s="6">
        <f>VLOOKUP(P150,deuda!A$1:H$550,4,0)</f>
        <v>1</v>
      </c>
      <c r="R150" s="6">
        <f>VLOOKUP(P150,deuda!A$1:H$550,5,0)</f>
        <v>0</v>
      </c>
      <c r="S150" s="6" t="str">
        <f>IF(VLOOKUP(P150,deuda!A$1:H$550,6,0)=0,"",VLOOKUP(P150,deuda!A$1:H$550,6,0))</f>
        <v/>
      </c>
      <c r="T150" s="149" t="str">
        <f>IF((VLOOKUP(P150,deuda!A$1:H$550,7,0))=0,"",VLOOKUP(P150,deuda!A$1:H$550,7,0))</f>
        <v/>
      </c>
      <c r="U150" s="153" t="str">
        <f>IF((VLOOKUP(P150,deuda!A$1:H$550,8,0))=0,"",VLOOKUP(P150,deuda!A$1:H$550,8,0))</f>
        <v/>
      </c>
    </row>
    <row r="151" spans="1:21">
      <c r="A151" s="35">
        <v>9</v>
      </c>
      <c r="B151" s="6">
        <v>1213</v>
      </c>
      <c r="C151" s="5">
        <v>202</v>
      </c>
      <c r="D151" s="9">
        <v>0.11269999999999999</v>
      </c>
      <c r="E151" s="9" t="e">
        <f>IF((VLOOKUP(P151,deuda!A$1:H$550,4,0))=1,D151,0)</f>
        <v>#N/A</v>
      </c>
      <c r="F151" s="5" t="s">
        <v>476</v>
      </c>
      <c r="G151" s="5"/>
      <c r="H151" s="636" t="e">
        <f t="shared" si="20"/>
        <v>#N/A</v>
      </c>
      <c r="I151" s="629" t="e">
        <f t="shared" si="18"/>
        <v>#N/A</v>
      </c>
      <c r="J151" s="618" t="e">
        <f t="shared" si="19"/>
        <v>#N/A</v>
      </c>
      <c r="K151" s="125" t="e">
        <f t="shared" si="21"/>
        <v>#REF!</v>
      </c>
      <c r="L151" s="125" t="e">
        <f t="shared" si="22"/>
        <v>#REF!</v>
      </c>
      <c r="M151" s="28"/>
      <c r="N151" s="8"/>
      <c r="O151" s="5"/>
      <c r="P151" s="5" t="str">
        <f t="shared" si="23"/>
        <v>1213202</v>
      </c>
      <c r="Q151" s="6" t="e">
        <f>VLOOKUP(P151,deuda!A$1:H$550,4,0)</f>
        <v>#N/A</v>
      </c>
      <c r="R151" s="6" t="e">
        <f>VLOOKUP(P151,deuda!A$1:H$550,5,0)</f>
        <v>#N/A</v>
      </c>
      <c r="S151" s="6" t="e">
        <f>IF(VLOOKUP(P151,deuda!A$1:H$550,6,0)=0,"",VLOOKUP(P151,deuda!A$1:H$550,6,0))</f>
        <v>#N/A</v>
      </c>
      <c r="T151" s="149" t="e">
        <f>IF((VLOOKUP(P151,deuda!A$1:H$550,7,0))=0,"",VLOOKUP(P151,deuda!A$1:H$550,7,0))</f>
        <v>#N/A</v>
      </c>
      <c r="U151" s="153" t="e">
        <f>IF((VLOOKUP(P151,deuda!A$1:H$550,8,0))=0,"",VLOOKUP(P151,deuda!A$1:H$550,8,0))</f>
        <v>#N/A</v>
      </c>
    </row>
    <row r="152" spans="1:21">
      <c r="A152" s="35">
        <v>10</v>
      </c>
      <c r="B152" s="6">
        <v>1213</v>
      </c>
      <c r="C152" s="5">
        <v>206</v>
      </c>
      <c r="D152" s="9">
        <v>7.6100000000000001E-2</v>
      </c>
      <c r="E152" s="9">
        <f>IF((VLOOKUP(P152,deuda!A$1:H$550,4,0))=1,D152,0)</f>
        <v>0</v>
      </c>
      <c r="F152" s="5" t="s">
        <v>477</v>
      </c>
      <c r="G152" s="5"/>
      <c r="H152" s="636">
        <f t="shared" si="20"/>
        <v>0</v>
      </c>
      <c r="I152" s="629" t="e">
        <f t="shared" si="18"/>
        <v>#N/A</v>
      </c>
      <c r="J152" s="618" t="e">
        <f t="shared" si="19"/>
        <v>#N/A</v>
      </c>
      <c r="K152" s="125" t="e">
        <f t="shared" si="21"/>
        <v>#REF!</v>
      </c>
      <c r="L152" s="125" t="e">
        <f t="shared" si="22"/>
        <v>#REF!</v>
      </c>
      <c r="M152" s="28"/>
      <c r="N152" s="8"/>
      <c r="O152" s="5"/>
      <c r="P152" s="5" t="str">
        <f t="shared" si="23"/>
        <v>1213206</v>
      </c>
      <c r="Q152" s="6">
        <f>VLOOKUP(P152,deuda!A$1:H$550,4,0)</f>
        <v>0</v>
      </c>
      <c r="R152" s="6">
        <f>VLOOKUP(P152,deuda!A$1:H$550,5,0)</f>
        <v>17</v>
      </c>
      <c r="S152" s="6">
        <f>IF(VLOOKUP(P152,deuda!A$1:H$550,6,0)=0,"",VLOOKUP(P152,deuda!A$1:H$550,6,0))</f>
        <v>11579.83</v>
      </c>
      <c r="T152" s="149" t="str">
        <f>IF((VLOOKUP(P152,deuda!A$1:H$550,7,0))=0,"",VLOOKUP(P152,deuda!A$1:H$550,7,0))</f>
        <v/>
      </c>
      <c r="U152" s="153" t="str">
        <f>IF((VLOOKUP(P152,deuda!A$1:H$550,8,0))=0,"",VLOOKUP(P152,deuda!A$1:H$550,8,0))</f>
        <v/>
      </c>
    </row>
    <row r="153" spans="1:21">
      <c r="A153" s="35">
        <v>11</v>
      </c>
      <c r="B153" s="6">
        <v>1213</v>
      </c>
      <c r="C153" s="5">
        <v>66</v>
      </c>
      <c r="D153" s="9" t="s">
        <v>478</v>
      </c>
      <c r="E153" s="9" t="e">
        <f>IF((VLOOKUP(P153,deuda!A$1:H$550,4,0))=1,D153,0)</f>
        <v>#N/A</v>
      </c>
      <c r="F153" s="5" t="s">
        <v>479</v>
      </c>
      <c r="G153" s="5"/>
      <c r="H153" s="636" t="e">
        <f t="shared" si="20"/>
        <v>#N/A</v>
      </c>
      <c r="I153" s="629" t="e">
        <f t="shared" si="18"/>
        <v>#N/A</v>
      </c>
      <c r="J153" s="618" t="e">
        <f t="shared" si="19"/>
        <v>#N/A</v>
      </c>
      <c r="K153" s="125" t="e">
        <f t="shared" si="21"/>
        <v>#REF!</v>
      </c>
      <c r="L153" s="125" t="e">
        <f t="shared" si="22"/>
        <v>#REF!</v>
      </c>
      <c r="M153" s="28"/>
      <c r="N153" s="8"/>
      <c r="O153" s="5"/>
      <c r="P153" s="5" t="str">
        <f t="shared" si="23"/>
        <v>121366</v>
      </c>
      <c r="Q153" s="6" t="e">
        <f>VLOOKUP(P153,deuda!A$1:H$550,4,0)</f>
        <v>#N/A</v>
      </c>
      <c r="R153" s="6" t="e">
        <f>VLOOKUP(P153,deuda!A$1:H$550,5,0)</f>
        <v>#N/A</v>
      </c>
      <c r="S153" s="6" t="e">
        <f>IF(VLOOKUP(P153,deuda!A$1:H$550,6,0)=0,"",VLOOKUP(P153,deuda!A$1:H$550,6,0))</f>
        <v>#N/A</v>
      </c>
      <c r="T153" s="149" t="e">
        <f>IF((VLOOKUP(P153,deuda!A$1:H$550,7,0))=0,"",VLOOKUP(P153,deuda!A$1:H$550,7,0))</f>
        <v>#N/A</v>
      </c>
      <c r="U153" s="153" t="e">
        <f>IF((VLOOKUP(P153,deuda!A$1:H$550,8,0))=0,"",VLOOKUP(P153,deuda!A$1:H$550,8,0))</f>
        <v>#N/A</v>
      </c>
    </row>
    <row r="154" spans="1:21">
      <c r="A154" s="35">
        <v>12</v>
      </c>
      <c r="B154" s="6">
        <v>1213</v>
      </c>
      <c r="C154" s="5">
        <v>314</v>
      </c>
      <c r="D154" s="9">
        <v>0.33069999999999999</v>
      </c>
      <c r="E154" s="9">
        <f>IF((VLOOKUP(P154,deuda!A$1:H$550,4,0))=1,D154,0)</f>
        <v>0</v>
      </c>
      <c r="F154" s="5" t="s">
        <v>480</v>
      </c>
      <c r="G154" s="5"/>
      <c r="H154" s="636">
        <f t="shared" si="20"/>
        <v>0</v>
      </c>
      <c r="I154" s="629" t="e">
        <f t="shared" si="18"/>
        <v>#N/A</v>
      </c>
      <c r="J154" s="618" t="e">
        <f t="shared" si="19"/>
        <v>#N/A</v>
      </c>
      <c r="K154" s="125" t="e">
        <f t="shared" si="21"/>
        <v>#REF!</v>
      </c>
      <c r="L154" s="125" t="e">
        <f t="shared" si="22"/>
        <v>#REF!</v>
      </c>
      <c r="M154" s="28"/>
      <c r="N154" s="8"/>
      <c r="O154" s="5"/>
      <c r="P154" s="5" t="str">
        <f t="shared" si="23"/>
        <v>1213314</v>
      </c>
      <c r="Q154" s="6">
        <f>VLOOKUP(P154,deuda!A$1:H$550,4,0)</f>
        <v>0</v>
      </c>
      <c r="R154" s="6">
        <f>VLOOKUP(P154,deuda!A$1:H$550,5,0)</f>
        <v>6</v>
      </c>
      <c r="S154" s="6">
        <f>IF(VLOOKUP(P154,deuda!A$1:H$550,6,0)=0,"",VLOOKUP(P154,deuda!A$1:H$550,6,0))</f>
        <v>1475.46</v>
      </c>
      <c r="T154" s="149" t="str">
        <f>IF((VLOOKUP(P154,deuda!A$1:H$550,7,0))=0,"",VLOOKUP(P154,deuda!A$1:H$550,7,0))</f>
        <v/>
      </c>
      <c r="U154" s="153" t="str">
        <f>IF((VLOOKUP(P154,deuda!A$1:H$550,8,0))=0,"",VLOOKUP(P154,deuda!A$1:H$550,8,0))</f>
        <v/>
      </c>
    </row>
    <row r="155" spans="1:21">
      <c r="A155" s="35">
        <v>12</v>
      </c>
      <c r="B155" s="6">
        <v>1213</v>
      </c>
      <c r="C155" s="5">
        <v>315</v>
      </c>
      <c r="D155" s="9">
        <v>0.59699999999999998</v>
      </c>
      <c r="E155" s="9">
        <f>IF((VLOOKUP(P155,deuda!A$1:H$550,4,0))=1,D155,0)</f>
        <v>0</v>
      </c>
      <c r="F155" s="5" t="s">
        <v>480</v>
      </c>
      <c r="G155" s="5"/>
      <c r="H155" s="636">
        <f t="shared" si="20"/>
        <v>0</v>
      </c>
      <c r="I155" s="629" t="e">
        <f t="shared" si="18"/>
        <v>#N/A</v>
      </c>
      <c r="J155" s="618" t="e">
        <f t="shared" si="19"/>
        <v>#N/A</v>
      </c>
      <c r="K155" s="125" t="e">
        <f t="shared" si="21"/>
        <v>#REF!</v>
      </c>
      <c r="L155" s="125" t="e">
        <f t="shared" si="22"/>
        <v>#REF!</v>
      </c>
      <c r="M155" s="28"/>
      <c r="N155" s="8"/>
      <c r="O155" s="5"/>
      <c r="P155" s="5" t="str">
        <f t="shared" si="23"/>
        <v>1213315</v>
      </c>
      <c r="Q155" s="6">
        <f>VLOOKUP(P155,deuda!A$1:H$550,4,0)</f>
        <v>0</v>
      </c>
      <c r="R155" s="6">
        <f>VLOOKUP(P155,deuda!A$1:H$550,5,0)</f>
        <v>187</v>
      </c>
      <c r="S155" s="6">
        <f>IF(VLOOKUP(P155,deuda!A$1:H$550,6,0)=0,"",VLOOKUP(P155,deuda!A$1:H$550,6,0))</f>
        <v>31068.09</v>
      </c>
      <c r="T155" s="149" t="str">
        <f>IF((VLOOKUP(P155,deuda!A$1:H$550,7,0))=0,"",VLOOKUP(P155,deuda!A$1:H$550,7,0))</f>
        <v/>
      </c>
      <c r="U155" s="153" t="str">
        <f>IF((VLOOKUP(P155,deuda!A$1:H$550,8,0))=0,"",VLOOKUP(P155,deuda!A$1:H$550,8,0))</f>
        <v/>
      </c>
    </row>
    <row r="156" spans="1:21">
      <c r="A156" s="35">
        <v>12</v>
      </c>
      <c r="B156" s="6">
        <v>1213</v>
      </c>
      <c r="C156" s="5">
        <v>316</v>
      </c>
      <c r="D156" s="9">
        <v>0.59699999999999998</v>
      </c>
      <c r="E156" s="9">
        <f>IF((VLOOKUP(P156,deuda!A$1:H$550,4,0))=1,D156,0)</f>
        <v>0.59699999999999998</v>
      </c>
      <c r="F156" s="5" t="s">
        <v>480</v>
      </c>
      <c r="G156" s="5"/>
      <c r="H156" s="636">
        <f t="shared" si="20"/>
        <v>0.59699999999999998</v>
      </c>
      <c r="I156" s="629" t="e">
        <f t="shared" si="18"/>
        <v>#N/A</v>
      </c>
      <c r="J156" s="618" t="e">
        <f t="shared" si="19"/>
        <v>#N/A</v>
      </c>
      <c r="K156" s="125" t="e">
        <f t="shared" si="21"/>
        <v>#REF!</v>
      </c>
      <c r="L156" s="125" t="e">
        <f t="shared" si="22"/>
        <v>#REF!</v>
      </c>
      <c r="M156" s="28"/>
      <c r="N156" s="8"/>
      <c r="O156" s="5"/>
      <c r="P156" s="5" t="str">
        <f t="shared" si="23"/>
        <v>1213316</v>
      </c>
      <c r="Q156" s="6">
        <f>VLOOKUP(P156,deuda!A$1:H$550,4,0)</f>
        <v>1</v>
      </c>
      <c r="R156" s="6">
        <f>VLOOKUP(P156,deuda!A$1:H$550,5,0)</f>
        <v>2</v>
      </c>
      <c r="S156" s="6">
        <f>IF(VLOOKUP(P156,deuda!A$1:H$550,6,0)=0,"",VLOOKUP(P156,deuda!A$1:H$550,6,0))</f>
        <v>477.6</v>
      </c>
      <c r="T156" s="149" t="str">
        <f>IF((VLOOKUP(P156,deuda!A$1:H$550,7,0))=0,"",VLOOKUP(P156,deuda!A$1:H$550,7,0))</f>
        <v/>
      </c>
      <c r="U156" s="153" t="str">
        <f>IF((VLOOKUP(P156,deuda!A$1:H$550,8,0))=0,"",VLOOKUP(P156,deuda!A$1:H$550,8,0))</f>
        <v/>
      </c>
    </row>
    <row r="157" spans="1:21">
      <c r="A157" s="35">
        <v>12</v>
      </c>
      <c r="B157" s="6">
        <v>1213</v>
      </c>
      <c r="C157" s="5">
        <v>317</v>
      </c>
      <c r="D157" s="9">
        <v>2.5825</v>
      </c>
      <c r="E157" s="9" t="e">
        <f>IF((VLOOKUP(P157,deuda!A$1:H$550,4,0))=1,D157,0)</f>
        <v>#N/A</v>
      </c>
      <c r="F157" s="5" t="s">
        <v>480</v>
      </c>
      <c r="G157" s="5"/>
      <c r="H157" s="636" t="e">
        <f t="shared" si="20"/>
        <v>#N/A</v>
      </c>
      <c r="I157" s="629" t="e">
        <f t="shared" si="18"/>
        <v>#N/A</v>
      </c>
      <c r="J157" s="618" t="e">
        <f t="shared" si="19"/>
        <v>#N/A</v>
      </c>
      <c r="K157" s="125" t="e">
        <f t="shared" si="21"/>
        <v>#REF!</v>
      </c>
      <c r="L157" s="125" t="e">
        <f t="shared" si="22"/>
        <v>#REF!</v>
      </c>
      <c r="M157" s="28"/>
      <c r="N157" s="8"/>
      <c r="O157" s="5"/>
      <c r="P157" s="5" t="str">
        <f t="shared" si="23"/>
        <v>1213317</v>
      </c>
      <c r="Q157" s="6" t="e">
        <f>VLOOKUP(P157,deuda!A$1:H$550,4,0)</f>
        <v>#N/A</v>
      </c>
      <c r="R157" s="6" t="e">
        <f>VLOOKUP(P157,deuda!A$1:H$550,5,0)</f>
        <v>#N/A</v>
      </c>
      <c r="S157" s="6" t="e">
        <f>IF(VLOOKUP(P157,deuda!A$1:H$550,6,0)=0,"",VLOOKUP(P157,deuda!A$1:H$550,6,0))</f>
        <v>#N/A</v>
      </c>
      <c r="T157" s="149" t="e">
        <f>IF((VLOOKUP(P157,deuda!A$1:H$550,7,0))=0,"",VLOOKUP(P157,deuda!A$1:H$550,7,0))</f>
        <v>#N/A</v>
      </c>
      <c r="U157" s="153" t="e">
        <f>IF((VLOOKUP(P157,deuda!A$1:H$550,8,0))=0,"",VLOOKUP(P157,deuda!A$1:H$550,8,0))</f>
        <v>#N/A</v>
      </c>
    </row>
    <row r="158" spans="1:21" ht="13.5" thickBot="1">
      <c r="A158" s="36">
        <v>13</v>
      </c>
      <c r="B158" s="33">
        <v>1213</v>
      </c>
      <c r="C158" s="29">
        <v>168</v>
      </c>
      <c r="D158" s="40">
        <v>10.1633</v>
      </c>
      <c r="E158" s="40" t="e">
        <f>IF((VLOOKUP(P158,deuda!A$1:H$550,4,0))=1,D158,0)</f>
        <v>#N/A</v>
      </c>
      <c r="F158" s="29" t="s">
        <v>481</v>
      </c>
      <c r="G158" s="29"/>
      <c r="H158" s="637" t="e">
        <f t="shared" si="20"/>
        <v>#N/A</v>
      </c>
      <c r="I158" s="641" t="e">
        <f t="shared" si="18"/>
        <v>#N/A</v>
      </c>
      <c r="J158" s="621" t="e">
        <f t="shared" si="19"/>
        <v>#N/A</v>
      </c>
      <c r="K158" s="127" t="e">
        <f t="shared" si="21"/>
        <v>#REF!</v>
      </c>
      <c r="L158" s="125" t="e">
        <f t="shared" si="22"/>
        <v>#REF!</v>
      </c>
      <c r="M158" s="31"/>
      <c r="N158" s="41"/>
      <c r="O158" s="29"/>
      <c r="P158" s="29" t="str">
        <f t="shared" si="23"/>
        <v>1213168</v>
      </c>
      <c r="Q158" s="33" t="e">
        <f>VLOOKUP(P158,deuda!A$1:H$550,4,0)</f>
        <v>#N/A</v>
      </c>
      <c r="R158" s="33" t="e">
        <f>VLOOKUP(P158,deuda!A$1:H$550,5,0)</f>
        <v>#N/A</v>
      </c>
      <c r="S158" s="33" t="e">
        <f>IF(VLOOKUP(P158,deuda!A$1:H$550,6,0)=0,"",VLOOKUP(P158,deuda!A$1:H$550,6,0))</f>
        <v>#N/A</v>
      </c>
      <c r="T158" s="154" t="e">
        <f>IF((VLOOKUP(P158,deuda!A$1:H$550,7,0))=0,"",VLOOKUP(P158,deuda!A$1:H$550,7,0))</f>
        <v>#N/A</v>
      </c>
      <c r="U158" s="155" t="e">
        <f>IF((VLOOKUP(P158,deuda!A$1:H$550,8,0))=0,"",VLOOKUP(P158,deuda!A$1:H$550,8,0))</f>
        <v>#N/A</v>
      </c>
    </row>
    <row r="159" spans="1:21">
      <c r="D159" s="15">
        <f>SUM(D142:D158)</f>
        <v>41.728300000000004</v>
      </c>
      <c r="E159" s="15" t="e">
        <f>SUM(E142:E158)</f>
        <v>#N/A</v>
      </c>
      <c r="H159" s="15" t="e">
        <f>SUM(H142:H158)</f>
        <v>#N/A</v>
      </c>
      <c r="I159" s="255" t="e">
        <f>SUM(I142:I158)</f>
        <v>#N/A</v>
      </c>
      <c r="J159" s="156" t="e">
        <f>SUM(J142:J158)</f>
        <v>#N/A</v>
      </c>
      <c r="K159" s="72"/>
      <c r="L159" s="72"/>
    </row>
    <row r="160" spans="1:21">
      <c r="D160" s="15"/>
      <c r="E160" s="15"/>
      <c r="H160" s="15"/>
      <c r="I160" s="4"/>
      <c r="J160" s="72"/>
      <c r="K160" s="72"/>
      <c r="L160" s="72"/>
    </row>
    <row r="161" spans="1:12">
      <c r="D161" s="15"/>
      <c r="E161" s="15"/>
      <c r="H161" s="15"/>
      <c r="I161" s="4"/>
      <c r="J161" s="72"/>
      <c r="K161" s="72"/>
      <c r="L161" s="72"/>
    </row>
    <row r="162" spans="1:12">
      <c r="D162" s="15"/>
      <c r="E162" s="15"/>
      <c r="H162" s="15"/>
      <c r="I162" s="4"/>
      <c r="J162" s="72"/>
      <c r="K162" s="72"/>
      <c r="L162" s="72"/>
    </row>
    <row r="163" spans="1:12">
      <c r="D163" s="15"/>
      <c r="E163" s="15"/>
      <c r="H163" s="15"/>
      <c r="I163" s="4"/>
      <c r="J163" s="72"/>
      <c r="K163" s="72"/>
      <c r="L163" s="72"/>
    </row>
    <row r="164" spans="1:12">
      <c r="A164" s="47" t="s">
        <v>482</v>
      </c>
      <c r="D164" s="15"/>
      <c r="E164" s="15"/>
      <c r="H164" s="15"/>
      <c r="I164" s="4"/>
      <c r="J164" s="72"/>
      <c r="K164" s="72"/>
      <c r="L164" s="72"/>
    </row>
    <row r="165" spans="1:12">
      <c r="A165" s="47"/>
      <c r="D165" s="15"/>
      <c r="E165" s="15"/>
      <c r="H165" s="15"/>
      <c r="I165" s="4"/>
      <c r="J165" s="72"/>
      <c r="K165" s="72"/>
      <c r="L165" s="72"/>
    </row>
    <row r="166" spans="1:12">
      <c r="C166" s="1" t="s">
        <v>413</v>
      </c>
    </row>
    <row r="169" spans="1:12" ht="13.5" thickBot="1"/>
    <row r="170" spans="1:12">
      <c r="A170" s="688" t="s">
        <v>92</v>
      </c>
      <c r="B170" s="689"/>
      <c r="C170" s="690" t="e">
        <f>+L158</f>
        <v>#REF!</v>
      </c>
      <c r="D170" s="691"/>
      <c r="E170" s="3"/>
      <c r="F170" s="3"/>
      <c r="G170" s="24" t="s">
        <v>93</v>
      </c>
      <c r="H170" s="170" t="e">
        <f>+I16</f>
        <v>#N/A</v>
      </c>
    </row>
    <row r="171" spans="1:12" ht="13.5" thickBot="1">
      <c r="A171" s="692" t="s">
        <v>94</v>
      </c>
      <c r="B171" s="693"/>
      <c r="C171" s="694" t="e">
        <f>+L184</f>
        <v>#REF!</v>
      </c>
      <c r="D171" s="695"/>
      <c r="E171" s="3"/>
      <c r="F171" s="3"/>
      <c r="G171" s="26" t="s">
        <v>95</v>
      </c>
      <c r="H171" s="171">
        <f>+J16</f>
        <v>0</v>
      </c>
      <c r="I171" s="3"/>
      <c r="K171" s="635"/>
    </row>
    <row r="172" spans="1:12" ht="13.5" thickBot="1">
      <c r="G172" s="132" t="s">
        <v>96</v>
      </c>
      <c r="H172" s="172">
        <f>+K16</f>
        <v>4.1666666666666664E-2</v>
      </c>
    </row>
    <row r="174" spans="1:12">
      <c r="A174" s="696" t="s">
        <v>97</v>
      </c>
      <c r="B174" s="696"/>
      <c r="C174" s="168" t="e">
        <f>+H170-H171-H172</f>
        <v>#N/A</v>
      </c>
      <c r="D174" s="558" t="s">
        <v>98</v>
      </c>
      <c r="E174" s="169" t="e">
        <f>+C174*60</f>
        <v>#N/A</v>
      </c>
      <c r="F174" s="558" t="s">
        <v>99</v>
      </c>
      <c r="G174" s="167">
        <f>+H185</f>
        <v>12.4055</v>
      </c>
      <c r="H174" s="558" t="s">
        <v>100</v>
      </c>
      <c r="I174" s="168" t="e">
        <f>+E174/G174</f>
        <v>#N/A</v>
      </c>
    </row>
    <row r="176" spans="1:12" ht="13.5" thickBot="1"/>
    <row r="177" spans="1:21" s="58" customFormat="1" ht="23.25" customHeight="1" thickBot="1">
      <c r="A177" s="23" t="s">
        <v>102</v>
      </c>
      <c r="B177" s="559" t="s">
        <v>103</v>
      </c>
      <c r="C177" s="559" t="s">
        <v>104</v>
      </c>
      <c r="D177" s="129" t="s">
        <v>106</v>
      </c>
      <c r="E177" s="129" t="s">
        <v>414</v>
      </c>
      <c r="F177" s="683" t="s">
        <v>108</v>
      </c>
      <c r="G177" s="683"/>
      <c r="H177" s="129" t="s">
        <v>415</v>
      </c>
      <c r="I177" s="129" t="s">
        <v>304</v>
      </c>
      <c r="J177" s="559" t="s">
        <v>110</v>
      </c>
      <c r="K177" s="129" t="s">
        <v>156</v>
      </c>
      <c r="L177" s="129" t="s">
        <v>157</v>
      </c>
      <c r="M177" s="130" t="s">
        <v>114</v>
      </c>
      <c r="N177" s="256" t="s">
        <v>158</v>
      </c>
      <c r="O177" s="32" t="s">
        <v>116</v>
      </c>
      <c r="P177" s="32" t="s">
        <v>117</v>
      </c>
      <c r="Q177" s="32" t="s">
        <v>118</v>
      </c>
      <c r="R177" s="32" t="s">
        <v>119</v>
      </c>
      <c r="S177" s="32" t="s">
        <v>120</v>
      </c>
      <c r="T177" s="32" t="s">
        <v>121</v>
      </c>
      <c r="U177" s="185" t="s">
        <v>122</v>
      </c>
    </row>
    <row r="178" spans="1:21">
      <c r="A178" s="51">
        <v>1</v>
      </c>
      <c r="B178" s="150">
        <v>1213</v>
      </c>
      <c r="C178" s="52">
        <v>28</v>
      </c>
      <c r="D178" s="103">
        <v>3.8839000000000001</v>
      </c>
      <c r="E178" s="103">
        <f>IF((VLOOKUP(P178,deuda!A$1:H$550,4,0))=1,D178,0)</f>
        <v>3.8839000000000001</v>
      </c>
      <c r="F178" s="52" t="s">
        <v>438</v>
      </c>
      <c r="G178" s="52"/>
      <c r="H178" s="579">
        <f t="shared" ref="H178:H184" si="24">E178</f>
        <v>3.8839000000000001</v>
      </c>
      <c r="I178" s="629" t="e">
        <f>+H178*$I$174</f>
        <v>#N/A</v>
      </c>
      <c r="J178" s="580" t="e">
        <f>+I178/60</f>
        <v>#N/A</v>
      </c>
      <c r="K178" s="174" t="e">
        <f>+C170+H171+H172</f>
        <v>#REF!</v>
      </c>
      <c r="L178" s="174" t="e">
        <f t="shared" ref="L178:L184" si="25">+K178+J178</f>
        <v>#REF!</v>
      </c>
      <c r="M178" s="52"/>
      <c r="N178" s="52"/>
      <c r="O178" s="52"/>
      <c r="P178" s="52" t="str">
        <f t="shared" ref="P178:P184" si="26">+CONCATENATE(B178,C178)</f>
        <v>121328</v>
      </c>
      <c r="Q178" s="150">
        <f>VLOOKUP(P178,deuda!A$1:H$550,4,0)</f>
        <v>1</v>
      </c>
      <c r="R178" s="150">
        <f>VLOOKUP(P178,deuda!A$1:H$550,5,0)</f>
        <v>2</v>
      </c>
      <c r="S178" s="150">
        <f>IF(VLOOKUP(P178,deuda!A$1:H$550,6,0)=0,"",VLOOKUP(P178,deuda!A$1:H$550,6,0))</f>
        <v>1777.22</v>
      </c>
      <c r="T178" s="151" t="str">
        <f>IF((VLOOKUP(P178,deuda!A$1:H$550,7,0))=0,"",VLOOKUP(P178,deuda!A$1:H$550,7,0))</f>
        <v/>
      </c>
      <c r="U178" s="152" t="str">
        <f>IF((VLOOKUP(P178,deuda!A$1:H$550,8,0))=0,"",VLOOKUP(P178,deuda!A$1:H$550,8,0))</f>
        <v/>
      </c>
    </row>
    <row r="179" spans="1:21">
      <c r="A179" s="35">
        <v>2</v>
      </c>
      <c r="B179" s="6">
        <v>1213</v>
      </c>
      <c r="C179" s="5">
        <v>29</v>
      </c>
      <c r="D179" s="9">
        <v>0.16980000000000001</v>
      </c>
      <c r="E179" s="9">
        <f>IF((VLOOKUP(P179,deuda!A$1:H$550,4,0))=1,D179,0)</f>
        <v>0.16980000000000001</v>
      </c>
      <c r="F179" s="5" t="s">
        <v>483</v>
      </c>
      <c r="G179" s="5"/>
      <c r="H179" s="636">
        <f t="shared" si="24"/>
        <v>0.16980000000000001</v>
      </c>
      <c r="I179" s="629" t="e">
        <f t="shared" ref="I179:I184" si="27">+H179*$I$174</f>
        <v>#N/A</v>
      </c>
      <c r="J179" s="618" t="e">
        <f t="shared" ref="J179:J184" si="28">+I179/60</f>
        <v>#N/A</v>
      </c>
      <c r="K179" s="125" t="e">
        <f t="shared" ref="K179:K184" si="29">+L178</f>
        <v>#REF!</v>
      </c>
      <c r="L179" s="125" t="e">
        <f t="shared" si="25"/>
        <v>#REF!</v>
      </c>
      <c r="M179" s="5"/>
      <c r="N179" s="5"/>
      <c r="O179" s="5"/>
      <c r="P179" s="5" t="str">
        <f t="shared" si="26"/>
        <v>121329</v>
      </c>
      <c r="Q179" s="6">
        <f>VLOOKUP(P179,deuda!A$1:H$550,4,0)</f>
        <v>1</v>
      </c>
      <c r="R179" s="6">
        <f>VLOOKUP(P179,deuda!A$1:H$550,5,0)</f>
        <v>0</v>
      </c>
      <c r="S179" s="6" t="str">
        <f>IF(VLOOKUP(P179,deuda!A$1:H$550,6,0)=0,"",VLOOKUP(P179,deuda!A$1:H$550,6,0))</f>
        <v/>
      </c>
      <c r="T179" s="149" t="str">
        <f>IF((VLOOKUP(P179,deuda!A$1:H$550,7,0))=0,"",VLOOKUP(P179,deuda!A$1:H$550,7,0))</f>
        <v/>
      </c>
      <c r="U179" s="153" t="str">
        <f>IF((VLOOKUP(P179,deuda!A$1:H$550,8,0))=0,"",VLOOKUP(P179,deuda!A$1:H$550,8,0))</f>
        <v/>
      </c>
    </row>
    <row r="180" spans="1:21">
      <c r="A180" s="35">
        <v>3</v>
      </c>
      <c r="B180" s="6">
        <v>1213</v>
      </c>
      <c r="C180" s="5">
        <v>19</v>
      </c>
      <c r="D180" s="9">
        <v>1.7969999999999999</v>
      </c>
      <c r="E180" s="9">
        <f>IF((VLOOKUP(P180,deuda!A$1:H$550,4,0))=1,D180,0)</f>
        <v>1.7969999999999999</v>
      </c>
      <c r="F180" s="5" t="s">
        <v>484</v>
      </c>
      <c r="G180" s="5"/>
      <c r="H180" s="636">
        <f t="shared" si="24"/>
        <v>1.7969999999999999</v>
      </c>
      <c r="I180" s="629" t="e">
        <f t="shared" si="27"/>
        <v>#N/A</v>
      </c>
      <c r="J180" s="618" t="e">
        <f t="shared" si="28"/>
        <v>#N/A</v>
      </c>
      <c r="K180" s="125" t="e">
        <f t="shared" si="29"/>
        <v>#REF!</v>
      </c>
      <c r="L180" s="125" t="e">
        <f t="shared" si="25"/>
        <v>#REF!</v>
      </c>
      <c r="M180" s="5"/>
      <c r="N180" s="5"/>
      <c r="O180" s="5"/>
      <c r="P180" s="5" t="str">
        <f t="shared" si="26"/>
        <v>121319</v>
      </c>
      <c r="Q180" s="6">
        <f>VLOOKUP(P180,deuda!A$1:H$550,4,0)</f>
        <v>1</v>
      </c>
      <c r="R180" s="6">
        <f>VLOOKUP(P180,deuda!A$1:H$550,5,0)</f>
        <v>1</v>
      </c>
      <c r="S180" s="6">
        <f>IF(VLOOKUP(P180,deuda!A$1:H$550,6,0)=0,"",VLOOKUP(P180,deuda!A$1:H$550,6,0))</f>
        <v>515.04999999999995</v>
      </c>
      <c r="T180" s="149" t="str">
        <f>IF((VLOOKUP(P180,deuda!A$1:H$550,7,0))=0,"",VLOOKUP(P180,deuda!A$1:H$550,7,0))</f>
        <v/>
      </c>
      <c r="U180" s="153" t="str">
        <f>IF((VLOOKUP(P180,deuda!A$1:H$550,8,0))=0,"",VLOOKUP(P180,deuda!A$1:H$550,8,0))</f>
        <v/>
      </c>
    </row>
    <row r="181" spans="1:21">
      <c r="A181" s="35">
        <v>4</v>
      </c>
      <c r="B181" s="6">
        <v>1213</v>
      </c>
      <c r="C181" s="5">
        <v>233</v>
      </c>
      <c r="D181" s="9">
        <v>2.1351</v>
      </c>
      <c r="E181" s="9">
        <f>IF((VLOOKUP(P181,deuda!A$1:H$550,4,0))=1,D181,0)</f>
        <v>0</v>
      </c>
      <c r="F181" s="5" t="s">
        <v>485</v>
      </c>
      <c r="G181" s="5"/>
      <c r="H181" s="636">
        <f t="shared" si="24"/>
        <v>0</v>
      </c>
      <c r="I181" s="629" t="e">
        <f t="shared" si="27"/>
        <v>#N/A</v>
      </c>
      <c r="J181" s="618" t="e">
        <f t="shared" si="28"/>
        <v>#N/A</v>
      </c>
      <c r="K181" s="125" t="e">
        <f t="shared" si="29"/>
        <v>#REF!</v>
      </c>
      <c r="L181" s="125" t="e">
        <f t="shared" si="25"/>
        <v>#REF!</v>
      </c>
      <c r="M181" s="5"/>
      <c r="N181" s="5"/>
      <c r="O181" s="5"/>
      <c r="P181" s="5" t="str">
        <f t="shared" si="26"/>
        <v>1213233</v>
      </c>
      <c r="Q181" s="6">
        <f>VLOOKUP(P181,deuda!A$1:H$550,4,0)</f>
        <v>0</v>
      </c>
      <c r="R181" s="6">
        <f>VLOOKUP(P181,deuda!A$1:H$550,5,0)</f>
        <v>50</v>
      </c>
      <c r="S181" s="6">
        <f>IF(VLOOKUP(P181,deuda!A$1:H$550,6,0)=0,"",VLOOKUP(P181,deuda!A$1:H$550,6,0))</f>
        <v>20701.63</v>
      </c>
      <c r="T181" s="149" t="str">
        <f>IF((VLOOKUP(P181,deuda!A$1:H$550,7,0))=0,"",VLOOKUP(P181,deuda!A$1:H$550,7,0))</f>
        <v/>
      </c>
      <c r="U181" s="153" t="str">
        <f>IF((VLOOKUP(P181,deuda!A$1:H$550,8,0))=0,"",VLOOKUP(P181,deuda!A$1:H$550,8,0))</f>
        <v/>
      </c>
    </row>
    <row r="182" spans="1:21">
      <c r="A182" s="35">
        <v>5</v>
      </c>
      <c r="B182" s="6">
        <v>1213</v>
      </c>
      <c r="C182" s="5">
        <v>331</v>
      </c>
      <c r="D182" s="9">
        <v>4.9919000000000002</v>
      </c>
      <c r="E182" s="9">
        <f>IF((VLOOKUP(P182,deuda!A$1:H$550,4,0))=1,D182,0)</f>
        <v>4.9919000000000002</v>
      </c>
      <c r="F182" s="5" t="s">
        <v>486</v>
      </c>
      <c r="G182" s="5"/>
      <c r="H182" s="636">
        <f t="shared" si="24"/>
        <v>4.9919000000000002</v>
      </c>
      <c r="I182" s="629" t="e">
        <f t="shared" si="27"/>
        <v>#N/A</v>
      </c>
      <c r="J182" s="618" t="e">
        <f t="shared" si="28"/>
        <v>#N/A</v>
      </c>
      <c r="K182" s="125" t="e">
        <f t="shared" si="29"/>
        <v>#REF!</v>
      </c>
      <c r="L182" s="125" t="e">
        <f t="shared" si="25"/>
        <v>#REF!</v>
      </c>
      <c r="M182" s="5"/>
      <c r="N182" s="5"/>
      <c r="O182" s="5"/>
      <c r="P182" s="5" t="str">
        <f t="shared" si="26"/>
        <v>1213331</v>
      </c>
      <c r="Q182" s="6">
        <f>VLOOKUP(P182,deuda!A$1:H$550,4,0)</f>
        <v>1</v>
      </c>
      <c r="R182" s="6">
        <f>VLOOKUP(P182,deuda!A$1:H$550,5,0)</f>
        <v>0</v>
      </c>
      <c r="S182" s="6" t="str">
        <f>IF(VLOOKUP(P182,deuda!A$1:H$550,6,0)=0,"",VLOOKUP(P182,deuda!A$1:H$550,6,0))</f>
        <v/>
      </c>
      <c r="T182" s="149" t="str">
        <f>IF((VLOOKUP(P182,deuda!A$1:H$550,7,0))=0,"",VLOOKUP(P182,deuda!A$1:H$550,7,0))</f>
        <v/>
      </c>
      <c r="U182" s="153" t="str">
        <f>IF((VLOOKUP(P182,deuda!A$1:H$550,8,0))=0,"",VLOOKUP(P182,deuda!A$1:H$550,8,0))</f>
        <v/>
      </c>
    </row>
    <row r="183" spans="1:21">
      <c r="A183" s="35">
        <v>6</v>
      </c>
      <c r="B183" s="6">
        <v>1213</v>
      </c>
      <c r="C183" s="5">
        <v>321</v>
      </c>
      <c r="D183" s="9">
        <v>1.5629</v>
      </c>
      <c r="E183" s="9">
        <f>IF((VLOOKUP(P183,deuda!A$1:H$550,4,0))=1,D183,0)</f>
        <v>1.5629</v>
      </c>
      <c r="F183" s="5" t="s">
        <v>487</v>
      </c>
      <c r="G183" s="5"/>
      <c r="H183" s="636">
        <f t="shared" si="24"/>
        <v>1.5629</v>
      </c>
      <c r="I183" s="629" t="e">
        <f t="shared" si="27"/>
        <v>#N/A</v>
      </c>
      <c r="J183" s="618" t="e">
        <f t="shared" si="28"/>
        <v>#N/A</v>
      </c>
      <c r="K183" s="125" t="e">
        <f t="shared" si="29"/>
        <v>#REF!</v>
      </c>
      <c r="L183" s="125" t="e">
        <f t="shared" si="25"/>
        <v>#REF!</v>
      </c>
      <c r="M183" s="5"/>
      <c r="N183" s="5"/>
      <c r="O183" s="5"/>
      <c r="P183" s="5" t="str">
        <f t="shared" si="26"/>
        <v>1213321</v>
      </c>
      <c r="Q183" s="6">
        <f>VLOOKUP(P183,deuda!A$1:H$550,4,0)</f>
        <v>1</v>
      </c>
      <c r="R183" s="6">
        <f>VLOOKUP(P183,deuda!A$1:H$550,5,0)</f>
        <v>1</v>
      </c>
      <c r="S183" s="6">
        <f>IF(VLOOKUP(P183,deuda!A$1:H$550,6,0)=0,"",VLOOKUP(P183,deuda!A$1:H$550,6,0))</f>
        <v>452.93</v>
      </c>
      <c r="T183" s="149" t="str">
        <f>IF((VLOOKUP(P183,deuda!A$1:H$550,7,0))=0,"",VLOOKUP(P183,deuda!A$1:H$550,7,0))</f>
        <v/>
      </c>
      <c r="U183" s="153" t="str">
        <f>IF((VLOOKUP(P183,deuda!A$1:H$550,8,0))=0,"",VLOOKUP(P183,deuda!A$1:H$550,8,0))</f>
        <v/>
      </c>
    </row>
    <row r="184" spans="1:21" ht="13.5" thickBot="1">
      <c r="A184" s="36">
        <v>7</v>
      </c>
      <c r="B184" s="33">
        <v>1213</v>
      </c>
      <c r="C184" s="29">
        <v>320</v>
      </c>
      <c r="D184" s="40">
        <v>1.7049000000000001</v>
      </c>
      <c r="E184" s="40">
        <f>IF((VLOOKUP(P184,deuda!A$1:H$550,4,0))=1,D184,0)</f>
        <v>0</v>
      </c>
      <c r="F184" s="29" t="s">
        <v>488</v>
      </c>
      <c r="G184" s="29"/>
      <c r="H184" s="637">
        <f t="shared" si="24"/>
        <v>0</v>
      </c>
      <c r="I184" s="629" t="e">
        <f t="shared" si="27"/>
        <v>#N/A</v>
      </c>
      <c r="J184" s="621" t="e">
        <f t="shared" si="28"/>
        <v>#N/A</v>
      </c>
      <c r="K184" s="127" t="e">
        <f t="shared" si="29"/>
        <v>#REF!</v>
      </c>
      <c r="L184" s="127" t="e">
        <f t="shared" si="25"/>
        <v>#REF!</v>
      </c>
      <c r="M184" s="29"/>
      <c r="N184" s="29"/>
      <c r="O184" s="29"/>
      <c r="P184" s="29" t="str">
        <f t="shared" si="26"/>
        <v>1213320</v>
      </c>
      <c r="Q184" s="33">
        <f>VLOOKUP(P184,deuda!A$1:H$550,4,0)</f>
        <v>0</v>
      </c>
      <c r="R184" s="33">
        <f>VLOOKUP(P184,deuda!A$1:H$550,5,0)</f>
        <v>18</v>
      </c>
      <c r="S184" s="33">
        <f>IF(VLOOKUP(P184,deuda!A$1:H$550,6,0)=0,"",VLOOKUP(P184,deuda!A$1:H$550,6,0))</f>
        <v>8266.91</v>
      </c>
      <c r="T184" s="154" t="str">
        <f>IF((VLOOKUP(P184,deuda!A$1:H$550,7,0))=0,"",VLOOKUP(P184,deuda!A$1:H$550,7,0))</f>
        <v/>
      </c>
      <c r="U184" s="155" t="str">
        <f>IF((VLOOKUP(P184,deuda!A$1:H$550,8,0))=0,"",VLOOKUP(P184,deuda!A$1:H$550,8,0))</f>
        <v/>
      </c>
    </row>
    <row r="185" spans="1:21">
      <c r="D185" s="15">
        <f>SUM(D178:D184)</f>
        <v>16.245499999999996</v>
      </c>
      <c r="E185" s="15">
        <f>SUM(E178:E184)</f>
        <v>12.4055</v>
      </c>
      <c r="H185" s="15">
        <f>SUM(H178:H184)</f>
        <v>12.4055</v>
      </c>
      <c r="I185" s="243" t="e">
        <f>SUM(I178:I184)</f>
        <v>#N/A</v>
      </c>
      <c r="J185" s="3" t="e">
        <f>SUM(J178:J184)</f>
        <v>#N/A</v>
      </c>
      <c r="K185" s="3"/>
      <c r="L185" s="3"/>
    </row>
    <row r="186" spans="1:21">
      <c r="D186" s="15"/>
      <c r="E186" s="15"/>
      <c r="H186" s="15"/>
      <c r="I186" s="88"/>
      <c r="J186" s="3"/>
      <c r="K186" s="3"/>
      <c r="L186" s="3"/>
    </row>
    <row r="187" spans="1:21">
      <c r="D187" s="15"/>
      <c r="E187" s="15"/>
      <c r="H187" s="15"/>
      <c r="I187" s="88"/>
      <c r="J187" s="3"/>
      <c r="K187" s="3"/>
      <c r="L187" s="3"/>
    </row>
    <row r="188" spans="1:21">
      <c r="D188" s="15"/>
      <c r="E188" s="15"/>
      <c r="H188" s="15"/>
      <c r="I188" s="88"/>
      <c r="J188" s="3"/>
      <c r="K188" s="3"/>
      <c r="L188" s="3"/>
    </row>
    <row r="189" spans="1:21">
      <c r="D189" s="15"/>
      <c r="E189" s="15"/>
      <c r="H189" s="15"/>
      <c r="I189" s="88"/>
      <c r="J189" s="3"/>
      <c r="K189" s="3"/>
      <c r="L189" s="3"/>
    </row>
    <row r="190" spans="1:21">
      <c r="D190" s="15"/>
      <c r="E190" s="15"/>
      <c r="H190" s="15"/>
      <c r="I190" s="88"/>
      <c r="J190" s="3"/>
      <c r="K190" s="3"/>
      <c r="L190" s="3"/>
    </row>
    <row r="191" spans="1:21">
      <c r="A191" s="47" t="s">
        <v>489</v>
      </c>
      <c r="D191" s="15"/>
    </row>
    <row r="192" spans="1:21">
      <c r="A192" s="47"/>
      <c r="D192" s="15"/>
    </row>
    <row r="193" spans="1:21">
      <c r="C193" s="1" t="s">
        <v>413</v>
      </c>
    </row>
    <row r="195" spans="1:21" ht="13.5" thickBot="1"/>
    <row r="196" spans="1:21">
      <c r="A196" s="688" t="s">
        <v>92</v>
      </c>
      <c r="B196" s="689"/>
      <c r="C196" s="690" t="e">
        <f>+L184</f>
        <v>#REF!</v>
      </c>
      <c r="D196" s="691"/>
      <c r="E196" s="3"/>
      <c r="F196" s="3"/>
      <c r="G196" s="24" t="s">
        <v>93</v>
      </c>
      <c r="H196" s="170" t="e">
        <f>+I18</f>
        <v>#N/A</v>
      </c>
    </row>
    <row r="197" spans="1:21" ht="13.5" thickBot="1">
      <c r="A197" s="692" t="s">
        <v>94</v>
      </c>
      <c r="B197" s="693"/>
      <c r="C197" s="694" t="e">
        <f>+L238</f>
        <v>#REF!</v>
      </c>
      <c r="D197" s="695"/>
      <c r="E197" s="3"/>
      <c r="F197" s="3"/>
      <c r="G197" s="26" t="s">
        <v>95</v>
      </c>
      <c r="H197" s="171">
        <f>+J18</f>
        <v>0</v>
      </c>
      <c r="I197" s="3"/>
      <c r="K197" s="635"/>
    </row>
    <row r="198" spans="1:21" ht="13.5" thickBot="1">
      <c r="G198" s="132" t="s">
        <v>96</v>
      </c>
      <c r="H198" s="172">
        <f>+K18</f>
        <v>4.1666666666666664E-2</v>
      </c>
    </row>
    <row r="200" spans="1:21">
      <c r="A200" s="696" t="s">
        <v>97</v>
      </c>
      <c r="B200" s="696"/>
      <c r="C200" s="168" t="e">
        <f>+H196-H197-H198</f>
        <v>#N/A</v>
      </c>
      <c r="D200" s="558" t="s">
        <v>98</v>
      </c>
      <c r="E200" s="169" t="e">
        <f>+C200*60</f>
        <v>#N/A</v>
      </c>
      <c r="F200" s="558" t="s">
        <v>99</v>
      </c>
      <c r="G200" s="167" t="e">
        <f>+H239</f>
        <v>#N/A</v>
      </c>
      <c r="H200" s="558" t="s">
        <v>100</v>
      </c>
      <c r="I200" s="168" t="e">
        <f>+E200/G200</f>
        <v>#N/A</v>
      </c>
    </row>
    <row r="202" spans="1:21" ht="13.5" thickBot="1"/>
    <row r="203" spans="1:21" s="58" customFormat="1" ht="25.5" customHeight="1" thickBot="1">
      <c r="A203" s="23" t="s">
        <v>102</v>
      </c>
      <c r="B203" s="559" t="s">
        <v>103</v>
      </c>
      <c r="C203" s="559" t="s">
        <v>104</v>
      </c>
      <c r="D203" s="129" t="s">
        <v>106</v>
      </c>
      <c r="E203" s="129" t="s">
        <v>414</v>
      </c>
      <c r="F203" s="683" t="s">
        <v>108</v>
      </c>
      <c r="G203" s="683"/>
      <c r="H203" s="129" t="s">
        <v>415</v>
      </c>
      <c r="I203" s="129" t="s">
        <v>304</v>
      </c>
      <c r="J203" s="559" t="s">
        <v>110</v>
      </c>
      <c r="K203" s="129" t="s">
        <v>156</v>
      </c>
      <c r="L203" s="129" t="s">
        <v>157</v>
      </c>
      <c r="M203" s="130" t="s">
        <v>114</v>
      </c>
      <c r="N203" s="256" t="s">
        <v>158</v>
      </c>
      <c r="O203" s="32" t="s">
        <v>116</v>
      </c>
      <c r="P203" s="32" t="s">
        <v>117</v>
      </c>
      <c r="Q203" s="32" t="s">
        <v>118</v>
      </c>
      <c r="R203" s="32" t="s">
        <v>119</v>
      </c>
      <c r="S203" s="32" t="s">
        <v>120</v>
      </c>
      <c r="T203" s="32" t="s">
        <v>121</v>
      </c>
      <c r="U203" s="185" t="s">
        <v>122</v>
      </c>
    </row>
    <row r="204" spans="1:21">
      <c r="A204" s="51">
        <v>1</v>
      </c>
      <c r="B204" s="150">
        <v>1213</v>
      </c>
      <c r="C204" s="52">
        <v>324</v>
      </c>
      <c r="D204" s="44">
        <v>2.4005999999999998</v>
      </c>
      <c r="E204" s="44">
        <f>IF((VLOOKUP(P204,deuda!A$1:H$550,4,0))=1,D204,0)</f>
        <v>2.4005999999999998</v>
      </c>
      <c r="F204" s="52" t="s">
        <v>490</v>
      </c>
      <c r="G204" s="134"/>
      <c r="H204" s="579">
        <f>E204</f>
        <v>2.4005999999999998</v>
      </c>
      <c r="I204" s="629" t="e">
        <f>+H204*$I$200</f>
        <v>#N/A</v>
      </c>
      <c r="J204" s="580" t="e">
        <f>+I204/60</f>
        <v>#N/A</v>
      </c>
      <c r="K204" s="174" t="e">
        <f>+C196+H197+H198</f>
        <v>#REF!</v>
      </c>
      <c r="L204" s="174" t="e">
        <f>+K204+J204</f>
        <v>#REF!</v>
      </c>
      <c r="M204" s="52"/>
      <c r="N204" s="52"/>
      <c r="O204" s="52"/>
      <c r="P204" s="52" t="str">
        <f>+CONCATENATE(B204,C204)</f>
        <v>1213324</v>
      </c>
      <c r="Q204" s="150">
        <f>VLOOKUP(P204,deuda!A$1:H$550,4,0)</f>
        <v>1</v>
      </c>
      <c r="R204" s="150">
        <f>VLOOKUP(P204,deuda!A$1:H$550,5,0)</f>
        <v>1</v>
      </c>
      <c r="S204" s="150">
        <f>IF(VLOOKUP(P204,deuda!A$1:H$550,6,0)=0,"",VLOOKUP(P204,deuda!A$1:H$550,6,0))</f>
        <v>622.9</v>
      </c>
      <c r="T204" s="151" t="str">
        <f>IF((VLOOKUP(P204,deuda!A$1:H$550,7,0))=0,"",VLOOKUP(P204,deuda!A$1:H$550,7,0))</f>
        <v/>
      </c>
      <c r="U204" s="152" t="str">
        <f>IF((VLOOKUP(P204,deuda!A$1:H$550,8,0))=0,"",VLOOKUP(P204,deuda!A$1:H$550,8,0))</f>
        <v/>
      </c>
    </row>
    <row r="205" spans="1:21">
      <c r="A205" s="35">
        <v>1</v>
      </c>
      <c r="B205" s="6">
        <v>1213</v>
      </c>
      <c r="C205" s="5">
        <v>325</v>
      </c>
      <c r="D205" s="21">
        <v>3.0775999999999999</v>
      </c>
      <c r="E205" s="21">
        <f>IF((VLOOKUP(P205,deuda!A$1:H$550,4,0))=1,D205,0)</f>
        <v>3.0775999999999999</v>
      </c>
      <c r="F205" s="5" t="s">
        <v>490</v>
      </c>
      <c r="G205" s="48"/>
      <c r="H205" s="636">
        <f>E205</f>
        <v>3.0775999999999999</v>
      </c>
      <c r="I205" s="629" t="e">
        <f t="shared" ref="I205:I238" si="30">+H205*$I$200</f>
        <v>#N/A</v>
      </c>
      <c r="J205" s="618" t="e">
        <f t="shared" ref="J205:J238" si="31">+I205/60</f>
        <v>#N/A</v>
      </c>
      <c r="K205" s="125" t="e">
        <f>+L204</f>
        <v>#REF!</v>
      </c>
      <c r="L205" s="125" t="e">
        <f>+K205+J205</f>
        <v>#REF!</v>
      </c>
      <c r="M205" s="5"/>
      <c r="N205" s="5"/>
      <c r="O205" s="5"/>
      <c r="P205" s="5" t="str">
        <f>+CONCATENATE(B205,C205)</f>
        <v>1213325</v>
      </c>
      <c r="Q205" s="6">
        <f>VLOOKUP(P205,deuda!A$1:H$550,4,0)</f>
        <v>1</v>
      </c>
      <c r="R205" s="6">
        <f>VLOOKUP(P205,deuda!A$1:H$550,5,0)</f>
        <v>1</v>
      </c>
      <c r="S205" s="6">
        <f>IF(VLOOKUP(P205,deuda!A$1:H$550,6,0)=0,"",VLOOKUP(P205,deuda!A$1:H$550,6,0))</f>
        <v>846.66</v>
      </c>
      <c r="T205" s="149" t="str">
        <f>IF((VLOOKUP(P205,deuda!A$1:H$550,7,0))=0,"",VLOOKUP(P205,deuda!A$1:H$550,7,0))</f>
        <v/>
      </c>
      <c r="U205" s="153" t="str">
        <f>IF((VLOOKUP(P205,deuda!A$1:H$550,8,0))=0,"",VLOOKUP(P205,deuda!A$1:H$550,8,0))</f>
        <v/>
      </c>
    </row>
    <row r="206" spans="1:21">
      <c r="A206" s="35">
        <v>2</v>
      </c>
      <c r="B206" s="6">
        <v>1213</v>
      </c>
      <c r="C206" s="5">
        <v>241</v>
      </c>
      <c r="D206" s="21">
        <v>3.8921000000000001</v>
      </c>
      <c r="E206" s="21">
        <f>IF((VLOOKUP(P206,deuda!A$1:H$550,4,0))=1,D206,0)</f>
        <v>0</v>
      </c>
      <c r="F206" s="5" t="s">
        <v>491</v>
      </c>
      <c r="G206" s="5"/>
      <c r="H206" s="636">
        <f t="shared" ref="H206:H238" si="32">E206</f>
        <v>0</v>
      </c>
      <c r="I206" s="629" t="e">
        <f t="shared" si="30"/>
        <v>#N/A</v>
      </c>
      <c r="J206" s="618" t="e">
        <f t="shared" si="31"/>
        <v>#N/A</v>
      </c>
      <c r="K206" s="125" t="e">
        <f t="shared" ref="K206:K238" si="33">+L205</f>
        <v>#REF!</v>
      </c>
      <c r="L206" s="125" t="e">
        <f t="shared" ref="L206:L238" si="34">+K206+J206</f>
        <v>#REF!</v>
      </c>
      <c r="M206" s="5"/>
      <c r="N206" s="5"/>
      <c r="O206" s="5"/>
      <c r="P206" s="5" t="str">
        <f t="shared" ref="P206:P238" si="35">+CONCATENATE(B206,C206)</f>
        <v>1213241</v>
      </c>
      <c r="Q206" s="6">
        <f>VLOOKUP(P206,deuda!A$1:H$550,4,0)</f>
        <v>0</v>
      </c>
      <c r="R206" s="6">
        <f>VLOOKUP(P206,deuda!A$1:H$550,5,0)</f>
        <v>6</v>
      </c>
      <c r="S206" s="6">
        <f>IF(VLOOKUP(P206,deuda!A$1:H$550,6,0)=0,"",VLOOKUP(P206,deuda!A$1:H$550,6,0))</f>
        <v>10873.33</v>
      </c>
      <c r="T206" s="149" t="str">
        <f>IF((VLOOKUP(P206,deuda!A$1:H$550,7,0))=0,"",VLOOKUP(P206,deuda!A$1:H$550,7,0))</f>
        <v/>
      </c>
      <c r="U206" s="153" t="str">
        <f>IF((VLOOKUP(P206,deuda!A$1:H$550,8,0))=0,"",VLOOKUP(P206,deuda!A$1:H$550,8,0))</f>
        <v/>
      </c>
    </row>
    <row r="207" spans="1:21">
      <c r="A207" s="35">
        <v>3</v>
      </c>
      <c r="B207" s="6">
        <v>1213</v>
      </c>
      <c r="C207" s="5">
        <v>253</v>
      </c>
      <c r="D207" s="21">
        <v>0.14380000000000001</v>
      </c>
      <c r="E207" s="21" t="e">
        <f>IF((VLOOKUP(P207,deuda!A$1:H$550,4,0))=1,D207,0)</f>
        <v>#N/A</v>
      </c>
      <c r="F207" s="5" t="s">
        <v>492</v>
      </c>
      <c r="G207" s="5"/>
      <c r="H207" s="636" t="e">
        <f t="shared" si="32"/>
        <v>#N/A</v>
      </c>
      <c r="I207" s="629" t="e">
        <f t="shared" si="30"/>
        <v>#N/A</v>
      </c>
      <c r="J207" s="618" t="e">
        <f t="shared" si="31"/>
        <v>#N/A</v>
      </c>
      <c r="K207" s="125" t="e">
        <f t="shared" si="33"/>
        <v>#REF!</v>
      </c>
      <c r="L207" s="125" t="e">
        <f t="shared" si="34"/>
        <v>#REF!</v>
      </c>
      <c r="M207" s="5"/>
      <c r="N207" s="5"/>
      <c r="O207" s="5"/>
      <c r="P207" s="5" t="str">
        <f t="shared" si="35"/>
        <v>1213253</v>
      </c>
      <c r="Q207" s="6" t="e">
        <f>VLOOKUP(P207,deuda!A$1:H$550,4,0)</f>
        <v>#N/A</v>
      </c>
      <c r="R207" s="6" t="e">
        <f>VLOOKUP(P207,deuda!A$1:H$550,5,0)</f>
        <v>#N/A</v>
      </c>
      <c r="S207" s="6" t="e">
        <f>IF(VLOOKUP(P207,deuda!A$1:H$550,6,0)=0,"",VLOOKUP(P207,deuda!A$1:H$550,6,0))</f>
        <v>#N/A</v>
      </c>
      <c r="T207" s="149" t="e">
        <f>IF((VLOOKUP(P207,deuda!A$1:H$550,7,0))=0,"",VLOOKUP(P207,deuda!A$1:H$550,7,0))</f>
        <v>#N/A</v>
      </c>
      <c r="U207" s="153" t="e">
        <f>IF((VLOOKUP(P207,deuda!A$1:H$550,8,0))=0,"",VLOOKUP(P207,deuda!A$1:H$550,8,0))</f>
        <v>#N/A</v>
      </c>
    </row>
    <row r="208" spans="1:21">
      <c r="A208" s="35">
        <v>4</v>
      </c>
      <c r="B208" s="6">
        <v>1213</v>
      </c>
      <c r="C208" s="5">
        <v>242</v>
      </c>
      <c r="D208" s="21">
        <v>2.6025</v>
      </c>
      <c r="E208" s="21">
        <f>IF((VLOOKUP(P208,deuda!A$1:H$550,4,0))=1,D208,0)</f>
        <v>0</v>
      </c>
      <c r="F208" s="5" t="s">
        <v>493</v>
      </c>
      <c r="G208" s="5"/>
      <c r="H208" s="636">
        <f t="shared" si="32"/>
        <v>0</v>
      </c>
      <c r="I208" s="629" t="e">
        <f t="shared" si="30"/>
        <v>#N/A</v>
      </c>
      <c r="J208" s="618" t="e">
        <f t="shared" si="31"/>
        <v>#N/A</v>
      </c>
      <c r="K208" s="125" t="e">
        <f t="shared" si="33"/>
        <v>#REF!</v>
      </c>
      <c r="L208" s="125" t="e">
        <f t="shared" si="34"/>
        <v>#REF!</v>
      </c>
      <c r="M208" s="5"/>
      <c r="N208" s="5"/>
      <c r="O208" s="5"/>
      <c r="P208" s="5" t="str">
        <f t="shared" si="35"/>
        <v>1213242</v>
      </c>
      <c r="Q208" s="6">
        <f>VLOOKUP(P208,deuda!A$1:H$550,4,0)</f>
        <v>0</v>
      </c>
      <c r="R208" s="6">
        <f>VLOOKUP(P208,deuda!A$1:H$550,5,0)</f>
        <v>21</v>
      </c>
      <c r="S208" s="6">
        <f>IF(VLOOKUP(P208,deuda!A$1:H$550,6,0)=0,"",VLOOKUP(P208,deuda!A$1:H$550,6,0))</f>
        <v>5112.66</v>
      </c>
      <c r="T208" s="149" t="str">
        <f>IF((VLOOKUP(P208,deuda!A$1:H$550,7,0))=0,"",VLOOKUP(P208,deuda!A$1:H$550,7,0))</f>
        <v/>
      </c>
      <c r="U208" s="153" t="str">
        <f>IF((VLOOKUP(P208,deuda!A$1:H$550,8,0))=0,"",VLOOKUP(P208,deuda!A$1:H$550,8,0))</f>
        <v/>
      </c>
    </row>
    <row r="209" spans="1:21">
      <c r="A209" s="35">
        <v>5</v>
      </c>
      <c r="B209" s="6">
        <v>1213</v>
      </c>
      <c r="C209" s="5">
        <v>245</v>
      </c>
      <c r="D209" s="21">
        <v>0.21820000000000001</v>
      </c>
      <c r="E209" s="21">
        <f>IF((VLOOKUP(P209,deuda!A$1:H$550,4,0))=1,D209,0)</f>
        <v>0</v>
      </c>
      <c r="F209" s="5" t="s">
        <v>494</v>
      </c>
      <c r="G209" s="5"/>
      <c r="H209" s="636">
        <f t="shared" si="32"/>
        <v>0</v>
      </c>
      <c r="I209" s="629" t="e">
        <f t="shared" si="30"/>
        <v>#N/A</v>
      </c>
      <c r="J209" s="618" t="e">
        <f t="shared" si="31"/>
        <v>#N/A</v>
      </c>
      <c r="K209" s="125" t="e">
        <f t="shared" si="33"/>
        <v>#REF!</v>
      </c>
      <c r="L209" s="125" t="e">
        <f t="shared" si="34"/>
        <v>#REF!</v>
      </c>
      <c r="M209" s="5"/>
      <c r="N209" s="5"/>
      <c r="O209" s="5"/>
      <c r="P209" s="5" t="str">
        <f t="shared" si="35"/>
        <v>1213245</v>
      </c>
      <c r="Q209" s="6">
        <f>VLOOKUP(P209,deuda!A$1:H$550,4,0)</f>
        <v>0</v>
      </c>
      <c r="R209" s="6">
        <f>VLOOKUP(P209,deuda!A$1:H$550,5,0)</f>
        <v>21</v>
      </c>
      <c r="S209" s="6">
        <f>IF(VLOOKUP(P209,deuda!A$1:H$550,6,0)=0,"",VLOOKUP(P209,deuda!A$1:H$550,6,0))</f>
        <v>5444.6</v>
      </c>
      <c r="T209" s="149" t="str">
        <f>IF((VLOOKUP(P209,deuda!A$1:H$550,7,0))=0,"",VLOOKUP(P209,deuda!A$1:H$550,7,0))</f>
        <v/>
      </c>
      <c r="U209" s="153" t="str">
        <f>IF((VLOOKUP(P209,deuda!A$1:H$550,8,0))=0,"",VLOOKUP(P209,deuda!A$1:H$550,8,0))</f>
        <v/>
      </c>
    </row>
    <row r="210" spans="1:21">
      <c r="A210" s="35">
        <v>6</v>
      </c>
      <c r="B210" s="6">
        <v>1213</v>
      </c>
      <c r="C210" s="5">
        <v>272</v>
      </c>
      <c r="D210" s="21">
        <v>1.3748</v>
      </c>
      <c r="E210" s="21">
        <f>IF((VLOOKUP(P210,deuda!A$1:H$550,4,0))=1,D210,0)</f>
        <v>1.3748</v>
      </c>
      <c r="F210" s="5" t="s">
        <v>495</v>
      </c>
      <c r="G210" s="5"/>
      <c r="H210" s="636">
        <f t="shared" si="32"/>
        <v>1.3748</v>
      </c>
      <c r="I210" s="629" t="e">
        <f t="shared" si="30"/>
        <v>#N/A</v>
      </c>
      <c r="J210" s="618" t="e">
        <f t="shared" si="31"/>
        <v>#N/A</v>
      </c>
      <c r="K210" s="125" t="e">
        <f t="shared" si="33"/>
        <v>#REF!</v>
      </c>
      <c r="L210" s="125" t="e">
        <f t="shared" si="34"/>
        <v>#REF!</v>
      </c>
      <c r="M210" s="5"/>
      <c r="N210" s="5"/>
      <c r="O210" s="5"/>
      <c r="P210" s="5" t="str">
        <f t="shared" si="35"/>
        <v>1213272</v>
      </c>
      <c r="Q210" s="6">
        <f>VLOOKUP(P210,deuda!A$1:H$550,4,0)</f>
        <v>1</v>
      </c>
      <c r="R210" s="6">
        <f>VLOOKUP(P210,deuda!A$1:H$550,5,0)</f>
        <v>1</v>
      </c>
      <c r="S210" s="6">
        <f>IF(VLOOKUP(P210,deuda!A$1:H$550,6,0)=0,"",VLOOKUP(P210,deuda!A$1:H$550,6,0))</f>
        <v>445.75</v>
      </c>
      <c r="T210" s="149" t="str">
        <f>IF((VLOOKUP(P210,deuda!A$1:H$550,7,0))=0,"",VLOOKUP(P210,deuda!A$1:H$550,7,0))</f>
        <v/>
      </c>
      <c r="U210" s="153" t="str">
        <f>IF((VLOOKUP(P210,deuda!A$1:H$550,8,0))=0,"",VLOOKUP(P210,deuda!A$1:H$550,8,0))</f>
        <v/>
      </c>
    </row>
    <row r="211" spans="1:21">
      <c r="A211" s="35">
        <v>7</v>
      </c>
      <c r="B211" s="6">
        <v>1213</v>
      </c>
      <c r="C211" s="5">
        <v>116</v>
      </c>
      <c r="D211" s="21">
        <v>3.1474000000000002</v>
      </c>
      <c r="E211" s="21">
        <f>IF((VLOOKUP(P211,deuda!A$1:H$550,4,0))=1,D211,0)</f>
        <v>3.1474000000000002</v>
      </c>
      <c r="F211" s="5" t="s">
        <v>496</v>
      </c>
      <c r="G211" s="5"/>
      <c r="H211" s="636">
        <f t="shared" si="32"/>
        <v>3.1474000000000002</v>
      </c>
      <c r="I211" s="629" t="e">
        <f t="shared" si="30"/>
        <v>#N/A</v>
      </c>
      <c r="J211" s="618" t="e">
        <f t="shared" si="31"/>
        <v>#N/A</v>
      </c>
      <c r="K211" s="125" t="e">
        <f t="shared" si="33"/>
        <v>#REF!</v>
      </c>
      <c r="L211" s="125" t="e">
        <f t="shared" si="34"/>
        <v>#REF!</v>
      </c>
      <c r="M211" s="5"/>
      <c r="N211" s="5"/>
      <c r="O211" s="5"/>
      <c r="P211" s="5" t="str">
        <f t="shared" si="35"/>
        <v>1213116</v>
      </c>
      <c r="Q211" s="6">
        <f>VLOOKUP(P211,deuda!A$1:H$550,4,0)</f>
        <v>1</v>
      </c>
      <c r="R211" s="6">
        <f>VLOOKUP(P211,deuda!A$1:H$550,5,0)</f>
        <v>1</v>
      </c>
      <c r="S211" s="6">
        <f>IF(VLOOKUP(P211,deuda!A$1:H$550,6,0)=0,"",VLOOKUP(P211,deuda!A$1:H$550,6,0))</f>
        <v>882.65</v>
      </c>
      <c r="T211" s="149" t="str">
        <f>IF((VLOOKUP(P211,deuda!A$1:H$550,7,0))=0,"",VLOOKUP(P211,deuda!A$1:H$550,7,0))</f>
        <v/>
      </c>
      <c r="U211" s="153" t="str">
        <f>IF((VLOOKUP(P211,deuda!A$1:H$550,8,0))=0,"",VLOOKUP(P211,deuda!A$1:H$550,8,0))</f>
        <v/>
      </c>
    </row>
    <row r="212" spans="1:21">
      <c r="A212" s="35">
        <v>8</v>
      </c>
      <c r="B212" s="6">
        <v>1213</v>
      </c>
      <c r="C212" s="5">
        <v>117</v>
      </c>
      <c r="D212" s="21">
        <v>6.4078999999999997</v>
      </c>
      <c r="E212" s="21">
        <f>IF((VLOOKUP(P212,deuda!A$1:H$550,4,0))=1,D212,0)</f>
        <v>6.4078999999999997</v>
      </c>
      <c r="F212" s="5" t="s">
        <v>497</v>
      </c>
      <c r="G212" s="5"/>
      <c r="H212" s="636">
        <f t="shared" si="32"/>
        <v>6.4078999999999997</v>
      </c>
      <c r="I212" s="629" t="e">
        <f t="shared" si="30"/>
        <v>#N/A</v>
      </c>
      <c r="J212" s="618" t="e">
        <f t="shared" si="31"/>
        <v>#N/A</v>
      </c>
      <c r="K212" s="125" t="e">
        <f t="shared" si="33"/>
        <v>#REF!</v>
      </c>
      <c r="L212" s="125" t="e">
        <f t="shared" si="34"/>
        <v>#REF!</v>
      </c>
      <c r="M212" s="5"/>
      <c r="N212" s="5"/>
      <c r="O212" s="5"/>
      <c r="P212" s="5" t="str">
        <f t="shared" si="35"/>
        <v>1213117</v>
      </c>
      <c r="Q212" s="6">
        <f>VLOOKUP(P212,deuda!A$1:H$550,4,0)</f>
        <v>1</v>
      </c>
      <c r="R212" s="6">
        <f>VLOOKUP(P212,deuda!A$1:H$550,5,0)</f>
        <v>1</v>
      </c>
      <c r="S212" s="6">
        <f>IF(VLOOKUP(P212,deuda!A$1:H$550,6,0)=0,"",VLOOKUP(P212,deuda!A$1:H$550,6,0))</f>
        <v>1527.2</v>
      </c>
      <c r="T212" s="149" t="str">
        <f>IF((VLOOKUP(P212,deuda!A$1:H$550,7,0))=0,"",VLOOKUP(P212,deuda!A$1:H$550,7,0))</f>
        <v/>
      </c>
      <c r="U212" s="153" t="str">
        <f>IF((VLOOKUP(P212,deuda!A$1:H$550,8,0))=0,"",VLOOKUP(P212,deuda!A$1:H$550,8,0))</f>
        <v/>
      </c>
    </row>
    <row r="213" spans="1:21">
      <c r="A213" s="35">
        <v>9</v>
      </c>
      <c r="B213" s="6">
        <v>1213</v>
      </c>
      <c r="C213" s="5">
        <v>118</v>
      </c>
      <c r="D213" s="21">
        <v>0.4098</v>
      </c>
      <c r="E213" s="21">
        <f>IF((VLOOKUP(P213,deuda!A$1:H$550,4,0))=1,D213,0)</f>
        <v>0</v>
      </c>
      <c r="F213" s="5" t="s">
        <v>498</v>
      </c>
      <c r="G213" s="5"/>
      <c r="H213" s="636">
        <f t="shared" si="32"/>
        <v>0</v>
      </c>
      <c r="I213" s="629" t="e">
        <f t="shared" si="30"/>
        <v>#N/A</v>
      </c>
      <c r="J213" s="618" t="e">
        <f t="shared" si="31"/>
        <v>#N/A</v>
      </c>
      <c r="K213" s="125" t="e">
        <f t="shared" si="33"/>
        <v>#REF!</v>
      </c>
      <c r="L213" s="125" t="e">
        <f t="shared" si="34"/>
        <v>#REF!</v>
      </c>
      <c r="M213" s="5"/>
      <c r="N213" s="5"/>
      <c r="O213" s="5"/>
      <c r="P213" s="5" t="str">
        <f t="shared" si="35"/>
        <v>1213118</v>
      </c>
      <c r="Q213" s="6">
        <f>VLOOKUP(P213,deuda!A$1:H$550,4,0)</f>
        <v>0</v>
      </c>
      <c r="R213" s="6">
        <f>VLOOKUP(P213,deuda!A$1:H$550,5,0)</f>
        <v>164</v>
      </c>
      <c r="S213" s="6">
        <f>IF(VLOOKUP(P213,deuda!A$1:H$550,6,0)=0,"",VLOOKUP(P213,deuda!A$1:H$550,6,0))</f>
        <v>33177.17</v>
      </c>
      <c r="T213" s="149" t="str">
        <f>IF((VLOOKUP(P213,deuda!A$1:H$550,7,0))=0,"",VLOOKUP(P213,deuda!A$1:H$550,7,0))</f>
        <v/>
      </c>
      <c r="U213" s="153" t="str">
        <f>IF((VLOOKUP(P213,deuda!A$1:H$550,8,0))=0,"",VLOOKUP(P213,deuda!A$1:H$550,8,0))</f>
        <v/>
      </c>
    </row>
    <row r="214" spans="1:21">
      <c r="A214" s="35">
        <v>10</v>
      </c>
      <c r="B214" s="6">
        <v>1213</v>
      </c>
      <c r="C214" s="5">
        <v>239</v>
      </c>
      <c r="D214" s="21">
        <v>6.8400000000000002E-2</v>
      </c>
      <c r="E214" s="21">
        <f>IF((VLOOKUP(P214,deuda!A$1:H$550,4,0))=1,D214,0)</f>
        <v>6.8400000000000002E-2</v>
      </c>
      <c r="F214" s="5" t="s">
        <v>499</v>
      </c>
      <c r="G214" s="5"/>
      <c r="H214" s="636">
        <f t="shared" si="32"/>
        <v>6.8400000000000002E-2</v>
      </c>
      <c r="I214" s="629" t="e">
        <f t="shared" si="30"/>
        <v>#N/A</v>
      </c>
      <c r="J214" s="618" t="e">
        <f t="shared" si="31"/>
        <v>#N/A</v>
      </c>
      <c r="K214" s="125" t="e">
        <f t="shared" si="33"/>
        <v>#REF!</v>
      </c>
      <c r="L214" s="125" t="e">
        <f t="shared" si="34"/>
        <v>#REF!</v>
      </c>
      <c r="M214" s="5"/>
      <c r="N214" s="5"/>
      <c r="O214" s="5"/>
      <c r="P214" s="5" t="str">
        <f t="shared" si="35"/>
        <v>1213239</v>
      </c>
      <c r="Q214" s="6">
        <f>VLOOKUP(P214,deuda!A$1:H$550,4,0)</f>
        <v>1</v>
      </c>
      <c r="R214" s="6">
        <f>VLOOKUP(P214,deuda!A$1:H$550,5,0)</f>
        <v>1</v>
      </c>
      <c r="S214" s="6">
        <f>IF(VLOOKUP(P214,deuda!A$1:H$550,6,0)=0,"",VLOOKUP(P214,deuda!A$1:H$550,6,0))</f>
        <v>742.55</v>
      </c>
      <c r="T214" s="149" t="str">
        <f>IF((VLOOKUP(P214,deuda!A$1:H$550,7,0))=0,"",VLOOKUP(P214,deuda!A$1:H$550,7,0))</f>
        <v/>
      </c>
      <c r="U214" s="153" t="str">
        <f>IF((VLOOKUP(P214,deuda!A$1:H$550,8,0))=0,"",VLOOKUP(P214,deuda!A$1:H$550,8,0))</f>
        <v/>
      </c>
    </row>
    <row r="215" spans="1:21">
      <c r="A215" s="35">
        <v>11</v>
      </c>
      <c r="B215" s="6">
        <v>1213</v>
      </c>
      <c r="C215" s="5">
        <v>284</v>
      </c>
      <c r="D215" s="21">
        <v>0.3286</v>
      </c>
      <c r="E215" s="21">
        <f>IF((VLOOKUP(P215,deuda!A$1:H$550,4,0))=1,D215,0)</f>
        <v>0.3286</v>
      </c>
      <c r="F215" s="5" t="s">
        <v>500</v>
      </c>
      <c r="G215" s="5"/>
      <c r="H215" s="636">
        <f t="shared" si="32"/>
        <v>0.3286</v>
      </c>
      <c r="I215" s="629" t="e">
        <f t="shared" si="30"/>
        <v>#N/A</v>
      </c>
      <c r="J215" s="618" t="e">
        <f t="shared" si="31"/>
        <v>#N/A</v>
      </c>
      <c r="K215" s="125" t="e">
        <f t="shared" si="33"/>
        <v>#REF!</v>
      </c>
      <c r="L215" s="125" t="e">
        <f t="shared" si="34"/>
        <v>#REF!</v>
      </c>
      <c r="M215" s="5"/>
      <c r="N215" s="5"/>
      <c r="O215" s="5"/>
      <c r="P215" s="5" t="str">
        <f t="shared" si="35"/>
        <v>1213284</v>
      </c>
      <c r="Q215" s="6">
        <f>VLOOKUP(P215,deuda!A$1:H$550,4,0)</f>
        <v>1</v>
      </c>
      <c r="R215" s="6">
        <f>VLOOKUP(P215,deuda!A$1:H$550,5,0)</f>
        <v>1</v>
      </c>
      <c r="S215" s="6">
        <f>IF(VLOOKUP(P215,deuda!A$1:H$550,6,0)=0,"",VLOOKUP(P215,deuda!A$1:H$550,6,0))</f>
        <v>238.07</v>
      </c>
      <c r="T215" s="149" t="str">
        <f>IF((VLOOKUP(P215,deuda!A$1:H$550,7,0))=0,"",VLOOKUP(P215,deuda!A$1:H$550,7,0))</f>
        <v/>
      </c>
      <c r="U215" s="153" t="str">
        <f>IF((VLOOKUP(P215,deuda!A$1:H$550,8,0))=0,"",VLOOKUP(P215,deuda!A$1:H$550,8,0))</f>
        <v/>
      </c>
    </row>
    <row r="216" spans="1:21" ht="11.25" customHeight="1">
      <c r="A216" s="157">
        <v>12</v>
      </c>
      <c r="B216" s="6">
        <v>1213</v>
      </c>
      <c r="C216" s="5">
        <v>307</v>
      </c>
      <c r="D216" s="21">
        <v>8.0078999999999994</v>
      </c>
      <c r="E216" s="21">
        <f>IF((VLOOKUP(P216,deuda!A$1:H$550,4,0))=1,D216,0)</f>
        <v>8.0078999999999994</v>
      </c>
      <c r="F216" s="5" t="s">
        <v>501</v>
      </c>
      <c r="G216" s="5"/>
      <c r="H216" s="636">
        <f t="shared" si="32"/>
        <v>8.0078999999999994</v>
      </c>
      <c r="I216" s="629" t="e">
        <f t="shared" si="30"/>
        <v>#N/A</v>
      </c>
      <c r="J216" s="618" t="e">
        <f t="shared" si="31"/>
        <v>#N/A</v>
      </c>
      <c r="K216" s="125" t="e">
        <f t="shared" si="33"/>
        <v>#REF!</v>
      </c>
      <c r="L216" s="125" t="e">
        <f t="shared" si="34"/>
        <v>#REF!</v>
      </c>
      <c r="M216" s="5"/>
      <c r="N216" s="5"/>
      <c r="O216" s="5"/>
      <c r="P216" s="5" t="str">
        <f t="shared" si="35"/>
        <v>1213307</v>
      </c>
      <c r="Q216" s="6">
        <f>VLOOKUP(P216,deuda!A$1:H$550,4,0)</f>
        <v>1</v>
      </c>
      <c r="R216" s="6">
        <f>VLOOKUP(P216,deuda!A$1:H$550,5,0)</f>
        <v>0</v>
      </c>
      <c r="S216" s="6" t="str">
        <f>IF(VLOOKUP(P216,deuda!A$1:H$550,6,0)=0,"",VLOOKUP(P216,deuda!A$1:H$550,6,0))</f>
        <v/>
      </c>
      <c r="T216" s="149" t="str">
        <f>IF((VLOOKUP(P216,deuda!A$1:H$550,7,0))=0,"",VLOOKUP(P216,deuda!A$1:H$550,7,0))</f>
        <v/>
      </c>
      <c r="U216" s="153" t="str">
        <f>IF((VLOOKUP(P216,deuda!A$1:H$550,8,0))=0,"",VLOOKUP(P216,deuda!A$1:H$550,8,0))</f>
        <v/>
      </c>
    </row>
    <row r="217" spans="1:21">
      <c r="A217" s="157">
        <v>12</v>
      </c>
      <c r="B217" s="6">
        <v>1213</v>
      </c>
      <c r="C217" s="5">
        <v>274</v>
      </c>
      <c r="D217" s="21">
        <v>3.0099999999999998E-2</v>
      </c>
      <c r="E217" s="21" t="e">
        <f>IF((VLOOKUP(P217,deuda!A$1:H$550,4,0))=1,D217,0)</f>
        <v>#N/A</v>
      </c>
      <c r="F217" s="5" t="s">
        <v>502</v>
      </c>
      <c r="G217" s="5"/>
      <c r="H217" s="636" t="e">
        <f t="shared" si="32"/>
        <v>#N/A</v>
      </c>
      <c r="I217" s="629" t="e">
        <f t="shared" si="30"/>
        <v>#N/A</v>
      </c>
      <c r="J217" s="618" t="e">
        <f t="shared" si="31"/>
        <v>#N/A</v>
      </c>
      <c r="K217" s="125" t="e">
        <f t="shared" si="33"/>
        <v>#REF!</v>
      </c>
      <c r="L217" s="125" t="e">
        <f t="shared" si="34"/>
        <v>#REF!</v>
      </c>
      <c r="M217" s="5"/>
      <c r="N217" s="5"/>
      <c r="O217" s="5"/>
      <c r="P217" s="5" t="str">
        <f t="shared" si="35"/>
        <v>1213274</v>
      </c>
      <c r="Q217" s="6" t="e">
        <f>VLOOKUP(P217,deuda!A$1:H$550,4,0)</f>
        <v>#N/A</v>
      </c>
      <c r="R217" s="6" t="e">
        <f>VLOOKUP(P217,deuda!A$1:H$550,5,0)</f>
        <v>#N/A</v>
      </c>
      <c r="S217" s="6" t="e">
        <f>IF(VLOOKUP(P217,deuda!A$1:H$550,6,0)=0,"",VLOOKUP(P217,deuda!A$1:H$550,6,0))</f>
        <v>#N/A</v>
      </c>
      <c r="T217" s="149" t="e">
        <f>IF((VLOOKUP(P217,deuda!A$1:H$550,7,0))=0,"",VLOOKUP(P217,deuda!A$1:H$550,7,0))</f>
        <v>#N/A</v>
      </c>
      <c r="U217" s="153" t="e">
        <f>IF((VLOOKUP(P217,deuda!A$1:H$550,8,0))=0,"",VLOOKUP(P217,deuda!A$1:H$550,8,0))</f>
        <v>#N/A</v>
      </c>
    </row>
    <row r="218" spans="1:21">
      <c r="A218" s="35">
        <v>13</v>
      </c>
      <c r="B218" s="6">
        <v>1213</v>
      </c>
      <c r="C218" s="5">
        <v>271</v>
      </c>
      <c r="D218" s="21">
        <v>7.6840000000000002</v>
      </c>
      <c r="E218" s="21">
        <f>IF((VLOOKUP(P218,deuda!A$1:H$550,4,0))=1,D218,0)</f>
        <v>7.6840000000000002</v>
      </c>
      <c r="F218" s="5" t="s">
        <v>503</v>
      </c>
      <c r="G218" s="5"/>
      <c r="H218" s="636">
        <f t="shared" si="32"/>
        <v>7.6840000000000002</v>
      </c>
      <c r="I218" s="629" t="e">
        <f t="shared" si="30"/>
        <v>#N/A</v>
      </c>
      <c r="J218" s="618" t="e">
        <f t="shared" si="31"/>
        <v>#N/A</v>
      </c>
      <c r="K218" s="125" t="e">
        <f t="shared" si="33"/>
        <v>#REF!</v>
      </c>
      <c r="L218" s="125" t="e">
        <f t="shared" si="34"/>
        <v>#REF!</v>
      </c>
      <c r="M218" s="5"/>
      <c r="N218" s="5"/>
      <c r="O218" s="5"/>
      <c r="P218" s="5" t="str">
        <f t="shared" si="35"/>
        <v>1213271</v>
      </c>
      <c r="Q218" s="6">
        <f>VLOOKUP(P218,deuda!A$1:H$550,4,0)</f>
        <v>1</v>
      </c>
      <c r="R218" s="6">
        <f>VLOOKUP(P218,deuda!A$1:H$550,5,0)</f>
        <v>2</v>
      </c>
      <c r="S218" s="6">
        <f>IF(VLOOKUP(P218,deuda!A$1:H$550,6,0)=0,"",VLOOKUP(P218,deuda!A$1:H$550,6,0))</f>
        <v>1703.42</v>
      </c>
      <c r="T218" s="149" t="str">
        <f>IF((VLOOKUP(P218,deuda!A$1:H$550,7,0))=0,"",VLOOKUP(P218,deuda!A$1:H$550,7,0))</f>
        <v/>
      </c>
      <c r="U218" s="153" t="str">
        <f>IF((VLOOKUP(P218,deuda!A$1:H$550,8,0))=0,"",VLOOKUP(P218,deuda!A$1:H$550,8,0))</f>
        <v/>
      </c>
    </row>
    <row r="219" spans="1:21">
      <c r="A219" s="35">
        <v>14</v>
      </c>
      <c r="B219" s="6">
        <v>1213</v>
      </c>
      <c r="C219" s="5">
        <v>13</v>
      </c>
      <c r="D219" s="21">
        <v>2.6294</v>
      </c>
      <c r="E219" s="21">
        <f>IF((VLOOKUP(P219,deuda!A$1:H$550,4,0))=1,D219,0)</f>
        <v>0</v>
      </c>
      <c r="F219" s="5" t="s">
        <v>504</v>
      </c>
      <c r="G219" s="48"/>
      <c r="H219" s="636">
        <f t="shared" si="32"/>
        <v>0</v>
      </c>
      <c r="I219" s="629" t="e">
        <f t="shared" si="30"/>
        <v>#N/A</v>
      </c>
      <c r="J219" s="618" t="e">
        <f t="shared" si="31"/>
        <v>#N/A</v>
      </c>
      <c r="K219" s="125" t="e">
        <f t="shared" si="33"/>
        <v>#REF!</v>
      </c>
      <c r="L219" s="125" t="e">
        <f t="shared" si="34"/>
        <v>#REF!</v>
      </c>
      <c r="M219" s="5"/>
      <c r="N219" s="5"/>
      <c r="O219" s="5"/>
      <c r="P219" s="5" t="str">
        <f t="shared" si="35"/>
        <v>121313</v>
      </c>
      <c r="Q219" s="6">
        <f>VLOOKUP(P219,deuda!A$1:H$550,4,0)</f>
        <v>0</v>
      </c>
      <c r="R219" s="6">
        <f>VLOOKUP(P219,deuda!A$1:H$550,5,0)</f>
        <v>145</v>
      </c>
      <c r="S219" s="6">
        <f>IF(VLOOKUP(P219,deuda!A$1:H$550,6,0)=0,"",VLOOKUP(P219,deuda!A$1:H$550,6,0))</f>
        <v>71341.820000000007</v>
      </c>
      <c r="T219" s="149" t="str">
        <f>IF((VLOOKUP(P219,deuda!A$1:H$550,7,0))=0,"",VLOOKUP(P219,deuda!A$1:H$550,7,0))</f>
        <v/>
      </c>
      <c r="U219" s="153" t="str">
        <f>IF((VLOOKUP(P219,deuda!A$1:H$550,8,0))=0,"",VLOOKUP(P219,deuda!A$1:H$550,8,0))</f>
        <v/>
      </c>
    </row>
    <row r="220" spans="1:21">
      <c r="A220" s="35">
        <v>15</v>
      </c>
      <c r="B220" s="6">
        <v>1213</v>
      </c>
      <c r="C220" s="5">
        <v>131</v>
      </c>
      <c r="D220" s="21">
        <v>3.9478</v>
      </c>
      <c r="E220" s="21">
        <f>IF((VLOOKUP(P220,deuda!A$1:H$550,4,0))=1,D220,0)</f>
        <v>3.9478</v>
      </c>
      <c r="F220" s="5" t="s">
        <v>451</v>
      </c>
      <c r="G220" s="5"/>
      <c r="H220" s="636">
        <f t="shared" si="32"/>
        <v>3.9478</v>
      </c>
      <c r="I220" s="629" t="e">
        <f t="shared" si="30"/>
        <v>#N/A</v>
      </c>
      <c r="J220" s="618" t="e">
        <f t="shared" si="31"/>
        <v>#N/A</v>
      </c>
      <c r="K220" s="125" t="e">
        <f t="shared" si="33"/>
        <v>#REF!</v>
      </c>
      <c r="L220" s="125" t="e">
        <f t="shared" si="34"/>
        <v>#REF!</v>
      </c>
      <c r="M220" s="5"/>
      <c r="N220" s="5"/>
      <c r="O220" s="5"/>
      <c r="P220" s="5" t="str">
        <f t="shared" si="35"/>
        <v>1213131</v>
      </c>
      <c r="Q220" s="6">
        <f>VLOOKUP(P220,deuda!A$1:H$550,4,0)</f>
        <v>1</v>
      </c>
      <c r="R220" s="6">
        <f>VLOOKUP(P220,deuda!A$1:H$550,5,0)</f>
        <v>0</v>
      </c>
      <c r="S220" s="6" t="str">
        <f>IF(VLOOKUP(P220,deuda!A$1:H$550,6,0)=0,"",VLOOKUP(P220,deuda!A$1:H$550,6,0))</f>
        <v/>
      </c>
      <c r="T220" s="149" t="str">
        <f>IF((VLOOKUP(P220,deuda!A$1:H$550,7,0))=0,"",VLOOKUP(P220,deuda!A$1:H$550,7,0))</f>
        <v/>
      </c>
      <c r="U220" s="153" t="str">
        <f>IF((VLOOKUP(P220,deuda!A$1:H$550,8,0))=0,"",VLOOKUP(P220,deuda!A$1:H$550,8,0))</f>
        <v/>
      </c>
    </row>
    <row r="221" spans="1:21" s="78" customFormat="1">
      <c r="A221" s="75">
        <v>16</v>
      </c>
      <c r="B221" s="210">
        <v>1213</v>
      </c>
      <c r="C221" s="76">
        <v>198</v>
      </c>
      <c r="D221" s="77">
        <v>10</v>
      </c>
      <c r="E221" s="21">
        <f>IF((VLOOKUP(P221,deuda!A$1:H$550,4,0))=1,D221,0)</f>
        <v>10</v>
      </c>
      <c r="F221" s="76" t="s">
        <v>505</v>
      </c>
      <c r="G221" s="76"/>
      <c r="H221" s="636">
        <f t="shared" si="32"/>
        <v>10</v>
      </c>
      <c r="I221" s="629" t="e">
        <f t="shared" si="30"/>
        <v>#N/A</v>
      </c>
      <c r="J221" s="618" t="e">
        <f t="shared" si="31"/>
        <v>#N/A</v>
      </c>
      <c r="K221" s="125" t="e">
        <f t="shared" si="33"/>
        <v>#REF!</v>
      </c>
      <c r="L221" s="125" t="e">
        <f t="shared" si="34"/>
        <v>#REF!</v>
      </c>
      <c r="M221" s="5"/>
      <c r="N221" s="5"/>
      <c r="O221" s="5"/>
      <c r="P221" s="5" t="str">
        <f t="shared" si="35"/>
        <v>1213198</v>
      </c>
      <c r="Q221" s="6">
        <f>VLOOKUP(P221,deuda!A$1:H$550,4,0)</f>
        <v>1</v>
      </c>
      <c r="R221" s="6">
        <f>VLOOKUP(P221,deuda!A$1:H$550,5,0)</f>
        <v>2</v>
      </c>
      <c r="S221" s="6">
        <f>IF(VLOOKUP(P221,deuda!A$1:H$550,6,0)=0,"",VLOOKUP(P221,deuda!A$1:H$550,6,0))</f>
        <v>4349.8</v>
      </c>
      <c r="T221" s="149" t="str">
        <f>IF((VLOOKUP(P221,deuda!A$1:H$550,7,0))=0,"",VLOOKUP(P221,deuda!A$1:H$550,7,0))</f>
        <v/>
      </c>
      <c r="U221" s="153" t="str">
        <f>IF((VLOOKUP(P221,deuda!A$1:H$550,8,0))=0,"",VLOOKUP(P221,deuda!A$1:H$550,8,0))</f>
        <v/>
      </c>
    </row>
    <row r="222" spans="1:21">
      <c r="A222" s="35">
        <v>17</v>
      </c>
      <c r="B222" s="6">
        <v>1213</v>
      </c>
      <c r="C222" s="5">
        <v>134</v>
      </c>
      <c r="D222" s="21">
        <v>0.83489999999999998</v>
      </c>
      <c r="E222" s="21">
        <f>IF((VLOOKUP(P222,deuda!A$1:H$550,4,0))=1,D222,0)</f>
        <v>0.83489999999999998</v>
      </c>
      <c r="F222" s="5" t="s">
        <v>506</v>
      </c>
      <c r="G222" s="5"/>
      <c r="H222" s="636">
        <f t="shared" si="32"/>
        <v>0.83489999999999998</v>
      </c>
      <c r="I222" s="629" t="e">
        <f t="shared" si="30"/>
        <v>#N/A</v>
      </c>
      <c r="J222" s="618" t="e">
        <f t="shared" si="31"/>
        <v>#N/A</v>
      </c>
      <c r="K222" s="125" t="e">
        <f t="shared" si="33"/>
        <v>#REF!</v>
      </c>
      <c r="L222" s="125" t="e">
        <f t="shared" si="34"/>
        <v>#REF!</v>
      </c>
      <c r="M222" s="5"/>
      <c r="N222" s="5"/>
      <c r="O222" s="5"/>
      <c r="P222" s="5" t="str">
        <f t="shared" si="35"/>
        <v>1213134</v>
      </c>
      <c r="Q222" s="6">
        <f>VLOOKUP(P222,deuda!A$1:H$550,4,0)</f>
        <v>1</v>
      </c>
      <c r="R222" s="6">
        <f>VLOOKUP(P222,deuda!A$1:H$550,5,0)</f>
        <v>0</v>
      </c>
      <c r="S222" s="6">
        <f>IF(VLOOKUP(P222,deuda!A$1:H$550,6,0)=0,"",VLOOKUP(P222,deuda!A$1:H$550,6,0))</f>
        <v>-195.32</v>
      </c>
      <c r="T222" s="149" t="str">
        <f>IF((VLOOKUP(P222,deuda!A$1:H$550,7,0))=0,"",VLOOKUP(P222,deuda!A$1:H$550,7,0))</f>
        <v/>
      </c>
      <c r="U222" s="153" t="str">
        <f>IF((VLOOKUP(P222,deuda!A$1:H$550,8,0))=0,"",VLOOKUP(P222,deuda!A$1:H$550,8,0))</f>
        <v/>
      </c>
    </row>
    <row r="223" spans="1:21">
      <c r="A223" s="35">
        <v>18</v>
      </c>
      <c r="B223" s="6">
        <v>1213</v>
      </c>
      <c r="C223" s="5">
        <v>289</v>
      </c>
      <c r="D223" s="21">
        <v>0.43369999999999997</v>
      </c>
      <c r="E223" s="21">
        <f>IF((VLOOKUP(P223,deuda!A$1:H$550,4,0))=1,D223,0)</f>
        <v>0.43369999999999997</v>
      </c>
      <c r="F223" s="5" t="s">
        <v>507</v>
      </c>
      <c r="G223" s="5"/>
      <c r="H223" s="636">
        <f t="shared" si="32"/>
        <v>0.43369999999999997</v>
      </c>
      <c r="I223" s="629" t="e">
        <f t="shared" si="30"/>
        <v>#N/A</v>
      </c>
      <c r="J223" s="618" t="e">
        <f t="shared" si="31"/>
        <v>#N/A</v>
      </c>
      <c r="K223" s="125" t="e">
        <f t="shared" si="33"/>
        <v>#REF!</v>
      </c>
      <c r="L223" s="125" t="e">
        <f t="shared" si="34"/>
        <v>#REF!</v>
      </c>
      <c r="M223" s="5"/>
      <c r="N223" s="5"/>
      <c r="O223" s="5"/>
      <c r="P223" s="5" t="str">
        <f t="shared" si="35"/>
        <v>1213289</v>
      </c>
      <c r="Q223" s="6">
        <f>VLOOKUP(P223,deuda!A$1:H$550,4,0)</f>
        <v>1</v>
      </c>
      <c r="R223" s="6">
        <f>VLOOKUP(P223,deuda!A$1:H$550,5,0)</f>
        <v>2</v>
      </c>
      <c r="S223" s="6">
        <f>IF(VLOOKUP(P223,deuda!A$1:H$550,6,0)=0,"",VLOOKUP(P223,deuda!A$1:H$550,6,0))</f>
        <v>487.38</v>
      </c>
      <c r="T223" s="149" t="str">
        <f>IF((VLOOKUP(P223,deuda!A$1:H$550,7,0))=0,"",VLOOKUP(P223,deuda!A$1:H$550,7,0))</f>
        <v/>
      </c>
      <c r="U223" s="153" t="str">
        <f>IF((VLOOKUP(P223,deuda!A$1:H$550,8,0))=0,"",VLOOKUP(P223,deuda!A$1:H$550,8,0))</f>
        <v/>
      </c>
    </row>
    <row r="224" spans="1:21">
      <c r="A224" s="35">
        <v>19</v>
      </c>
      <c r="B224" s="6">
        <v>1213</v>
      </c>
      <c r="C224" s="5">
        <v>176</v>
      </c>
      <c r="D224" s="21">
        <v>0.43359999999999999</v>
      </c>
      <c r="E224" s="21">
        <f>IF((VLOOKUP(P224,deuda!A$1:H$550,4,0))=1,D224,0)</f>
        <v>0.43359999999999999</v>
      </c>
      <c r="F224" s="5" t="s">
        <v>508</v>
      </c>
      <c r="G224" s="5"/>
      <c r="H224" s="636">
        <f t="shared" si="32"/>
        <v>0.43359999999999999</v>
      </c>
      <c r="I224" s="629" t="e">
        <f t="shared" si="30"/>
        <v>#N/A</v>
      </c>
      <c r="J224" s="618" t="e">
        <f t="shared" si="31"/>
        <v>#N/A</v>
      </c>
      <c r="K224" s="125" t="e">
        <f t="shared" si="33"/>
        <v>#REF!</v>
      </c>
      <c r="L224" s="125" t="e">
        <f t="shared" si="34"/>
        <v>#REF!</v>
      </c>
      <c r="M224" s="5"/>
      <c r="N224" s="5"/>
      <c r="O224" s="5"/>
      <c r="P224" s="5" t="str">
        <f t="shared" si="35"/>
        <v>1213176</v>
      </c>
      <c r="Q224" s="6">
        <f>VLOOKUP(P224,deuda!A$1:H$550,4,0)</f>
        <v>1</v>
      </c>
      <c r="R224" s="6">
        <f>VLOOKUP(P224,deuda!A$1:H$550,5,0)</f>
        <v>2</v>
      </c>
      <c r="S224" s="6">
        <f>IF(VLOOKUP(P224,deuda!A$1:H$550,6,0)=0,"",VLOOKUP(P224,deuda!A$1:H$550,6,0))</f>
        <v>487.38</v>
      </c>
      <c r="T224" s="149" t="str">
        <f>IF((VLOOKUP(P224,deuda!A$1:H$550,7,0))=0,"",VLOOKUP(P224,deuda!A$1:H$550,7,0))</f>
        <v/>
      </c>
      <c r="U224" s="153" t="str">
        <f>IF((VLOOKUP(P224,deuda!A$1:H$550,8,0))=0,"",VLOOKUP(P224,deuda!A$1:H$550,8,0))</f>
        <v/>
      </c>
    </row>
    <row r="225" spans="1:21">
      <c r="A225" s="35">
        <v>20</v>
      </c>
      <c r="B225" s="6">
        <v>1213</v>
      </c>
      <c r="C225" s="5">
        <v>124</v>
      </c>
      <c r="D225" s="21">
        <v>0.8</v>
      </c>
      <c r="E225" s="21">
        <f>IF((VLOOKUP(P225,deuda!A$1:H$550,4,0))=1,D225,0)</f>
        <v>0.8</v>
      </c>
      <c r="F225" s="5" t="s">
        <v>509</v>
      </c>
      <c r="G225" s="5"/>
      <c r="H225" s="636">
        <f t="shared" si="32"/>
        <v>0.8</v>
      </c>
      <c r="I225" s="629" t="e">
        <f t="shared" si="30"/>
        <v>#N/A</v>
      </c>
      <c r="J225" s="618" t="e">
        <f t="shared" si="31"/>
        <v>#N/A</v>
      </c>
      <c r="K225" s="125" t="e">
        <f t="shared" si="33"/>
        <v>#REF!</v>
      </c>
      <c r="L225" s="125" t="e">
        <f t="shared" si="34"/>
        <v>#REF!</v>
      </c>
      <c r="M225" s="5"/>
      <c r="N225" s="5"/>
      <c r="O225" s="5"/>
      <c r="P225" s="5" t="str">
        <f t="shared" si="35"/>
        <v>1213124</v>
      </c>
      <c r="Q225" s="6">
        <f>VLOOKUP(P225,deuda!A$1:H$550,4,0)</f>
        <v>1</v>
      </c>
      <c r="R225" s="6">
        <f>VLOOKUP(P225,deuda!A$1:H$550,5,0)</f>
        <v>1</v>
      </c>
      <c r="S225" s="6">
        <f>IF(VLOOKUP(P225,deuda!A$1:H$550,6,0)=0,"",VLOOKUP(P225,deuda!A$1:H$550,6,0))</f>
        <v>244.98</v>
      </c>
      <c r="T225" s="149" t="str">
        <f>IF((VLOOKUP(P225,deuda!A$1:H$550,7,0))=0,"",VLOOKUP(P225,deuda!A$1:H$550,7,0))</f>
        <v/>
      </c>
      <c r="U225" s="153" t="str">
        <f>IF((VLOOKUP(P225,deuda!A$1:H$550,8,0))=0,"",VLOOKUP(P225,deuda!A$1:H$550,8,0))</f>
        <v/>
      </c>
    </row>
    <row r="226" spans="1:21">
      <c r="A226" s="35">
        <v>21</v>
      </c>
      <c r="B226" s="6">
        <v>1213</v>
      </c>
      <c r="C226" s="5">
        <v>125</v>
      </c>
      <c r="D226" s="21">
        <v>1.1506000000000001</v>
      </c>
      <c r="E226" s="21">
        <f>IF((VLOOKUP(P226,deuda!A$1:H$550,4,0))=1,D226,0)</f>
        <v>1.1506000000000001</v>
      </c>
      <c r="F226" s="5" t="s">
        <v>510</v>
      </c>
      <c r="G226" s="5"/>
      <c r="H226" s="636">
        <f t="shared" si="32"/>
        <v>1.1506000000000001</v>
      </c>
      <c r="I226" s="629" t="e">
        <f t="shared" si="30"/>
        <v>#N/A</v>
      </c>
      <c r="J226" s="618" t="e">
        <f t="shared" si="31"/>
        <v>#N/A</v>
      </c>
      <c r="K226" s="125" t="e">
        <f t="shared" si="33"/>
        <v>#REF!</v>
      </c>
      <c r="L226" s="125" t="e">
        <f t="shared" si="34"/>
        <v>#REF!</v>
      </c>
      <c r="M226" s="5"/>
      <c r="N226" s="5"/>
      <c r="O226" s="5"/>
      <c r="P226" s="5" t="str">
        <f t="shared" si="35"/>
        <v>1213125</v>
      </c>
      <c r="Q226" s="6">
        <f>VLOOKUP(P226,deuda!A$1:H$550,4,0)</f>
        <v>1</v>
      </c>
      <c r="R226" s="6">
        <f>VLOOKUP(P226,deuda!A$1:H$550,5,0)</f>
        <v>1</v>
      </c>
      <c r="S226" s="6">
        <f>IF(VLOOKUP(P226,deuda!A$1:H$550,6,0)=0,"",VLOOKUP(P226,deuda!A$1:H$550,6,0))</f>
        <v>452.93</v>
      </c>
      <c r="T226" s="149" t="str">
        <f>IF((VLOOKUP(P226,deuda!A$1:H$550,7,0))=0,"",VLOOKUP(P226,deuda!A$1:H$550,7,0))</f>
        <v/>
      </c>
      <c r="U226" s="153" t="str">
        <f>IF((VLOOKUP(P226,deuda!A$1:H$550,8,0))=0,"",VLOOKUP(P226,deuda!A$1:H$550,8,0))</f>
        <v/>
      </c>
    </row>
    <row r="227" spans="1:21">
      <c r="A227" s="35">
        <v>22</v>
      </c>
      <c r="B227" s="6">
        <v>1213</v>
      </c>
      <c r="C227" s="5">
        <v>127</v>
      </c>
      <c r="D227" s="21">
        <v>2</v>
      </c>
      <c r="E227" s="21">
        <f>IF((VLOOKUP(P227,deuda!A$1:H$550,4,0))=1,D227,0)</f>
        <v>2</v>
      </c>
      <c r="F227" s="5" t="s">
        <v>511</v>
      </c>
      <c r="G227" s="5"/>
      <c r="H227" s="636">
        <f t="shared" si="32"/>
        <v>2</v>
      </c>
      <c r="I227" s="629" t="e">
        <f t="shared" si="30"/>
        <v>#N/A</v>
      </c>
      <c r="J227" s="618" t="e">
        <f t="shared" si="31"/>
        <v>#N/A</v>
      </c>
      <c r="K227" s="125" t="e">
        <f t="shared" si="33"/>
        <v>#REF!</v>
      </c>
      <c r="L227" s="125" t="e">
        <f t="shared" si="34"/>
        <v>#REF!</v>
      </c>
      <c r="M227" s="5"/>
      <c r="N227" s="5"/>
      <c r="O227" s="5"/>
      <c r="P227" s="5" t="str">
        <f t="shared" si="35"/>
        <v>1213127</v>
      </c>
      <c r="Q227" s="6">
        <f>VLOOKUP(P227,deuda!A$1:H$550,4,0)</f>
        <v>1</v>
      </c>
      <c r="R227" s="6">
        <f>VLOOKUP(P227,deuda!A$1:H$550,5,0)</f>
        <v>0</v>
      </c>
      <c r="S227" s="6" t="str">
        <f>IF(VLOOKUP(P227,deuda!A$1:H$550,6,0)=0,"",VLOOKUP(P227,deuda!A$1:H$550,6,0))</f>
        <v/>
      </c>
      <c r="T227" s="149" t="str">
        <f>IF((VLOOKUP(P227,deuda!A$1:H$550,7,0))=0,"",VLOOKUP(P227,deuda!A$1:H$550,7,0))</f>
        <v/>
      </c>
      <c r="U227" s="153" t="str">
        <f>IF((VLOOKUP(P227,deuda!A$1:H$550,8,0))=0,"",VLOOKUP(P227,deuda!A$1:H$550,8,0))</f>
        <v/>
      </c>
    </row>
    <row r="228" spans="1:21">
      <c r="A228" s="35">
        <v>23</v>
      </c>
      <c r="B228" s="6">
        <v>1213</v>
      </c>
      <c r="C228" s="5">
        <v>129</v>
      </c>
      <c r="D228" s="21">
        <v>0.46500000000000002</v>
      </c>
      <c r="E228" s="21">
        <f>IF((VLOOKUP(P228,deuda!A$1:H$550,4,0))=1,D228,0)</f>
        <v>0.46500000000000002</v>
      </c>
      <c r="F228" s="5" t="s">
        <v>510</v>
      </c>
      <c r="G228" s="5"/>
      <c r="H228" s="636">
        <f t="shared" si="32"/>
        <v>0.46500000000000002</v>
      </c>
      <c r="I228" s="629" t="e">
        <f t="shared" si="30"/>
        <v>#N/A</v>
      </c>
      <c r="J228" s="618" t="e">
        <f t="shared" si="31"/>
        <v>#N/A</v>
      </c>
      <c r="K228" s="125" t="e">
        <f t="shared" si="33"/>
        <v>#REF!</v>
      </c>
      <c r="L228" s="125" t="e">
        <f t="shared" si="34"/>
        <v>#REF!</v>
      </c>
      <c r="M228" s="5"/>
      <c r="N228" s="5"/>
      <c r="O228" s="5"/>
      <c r="P228" s="5" t="str">
        <f t="shared" si="35"/>
        <v>1213129</v>
      </c>
      <c r="Q228" s="6">
        <f>VLOOKUP(P228,deuda!A$1:H$550,4,0)</f>
        <v>1</v>
      </c>
      <c r="R228" s="6">
        <f>VLOOKUP(P228,deuda!A$1:H$550,5,0)</f>
        <v>1</v>
      </c>
      <c r="S228" s="6">
        <f>IF(VLOOKUP(P228,deuda!A$1:H$550,6,0)=0,"",VLOOKUP(P228,deuda!A$1:H$550,6,0))</f>
        <v>238.07</v>
      </c>
      <c r="T228" s="149" t="str">
        <f>IF((VLOOKUP(P228,deuda!A$1:H$550,7,0))=0,"",VLOOKUP(P228,deuda!A$1:H$550,7,0))</f>
        <v/>
      </c>
      <c r="U228" s="153" t="str">
        <f>IF((VLOOKUP(P228,deuda!A$1:H$550,8,0))=0,"",VLOOKUP(P228,deuda!A$1:H$550,8,0))</f>
        <v/>
      </c>
    </row>
    <row r="229" spans="1:21">
      <c r="A229" s="35">
        <v>24</v>
      </c>
      <c r="B229" s="6">
        <v>1213</v>
      </c>
      <c r="C229" s="5">
        <v>211</v>
      </c>
      <c r="D229" s="21">
        <v>0.53500000000000003</v>
      </c>
      <c r="E229" s="21">
        <f>IF((VLOOKUP(P229,deuda!A$1:H$550,4,0))=1,D229,0)</f>
        <v>0.53500000000000003</v>
      </c>
      <c r="F229" s="5" t="s">
        <v>512</v>
      </c>
      <c r="G229" s="5"/>
      <c r="H229" s="636">
        <f t="shared" si="32"/>
        <v>0.53500000000000003</v>
      </c>
      <c r="I229" s="629" t="e">
        <f t="shared" si="30"/>
        <v>#N/A</v>
      </c>
      <c r="J229" s="618" t="e">
        <f t="shared" si="31"/>
        <v>#N/A</v>
      </c>
      <c r="K229" s="125" t="e">
        <f t="shared" si="33"/>
        <v>#REF!</v>
      </c>
      <c r="L229" s="125" t="e">
        <f t="shared" si="34"/>
        <v>#REF!</v>
      </c>
      <c r="M229" s="5"/>
      <c r="N229" s="5"/>
      <c r="O229" s="5"/>
      <c r="P229" s="5" t="str">
        <f t="shared" si="35"/>
        <v>1213211</v>
      </c>
      <c r="Q229" s="6">
        <f>VLOOKUP(P229,deuda!A$1:H$550,4,0)</f>
        <v>1</v>
      </c>
      <c r="R229" s="6">
        <f>VLOOKUP(P229,deuda!A$1:H$550,5,0)</f>
        <v>0</v>
      </c>
      <c r="S229" s="6" t="str">
        <f>IF(VLOOKUP(P229,deuda!A$1:H$550,6,0)=0,"",VLOOKUP(P229,deuda!A$1:H$550,6,0))</f>
        <v/>
      </c>
      <c r="T229" s="149" t="str">
        <f>IF((VLOOKUP(P229,deuda!A$1:H$550,7,0))=0,"",VLOOKUP(P229,deuda!A$1:H$550,7,0))</f>
        <v/>
      </c>
      <c r="U229" s="153" t="str">
        <f>IF((VLOOKUP(P229,deuda!A$1:H$550,8,0))=0,"",VLOOKUP(P229,deuda!A$1:H$550,8,0))</f>
        <v/>
      </c>
    </row>
    <row r="230" spans="1:21">
      <c r="A230" s="35">
        <v>25</v>
      </c>
      <c r="B230" s="6">
        <v>1213</v>
      </c>
      <c r="C230" s="5">
        <v>123</v>
      </c>
      <c r="D230" s="21">
        <v>1</v>
      </c>
      <c r="E230" s="21">
        <f>IF((VLOOKUP(P230,deuda!A$1:H$550,4,0))=1,D230,0)</f>
        <v>1</v>
      </c>
      <c r="F230" s="5" t="s">
        <v>513</v>
      </c>
      <c r="G230" s="5"/>
      <c r="H230" s="636">
        <f t="shared" si="32"/>
        <v>1</v>
      </c>
      <c r="I230" s="629" t="e">
        <f t="shared" si="30"/>
        <v>#N/A</v>
      </c>
      <c r="J230" s="618" t="e">
        <f t="shared" si="31"/>
        <v>#N/A</v>
      </c>
      <c r="K230" s="125" t="e">
        <f t="shared" si="33"/>
        <v>#REF!</v>
      </c>
      <c r="L230" s="125" t="e">
        <f t="shared" si="34"/>
        <v>#REF!</v>
      </c>
      <c r="M230" s="5"/>
      <c r="N230" s="5"/>
      <c r="O230" s="5"/>
      <c r="P230" s="5" t="str">
        <f t="shared" si="35"/>
        <v>1213123</v>
      </c>
      <c r="Q230" s="6">
        <f>VLOOKUP(P230,deuda!A$1:H$550,4,0)</f>
        <v>1</v>
      </c>
      <c r="R230" s="6">
        <f>VLOOKUP(P230,deuda!A$1:H$550,5,0)</f>
        <v>0</v>
      </c>
      <c r="S230" s="6" t="str">
        <f>IF(VLOOKUP(P230,deuda!A$1:H$550,6,0)=0,"",VLOOKUP(P230,deuda!A$1:H$550,6,0))</f>
        <v/>
      </c>
      <c r="T230" s="149" t="str">
        <f>IF((VLOOKUP(P230,deuda!A$1:H$550,7,0))=0,"",VLOOKUP(P230,deuda!A$1:H$550,7,0))</f>
        <v/>
      </c>
      <c r="U230" s="153" t="str">
        <f>IF((VLOOKUP(P230,deuda!A$1:H$550,8,0))=0,"",VLOOKUP(P230,deuda!A$1:H$550,8,0))</f>
        <v/>
      </c>
    </row>
    <row r="231" spans="1:21">
      <c r="A231" s="35">
        <v>26</v>
      </c>
      <c r="B231" s="6">
        <v>1213</v>
      </c>
      <c r="C231" s="5">
        <v>102</v>
      </c>
      <c r="D231" s="21">
        <v>3.9841000000000002</v>
      </c>
      <c r="E231" s="21">
        <f>IF((VLOOKUP(P231,deuda!A$1:H$550,4,0))=1,D231,0)</f>
        <v>3.9841000000000002</v>
      </c>
      <c r="F231" s="5" t="s">
        <v>514</v>
      </c>
      <c r="G231" s="5"/>
      <c r="H231" s="636">
        <f t="shared" si="32"/>
        <v>3.9841000000000002</v>
      </c>
      <c r="I231" s="629" t="e">
        <f t="shared" si="30"/>
        <v>#N/A</v>
      </c>
      <c r="J231" s="618" t="e">
        <f t="shared" si="31"/>
        <v>#N/A</v>
      </c>
      <c r="K231" s="125" t="e">
        <f t="shared" si="33"/>
        <v>#REF!</v>
      </c>
      <c r="L231" s="125" t="e">
        <f t="shared" si="34"/>
        <v>#REF!</v>
      </c>
      <c r="M231" s="5"/>
      <c r="N231" s="5"/>
      <c r="O231" s="5"/>
      <c r="P231" s="5" t="str">
        <f t="shared" si="35"/>
        <v>1213102</v>
      </c>
      <c r="Q231" s="6">
        <f>VLOOKUP(P231,deuda!A$1:H$550,4,0)</f>
        <v>1</v>
      </c>
      <c r="R231" s="6">
        <f>VLOOKUP(P231,deuda!A$1:H$550,5,0)</f>
        <v>0</v>
      </c>
      <c r="S231" s="6" t="str">
        <f>IF(VLOOKUP(P231,deuda!A$1:H$550,6,0)=0,"",VLOOKUP(P231,deuda!A$1:H$550,6,0))</f>
        <v/>
      </c>
      <c r="T231" s="149" t="str">
        <f>IF((VLOOKUP(P231,deuda!A$1:H$550,7,0))=0,"",VLOOKUP(P231,deuda!A$1:H$550,7,0))</f>
        <v/>
      </c>
      <c r="U231" s="153" t="str">
        <f>IF((VLOOKUP(P231,deuda!A$1:H$550,8,0))=0,"",VLOOKUP(P231,deuda!A$1:H$550,8,0))</f>
        <v/>
      </c>
    </row>
    <row r="232" spans="1:21">
      <c r="A232" s="35">
        <v>27</v>
      </c>
      <c r="B232" s="6">
        <v>1213</v>
      </c>
      <c r="C232" s="5">
        <v>126</v>
      </c>
      <c r="D232" s="21">
        <v>1.9307000000000001</v>
      </c>
      <c r="E232" s="21">
        <f>IF((VLOOKUP(P232,deuda!A$1:H$550,4,0))=1,D232,0)</f>
        <v>1.9307000000000001</v>
      </c>
      <c r="F232" s="5" t="s">
        <v>515</v>
      </c>
      <c r="G232" s="5"/>
      <c r="H232" s="636">
        <f t="shared" si="32"/>
        <v>1.9307000000000001</v>
      </c>
      <c r="I232" s="629" t="e">
        <f t="shared" si="30"/>
        <v>#N/A</v>
      </c>
      <c r="J232" s="618" t="e">
        <f t="shared" si="31"/>
        <v>#N/A</v>
      </c>
      <c r="K232" s="125" t="e">
        <f t="shared" si="33"/>
        <v>#REF!</v>
      </c>
      <c r="L232" s="125" t="e">
        <f t="shared" si="34"/>
        <v>#REF!</v>
      </c>
      <c r="M232" s="5"/>
      <c r="N232" s="5"/>
      <c r="O232" s="5"/>
      <c r="P232" s="5" t="str">
        <f t="shared" si="35"/>
        <v>1213126</v>
      </c>
      <c r="Q232" s="6">
        <f>VLOOKUP(P232,deuda!A$1:H$550,4,0)</f>
        <v>1</v>
      </c>
      <c r="R232" s="6">
        <f>VLOOKUP(P232,deuda!A$1:H$550,5,0)</f>
        <v>0</v>
      </c>
      <c r="S232" s="6" t="str">
        <f>IF(VLOOKUP(P232,deuda!A$1:H$550,6,0)=0,"",VLOOKUP(P232,deuda!A$1:H$550,6,0))</f>
        <v/>
      </c>
      <c r="T232" s="149" t="str">
        <f>IF((VLOOKUP(P232,deuda!A$1:H$550,7,0))=0,"",VLOOKUP(P232,deuda!A$1:H$550,7,0))</f>
        <v/>
      </c>
      <c r="U232" s="153" t="str">
        <f>IF((VLOOKUP(P232,deuda!A$1:H$550,8,0))=0,"",VLOOKUP(P232,deuda!A$1:H$550,8,0))</f>
        <v/>
      </c>
    </row>
    <row r="233" spans="1:21">
      <c r="A233" s="35">
        <v>28</v>
      </c>
      <c r="B233" s="6">
        <v>1213</v>
      </c>
      <c r="C233" s="5">
        <v>135</v>
      </c>
      <c r="D233" s="21">
        <v>4.8075000000000001</v>
      </c>
      <c r="E233" s="21">
        <f>IF((VLOOKUP(P233,deuda!A$1:H$550,4,0))=1,D233,0)</f>
        <v>4.8075000000000001</v>
      </c>
      <c r="F233" s="5" t="s">
        <v>514</v>
      </c>
      <c r="G233" s="5"/>
      <c r="H233" s="636">
        <f t="shared" si="32"/>
        <v>4.8075000000000001</v>
      </c>
      <c r="I233" s="629" t="e">
        <f t="shared" si="30"/>
        <v>#N/A</v>
      </c>
      <c r="J233" s="618" t="e">
        <f t="shared" si="31"/>
        <v>#N/A</v>
      </c>
      <c r="K233" s="125" t="e">
        <f t="shared" si="33"/>
        <v>#REF!</v>
      </c>
      <c r="L233" s="125" t="e">
        <f t="shared" si="34"/>
        <v>#REF!</v>
      </c>
      <c r="M233" s="5"/>
      <c r="N233" s="5"/>
      <c r="O233" s="5"/>
      <c r="P233" s="5" t="str">
        <f t="shared" si="35"/>
        <v>1213135</v>
      </c>
      <c r="Q233" s="6">
        <f>VLOOKUP(P233,deuda!A$1:H$550,4,0)</f>
        <v>1</v>
      </c>
      <c r="R233" s="6">
        <f>VLOOKUP(P233,deuda!A$1:H$550,5,0)</f>
        <v>0</v>
      </c>
      <c r="S233" s="6" t="str">
        <f>IF(VLOOKUP(P233,deuda!A$1:H$550,6,0)=0,"",VLOOKUP(P233,deuda!A$1:H$550,6,0))</f>
        <v/>
      </c>
      <c r="T233" s="149" t="str">
        <f>IF((VLOOKUP(P233,deuda!A$1:H$550,7,0))=0,"",VLOOKUP(P233,deuda!A$1:H$550,7,0))</f>
        <v/>
      </c>
      <c r="U233" s="153" t="str">
        <f>IF((VLOOKUP(P233,deuda!A$1:H$550,8,0))=0,"",VLOOKUP(P233,deuda!A$1:H$550,8,0))</f>
        <v/>
      </c>
    </row>
    <row r="234" spans="1:21">
      <c r="A234" s="35">
        <v>29</v>
      </c>
      <c r="B234" s="6">
        <v>1213</v>
      </c>
      <c r="C234" s="5">
        <v>138</v>
      </c>
      <c r="D234" s="21">
        <v>4.476</v>
      </c>
      <c r="E234" s="21">
        <f>IF((VLOOKUP(P234,deuda!A$1:H$550,4,0))=1,D234,0)</f>
        <v>4.476</v>
      </c>
      <c r="F234" s="5" t="s">
        <v>515</v>
      </c>
      <c r="G234" s="5"/>
      <c r="H234" s="636">
        <f t="shared" si="32"/>
        <v>4.476</v>
      </c>
      <c r="I234" s="629" t="e">
        <f t="shared" si="30"/>
        <v>#N/A</v>
      </c>
      <c r="J234" s="618" t="e">
        <f t="shared" si="31"/>
        <v>#N/A</v>
      </c>
      <c r="K234" s="125" t="e">
        <f t="shared" si="33"/>
        <v>#REF!</v>
      </c>
      <c r="L234" s="125" t="e">
        <f t="shared" si="34"/>
        <v>#REF!</v>
      </c>
      <c r="M234" s="5"/>
      <c r="N234" s="5"/>
      <c r="O234" s="5"/>
      <c r="P234" s="5" t="str">
        <f t="shared" si="35"/>
        <v>1213138</v>
      </c>
      <c r="Q234" s="6">
        <f>VLOOKUP(P234,deuda!A$1:H$550,4,0)</f>
        <v>1</v>
      </c>
      <c r="R234" s="6">
        <f>VLOOKUP(P234,deuda!A$1:H$550,5,0)</f>
        <v>0</v>
      </c>
      <c r="S234" s="6" t="str">
        <f>IF(VLOOKUP(P234,deuda!A$1:H$550,6,0)=0,"",VLOOKUP(P234,deuda!A$1:H$550,6,0))</f>
        <v/>
      </c>
      <c r="T234" s="149" t="str">
        <f>IF((VLOOKUP(P234,deuda!A$1:H$550,7,0))=0,"",VLOOKUP(P234,deuda!A$1:H$550,7,0))</f>
        <v/>
      </c>
      <c r="U234" s="153" t="str">
        <f>IF((VLOOKUP(P234,deuda!A$1:H$550,8,0))=0,"",VLOOKUP(P234,deuda!A$1:H$550,8,0))</f>
        <v/>
      </c>
    </row>
    <row r="235" spans="1:21">
      <c r="A235" s="35">
        <v>29</v>
      </c>
      <c r="B235" s="6">
        <v>1213</v>
      </c>
      <c r="C235" s="5">
        <v>170</v>
      </c>
      <c r="D235" s="21">
        <v>8.1974</v>
      </c>
      <c r="E235" s="21">
        <f>IF((VLOOKUP(P235,deuda!A$1:H$550,4,0))=1,D235,0)</f>
        <v>8.1974</v>
      </c>
      <c r="F235" s="5" t="s">
        <v>515</v>
      </c>
      <c r="G235" s="5"/>
      <c r="H235" s="636">
        <f t="shared" si="32"/>
        <v>8.1974</v>
      </c>
      <c r="I235" s="629" t="e">
        <f t="shared" si="30"/>
        <v>#N/A</v>
      </c>
      <c r="J235" s="618" t="e">
        <f t="shared" si="31"/>
        <v>#N/A</v>
      </c>
      <c r="K235" s="125" t="e">
        <f t="shared" si="33"/>
        <v>#REF!</v>
      </c>
      <c r="L235" s="125" t="e">
        <f t="shared" si="34"/>
        <v>#REF!</v>
      </c>
      <c r="M235" s="5"/>
      <c r="N235" s="5"/>
      <c r="O235" s="5"/>
      <c r="P235" s="5" t="str">
        <f t="shared" si="35"/>
        <v>1213170</v>
      </c>
      <c r="Q235" s="6">
        <f>VLOOKUP(P235,deuda!A$1:H$550,4,0)</f>
        <v>1</v>
      </c>
      <c r="R235" s="6">
        <f>VLOOKUP(P235,deuda!A$1:H$550,5,0)</f>
        <v>0</v>
      </c>
      <c r="S235" s="6" t="str">
        <f>IF(VLOOKUP(P235,deuda!A$1:H$550,6,0)=0,"",VLOOKUP(P235,deuda!A$1:H$550,6,0))</f>
        <v/>
      </c>
      <c r="T235" s="149" t="str">
        <f>IF((VLOOKUP(P235,deuda!A$1:H$550,7,0))=0,"",VLOOKUP(P235,deuda!A$1:H$550,7,0))</f>
        <v/>
      </c>
      <c r="U235" s="153" t="str">
        <f>IF((VLOOKUP(P235,deuda!A$1:H$550,8,0))=0,"",VLOOKUP(P235,deuda!A$1:H$550,8,0))</f>
        <v/>
      </c>
    </row>
    <row r="236" spans="1:21">
      <c r="A236" s="35">
        <v>29</v>
      </c>
      <c r="B236" s="6">
        <v>1213</v>
      </c>
      <c r="C236" s="5">
        <v>256</v>
      </c>
      <c r="D236" s="21">
        <v>1.8493999999999999</v>
      </c>
      <c r="E236" s="21">
        <f>IF((VLOOKUP(P236,deuda!A$1:H$550,4,0))=1,D236,0)</f>
        <v>1.8493999999999999</v>
      </c>
      <c r="F236" s="5" t="s">
        <v>515</v>
      </c>
      <c r="G236" s="5"/>
      <c r="H236" s="636">
        <f t="shared" si="32"/>
        <v>1.8493999999999999</v>
      </c>
      <c r="I236" s="629" t="e">
        <f t="shared" si="30"/>
        <v>#N/A</v>
      </c>
      <c r="J236" s="618" t="e">
        <f t="shared" si="31"/>
        <v>#N/A</v>
      </c>
      <c r="K236" s="125" t="e">
        <f t="shared" si="33"/>
        <v>#REF!</v>
      </c>
      <c r="L236" s="125" t="e">
        <f t="shared" si="34"/>
        <v>#REF!</v>
      </c>
      <c r="M236" s="5"/>
      <c r="N236" s="5"/>
      <c r="O236" s="5"/>
      <c r="P236" s="5" t="str">
        <f t="shared" si="35"/>
        <v>1213256</v>
      </c>
      <c r="Q236" s="6">
        <f>VLOOKUP(P236,deuda!A$1:H$550,4,0)</f>
        <v>1</v>
      </c>
      <c r="R236" s="6">
        <f>VLOOKUP(P236,deuda!A$1:H$550,5,0)</f>
        <v>2</v>
      </c>
      <c r="S236" s="6">
        <f>IF(VLOOKUP(P236,deuda!A$1:H$550,6,0)=0,"",VLOOKUP(P236,deuda!A$1:H$550,6,0))</f>
        <v>864.45</v>
      </c>
      <c r="T236" s="149" t="str">
        <f>IF((VLOOKUP(P236,deuda!A$1:H$550,7,0))=0,"",VLOOKUP(P236,deuda!A$1:H$550,7,0))</f>
        <v/>
      </c>
      <c r="U236" s="153" t="str">
        <f>IF((VLOOKUP(P236,deuda!A$1:H$550,8,0))=0,"",VLOOKUP(P236,deuda!A$1:H$550,8,0))</f>
        <v/>
      </c>
    </row>
    <row r="237" spans="1:21">
      <c r="A237" s="35">
        <v>30</v>
      </c>
      <c r="B237" s="6">
        <v>1213</v>
      </c>
      <c r="C237" s="5">
        <v>121</v>
      </c>
      <c r="D237" s="21">
        <v>6.8625999999999996</v>
      </c>
      <c r="E237" s="21">
        <f>IF((VLOOKUP(P237,deuda!A$1:H$550,4,0))=1,D237,0)</f>
        <v>0</v>
      </c>
      <c r="F237" s="5" t="s">
        <v>516</v>
      </c>
      <c r="G237" s="5"/>
      <c r="H237" s="636">
        <f t="shared" si="32"/>
        <v>0</v>
      </c>
      <c r="I237" s="629" t="e">
        <f t="shared" si="30"/>
        <v>#N/A</v>
      </c>
      <c r="J237" s="618" t="e">
        <f t="shared" si="31"/>
        <v>#N/A</v>
      </c>
      <c r="K237" s="125" t="e">
        <f t="shared" si="33"/>
        <v>#REF!</v>
      </c>
      <c r="L237" s="125" t="e">
        <f t="shared" si="34"/>
        <v>#REF!</v>
      </c>
      <c r="M237" s="5"/>
      <c r="N237" s="5"/>
      <c r="O237" s="5"/>
      <c r="P237" s="5" t="str">
        <f t="shared" si="35"/>
        <v>1213121</v>
      </c>
      <c r="Q237" s="6">
        <f>VLOOKUP(P237,deuda!A$1:H$550,4,0)</f>
        <v>0</v>
      </c>
      <c r="R237" s="6">
        <f>VLOOKUP(P237,deuda!A$1:H$550,5,0)</f>
        <v>40</v>
      </c>
      <c r="S237" s="6">
        <f>IF(VLOOKUP(P237,deuda!A$1:H$550,6,0)=0,"",VLOOKUP(P237,deuda!A$1:H$550,6,0))</f>
        <v>51851.98</v>
      </c>
      <c r="T237" s="149" t="str">
        <f>IF((VLOOKUP(P237,deuda!A$1:H$550,7,0))=0,"",VLOOKUP(P237,deuda!A$1:H$550,7,0))</f>
        <v/>
      </c>
      <c r="U237" s="153" t="str">
        <f>IF((VLOOKUP(P237,deuda!A$1:H$550,8,0))=0,"",VLOOKUP(P237,deuda!A$1:H$550,8,0))</f>
        <v/>
      </c>
    </row>
    <row r="238" spans="1:21" ht="13.5" thickBot="1">
      <c r="A238" s="36">
        <v>31</v>
      </c>
      <c r="B238" s="33">
        <v>1213</v>
      </c>
      <c r="C238" s="29">
        <v>130</v>
      </c>
      <c r="D238" s="46">
        <v>2.6084999999999998</v>
      </c>
      <c r="E238" s="46">
        <f>IF((VLOOKUP(P238,deuda!A$1:H$550,4,0))=1,D238,0)</f>
        <v>0</v>
      </c>
      <c r="F238" s="29" t="s">
        <v>517</v>
      </c>
      <c r="G238" s="29"/>
      <c r="H238" s="637">
        <f t="shared" si="32"/>
        <v>0</v>
      </c>
      <c r="I238" s="629" t="e">
        <f t="shared" si="30"/>
        <v>#N/A</v>
      </c>
      <c r="J238" s="621" t="e">
        <f t="shared" si="31"/>
        <v>#N/A</v>
      </c>
      <c r="K238" s="127" t="e">
        <f t="shared" si="33"/>
        <v>#REF!</v>
      </c>
      <c r="L238" s="127" t="e">
        <f t="shared" si="34"/>
        <v>#REF!</v>
      </c>
      <c r="M238" s="29"/>
      <c r="N238" s="29"/>
      <c r="O238" s="29"/>
      <c r="P238" s="29" t="str">
        <f t="shared" si="35"/>
        <v>1213130</v>
      </c>
      <c r="Q238" s="33">
        <f>VLOOKUP(P238,deuda!A$1:H$550,4,0)</f>
        <v>0</v>
      </c>
      <c r="R238" s="33">
        <f>VLOOKUP(P238,deuda!A$1:H$550,5,0)</f>
        <v>207</v>
      </c>
      <c r="S238" s="33">
        <f>IF(VLOOKUP(P238,deuda!A$1:H$550,6,0)=0,"",VLOOKUP(P238,deuda!A$1:H$550,6,0))</f>
        <v>115640.46</v>
      </c>
      <c r="T238" s="154" t="str">
        <f>IF((VLOOKUP(P238,deuda!A$1:H$550,7,0))=0,"",VLOOKUP(P238,deuda!A$1:H$550,7,0))</f>
        <v/>
      </c>
      <c r="U238" s="155" t="str">
        <f>IF((VLOOKUP(P238,deuda!A$1:H$550,8,0))=0,"",VLOOKUP(P238,deuda!A$1:H$550,8,0))</f>
        <v/>
      </c>
    </row>
    <row r="239" spans="1:21">
      <c r="D239" s="15">
        <f>SUM(D204:D238)</f>
        <v>98.739900000000006</v>
      </c>
      <c r="E239" s="15" t="e">
        <f>SUM(E204:E238)</f>
        <v>#N/A</v>
      </c>
      <c r="H239" s="15" t="e">
        <f>SUM(H204:H238)</f>
        <v>#N/A</v>
      </c>
      <c r="I239" s="243" t="e">
        <f>SUM(I204:I238)</f>
        <v>#N/A</v>
      </c>
      <c r="J239" s="162" t="e">
        <f>SUM(J204:J238)</f>
        <v>#N/A</v>
      </c>
      <c r="K239" s="89"/>
      <c r="L239" s="89"/>
    </row>
    <row r="240" spans="1:21">
      <c r="D240" s="15"/>
      <c r="E240" s="15"/>
      <c r="H240" s="15"/>
      <c r="I240" s="88"/>
      <c r="J240" s="89"/>
      <c r="K240" s="89"/>
      <c r="L240" s="89"/>
    </row>
    <row r="241" spans="1:21">
      <c r="D241" s="15"/>
      <c r="E241" s="15"/>
      <c r="H241" s="15"/>
      <c r="I241" s="88"/>
      <c r="J241" s="89"/>
      <c r="K241" s="89"/>
      <c r="L241" s="89"/>
    </row>
    <row r="242" spans="1:21">
      <c r="D242" s="15"/>
      <c r="E242" s="15"/>
      <c r="H242" s="15"/>
      <c r="I242" s="88"/>
      <c r="J242" s="89"/>
      <c r="K242" s="89"/>
      <c r="L242" s="89"/>
    </row>
    <row r="243" spans="1:21">
      <c r="D243" s="15"/>
      <c r="E243" s="15"/>
      <c r="H243" s="15"/>
      <c r="I243" s="88"/>
      <c r="J243" s="89"/>
      <c r="K243" s="89"/>
      <c r="L243" s="89"/>
    </row>
    <row r="244" spans="1:21">
      <c r="A244" s="47" t="s">
        <v>518</v>
      </c>
      <c r="D244" s="15"/>
      <c r="E244" s="15"/>
      <c r="H244" s="15"/>
      <c r="I244" s="88"/>
      <c r="J244" s="89"/>
      <c r="K244" s="89"/>
      <c r="L244" s="89"/>
    </row>
    <row r="245" spans="1:21">
      <c r="A245" s="241"/>
      <c r="D245" s="15"/>
    </row>
    <row r="246" spans="1:21">
      <c r="C246" s="1" t="s">
        <v>413</v>
      </c>
    </row>
    <row r="247" spans="1:21" ht="13.5" thickBot="1"/>
    <row r="248" spans="1:21">
      <c r="A248" s="688" t="s">
        <v>92</v>
      </c>
      <c r="B248" s="689"/>
      <c r="C248" s="690" t="e">
        <f>+C197</f>
        <v>#REF!</v>
      </c>
      <c r="D248" s="691"/>
      <c r="E248" s="3"/>
      <c r="F248" s="3"/>
      <c r="G248" s="24" t="s">
        <v>93</v>
      </c>
      <c r="H248" s="170" t="e">
        <f>+I19</f>
        <v>#N/A</v>
      </c>
    </row>
    <row r="249" spans="1:21" ht="13.5" thickBot="1">
      <c r="A249" s="692" t="s">
        <v>94</v>
      </c>
      <c r="B249" s="693"/>
      <c r="C249" s="694" t="e">
        <f>+L279</f>
        <v>#REF!</v>
      </c>
      <c r="D249" s="695"/>
      <c r="E249" s="3"/>
      <c r="F249" s="3"/>
      <c r="G249" s="26" t="s">
        <v>95</v>
      </c>
      <c r="H249" s="171">
        <f>+J19</f>
        <v>0</v>
      </c>
      <c r="I249" s="3"/>
      <c r="K249" s="635"/>
    </row>
    <row r="250" spans="1:21" ht="13.5" thickBot="1">
      <c r="G250" s="132" t="s">
        <v>96</v>
      </c>
      <c r="H250" s="172">
        <f>+K19</f>
        <v>6.25E-2</v>
      </c>
    </row>
    <row r="252" spans="1:21">
      <c r="A252" s="696" t="s">
        <v>97</v>
      </c>
      <c r="B252" s="696"/>
      <c r="C252" s="168" t="e">
        <f>+H248-H249-H250</f>
        <v>#N/A</v>
      </c>
      <c r="D252" s="558" t="s">
        <v>98</v>
      </c>
      <c r="E252" s="169" t="e">
        <f>+C252*60</f>
        <v>#N/A</v>
      </c>
      <c r="F252" s="558" t="s">
        <v>99</v>
      </c>
      <c r="G252" s="167" t="e">
        <f>+H280</f>
        <v>#N/A</v>
      </c>
      <c r="H252" s="558" t="s">
        <v>100</v>
      </c>
      <c r="I252" s="168" t="e">
        <f>+E252/G252</f>
        <v>#N/A</v>
      </c>
    </row>
    <row r="254" spans="1:21" ht="13.5" thickBot="1"/>
    <row r="255" spans="1:21" s="58" customFormat="1" ht="25.5" customHeight="1" thickBot="1">
      <c r="A255" s="23" t="s">
        <v>102</v>
      </c>
      <c r="B255" s="559" t="s">
        <v>103</v>
      </c>
      <c r="C255" s="559" t="s">
        <v>104</v>
      </c>
      <c r="D255" s="129" t="s">
        <v>106</v>
      </c>
      <c r="E255" s="129" t="s">
        <v>414</v>
      </c>
      <c r="F255" s="683" t="s">
        <v>108</v>
      </c>
      <c r="G255" s="683"/>
      <c r="H255" s="129" t="s">
        <v>415</v>
      </c>
      <c r="I255" s="129" t="s">
        <v>304</v>
      </c>
      <c r="J255" s="559" t="s">
        <v>110</v>
      </c>
      <c r="K255" s="129" t="s">
        <v>156</v>
      </c>
      <c r="L255" s="129" t="s">
        <v>157</v>
      </c>
      <c r="M255" s="130" t="s">
        <v>114</v>
      </c>
      <c r="N255" s="256" t="s">
        <v>158</v>
      </c>
      <c r="O255" s="32" t="s">
        <v>116</v>
      </c>
      <c r="P255" s="32" t="s">
        <v>117</v>
      </c>
      <c r="Q255" s="32" t="s">
        <v>118</v>
      </c>
      <c r="R255" s="32" t="s">
        <v>119</v>
      </c>
      <c r="S255" s="32" t="s">
        <v>120</v>
      </c>
      <c r="T255" s="32" t="s">
        <v>121</v>
      </c>
      <c r="U255" s="185" t="s">
        <v>122</v>
      </c>
    </row>
    <row r="256" spans="1:21">
      <c r="A256" s="51">
        <v>1</v>
      </c>
      <c r="B256" s="150">
        <v>1213</v>
      </c>
      <c r="C256" s="52">
        <v>45</v>
      </c>
      <c r="D256" s="103">
        <v>4.8022</v>
      </c>
      <c r="E256" s="103" t="e">
        <f>IF((VLOOKUP(P256,deuda!A$1:H$550,4,0))=1,D256,0)</f>
        <v>#N/A</v>
      </c>
      <c r="F256" s="52" t="s">
        <v>519</v>
      </c>
      <c r="G256" s="52"/>
      <c r="H256" s="579" t="e">
        <f>E256</f>
        <v>#N/A</v>
      </c>
      <c r="I256" s="629" t="e">
        <f>+H256*$I$33</f>
        <v>#N/A</v>
      </c>
      <c r="J256" s="580" t="e">
        <f>+I256/60</f>
        <v>#N/A</v>
      </c>
      <c r="K256" s="174" t="e">
        <f>+C248+H249+H250</f>
        <v>#REF!</v>
      </c>
      <c r="L256" s="174" t="e">
        <f>+K256+J256</f>
        <v>#REF!</v>
      </c>
      <c r="M256" s="52"/>
      <c r="N256" s="52"/>
      <c r="O256" s="52"/>
      <c r="P256" s="52" t="str">
        <f>+CONCATENATE(B256,C256)</f>
        <v>121345</v>
      </c>
      <c r="Q256" s="150" t="e">
        <f>VLOOKUP(P256,deuda!A$1:H$550,4,0)</f>
        <v>#N/A</v>
      </c>
      <c r="R256" s="150" t="e">
        <f>VLOOKUP(P256,deuda!A$1:H$550,5,0)</f>
        <v>#N/A</v>
      </c>
      <c r="S256" s="150" t="e">
        <f>IF(VLOOKUP(P256,deuda!A$1:H$550,6,0)=0,"",VLOOKUP(P256,deuda!A$1:H$550,6,0))</f>
        <v>#N/A</v>
      </c>
      <c r="T256" s="151" t="e">
        <f>IF((VLOOKUP(P256,deuda!A$1:H$550,7,0))=0,"",VLOOKUP(P256,deuda!A$1:H$550,7,0))</f>
        <v>#N/A</v>
      </c>
      <c r="U256" s="152" t="e">
        <f>IF((VLOOKUP(P256,deuda!A$1:H$550,8,0))=0,"",VLOOKUP(P256,deuda!A$1:H$550,8,0))</f>
        <v>#N/A</v>
      </c>
    </row>
    <row r="257" spans="1:21">
      <c r="A257" s="35">
        <v>2</v>
      </c>
      <c r="B257" s="6">
        <v>1213</v>
      </c>
      <c r="C257" s="5">
        <v>36</v>
      </c>
      <c r="D257" s="9">
        <v>0.3614</v>
      </c>
      <c r="E257" s="9" t="e">
        <f>IF((VLOOKUP(P257,deuda!A$1:H$550,4,0))=1,D257,0)</f>
        <v>#N/A</v>
      </c>
      <c r="F257" s="5" t="s">
        <v>520</v>
      </c>
      <c r="G257" s="5"/>
      <c r="H257" s="636" t="e">
        <f>E257</f>
        <v>#N/A</v>
      </c>
      <c r="I257" s="620" t="e">
        <f t="shared" ref="I257:I279" si="36">+H257*$I$33</f>
        <v>#N/A</v>
      </c>
      <c r="J257" s="618" t="e">
        <f t="shared" ref="J257:J279" si="37">+I257/60</f>
        <v>#N/A</v>
      </c>
      <c r="K257" s="125" t="e">
        <f>+L256</f>
        <v>#REF!</v>
      </c>
      <c r="L257" s="125" t="e">
        <f>+K257+J257</f>
        <v>#REF!</v>
      </c>
      <c r="M257" s="5"/>
      <c r="N257" s="5"/>
      <c r="O257" s="5"/>
      <c r="P257" s="5" t="str">
        <f>+CONCATENATE(B257,C257)</f>
        <v>121336</v>
      </c>
      <c r="Q257" s="6" t="e">
        <f>VLOOKUP(P257,deuda!A$1:H$550,4,0)</f>
        <v>#N/A</v>
      </c>
      <c r="R257" s="6" t="e">
        <f>VLOOKUP(P257,deuda!A$1:H$550,5,0)</f>
        <v>#N/A</v>
      </c>
      <c r="S257" s="6" t="e">
        <f>IF(VLOOKUP(P257,deuda!A$1:H$550,6,0)=0,"",VLOOKUP(P257,deuda!A$1:H$550,6,0))</f>
        <v>#N/A</v>
      </c>
      <c r="T257" s="149" t="e">
        <f>IF((VLOOKUP(P257,deuda!A$1:H$550,7,0))=0,"",VLOOKUP(P257,deuda!A$1:H$550,7,0))</f>
        <v>#N/A</v>
      </c>
      <c r="U257" s="153" t="e">
        <f>IF((VLOOKUP(P257,deuda!A$1:H$550,8,0))=0,"",VLOOKUP(P257,deuda!A$1:H$550,8,0))</f>
        <v>#N/A</v>
      </c>
    </row>
    <row r="258" spans="1:21">
      <c r="A258" s="35">
        <v>3</v>
      </c>
      <c r="B258" s="6">
        <v>1213</v>
      </c>
      <c r="C258" s="5">
        <v>270</v>
      </c>
      <c r="D258" s="9">
        <v>1.03</v>
      </c>
      <c r="E258" s="9">
        <f>IF((VLOOKUP(P258,deuda!A$1:H$550,4,0))=1,D258,0)</f>
        <v>1.03</v>
      </c>
      <c r="F258" s="5" t="s">
        <v>521</v>
      </c>
      <c r="G258" s="5"/>
      <c r="H258" s="636">
        <f t="shared" ref="H258:H279" si="38">E258</f>
        <v>1.03</v>
      </c>
      <c r="I258" s="620" t="e">
        <f t="shared" si="36"/>
        <v>#N/A</v>
      </c>
      <c r="J258" s="618" t="e">
        <f t="shared" si="37"/>
        <v>#N/A</v>
      </c>
      <c r="K258" s="125" t="e">
        <f t="shared" ref="K258:K279" si="39">+L257</f>
        <v>#REF!</v>
      </c>
      <c r="L258" s="125" t="e">
        <f t="shared" ref="L258:L279" si="40">+K258+J258</f>
        <v>#REF!</v>
      </c>
      <c r="M258" s="5"/>
      <c r="N258" s="5"/>
      <c r="O258" s="5"/>
      <c r="P258" s="5" t="str">
        <f>+CONCATENATE(B258,C258)</f>
        <v>1213270</v>
      </c>
      <c r="Q258" s="6">
        <f>VLOOKUP(P258,deuda!A$1:H$550,4,0)</f>
        <v>1</v>
      </c>
      <c r="R258" s="6">
        <f>VLOOKUP(P258,deuda!A$1:H$550,5,0)</f>
        <v>0</v>
      </c>
      <c r="S258" s="6" t="str">
        <f>IF(VLOOKUP(P258,deuda!A$1:H$550,6,0)=0,"",VLOOKUP(P258,deuda!A$1:H$550,6,0))</f>
        <v/>
      </c>
      <c r="T258" s="149" t="str">
        <f>IF((VLOOKUP(P258,deuda!A$1:H$550,7,0))=0,"",VLOOKUP(P258,deuda!A$1:H$550,7,0))</f>
        <v/>
      </c>
      <c r="U258" s="153" t="str">
        <f>IF((VLOOKUP(P258,deuda!A$1:H$550,8,0))=0,"",VLOOKUP(P258,deuda!A$1:H$550,8,0))</f>
        <v/>
      </c>
    </row>
    <row r="259" spans="1:21">
      <c r="A259" s="35">
        <v>4</v>
      </c>
      <c r="B259" s="6">
        <v>1213</v>
      </c>
      <c r="C259" s="5">
        <v>252</v>
      </c>
      <c r="D259" s="9">
        <v>2.2267999999999999</v>
      </c>
      <c r="E259" s="9">
        <f>IF((VLOOKUP(P259,deuda!A$1:H$550,4,0))=1,D259,0)</f>
        <v>0</v>
      </c>
      <c r="F259" s="5" t="s">
        <v>522</v>
      </c>
      <c r="G259" s="5"/>
      <c r="H259" s="636">
        <f t="shared" si="38"/>
        <v>0</v>
      </c>
      <c r="I259" s="620" t="e">
        <f t="shared" si="36"/>
        <v>#N/A</v>
      </c>
      <c r="J259" s="618" t="e">
        <f t="shared" si="37"/>
        <v>#N/A</v>
      </c>
      <c r="K259" s="125" t="e">
        <f t="shared" si="39"/>
        <v>#REF!</v>
      </c>
      <c r="L259" s="125" t="e">
        <f t="shared" si="40"/>
        <v>#REF!</v>
      </c>
      <c r="M259" s="5"/>
      <c r="N259" s="5"/>
      <c r="O259" s="5"/>
      <c r="P259" s="5" t="str">
        <f>+CONCATENATE(B259,C259)</f>
        <v>1213252</v>
      </c>
      <c r="Q259" s="6">
        <f>VLOOKUP(P259,deuda!A$1:H$550,4,0)</f>
        <v>0</v>
      </c>
      <c r="R259" s="6">
        <f>VLOOKUP(P259,deuda!A$1:H$550,5,0)</f>
        <v>148</v>
      </c>
      <c r="S259" s="6">
        <f>IF(VLOOKUP(P259,deuda!A$1:H$550,6,0)=0,"",VLOOKUP(P259,deuda!A$1:H$550,6,0))</f>
        <v>49120.37</v>
      </c>
      <c r="T259" s="149" t="str">
        <f>IF((VLOOKUP(P259,deuda!A$1:H$550,7,0))=0,"",VLOOKUP(P259,deuda!A$1:H$550,7,0))</f>
        <v/>
      </c>
      <c r="U259" s="153" t="str">
        <f>IF((VLOOKUP(P259,deuda!A$1:H$550,8,0))=0,"",VLOOKUP(P259,deuda!A$1:H$550,8,0))</f>
        <v/>
      </c>
    </row>
    <row r="260" spans="1:21">
      <c r="A260" s="35">
        <v>5</v>
      </c>
      <c r="B260" s="6">
        <v>1213</v>
      </c>
      <c r="C260" s="5">
        <v>332</v>
      </c>
      <c r="D260" s="9">
        <v>2.3932000000000002</v>
      </c>
      <c r="E260" s="9">
        <f>IF((VLOOKUP(P260,deuda!A$1:H$550,4,0))=1,D260,0)</f>
        <v>2.3932000000000002</v>
      </c>
      <c r="F260" s="5" t="s">
        <v>486</v>
      </c>
      <c r="G260" s="5"/>
      <c r="H260" s="636">
        <f t="shared" si="38"/>
        <v>2.3932000000000002</v>
      </c>
      <c r="I260" s="620" t="e">
        <f t="shared" si="36"/>
        <v>#N/A</v>
      </c>
      <c r="J260" s="618" t="e">
        <f t="shared" si="37"/>
        <v>#N/A</v>
      </c>
      <c r="K260" s="125" t="e">
        <f t="shared" si="39"/>
        <v>#REF!</v>
      </c>
      <c r="L260" s="125" t="e">
        <f t="shared" si="40"/>
        <v>#REF!</v>
      </c>
      <c r="M260" s="5"/>
      <c r="N260" s="5"/>
      <c r="O260" s="5"/>
      <c r="P260" s="5" t="str">
        <f t="shared" ref="P260:P279" si="41">+CONCATENATE(B260,C260)</f>
        <v>1213332</v>
      </c>
      <c r="Q260" s="6">
        <f>VLOOKUP(P260,deuda!A$1:H$550,4,0)</f>
        <v>1</v>
      </c>
      <c r="R260" s="6">
        <f>VLOOKUP(P260,deuda!A$1:H$550,5,0)</f>
        <v>0</v>
      </c>
      <c r="S260" s="6" t="str">
        <f>IF(VLOOKUP(P260,deuda!A$1:H$550,6,0)=0,"",VLOOKUP(P260,deuda!A$1:H$550,6,0))</f>
        <v/>
      </c>
      <c r="T260" s="149" t="str">
        <f>IF((VLOOKUP(P260,deuda!A$1:H$550,7,0))=0,"",VLOOKUP(P260,deuda!A$1:H$550,7,0))</f>
        <v/>
      </c>
      <c r="U260" s="153" t="str">
        <f>IF((VLOOKUP(P260,deuda!A$1:H$550,8,0))=0,"",VLOOKUP(P260,deuda!A$1:H$550,8,0))</f>
        <v/>
      </c>
    </row>
    <row r="261" spans="1:21">
      <c r="A261" s="35">
        <v>5</v>
      </c>
      <c r="B261" s="6">
        <v>1213</v>
      </c>
      <c r="C261" s="5">
        <v>331</v>
      </c>
      <c r="D261" s="9">
        <v>9</v>
      </c>
      <c r="E261" s="9">
        <f>IF((VLOOKUP(P261,deuda!A$1:H$550,4,0))=1,D261,0)</f>
        <v>9</v>
      </c>
      <c r="F261" s="5" t="s">
        <v>486</v>
      </c>
      <c r="G261" s="5"/>
      <c r="H261" s="636">
        <f t="shared" si="38"/>
        <v>9</v>
      </c>
      <c r="I261" s="620" t="e">
        <f t="shared" si="36"/>
        <v>#N/A</v>
      </c>
      <c r="J261" s="618" t="e">
        <f t="shared" si="37"/>
        <v>#N/A</v>
      </c>
      <c r="K261" s="125" t="e">
        <f t="shared" si="39"/>
        <v>#REF!</v>
      </c>
      <c r="L261" s="125" t="e">
        <f t="shared" si="40"/>
        <v>#REF!</v>
      </c>
      <c r="M261" s="5"/>
      <c r="N261" s="5"/>
      <c r="O261" s="5"/>
      <c r="P261" s="5" t="str">
        <f t="shared" si="41"/>
        <v>1213331</v>
      </c>
      <c r="Q261" s="6">
        <f>VLOOKUP(P261,deuda!A$1:H$550,4,0)</f>
        <v>1</v>
      </c>
      <c r="R261" s="6">
        <f>VLOOKUP(P261,deuda!A$1:H$550,5,0)</f>
        <v>0</v>
      </c>
      <c r="S261" s="6" t="str">
        <f>IF(VLOOKUP(P261,deuda!A$1:H$550,6,0)=0,"",VLOOKUP(P261,deuda!A$1:H$550,6,0))</f>
        <v/>
      </c>
      <c r="T261" s="149" t="str">
        <f>IF((VLOOKUP(P261,deuda!A$1:H$550,7,0))=0,"",VLOOKUP(P261,deuda!A$1:H$550,7,0))</f>
        <v/>
      </c>
      <c r="U261" s="153" t="str">
        <f>IF((VLOOKUP(P261,deuda!A$1:H$550,8,0))=0,"",VLOOKUP(P261,deuda!A$1:H$550,8,0))</f>
        <v/>
      </c>
    </row>
    <row r="262" spans="1:21">
      <c r="A262" s="35">
        <v>6</v>
      </c>
      <c r="B262" s="6">
        <v>1213</v>
      </c>
      <c r="C262" s="5">
        <v>40</v>
      </c>
      <c r="D262" s="9">
        <v>7.1605999999999996</v>
      </c>
      <c r="E262" s="9">
        <f>IF((VLOOKUP(P262,deuda!A$1:H$550,4,0))=1,D262,0)</f>
        <v>7.1605999999999996</v>
      </c>
      <c r="F262" s="5" t="s">
        <v>523</v>
      </c>
      <c r="G262" s="5"/>
      <c r="H262" s="636">
        <f t="shared" si="38"/>
        <v>7.1605999999999996</v>
      </c>
      <c r="I262" s="620" t="e">
        <f t="shared" si="36"/>
        <v>#N/A</v>
      </c>
      <c r="J262" s="618" t="e">
        <f t="shared" si="37"/>
        <v>#N/A</v>
      </c>
      <c r="K262" s="125" t="e">
        <f t="shared" si="39"/>
        <v>#REF!</v>
      </c>
      <c r="L262" s="125" t="e">
        <f t="shared" si="40"/>
        <v>#REF!</v>
      </c>
      <c r="M262" s="5"/>
      <c r="N262" s="5"/>
      <c r="O262" s="5"/>
      <c r="P262" s="5" t="str">
        <f t="shared" si="41"/>
        <v>121340</v>
      </c>
      <c r="Q262" s="6">
        <f>VLOOKUP(P262,deuda!A$1:H$550,4,0)</f>
        <v>1</v>
      </c>
      <c r="R262" s="6">
        <f>VLOOKUP(P262,deuda!A$1:H$550,5,0)</f>
        <v>0</v>
      </c>
      <c r="S262" s="6" t="str">
        <f>IF(VLOOKUP(P262,deuda!A$1:H$550,6,0)=0,"",VLOOKUP(P262,deuda!A$1:H$550,6,0))</f>
        <v/>
      </c>
      <c r="T262" s="149" t="str">
        <f>IF((VLOOKUP(P262,deuda!A$1:H$550,7,0))=0,"",VLOOKUP(P262,deuda!A$1:H$550,7,0))</f>
        <v/>
      </c>
      <c r="U262" s="153" t="str">
        <f>IF((VLOOKUP(P262,deuda!A$1:H$550,8,0))=0,"",VLOOKUP(P262,deuda!A$1:H$550,8,0))</f>
        <v/>
      </c>
    </row>
    <row r="263" spans="1:21">
      <c r="A263" s="35">
        <v>7</v>
      </c>
      <c r="B263" s="6">
        <v>1213</v>
      </c>
      <c r="C263" s="5">
        <v>51</v>
      </c>
      <c r="D263" s="9">
        <v>0.59650000000000003</v>
      </c>
      <c r="E263" s="9" t="e">
        <f>IF((VLOOKUP(P263,deuda!A$1:H$550,4,0))=1,D263,0)</f>
        <v>#N/A</v>
      </c>
      <c r="F263" s="5" t="s">
        <v>471</v>
      </c>
      <c r="G263" s="5"/>
      <c r="H263" s="636" t="e">
        <f t="shared" si="38"/>
        <v>#N/A</v>
      </c>
      <c r="I263" s="620" t="e">
        <f t="shared" si="36"/>
        <v>#N/A</v>
      </c>
      <c r="J263" s="618" t="e">
        <f t="shared" si="37"/>
        <v>#N/A</v>
      </c>
      <c r="K263" s="125" t="e">
        <f t="shared" si="39"/>
        <v>#REF!</v>
      </c>
      <c r="L263" s="125" t="e">
        <f t="shared" si="40"/>
        <v>#REF!</v>
      </c>
      <c r="M263" s="5"/>
      <c r="N263" s="5"/>
      <c r="O263" s="5"/>
      <c r="P263" s="5" t="str">
        <f t="shared" si="41"/>
        <v>121351</v>
      </c>
      <c r="Q263" s="6" t="e">
        <f>VLOOKUP(P263,deuda!A$1:H$550,4,0)</f>
        <v>#N/A</v>
      </c>
      <c r="R263" s="6" t="e">
        <f>VLOOKUP(P263,deuda!A$1:H$550,5,0)</f>
        <v>#N/A</v>
      </c>
      <c r="S263" s="6" t="e">
        <f>IF(VLOOKUP(P263,deuda!A$1:H$550,6,0)=0,"",VLOOKUP(P263,deuda!A$1:H$550,6,0))</f>
        <v>#N/A</v>
      </c>
      <c r="T263" s="149" t="e">
        <f>IF((VLOOKUP(P263,deuda!A$1:H$550,7,0))=0,"",VLOOKUP(P263,deuda!A$1:H$550,7,0))</f>
        <v>#N/A</v>
      </c>
      <c r="U263" s="153" t="e">
        <f>IF((VLOOKUP(P263,deuda!A$1:H$550,8,0))=0,"",VLOOKUP(P263,deuda!A$1:H$550,8,0))</f>
        <v>#N/A</v>
      </c>
    </row>
    <row r="264" spans="1:21">
      <c r="A264" s="35">
        <v>8</v>
      </c>
      <c r="B264" s="6">
        <v>1213</v>
      </c>
      <c r="C264" s="5">
        <v>52</v>
      </c>
      <c r="D264" s="9">
        <v>2</v>
      </c>
      <c r="E264" s="9">
        <f>IF((VLOOKUP(P264,deuda!A$1:H$550,4,0))=1,D264,0)</f>
        <v>2</v>
      </c>
      <c r="F264" s="5" t="s">
        <v>524</v>
      </c>
      <c r="G264" s="5"/>
      <c r="H264" s="636">
        <f t="shared" si="38"/>
        <v>2</v>
      </c>
      <c r="I264" s="620" t="e">
        <f t="shared" si="36"/>
        <v>#N/A</v>
      </c>
      <c r="J264" s="618" t="e">
        <f t="shared" si="37"/>
        <v>#N/A</v>
      </c>
      <c r="K264" s="125" t="e">
        <f t="shared" si="39"/>
        <v>#REF!</v>
      </c>
      <c r="L264" s="125" t="e">
        <f t="shared" si="40"/>
        <v>#REF!</v>
      </c>
      <c r="M264" s="5"/>
      <c r="N264" s="5"/>
      <c r="O264" s="5"/>
      <c r="P264" s="5" t="str">
        <f t="shared" si="41"/>
        <v>121352</v>
      </c>
      <c r="Q264" s="6">
        <f>VLOOKUP(P264,deuda!A$1:H$550,4,0)</f>
        <v>1</v>
      </c>
      <c r="R264" s="6">
        <f>VLOOKUP(P264,deuda!A$1:H$550,5,0)</f>
        <v>2</v>
      </c>
      <c r="S264" s="6">
        <f>IF(VLOOKUP(P264,deuda!A$1:H$550,6,0)=0,"",VLOOKUP(P264,deuda!A$1:H$550,6,0))</f>
        <v>509.14</v>
      </c>
      <c r="T264" s="149" t="str">
        <f>IF((VLOOKUP(P264,deuda!A$1:H$550,7,0))=0,"",VLOOKUP(P264,deuda!A$1:H$550,7,0))</f>
        <v/>
      </c>
      <c r="U264" s="153" t="str">
        <f>IF((VLOOKUP(P264,deuda!A$1:H$550,8,0))=0,"",VLOOKUP(P264,deuda!A$1:H$550,8,0))</f>
        <v/>
      </c>
    </row>
    <row r="265" spans="1:21">
      <c r="A265" s="35">
        <v>9</v>
      </c>
      <c r="B265" s="6">
        <v>1213</v>
      </c>
      <c r="C265" s="5">
        <v>53</v>
      </c>
      <c r="D265" s="9">
        <v>5.4569999999999999</v>
      </c>
      <c r="E265" s="9">
        <f>IF((VLOOKUP(P265,deuda!A$1:H$550,4,0))=1,D265,0)</f>
        <v>5.4569999999999999</v>
      </c>
      <c r="F265" s="5" t="s">
        <v>525</v>
      </c>
      <c r="G265" s="5"/>
      <c r="H265" s="636">
        <f t="shared" si="38"/>
        <v>5.4569999999999999</v>
      </c>
      <c r="I265" s="620" t="e">
        <f t="shared" si="36"/>
        <v>#N/A</v>
      </c>
      <c r="J265" s="618" t="e">
        <f t="shared" si="37"/>
        <v>#N/A</v>
      </c>
      <c r="K265" s="125" t="e">
        <f t="shared" si="39"/>
        <v>#REF!</v>
      </c>
      <c r="L265" s="125" t="e">
        <f t="shared" si="40"/>
        <v>#REF!</v>
      </c>
      <c r="M265" s="5"/>
      <c r="N265" s="5"/>
      <c r="O265" s="5"/>
      <c r="P265" s="5" t="str">
        <f t="shared" si="41"/>
        <v>121353</v>
      </c>
      <c r="Q265" s="6">
        <f>VLOOKUP(P265,deuda!A$1:H$550,4,0)</f>
        <v>1</v>
      </c>
      <c r="R265" s="6">
        <f>VLOOKUP(P265,deuda!A$1:H$550,5,0)</f>
        <v>1</v>
      </c>
      <c r="S265" s="6">
        <f>IF(VLOOKUP(P265,deuda!A$1:H$550,6,0)=0,"",VLOOKUP(P265,deuda!A$1:H$550,6,0))</f>
        <v>1128.92</v>
      </c>
      <c r="T265" s="149" t="str">
        <f>IF((VLOOKUP(P265,deuda!A$1:H$550,7,0))=0,"",VLOOKUP(P265,deuda!A$1:H$550,7,0))</f>
        <v/>
      </c>
      <c r="U265" s="153" t="str">
        <f>IF((VLOOKUP(P265,deuda!A$1:H$550,8,0))=0,"",VLOOKUP(P265,deuda!A$1:H$550,8,0))</f>
        <v/>
      </c>
    </row>
    <row r="266" spans="1:21">
      <c r="A266" s="35">
        <v>10</v>
      </c>
      <c r="B266" s="6">
        <v>1213</v>
      </c>
      <c r="C266" s="5">
        <v>64</v>
      </c>
      <c r="D266" s="9">
        <v>6.2915999999999999</v>
      </c>
      <c r="E266" s="9">
        <f>IF((VLOOKUP(P266,deuda!A$1:H$550,4,0))=1,D266,0)</f>
        <v>0</v>
      </c>
      <c r="F266" s="5" t="s">
        <v>526</v>
      </c>
      <c r="G266" s="5"/>
      <c r="H266" s="636">
        <f t="shared" si="38"/>
        <v>0</v>
      </c>
      <c r="I266" s="620" t="e">
        <f t="shared" si="36"/>
        <v>#N/A</v>
      </c>
      <c r="J266" s="618" t="e">
        <f t="shared" si="37"/>
        <v>#N/A</v>
      </c>
      <c r="K266" s="125" t="e">
        <f t="shared" si="39"/>
        <v>#REF!</v>
      </c>
      <c r="L266" s="125" t="e">
        <f t="shared" si="40"/>
        <v>#REF!</v>
      </c>
      <c r="M266" s="5"/>
      <c r="N266" s="5"/>
      <c r="O266" s="5"/>
      <c r="P266" s="5" t="str">
        <f t="shared" si="41"/>
        <v>121364</v>
      </c>
      <c r="Q266" s="6">
        <f>VLOOKUP(P266,deuda!A$1:H$550,4,0)</f>
        <v>0</v>
      </c>
      <c r="R266" s="6">
        <f>VLOOKUP(P266,deuda!A$1:H$550,5,0)</f>
        <v>186</v>
      </c>
      <c r="S266" s="6">
        <f>IF(VLOOKUP(P266,deuda!A$1:H$550,6,0)=0,"",VLOOKUP(P266,deuda!A$1:H$550,6,0))</f>
        <v>180984.72</v>
      </c>
      <c r="T266" s="149" t="str">
        <f>IF((VLOOKUP(P266,deuda!A$1:H$550,7,0))=0,"",VLOOKUP(P266,deuda!A$1:H$550,7,0))</f>
        <v/>
      </c>
      <c r="U266" s="153" t="str">
        <f>IF((VLOOKUP(P266,deuda!A$1:H$550,8,0))=0,"",VLOOKUP(P266,deuda!A$1:H$550,8,0))</f>
        <v/>
      </c>
    </row>
    <row r="267" spans="1:21">
      <c r="A267" s="35">
        <v>11</v>
      </c>
      <c r="B267" s="6">
        <v>1213</v>
      </c>
      <c r="C267" s="5">
        <v>62</v>
      </c>
      <c r="D267" s="9">
        <v>5.8545999999999996</v>
      </c>
      <c r="E267" s="9">
        <f>IF((VLOOKUP(P267,deuda!A$1:H$550,4,0))=1,D267,0)</f>
        <v>5.8545999999999996</v>
      </c>
      <c r="F267" s="5" t="s">
        <v>527</v>
      </c>
      <c r="G267" s="5"/>
      <c r="H267" s="636">
        <f t="shared" si="38"/>
        <v>5.8545999999999996</v>
      </c>
      <c r="I267" s="620" t="e">
        <f t="shared" si="36"/>
        <v>#N/A</v>
      </c>
      <c r="J267" s="618" t="e">
        <f t="shared" si="37"/>
        <v>#N/A</v>
      </c>
      <c r="K267" s="125" t="e">
        <f t="shared" si="39"/>
        <v>#REF!</v>
      </c>
      <c r="L267" s="125" t="e">
        <f t="shared" si="40"/>
        <v>#REF!</v>
      </c>
      <c r="M267" s="5"/>
      <c r="N267" s="5"/>
      <c r="O267" s="5"/>
      <c r="P267" s="5" t="str">
        <f t="shared" si="41"/>
        <v>121362</v>
      </c>
      <c r="Q267" s="6">
        <f>VLOOKUP(P267,deuda!A$1:H$550,4,0)</f>
        <v>1</v>
      </c>
      <c r="R267" s="6">
        <f>VLOOKUP(P267,deuda!A$1:H$550,5,0)</f>
        <v>0</v>
      </c>
      <c r="S267" s="6" t="str">
        <f>IF(VLOOKUP(P267,deuda!A$1:H$550,6,0)=0,"",VLOOKUP(P267,deuda!A$1:H$550,6,0))</f>
        <v/>
      </c>
      <c r="T267" s="149" t="str">
        <f>IF((VLOOKUP(P267,deuda!A$1:H$550,7,0))=0,"",VLOOKUP(P267,deuda!A$1:H$550,7,0))</f>
        <v/>
      </c>
      <c r="U267" s="153" t="str">
        <f>IF((VLOOKUP(P267,deuda!A$1:H$550,8,0))=0,"",VLOOKUP(P267,deuda!A$1:H$550,8,0))</f>
        <v/>
      </c>
    </row>
    <row r="268" spans="1:21">
      <c r="A268" s="35">
        <v>12</v>
      </c>
      <c r="B268" s="6">
        <v>1213</v>
      </c>
      <c r="C268" s="5">
        <v>35</v>
      </c>
      <c r="D268" s="9">
        <v>14.1714</v>
      </c>
      <c r="E268" s="9">
        <f>IF((VLOOKUP(P268,deuda!A$1:H$550,4,0))=1,D268,0)</f>
        <v>14.1714</v>
      </c>
      <c r="F268" s="5" t="s">
        <v>528</v>
      </c>
      <c r="G268" s="5"/>
      <c r="H268" s="636">
        <f t="shared" si="38"/>
        <v>14.1714</v>
      </c>
      <c r="I268" s="620" t="e">
        <f t="shared" si="36"/>
        <v>#N/A</v>
      </c>
      <c r="J268" s="618" t="e">
        <f t="shared" si="37"/>
        <v>#N/A</v>
      </c>
      <c r="K268" s="125" t="e">
        <f t="shared" si="39"/>
        <v>#REF!</v>
      </c>
      <c r="L268" s="125" t="e">
        <f t="shared" si="40"/>
        <v>#REF!</v>
      </c>
      <c r="M268" s="5"/>
      <c r="N268" s="5"/>
      <c r="O268" s="5"/>
      <c r="P268" s="5" t="str">
        <f t="shared" si="41"/>
        <v>121335</v>
      </c>
      <c r="Q268" s="6">
        <f>VLOOKUP(P268,deuda!A$1:H$550,4,0)</f>
        <v>1</v>
      </c>
      <c r="R268" s="6">
        <f>VLOOKUP(P268,deuda!A$1:H$550,5,0)</f>
        <v>0</v>
      </c>
      <c r="S268" s="6" t="str">
        <f>IF(VLOOKUP(P268,deuda!A$1:H$550,6,0)=0,"",VLOOKUP(P268,deuda!A$1:H$550,6,0))</f>
        <v/>
      </c>
      <c r="T268" s="149" t="str">
        <f>IF((VLOOKUP(P268,deuda!A$1:H$550,7,0))=0,"",VLOOKUP(P268,deuda!A$1:H$550,7,0))</f>
        <v/>
      </c>
      <c r="U268" s="153" t="str">
        <f>IF((VLOOKUP(P268,deuda!A$1:H$550,8,0))=0,"",VLOOKUP(P268,deuda!A$1:H$550,8,0))</f>
        <v/>
      </c>
    </row>
    <row r="269" spans="1:21">
      <c r="A269" s="35">
        <v>13</v>
      </c>
      <c r="B269" s="6">
        <v>1213</v>
      </c>
      <c r="C269" s="5">
        <v>91</v>
      </c>
      <c r="D269" s="9">
        <v>4.6063999999999998</v>
      </c>
      <c r="E269" s="9">
        <f>IF((VLOOKUP(P269,deuda!A$1:H$550,4,0))=1,D269,0)</f>
        <v>4.6063999999999998</v>
      </c>
      <c r="F269" s="5" t="s">
        <v>529</v>
      </c>
      <c r="G269" s="5"/>
      <c r="H269" s="636">
        <f t="shared" si="38"/>
        <v>4.6063999999999998</v>
      </c>
      <c r="I269" s="620" t="e">
        <f t="shared" si="36"/>
        <v>#N/A</v>
      </c>
      <c r="J269" s="618" t="e">
        <f t="shared" si="37"/>
        <v>#N/A</v>
      </c>
      <c r="K269" s="125" t="e">
        <f t="shared" si="39"/>
        <v>#REF!</v>
      </c>
      <c r="L269" s="125" t="e">
        <f t="shared" si="40"/>
        <v>#REF!</v>
      </c>
      <c r="M269" s="5"/>
      <c r="N269" s="5"/>
      <c r="O269" s="5"/>
      <c r="P269" s="5" t="str">
        <f t="shared" si="41"/>
        <v>121391</v>
      </c>
      <c r="Q269" s="6">
        <f>VLOOKUP(P269,deuda!A$1:H$550,4,0)</f>
        <v>1</v>
      </c>
      <c r="R269" s="6">
        <f>VLOOKUP(P269,deuda!A$1:H$550,5,0)</f>
        <v>0</v>
      </c>
      <c r="S269" s="6" t="str">
        <f>IF(VLOOKUP(P269,deuda!A$1:H$550,6,0)=0,"",VLOOKUP(P269,deuda!A$1:H$550,6,0))</f>
        <v/>
      </c>
      <c r="T269" s="149" t="str">
        <f>IF((VLOOKUP(P269,deuda!A$1:H$550,7,0))=0,"",VLOOKUP(P269,deuda!A$1:H$550,7,0))</f>
        <v/>
      </c>
      <c r="U269" s="153" t="str">
        <f>IF((VLOOKUP(P269,deuda!A$1:H$550,8,0))=0,"",VLOOKUP(P269,deuda!A$1:H$550,8,0))</f>
        <v/>
      </c>
    </row>
    <row r="270" spans="1:21">
      <c r="A270" s="35">
        <v>14</v>
      </c>
      <c r="B270" s="6">
        <v>1213</v>
      </c>
      <c r="C270" s="5">
        <v>37</v>
      </c>
      <c r="D270" s="9">
        <v>14.486700000000001</v>
      </c>
      <c r="E270" s="9">
        <f>IF((VLOOKUP(P270,deuda!A$1:H$550,4,0))=1,D270,0)</f>
        <v>14.486700000000001</v>
      </c>
      <c r="F270" s="5" t="s">
        <v>530</v>
      </c>
      <c r="G270" s="5"/>
      <c r="H270" s="636">
        <f t="shared" si="38"/>
        <v>14.486700000000001</v>
      </c>
      <c r="I270" s="620" t="e">
        <f t="shared" si="36"/>
        <v>#N/A</v>
      </c>
      <c r="J270" s="618" t="e">
        <f t="shared" si="37"/>
        <v>#N/A</v>
      </c>
      <c r="K270" s="125" t="e">
        <f t="shared" si="39"/>
        <v>#REF!</v>
      </c>
      <c r="L270" s="125" t="e">
        <f t="shared" si="40"/>
        <v>#REF!</v>
      </c>
      <c r="M270" s="5"/>
      <c r="N270" s="5"/>
      <c r="O270" s="5"/>
      <c r="P270" s="5" t="str">
        <f t="shared" si="41"/>
        <v>121337</v>
      </c>
      <c r="Q270" s="6">
        <f>VLOOKUP(P270,deuda!A$1:H$550,4,0)</f>
        <v>1</v>
      </c>
      <c r="R270" s="6">
        <f>VLOOKUP(P270,deuda!A$1:H$550,5,0)</f>
        <v>2</v>
      </c>
      <c r="S270" s="6">
        <f>IF(VLOOKUP(P270,deuda!A$1:H$550,6,0)=0,"",VLOOKUP(P270,deuda!A$1:H$550,6,0))</f>
        <v>6501.03</v>
      </c>
      <c r="T270" s="149" t="str">
        <f>IF((VLOOKUP(P270,deuda!A$1:H$550,7,0))=0,"",VLOOKUP(P270,deuda!A$1:H$550,7,0))</f>
        <v/>
      </c>
      <c r="U270" s="153" t="str">
        <f>IF((VLOOKUP(P270,deuda!A$1:H$550,8,0))=0,"",VLOOKUP(P270,deuda!A$1:H$550,8,0))</f>
        <v/>
      </c>
    </row>
    <row r="271" spans="1:21">
      <c r="A271" s="35">
        <v>15</v>
      </c>
      <c r="B271" s="6">
        <v>1213</v>
      </c>
      <c r="C271" s="5">
        <v>323</v>
      </c>
      <c r="D271" s="9">
        <v>0.36330000000000001</v>
      </c>
      <c r="E271" s="9">
        <f>IF((VLOOKUP(P271,deuda!A$1:H$550,4,0))=1,D271,0)</f>
        <v>0</v>
      </c>
      <c r="F271" s="5" t="s">
        <v>531</v>
      </c>
      <c r="G271" s="5"/>
      <c r="H271" s="636">
        <f t="shared" si="38"/>
        <v>0</v>
      </c>
      <c r="I271" s="620" t="e">
        <f t="shared" si="36"/>
        <v>#N/A</v>
      </c>
      <c r="J271" s="618" t="e">
        <f t="shared" si="37"/>
        <v>#N/A</v>
      </c>
      <c r="K271" s="125" t="e">
        <f t="shared" si="39"/>
        <v>#REF!</v>
      </c>
      <c r="L271" s="125" t="e">
        <f t="shared" si="40"/>
        <v>#REF!</v>
      </c>
      <c r="M271" s="5"/>
      <c r="N271" s="5"/>
      <c r="O271" s="5"/>
      <c r="P271" s="5" t="str">
        <f t="shared" si="41"/>
        <v>1213323</v>
      </c>
      <c r="Q271" s="6">
        <f>VLOOKUP(P271,deuda!A$1:H$550,4,0)</f>
        <v>0</v>
      </c>
      <c r="R271" s="6">
        <f>VLOOKUP(P271,deuda!A$1:H$550,5,0)</f>
        <v>17</v>
      </c>
      <c r="S271" s="6">
        <f>IF(VLOOKUP(P271,deuda!A$1:H$550,6,0)=0,"",VLOOKUP(P271,deuda!A$1:H$550,6,0))</f>
        <v>4978.1400000000003</v>
      </c>
      <c r="T271" s="149" t="str">
        <f>IF((VLOOKUP(P271,deuda!A$1:H$550,7,0))=0,"",VLOOKUP(P271,deuda!A$1:H$550,7,0))</f>
        <v/>
      </c>
      <c r="U271" s="153" t="str">
        <f>IF((VLOOKUP(P271,deuda!A$1:H$550,8,0))=0,"",VLOOKUP(P271,deuda!A$1:H$550,8,0))</f>
        <v/>
      </c>
    </row>
    <row r="272" spans="1:21">
      <c r="A272" s="35">
        <v>16</v>
      </c>
      <c r="B272" s="6">
        <v>1213</v>
      </c>
      <c r="C272" s="5">
        <v>50</v>
      </c>
      <c r="D272" s="9">
        <v>6.625</v>
      </c>
      <c r="E272" s="9" t="e">
        <f>IF((VLOOKUP(P272,deuda!A$1:H$550,4,0))=1,D272,0)</f>
        <v>#N/A</v>
      </c>
      <c r="F272" s="5" t="s">
        <v>532</v>
      </c>
      <c r="G272" s="5"/>
      <c r="H272" s="636" t="e">
        <f t="shared" si="38"/>
        <v>#N/A</v>
      </c>
      <c r="I272" s="620" t="e">
        <f t="shared" si="36"/>
        <v>#N/A</v>
      </c>
      <c r="J272" s="618" t="e">
        <f t="shared" si="37"/>
        <v>#N/A</v>
      </c>
      <c r="K272" s="125" t="e">
        <f t="shared" si="39"/>
        <v>#REF!</v>
      </c>
      <c r="L272" s="125" t="e">
        <f t="shared" si="40"/>
        <v>#REF!</v>
      </c>
      <c r="M272" s="5"/>
      <c r="N272" s="5"/>
      <c r="O272" s="5"/>
      <c r="P272" s="5" t="str">
        <f t="shared" si="41"/>
        <v>121350</v>
      </c>
      <c r="Q272" s="6" t="e">
        <f>VLOOKUP(P272,deuda!A$1:H$550,4,0)</f>
        <v>#N/A</v>
      </c>
      <c r="R272" s="6" t="e">
        <f>VLOOKUP(P272,deuda!A$1:H$550,5,0)</f>
        <v>#N/A</v>
      </c>
      <c r="S272" s="6" t="e">
        <f>IF(VLOOKUP(P272,deuda!A$1:H$550,6,0)=0,"",VLOOKUP(P272,deuda!A$1:H$550,6,0))</f>
        <v>#N/A</v>
      </c>
      <c r="T272" s="149" t="e">
        <f>IF((VLOOKUP(P272,deuda!A$1:H$550,7,0))=0,"",VLOOKUP(P272,deuda!A$1:H$550,7,0))</f>
        <v>#N/A</v>
      </c>
      <c r="U272" s="153" t="e">
        <f>IF((VLOOKUP(P272,deuda!A$1:H$550,8,0))=0,"",VLOOKUP(P272,deuda!A$1:H$550,8,0))</f>
        <v>#N/A</v>
      </c>
    </row>
    <row r="273" spans="1:21">
      <c r="A273" s="35">
        <v>17</v>
      </c>
      <c r="B273" s="6">
        <v>1213</v>
      </c>
      <c r="C273" s="5">
        <v>67</v>
      </c>
      <c r="D273" s="9">
        <v>3.1457999999999999</v>
      </c>
      <c r="E273" s="9" t="e">
        <f>IF((VLOOKUP(P273,deuda!A$1:H$550,4,0))=1,D273,0)</f>
        <v>#N/A</v>
      </c>
      <c r="F273" s="5" t="s">
        <v>533</v>
      </c>
      <c r="G273" s="5"/>
      <c r="H273" s="636" t="e">
        <f t="shared" si="38"/>
        <v>#N/A</v>
      </c>
      <c r="I273" s="620" t="e">
        <f t="shared" si="36"/>
        <v>#N/A</v>
      </c>
      <c r="J273" s="618" t="e">
        <f t="shared" si="37"/>
        <v>#N/A</v>
      </c>
      <c r="K273" s="125" t="e">
        <f t="shared" si="39"/>
        <v>#REF!</v>
      </c>
      <c r="L273" s="125" t="e">
        <f t="shared" si="40"/>
        <v>#REF!</v>
      </c>
      <c r="M273" s="5"/>
      <c r="N273" s="5"/>
      <c r="O273" s="5"/>
      <c r="P273" s="5" t="str">
        <f t="shared" si="41"/>
        <v>121367</v>
      </c>
      <c r="Q273" s="6" t="e">
        <f>VLOOKUP(P273,deuda!A$1:H$550,4,0)</f>
        <v>#N/A</v>
      </c>
      <c r="R273" s="6" t="e">
        <f>VLOOKUP(P273,deuda!A$1:H$550,5,0)</f>
        <v>#N/A</v>
      </c>
      <c r="S273" s="6" t="e">
        <f>IF(VLOOKUP(P273,deuda!A$1:H$550,6,0)=0,"",VLOOKUP(P273,deuda!A$1:H$550,6,0))</f>
        <v>#N/A</v>
      </c>
      <c r="T273" s="149" t="e">
        <f>IF((VLOOKUP(P273,deuda!A$1:H$550,7,0))=0,"",VLOOKUP(P273,deuda!A$1:H$550,7,0))</f>
        <v>#N/A</v>
      </c>
      <c r="U273" s="153" t="e">
        <f>IF((VLOOKUP(P273,deuda!A$1:H$550,8,0))=0,"",VLOOKUP(P273,deuda!A$1:H$550,8,0))</f>
        <v>#N/A</v>
      </c>
    </row>
    <row r="274" spans="1:21">
      <c r="A274" s="35">
        <v>18</v>
      </c>
      <c r="B274" s="6">
        <v>1213</v>
      </c>
      <c r="C274" s="5">
        <v>54</v>
      </c>
      <c r="D274" s="9">
        <v>1.4839</v>
      </c>
      <c r="E274" s="9">
        <f>IF((VLOOKUP(P274,deuda!A$1:H$550,4,0))=1,D274,0)</f>
        <v>0</v>
      </c>
      <c r="F274" s="5" t="s">
        <v>534</v>
      </c>
      <c r="G274" s="5"/>
      <c r="H274" s="636">
        <f t="shared" si="38"/>
        <v>0</v>
      </c>
      <c r="I274" s="620" t="e">
        <f t="shared" si="36"/>
        <v>#N/A</v>
      </c>
      <c r="J274" s="618" t="e">
        <f t="shared" si="37"/>
        <v>#N/A</v>
      </c>
      <c r="K274" s="125" t="e">
        <f t="shared" si="39"/>
        <v>#REF!</v>
      </c>
      <c r="L274" s="125" t="e">
        <f t="shared" si="40"/>
        <v>#REF!</v>
      </c>
      <c r="M274" s="5"/>
      <c r="N274" s="5"/>
      <c r="O274" s="5"/>
      <c r="P274" s="5" t="str">
        <f t="shared" si="41"/>
        <v>121354</v>
      </c>
      <c r="Q274" s="6">
        <f>VLOOKUP(P274,deuda!A$1:H$550,4,0)</f>
        <v>0</v>
      </c>
      <c r="R274" s="6">
        <f>VLOOKUP(P274,deuda!A$1:H$550,5,0)</f>
        <v>48</v>
      </c>
      <c r="S274" s="6">
        <f>IF(VLOOKUP(P274,deuda!A$1:H$550,6,0)=0,"",VLOOKUP(P274,deuda!A$1:H$550,6,0))</f>
        <v>22249.24</v>
      </c>
      <c r="T274" s="149" t="str">
        <f>IF((VLOOKUP(P274,deuda!A$1:H$550,7,0))=0,"",VLOOKUP(P274,deuda!A$1:H$550,7,0))</f>
        <v/>
      </c>
      <c r="U274" s="153" t="str">
        <f>IF((VLOOKUP(P274,deuda!A$1:H$550,8,0))=0,"",VLOOKUP(P274,deuda!A$1:H$550,8,0))</f>
        <v/>
      </c>
    </row>
    <row r="275" spans="1:21">
      <c r="A275" s="35">
        <v>19</v>
      </c>
      <c r="B275" s="6">
        <v>1213</v>
      </c>
      <c r="C275" s="5">
        <v>31</v>
      </c>
      <c r="D275" s="9">
        <v>1.7303999999999999</v>
      </c>
      <c r="E275" s="9">
        <f>IF((VLOOKUP(P275,deuda!A$1:H$550,4,0))=1,D275,0)</f>
        <v>1.7303999999999999</v>
      </c>
      <c r="F275" s="5" t="s">
        <v>535</v>
      </c>
      <c r="G275" s="5"/>
      <c r="H275" s="636">
        <f t="shared" si="38"/>
        <v>1.7303999999999999</v>
      </c>
      <c r="I275" s="620" t="e">
        <f t="shared" si="36"/>
        <v>#N/A</v>
      </c>
      <c r="J275" s="618" t="e">
        <f t="shared" si="37"/>
        <v>#N/A</v>
      </c>
      <c r="K275" s="125" t="e">
        <f t="shared" si="39"/>
        <v>#REF!</v>
      </c>
      <c r="L275" s="125" t="e">
        <f t="shared" si="40"/>
        <v>#REF!</v>
      </c>
      <c r="M275" s="5"/>
      <c r="N275" s="5"/>
      <c r="O275" s="5"/>
      <c r="P275" s="5" t="str">
        <f t="shared" si="41"/>
        <v>121331</v>
      </c>
      <c r="Q275" s="6">
        <f>VLOOKUP(P275,deuda!A$1:H$550,4,0)</f>
        <v>1</v>
      </c>
      <c r="R275" s="6">
        <f>VLOOKUP(P275,deuda!A$1:H$550,5,0)</f>
        <v>0</v>
      </c>
      <c r="S275" s="6">
        <f>IF(VLOOKUP(P275,deuda!A$1:H$550,6,0)=0,"",VLOOKUP(P275,deuda!A$1:H$550,6,0))</f>
        <v>88.6</v>
      </c>
      <c r="T275" s="149" t="str">
        <f>IF((VLOOKUP(P275,deuda!A$1:H$550,7,0))=0,"",VLOOKUP(P275,deuda!A$1:H$550,7,0))</f>
        <v/>
      </c>
      <c r="U275" s="153" t="str">
        <f>IF((VLOOKUP(P275,deuda!A$1:H$550,8,0))=0,"",VLOOKUP(P275,deuda!A$1:H$550,8,0))</f>
        <v/>
      </c>
    </row>
    <row r="276" spans="1:21">
      <c r="A276" s="35">
        <v>19</v>
      </c>
      <c r="B276" s="6">
        <v>1213</v>
      </c>
      <c r="C276" s="5">
        <v>309</v>
      </c>
      <c r="D276" s="9">
        <v>2.5293000000000001</v>
      </c>
      <c r="E276" s="9">
        <f>IF((VLOOKUP(P276,deuda!A$1:H$550,4,0))=1,D276,0)</f>
        <v>2.5293000000000001</v>
      </c>
      <c r="F276" s="5" t="s">
        <v>535</v>
      </c>
      <c r="G276" s="5"/>
      <c r="H276" s="636">
        <f t="shared" si="38"/>
        <v>2.5293000000000001</v>
      </c>
      <c r="I276" s="620" t="e">
        <f t="shared" si="36"/>
        <v>#N/A</v>
      </c>
      <c r="J276" s="618" t="e">
        <f t="shared" si="37"/>
        <v>#N/A</v>
      </c>
      <c r="K276" s="125" t="e">
        <f t="shared" si="39"/>
        <v>#REF!</v>
      </c>
      <c r="L276" s="125" t="e">
        <f t="shared" si="40"/>
        <v>#REF!</v>
      </c>
      <c r="M276" s="5"/>
      <c r="N276" s="5"/>
      <c r="O276" s="5"/>
      <c r="P276" s="5" t="str">
        <f t="shared" si="41"/>
        <v>1213309</v>
      </c>
      <c r="Q276" s="6">
        <f>VLOOKUP(P276,deuda!A$1:H$550,4,0)</f>
        <v>1</v>
      </c>
      <c r="R276" s="6">
        <f>VLOOKUP(P276,deuda!A$1:H$550,5,0)</f>
        <v>1</v>
      </c>
      <c r="S276" s="6">
        <f>IF(VLOOKUP(P276,deuda!A$1:H$550,6,0)=0,"",VLOOKUP(P276,deuda!A$1:H$550,6,0))</f>
        <v>769.84</v>
      </c>
      <c r="T276" s="149" t="str">
        <f>IF((VLOOKUP(P276,deuda!A$1:H$550,7,0))=0,"",VLOOKUP(P276,deuda!A$1:H$550,7,0))</f>
        <v/>
      </c>
      <c r="U276" s="153" t="str">
        <f>IF((VLOOKUP(P276,deuda!A$1:H$550,8,0))=0,"",VLOOKUP(P276,deuda!A$1:H$550,8,0))</f>
        <v/>
      </c>
    </row>
    <row r="277" spans="1:21">
      <c r="A277" s="35">
        <v>20</v>
      </c>
      <c r="B277" s="6">
        <v>1213</v>
      </c>
      <c r="C277" s="5">
        <v>311</v>
      </c>
      <c r="D277" s="9">
        <v>1.4438</v>
      </c>
      <c r="E277" s="9" t="e">
        <f>IF((VLOOKUP(P277,deuda!A$1:H$550,4,0))=1,D277,0)</f>
        <v>#N/A</v>
      </c>
      <c r="F277" s="5" t="s">
        <v>536</v>
      </c>
      <c r="G277" s="5"/>
      <c r="H277" s="636" t="e">
        <f t="shared" si="38"/>
        <v>#N/A</v>
      </c>
      <c r="I277" s="620" t="e">
        <f t="shared" si="36"/>
        <v>#N/A</v>
      </c>
      <c r="J277" s="618" t="e">
        <f t="shared" si="37"/>
        <v>#N/A</v>
      </c>
      <c r="K277" s="125" t="e">
        <f t="shared" si="39"/>
        <v>#REF!</v>
      </c>
      <c r="L277" s="125" t="e">
        <f t="shared" si="40"/>
        <v>#REF!</v>
      </c>
      <c r="M277" s="5"/>
      <c r="N277" s="5"/>
      <c r="O277" s="5"/>
      <c r="P277" s="5" t="str">
        <f t="shared" si="41"/>
        <v>1213311</v>
      </c>
      <c r="Q277" s="6" t="e">
        <f>VLOOKUP(P277,deuda!A$1:H$550,4,0)</f>
        <v>#N/A</v>
      </c>
      <c r="R277" s="6" t="e">
        <f>VLOOKUP(P277,deuda!A$1:H$550,5,0)</f>
        <v>#N/A</v>
      </c>
      <c r="S277" s="6" t="e">
        <f>IF(VLOOKUP(P277,deuda!A$1:H$550,6,0)=0,"",VLOOKUP(P277,deuda!A$1:H$550,6,0))</f>
        <v>#N/A</v>
      </c>
      <c r="T277" s="149" t="e">
        <f>IF((VLOOKUP(P277,deuda!A$1:H$550,7,0))=0,"",VLOOKUP(P277,deuda!A$1:H$550,7,0))</f>
        <v>#N/A</v>
      </c>
      <c r="U277" s="153" t="e">
        <f>IF((VLOOKUP(P277,deuda!A$1:H$550,8,0))=0,"",VLOOKUP(P277,deuda!A$1:H$550,8,0))</f>
        <v>#N/A</v>
      </c>
    </row>
    <row r="278" spans="1:21">
      <c r="A278" s="35">
        <v>21</v>
      </c>
      <c r="B278" s="6">
        <v>1213</v>
      </c>
      <c r="C278" s="5">
        <v>189</v>
      </c>
      <c r="D278" s="9">
        <v>2.5165000000000002</v>
      </c>
      <c r="E278" s="9" t="e">
        <f>IF((VLOOKUP(P278,deuda!A$1:H$550,4,0))=1,D278,0)</f>
        <v>#N/A</v>
      </c>
      <c r="F278" s="5" t="s">
        <v>537</v>
      </c>
      <c r="G278" s="5"/>
      <c r="H278" s="636" t="e">
        <f t="shared" si="38"/>
        <v>#N/A</v>
      </c>
      <c r="I278" s="620" t="e">
        <f t="shared" si="36"/>
        <v>#N/A</v>
      </c>
      <c r="J278" s="618" t="e">
        <f t="shared" si="37"/>
        <v>#N/A</v>
      </c>
      <c r="K278" s="125" t="e">
        <f t="shared" si="39"/>
        <v>#REF!</v>
      </c>
      <c r="L278" s="125" t="e">
        <f t="shared" si="40"/>
        <v>#REF!</v>
      </c>
      <c r="M278" s="5"/>
      <c r="N278" s="5"/>
      <c r="O278" s="5"/>
      <c r="P278" s="5" t="str">
        <f t="shared" si="41"/>
        <v>1213189</v>
      </c>
      <c r="Q278" s="6" t="e">
        <f>VLOOKUP(P278,deuda!A$1:H$550,4,0)</f>
        <v>#N/A</v>
      </c>
      <c r="R278" s="6" t="e">
        <f>VLOOKUP(P278,deuda!A$1:H$550,5,0)</f>
        <v>#N/A</v>
      </c>
      <c r="S278" s="6" t="e">
        <f>IF(VLOOKUP(P278,deuda!A$1:H$550,6,0)=0,"",VLOOKUP(P278,deuda!A$1:H$550,6,0))</f>
        <v>#N/A</v>
      </c>
      <c r="T278" s="149" t="e">
        <f>IF((VLOOKUP(P278,deuda!A$1:H$550,7,0))=0,"",VLOOKUP(P278,deuda!A$1:H$550,7,0))</f>
        <v>#N/A</v>
      </c>
      <c r="U278" s="153" t="e">
        <f>IF((VLOOKUP(P278,deuda!A$1:H$550,8,0))=0,"",VLOOKUP(P278,deuda!A$1:H$550,8,0))</f>
        <v>#N/A</v>
      </c>
    </row>
    <row r="279" spans="1:21" ht="12.75" customHeight="1" thickBot="1">
      <c r="A279" s="36">
        <v>22</v>
      </c>
      <c r="B279" s="33">
        <v>1213</v>
      </c>
      <c r="C279" s="29">
        <v>269</v>
      </c>
      <c r="D279" s="40">
        <v>1.0485</v>
      </c>
      <c r="E279" s="40">
        <f>IF((VLOOKUP(P279,deuda!A$1:H$550,4,0))=1,D279,0)</f>
        <v>1.0485</v>
      </c>
      <c r="F279" s="29" t="s">
        <v>538</v>
      </c>
      <c r="G279" s="29"/>
      <c r="H279" s="637">
        <f t="shared" si="38"/>
        <v>1.0485</v>
      </c>
      <c r="I279" s="630" t="e">
        <f t="shared" si="36"/>
        <v>#N/A</v>
      </c>
      <c r="J279" s="621" t="e">
        <f t="shared" si="37"/>
        <v>#N/A</v>
      </c>
      <c r="K279" s="125" t="e">
        <f t="shared" si="39"/>
        <v>#REF!</v>
      </c>
      <c r="L279" s="125" t="e">
        <f t="shared" si="40"/>
        <v>#REF!</v>
      </c>
      <c r="M279" s="29"/>
      <c r="N279" s="29"/>
      <c r="O279" s="29"/>
      <c r="P279" s="29" t="str">
        <f t="shared" si="41"/>
        <v>1213269</v>
      </c>
      <c r="Q279" s="33">
        <f>VLOOKUP(P279,deuda!A$1:H$550,4,0)</f>
        <v>1</v>
      </c>
      <c r="R279" s="33">
        <f>VLOOKUP(P279,deuda!A$1:H$550,5,0)</f>
        <v>0</v>
      </c>
      <c r="S279" s="33" t="str">
        <f>IF(VLOOKUP(P279,deuda!A$1:H$550,6,0)=0,"",VLOOKUP(P279,deuda!A$1:H$550,6,0))</f>
        <v/>
      </c>
      <c r="T279" s="154" t="str">
        <f>IF((VLOOKUP(P279,deuda!A$1:H$550,7,0))=0,"",VLOOKUP(P279,deuda!A$1:H$550,7,0))</f>
        <v/>
      </c>
      <c r="U279" s="155" t="str">
        <f>IF((VLOOKUP(P279,deuda!A$1:H$550,8,0))=0,"",VLOOKUP(P279,deuda!A$1:H$550,8,0))</f>
        <v/>
      </c>
    </row>
    <row r="280" spans="1:21">
      <c r="D280" s="187">
        <f>SUM(D256:D279)</f>
        <v>101.32489999999999</v>
      </c>
      <c r="E280" s="187" t="e">
        <f>SUM(E256:E279)</f>
        <v>#N/A</v>
      </c>
      <c r="F280" s="158"/>
      <c r="G280" s="158"/>
      <c r="H280" s="161" t="e">
        <f>SUM(H256:H279)</f>
        <v>#N/A</v>
      </c>
      <c r="I280" s="131" t="e">
        <f>SUM(I256:I279)</f>
        <v>#N/A</v>
      </c>
      <c r="J280" s="162" t="e">
        <f>SUM(J256:J279)</f>
        <v>#N/A</v>
      </c>
      <c r="K280" s="72"/>
      <c r="L280" s="72"/>
    </row>
  </sheetData>
  <mergeCells count="43">
    <mergeCell ref="C135:D135"/>
    <mergeCell ref="A80:B80"/>
    <mergeCell ref="C80:D80"/>
    <mergeCell ref="A7:B7"/>
    <mergeCell ref="C7:D7"/>
    <mergeCell ref="A10:B10"/>
    <mergeCell ref="A6:B6"/>
    <mergeCell ref="C6:D6"/>
    <mergeCell ref="A248:B248"/>
    <mergeCell ref="C248:D248"/>
    <mergeCell ref="A252:B252"/>
    <mergeCell ref="A200:B200"/>
    <mergeCell ref="A249:B249"/>
    <mergeCell ref="C249:D249"/>
    <mergeCell ref="A174:B174"/>
    <mergeCell ref="A138:B138"/>
    <mergeCell ref="A170:B170"/>
    <mergeCell ref="C170:D170"/>
    <mergeCell ref="A196:B196"/>
    <mergeCell ref="C196:D196"/>
    <mergeCell ref="A171:B171"/>
    <mergeCell ref="C171:D171"/>
    <mergeCell ref="B2:F2"/>
    <mergeCell ref="E13:F13"/>
    <mergeCell ref="F203:G203"/>
    <mergeCell ref="A29:B29"/>
    <mergeCell ref="C29:D29"/>
    <mergeCell ref="A30:B30"/>
    <mergeCell ref="C30:D30"/>
    <mergeCell ref="A33:B33"/>
    <mergeCell ref="A79:B79"/>
    <mergeCell ref="C79:D79"/>
    <mergeCell ref="A83:B83"/>
    <mergeCell ref="A134:B134"/>
    <mergeCell ref="C134:D134"/>
    <mergeCell ref="A135:B135"/>
    <mergeCell ref="A197:B197"/>
    <mergeCell ref="C197:D197"/>
    <mergeCell ref="F255:G255"/>
    <mergeCell ref="F36:G36"/>
    <mergeCell ref="F85:G85"/>
    <mergeCell ref="F141:G141"/>
    <mergeCell ref="F177:G177"/>
  </mergeCells>
  <phoneticPr fontId="0" type="noConversion"/>
  <dataValidations count="1">
    <dataValidation type="whole" allowBlank="1" showInputMessage="1" showErrorMessage="1" errorTitle="ATENCIÓN" error="EL ÚNICO VALOR QUE PUEDE INGRESARSE ES EL &quot;2&quot;" promptTitle="RECORDAR" prompt="NO OLVIDE VOLVER A PEGAR LA FORMULA PARA QUE LA PLANILLA LEA AUTOMATICAMENTE LOS DATOS " sqref="Q37" xr:uid="{00000000-0002-0000-2600-000000000000}">
      <formula1>2</formula1>
      <formula2>2</formula2>
    </dataValidation>
  </dataValidations>
  <pageMargins left="0.17" right="0.16" top="0.18" bottom="0.18" header="0" footer="0"/>
  <pageSetup paperSize="9" scale="84" orientation="landscape" horizontalDpi="300" verticalDpi="300" r:id="rId1"/>
  <headerFooter alignWithMargins="0"/>
  <rowBreaks count="6" manualBreakCount="6">
    <brk id="22" max="12" man="1"/>
    <brk id="73" max="12" man="1"/>
    <brk id="126" max="16383" man="1"/>
    <brk id="162" max="12" man="1"/>
    <brk id="189" max="12" man="1"/>
    <brk id="242" max="16383" man="1"/>
  </rowBreaks>
  <colBreaks count="1" manualBreakCount="1">
    <brk id="15" max="1048575" man="1"/>
  </colBreaks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2"/>
  <dimension ref="A1:H2090"/>
  <sheetViews>
    <sheetView zoomScaleNormal="100" workbookViewId="0" xr3:uid="{FB84E6B5-2F03-524A-B55D-05F6A9FA1888}"/>
  </sheetViews>
  <sheetFormatPr defaultColWidth="11.42578125" defaultRowHeight="12.75"/>
  <cols>
    <col min="3" max="3" width="11.5703125" bestFit="1" customWidth="1"/>
    <col min="4" max="4" width="20.85546875" bestFit="1" customWidth="1"/>
    <col min="6" max="7" width="11.5703125" bestFit="1" customWidth="1"/>
  </cols>
  <sheetData>
    <row r="1" spans="1:8">
      <c r="A1" s="108"/>
      <c r="B1" s="109"/>
      <c r="C1" s="109"/>
      <c r="D1" s="109"/>
      <c r="E1" s="109"/>
      <c r="F1" s="109"/>
      <c r="G1" s="109"/>
      <c r="H1" s="110"/>
    </row>
    <row r="2" spans="1:8">
      <c r="A2" s="80"/>
      <c r="B2" s="147" t="s">
        <v>64</v>
      </c>
      <c r="C2" s="81"/>
      <c r="D2" s="81"/>
      <c r="E2" s="81"/>
      <c r="F2" s="81"/>
      <c r="G2" s="81"/>
      <c r="H2" s="111"/>
    </row>
    <row r="3" spans="1:8">
      <c r="A3" s="80"/>
      <c r="B3" s="81"/>
      <c r="C3" s="81"/>
      <c r="D3" s="81"/>
      <c r="E3" s="81"/>
      <c r="F3" s="81"/>
      <c r="G3" s="81"/>
      <c r="H3" s="111"/>
    </row>
    <row r="4" spans="1:8">
      <c r="A4" s="80"/>
      <c r="B4" s="81" t="s">
        <v>139</v>
      </c>
      <c r="C4" s="81" t="str">
        <f>VLOOKUP(G5,'17_1'!$A$37:$G$70,6,0)</f>
        <v>AMADEO MARAÑON BGAS.Y VDOS.S.A.I.C.A.</v>
      </c>
      <c r="D4" s="81"/>
      <c r="E4" s="81"/>
      <c r="F4" s="81"/>
      <c r="G4" s="138" t="s">
        <v>102</v>
      </c>
      <c r="H4" s="111"/>
    </row>
    <row r="5" spans="1:8">
      <c r="A5" s="80"/>
      <c r="B5" s="81" t="s">
        <v>72</v>
      </c>
      <c r="C5" s="81" t="str">
        <f>+'17_1'!$A$24</f>
        <v>Hijuela Gelvez - DIRECTOS</v>
      </c>
      <c r="D5" s="81"/>
      <c r="E5" s="81"/>
      <c r="F5" s="81"/>
      <c r="G5" s="138">
        <v>1</v>
      </c>
      <c r="H5" s="111"/>
    </row>
    <row r="6" spans="1:8">
      <c r="A6" s="80"/>
      <c r="B6" s="81"/>
      <c r="C6" s="81"/>
      <c r="D6" s="81"/>
      <c r="E6" s="81"/>
      <c r="F6" s="81"/>
      <c r="G6" s="81"/>
      <c r="H6" s="111"/>
    </row>
    <row r="7" spans="1:8">
      <c r="A7" s="80"/>
      <c r="B7" s="81" t="s">
        <v>140</v>
      </c>
      <c r="C7" s="138">
        <f>VLOOKUP(G5,'17_1'!$A$37:$B$70,2,0)</f>
        <v>1213</v>
      </c>
      <c r="D7" s="81"/>
      <c r="E7" s="139" t="s">
        <v>141</v>
      </c>
      <c r="F7" s="141" t="e">
        <f>DSUM('17_1'!A$36:J$70,'17_1'!$J$36,G4:G5)</f>
        <v>#VALUE!</v>
      </c>
      <c r="G7" s="81"/>
      <c r="H7" s="111"/>
    </row>
    <row r="8" spans="1:8">
      <c r="A8" s="80"/>
      <c r="B8" s="81" t="s">
        <v>142</v>
      </c>
      <c r="C8" s="205" t="s">
        <v>539</v>
      </c>
      <c r="D8" s="81"/>
      <c r="E8" s="81"/>
      <c r="F8" s="81"/>
      <c r="G8" s="81"/>
      <c r="H8" s="111"/>
    </row>
    <row r="9" spans="1:8">
      <c r="A9" s="80"/>
      <c r="B9" s="81" t="s">
        <v>144</v>
      </c>
      <c r="C9" s="206">
        <f>DSUM('17_1'!$A$36:$H$70,'17_1'!$H$36,G4:G5)</f>
        <v>18.1755</v>
      </c>
      <c r="D9" s="81"/>
      <c r="E9" s="81"/>
      <c r="F9" s="584"/>
      <c r="G9" s="584"/>
      <c r="H9" s="111"/>
    </row>
    <row r="10" spans="1:8" ht="15.75">
      <c r="A10" s="80"/>
      <c r="B10" s="81"/>
      <c r="C10" s="81" t="s">
        <v>146</v>
      </c>
      <c r="D10" s="145" t="e">
        <f>DMIN('17_1'!A$36:K$70,'17_1'!$K$36,G4:G5)</f>
        <v>#REF!</v>
      </c>
      <c r="E10" s="189" t="e">
        <f>IF(F10=1,"Domingo",IF(F10=2,"Lunes",IF(F10=3,"Martes",IF(F10=4,"Miercoles",IF(F10=5,"Jueves",IF(F10=6,"Viernes",IF(F10=7,"Sábado",0)))))))</f>
        <v>#REF!</v>
      </c>
      <c r="F10" s="190" t="e">
        <f>WEEKDAY(D10)</f>
        <v>#REF!</v>
      </c>
      <c r="G10" s="142"/>
      <c r="H10" s="111"/>
    </row>
    <row r="11" spans="1:8" ht="15.75">
      <c r="A11" s="80"/>
      <c r="B11" s="81"/>
      <c r="C11" s="81" t="s">
        <v>147</v>
      </c>
      <c r="D11" s="145" t="e">
        <f>DMAX('17_1'!A$36:L$70,'17_1'!$L$36,G4:G5)</f>
        <v>#REF!</v>
      </c>
      <c r="E11" s="189" t="e">
        <f>IF(F11=1,"Domingo",IF(F11=2,"Lunes",IF(F11=3,"Martes",IF(F11=4,"Miercoles",IF(F11=5,"Jueves",IF(F11=6,"Viernes",IF(F11=7,"Sábado",0)))))))</f>
        <v>#REF!</v>
      </c>
      <c r="F11" s="190" t="e">
        <f>WEEKDAY(D11)</f>
        <v>#REF!</v>
      </c>
      <c r="G11" s="142"/>
      <c r="H11" s="111"/>
    </row>
    <row r="12" spans="1:8">
      <c r="A12" s="80"/>
      <c r="B12" s="81"/>
      <c r="C12" s="81"/>
      <c r="D12" s="81"/>
      <c r="E12" s="81"/>
      <c r="F12" s="584"/>
      <c r="G12" s="584"/>
      <c r="H12" s="111"/>
    </row>
    <row r="13" spans="1:8">
      <c r="A13" s="80"/>
      <c r="B13" s="146">
        <f>+Mensajes!$B$7</f>
        <v>0</v>
      </c>
      <c r="C13" s="81"/>
      <c r="D13" s="81"/>
      <c r="E13" s="81"/>
      <c r="F13" s="81"/>
      <c r="G13" s="81"/>
      <c r="H13" s="111"/>
    </row>
    <row r="14" spans="1:8">
      <c r="A14" s="80"/>
      <c r="B14" s="146">
        <f>+Mensajes!$B$12</f>
        <v>0</v>
      </c>
      <c r="C14" s="81"/>
      <c r="D14" s="81"/>
      <c r="E14" s="81"/>
      <c r="F14" s="81"/>
      <c r="G14" s="81"/>
      <c r="H14" s="111"/>
    </row>
    <row r="15" spans="1:8">
      <c r="A15" s="80"/>
      <c r="B15" s="146" t="str">
        <f>IF(VLOOKUP(G5,'17_1'!$A$37:$N$70,14,0)=0,"",VLOOKUP(G5,'17_1'!$A$37:$N$70,14,0))</f>
        <v/>
      </c>
      <c r="C15" s="81"/>
      <c r="D15" s="81"/>
      <c r="E15" s="81"/>
      <c r="F15" s="81"/>
      <c r="G15" s="81"/>
      <c r="H15" s="111"/>
    </row>
    <row r="16" spans="1:8">
      <c r="A16" s="140"/>
      <c r="B16" s="188" t="str">
        <f>IF(DSUM('17_1'!$A$36:$Q$70,17,G4:G5)=COUNTIF('17_1'!$A$37:$A$70,G5),"","Regularice su Deuda")</f>
        <v/>
      </c>
      <c r="C16" s="82"/>
      <c r="D16" s="82"/>
      <c r="E16" s="82"/>
      <c r="F16" s="82"/>
      <c r="G16" s="82"/>
      <c r="H16" s="83"/>
    </row>
    <row r="18" spans="1:8">
      <c r="A18" s="108"/>
      <c r="B18" s="109"/>
      <c r="C18" s="109"/>
      <c r="D18" s="109"/>
      <c r="E18" s="109"/>
      <c r="F18" s="109"/>
      <c r="G18" s="109"/>
      <c r="H18" s="110"/>
    </row>
    <row r="19" spans="1:8">
      <c r="A19" s="80"/>
      <c r="B19" s="147" t="s">
        <v>64</v>
      </c>
      <c r="C19" s="81"/>
      <c r="D19" s="81"/>
      <c r="E19" s="81"/>
      <c r="F19" s="81"/>
      <c r="G19" s="81"/>
      <c r="H19" s="111"/>
    </row>
    <row r="20" spans="1:8">
      <c r="A20" s="80"/>
      <c r="B20" s="81"/>
      <c r="C20" s="81"/>
      <c r="D20" s="81"/>
      <c r="E20" s="81"/>
      <c r="F20" s="81"/>
      <c r="G20" s="81"/>
      <c r="H20" s="111"/>
    </row>
    <row r="21" spans="1:8">
      <c r="A21" s="80"/>
      <c r="B21" s="81" t="s">
        <v>139</v>
      </c>
      <c r="C21" s="81" t="str">
        <f>VLOOKUP(G22,'17_1'!$A$37:$G$70,6,0)</f>
        <v>GOMEZ, DIEGO</v>
      </c>
      <c r="D21" s="81"/>
      <c r="E21" s="81"/>
      <c r="F21" s="81"/>
      <c r="G21" s="138" t="s">
        <v>102</v>
      </c>
      <c r="H21" s="111"/>
    </row>
    <row r="22" spans="1:8">
      <c r="A22" s="80"/>
      <c r="B22" s="81" t="s">
        <v>72</v>
      </c>
      <c r="C22" s="81" t="str">
        <f>+'17_1'!$A$24</f>
        <v>Hijuela Gelvez - DIRECTOS</v>
      </c>
      <c r="D22" s="81"/>
      <c r="E22" s="81"/>
      <c r="F22" s="81"/>
      <c r="G22" s="138">
        <v>2</v>
      </c>
      <c r="H22" s="111"/>
    </row>
    <row r="23" spans="1:8">
      <c r="A23" s="80"/>
      <c r="B23" s="81"/>
      <c r="C23" s="81"/>
      <c r="D23" s="81"/>
      <c r="E23" s="81"/>
      <c r="F23" s="81"/>
      <c r="G23" s="81"/>
      <c r="H23" s="111"/>
    </row>
    <row r="24" spans="1:8">
      <c r="A24" s="80"/>
      <c r="B24" s="81" t="s">
        <v>140</v>
      </c>
      <c r="C24" s="138">
        <f>VLOOKUP(G22,'17_1'!$A$37:$B$70,2,0)</f>
        <v>1213</v>
      </c>
      <c r="D24" s="81"/>
      <c r="E24" s="139" t="s">
        <v>141</v>
      </c>
      <c r="F24" s="141" t="e">
        <f>DSUM('17_1'!A$36:J$70,'17_1'!$J$36,G21:G22)</f>
        <v>#N/A</v>
      </c>
      <c r="G24" s="81"/>
      <c r="H24" s="111"/>
    </row>
    <row r="25" spans="1:8">
      <c r="A25" s="80"/>
      <c r="B25" s="81" t="s">
        <v>142</v>
      </c>
      <c r="C25" s="205" t="s">
        <v>540</v>
      </c>
      <c r="D25" s="81"/>
      <c r="E25" s="81"/>
      <c r="F25" s="81"/>
      <c r="G25" s="81"/>
      <c r="H25" s="111"/>
    </row>
    <row r="26" spans="1:8">
      <c r="A26" s="80"/>
      <c r="B26" s="81" t="s">
        <v>144</v>
      </c>
      <c r="C26" s="206" t="e">
        <f>DSUM('17_1'!$A$36:$H$70,'17_1'!$H$36,G21:G22)</f>
        <v>#N/A</v>
      </c>
      <c r="D26" s="81"/>
      <c r="E26" s="81"/>
      <c r="F26" s="584"/>
      <c r="G26" s="584"/>
      <c r="H26" s="111"/>
    </row>
    <row r="27" spans="1:8" ht="15.75">
      <c r="A27" s="80"/>
      <c r="B27" s="81"/>
      <c r="C27" s="81" t="s">
        <v>146</v>
      </c>
      <c r="D27" s="145" t="e">
        <f>DMIN('17_1'!A$36:K$70,'17_1'!$K$36,G21:G22)</f>
        <v>#REF!</v>
      </c>
      <c r="E27" s="189" t="e">
        <f>IF(F27=1,"Domingo",IF(F27=2,"Lunes",IF(F27=3,"Martes",IF(F27=4,"Miercoles",IF(F27=5,"Jueves",IF(F27=6,"Viernes",IF(F27=7,"Sábado",0)))))))</f>
        <v>#REF!</v>
      </c>
      <c r="F27" s="190" t="e">
        <f>WEEKDAY(D27)</f>
        <v>#REF!</v>
      </c>
      <c r="G27" s="142"/>
      <c r="H27" s="111"/>
    </row>
    <row r="28" spans="1:8" ht="15.75">
      <c r="A28" s="80"/>
      <c r="B28" s="81"/>
      <c r="C28" s="81" t="s">
        <v>147</v>
      </c>
      <c r="D28" s="145" t="e">
        <f>DMAX('17_1'!A$36:L$70,'17_1'!$L$36,G21:G22)</f>
        <v>#REF!</v>
      </c>
      <c r="E28" s="189" t="e">
        <f>IF(F28=1,"Domingo",IF(F28=2,"Lunes",IF(F28=3,"Martes",IF(F28=4,"Miercoles",IF(F28=5,"Jueves",IF(F28=6,"Viernes",IF(F28=7,"Sábado",0)))))))</f>
        <v>#REF!</v>
      </c>
      <c r="F28" s="190" t="e">
        <f>WEEKDAY(D28)</f>
        <v>#REF!</v>
      </c>
      <c r="G28" s="142"/>
      <c r="H28" s="111"/>
    </row>
    <row r="29" spans="1:8">
      <c r="A29" s="80"/>
      <c r="B29" s="81"/>
      <c r="C29" s="81"/>
      <c r="D29" s="81"/>
      <c r="E29" s="81"/>
      <c r="F29" s="584"/>
      <c r="G29" s="584"/>
      <c r="H29" s="111"/>
    </row>
    <row r="30" spans="1:8">
      <c r="A30" s="80"/>
      <c r="B30" s="146">
        <f>+Mensajes!$B$7</f>
        <v>0</v>
      </c>
      <c r="C30" s="81"/>
      <c r="D30" s="81"/>
      <c r="E30" s="81"/>
      <c r="F30" s="81"/>
      <c r="G30" s="81"/>
      <c r="H30" s="111"/>
    </row>
    <row r="31" spans="1:8">
      <c r="A31" s="80"/>
      <c r="B31" s="146">
        <f>+Mensajes!$B$12</f>
        <v>0</v>
      </c>
      <c r="C31" s="81"/>
      <c r="D31" s="81"/>
      <c r="E31" s="81"/>
      <c r="F31" s="81"/>
      <c r="G31" s="81"/>
      <c r="H31" s="111"/>
    </row>
    <row r="32" spans="1:8">
      <c r="A32" s="80"/>
      <c r="B32" s="146" t="str">
        <f>IF(VLOOKUP(G22,'17_1'!$A$37:$N$70,14,0)=0,"",VLOOKUP(G22,'17_1'!$A$37:$N$70,14,0))</f>
        <v/>
      </c>
      <c r="C32" s="81"/>
      <c r="D32" s="81"/>
      <c r="E32" s="81"/>
      <c r="F32" s="81"/>
      <c r="G32" s="81"/>
      <c r="H32" s="111"/>
    </row>
    <row r="33" spans="1:8">
      <c r="A33" s="140"/>
      <c r="B33" s="188" t="e">
        <f>IF(DSUM('17_1'!$A$36:$Q$70,17,G21:G22)=COUNTIF('17_1'!$A$37:$A$70,G22),"","Regularice su Deuda")</f>
        <v>#N/A</v>
      </c>
      <c r="C33" s="82"/>
      <c r="D33" s="82"/>
      <c r="E33" s="82"/>
      <c r="F33" s="82"/>
      <c r="G33" s="82"/>
      <c r="H33" s="83"/>
    </row>
    <row r="35" spans="1:8">
      <c r="A35" s="108"/>
      <c r="B35" s="109"/>
      <c r="C35" s="109"/>
      <c r="D35" s="109"/>
      <c r="E35" s="109"/>
      <c r="F35" s="109"/>
      <c r="G35" s="109"/>
      <c r="H35" s="110"/>
    </row>
    <row r="36" spans="1:8">
      <c r="A36" s="80"/>
      <c r="B36" s="147" t="s">
        <v>64</v>
      </c>
      <c r="C36" s="81"/>
      <c r="D36" s="81"/>
      <c r="E36" s="81"/>
      <c r="F36" s="81"/>
      <c r="G36" s="81"/>
      <c r="H36" s="111"/>
    </row>
    <row r="37" spans="1:8">
      <c r="A37" s="80"/>
      <c r="B37" s="81"/>
      <c r="C37" s="81"/>
      <c r="D37" s="81"/>
      <c r="E37" s="81"/>
      <c r="F37" s="81"/>
      <c r="G37" s="81"/>
      <c r="H37" s="111"/>
    </row>
    <row r="38" spans="1:8">
      <c r="A38" s="80"/>
      <c r="B38" s="81" t="s">
        <v>139</v>
      </c>
      <c r="C38" s="81" t="str">
        <f>VLOOKUP(G39,'17_1'!$A$37:$G$70,6,0)</f>
        <v>MENGONI, HECTOR NELSON</v>
      </c>
      <c r="D38" s="81"/>
      <c r="E38" s="81"/>
      <c r="F38" s="81"/>
      <c r="G38" s="138" t="s">
        <v>102</v>
      </c>
      <c r="H38" s="111"/>
    </row>
    <row r="39" spans="1:8">
      <c r="A39" s="80"/>
      <c r="B39" s="81" t="s">
        <v>72</v>
      </c>
      <c r="C39" s="81" t="str">
        <f>+'17_1'!$A$24</f>
        <v>Hijuela Gelvez - DIRECTOS</v>
      </c>
      <c r="D39" s="81"/>
      <c r="E39" s="81"/>
      <c r="F39" s="81"/>
      <c r="G39" s="138">
        <v>3</v>
      </c>
      <c r="H39" s="111"/>
    </row>
    <row r="40" spans="1:8">
      <c r="A40" s="80"/>
      <c r="B40" s="81"/>
      <c r="C40" s="81"/>
      <c r="D40" s="81"/>
      <c r="E40" s="81"/>
      <c r="F40" s="81"/>
      <c r="G40" s="81"/>
      <c r="H40" s="111"/>
    </row>
    <row r="41" spans="1:8">
      <c r="A41" s="80"/>
      <c r="B41" s="81" t="s">
        <v>140</v>
      </c>
      <c r="C41" s="138">
        <f>VLOOKUP(G39,'17_1'!$A$37:$B$70,2,0)</f>
        <v>1213</v>
      </c>
      <c r="D41" s="81"/>
      <c r="E41" s="139" t="s">
        <v>141</v>
      </c>
      <c r="F41" s="141" t="e">
        <f>DSUM('17_1'!A$36:J$70,'17_1'!$J$36,G38:G39)</f>
        <v>#N/A</v>
      </c>
      <c r="G41" s="81"/>
      <c r="H41" s="111"/>
    </row>
    <row r="42" spans="1:8">
      <c r="A42" s="80"/>
      <c r="B42" s="81" t="s">
        <v>142</v>
      </c>
      <c r="C42" s="205">
        <v>141</v>
      </c>
      <c r="D42" s="81"/>
      <c r="E42" s="81"/>
      <c r="F42" s="81"/>
      <c r="G42" s="81"/>
      <c r="H42" s="111"/>
    </row>
    <row r="43" spans="1:8">
      <c r="A43" s="80"/>
      <c r="B43" s="81" t="s">
        <v>144</v>
      </c>
      <c r="C43" s="206">
        <f>DSUM('17_1'!$A$36:$H$70,'17_1'!$H$36,G38:G39)</f>
        <v>0</v>
      </c>
      <c r="D43" s="81"/>
      <c r="E43" s="81"/>
      <c r="F43" s="584"/>
      <c r="G43" s="584"/>
      <c r="H43" s="111"/>
    </row>
    <row r="44" spans="1:8" ht="15.75">
      <c r="A44" s="80"/>
      <c r="B44" s="81"/>
      <c r="C44" s="81" t="s">
        <v>146</v>
      </c>
      <c r="D44" s="145" t="e">
        <f>DMIN('17_1'!A$36:K$70,'17_1'!$K$36,G38:G39)</f>
        <v>#REF!</v>
      </c>
      <c r="E44" s="189" t="e">
        <f>IF(F44=1,"Domingo",IF(F44=2,"Lunes",IF(F44=3,"Martes",IF(F44=4,"Miercoles",IF(F44=5,"Jueves",IF(F44=6,"Viernes",IF(F44=7,"Sábado",0)))))))</f>
        <v>#REF!</v>
      </c>
      <c r="F44" s="190" t="e">
        <f>WEEKDAY(D44)</f>
        <v>#REF!</v>
      </c>
      <c r="G44" s="142"/>
      <c r="H44" s="111"/>
    </row>
    <row r="45" spans="1:8" ht="15.75">
      <c r="A45" s="80"/>
      <c r="B45" s="81"/>
      <c r="C45" s="81" t="s">
        <v>147</v>
      </c>
      <c r="D45" s="145" t="e">
        <f>DMAX('17_1'!A$36:L$70,'17_1'!$L$36,G38:G39)</f>
        <v>#REF!</v>
      </c>
      <c r="E45" s="189" t="e">
        <f>IF(F45=1,"Domingo",IF(F45=2,"Lunes",IF(F45=3,"Martes",IF(F45=4,"Miercoles",IF(F45=5,"Jueves",IF(F45=6,"Viernes",IF(F45=7,"Sábado",0)))))))</f>
        <v>#REF!</v>
      </c>
      <c r="F45" s="190" t="e">
        <f>WEEKDAY(D45)</f>
        <v>#REF!</v>
      </c>
      <c r="G45" s="142"/>
      <c r="H45" s="111"/>
    </row>
    <row r="46" spans="1:8">
      <c r="A46" s="80"/>
      <c r="B46" s="81"/>
      <c r="C46" s="81"/>
      <c r="D46" s="81"/>
      <c r="E46" s="81"/>
      <c r="F46" s="584"/>
      <c r="G46" s="584"/>
      <c r="H46" s="111"/>
    </row>
    <row r="47" spans="1:8">
      <c r="A47" s="80"/>
      <c r="B47" s="146">
        <f>+Mensajes!$B$7</f>
        <v>0</v>
      </c>
      <c r="C47" s="81"/>
      <c r="D47" s="81"/>
      <c r="E47" s="81"/>
      <c r="F47" s="81"/>
      <c r="G47" s="81"/>
      <c r="H47" s="111"/>
    </row>
    <row r="48" spans="1:8">
      <c r="A48" s="80"/>
      <c r="B48" s="146">
        <f>+Mensajes!$B$12</f>
        <v>0</v>
      </c>
      <c r="C48" s="81"/>
      <c r="D48" s="81"/>
      <c r="E48" s="81"/>
      <c r="F48" s="81"/>
      <c r="G48" s="81"/>
      <c r="H48" s="111"/>
    </row>
    <row r="49" spans="1:8">
      <c r="A49" s="80"/>
      <c r="B49" s="146" t="str">
        <f>IF(VLOOKUP(G39,'17_1'!$A$37:$N$70,14,0)=0,"",VLOOKUP(G39,'17_1'!$A$37:$N$70,14,0))</f>
        <v/>
      </c>
      <c r="C49" s="81"/>
      <c r="D49" s="81"/>
      <c r="E49" s="81"/>
      <c r="F49" s="81"/>
      <c r="G49" s="81"/>
      <c r="H49" s="111"/>
    </row>
    <row r="50" spans="1:8">
      <c r="A50" s="140"/>
      <c r="B50" s="188" t="str">
        <f>IF(DSUM('17_1'!$A$36:$Q$70,17,G38:G39)=COUNTIF('17_1'!$A$37:$A$70,G39),"","Regularice su Deuda")</f>
        <v>Regularice su Deuda</v>
      </c>
      <c r="C50" s="82"/>
      <c r="D50" s="82"/>
      <c r="E50" s="82"/>
      <c r="F50" s="82"/>
      <c r="G50" s="82"/>
      <c r="H50" s="83"/>
    </row>
    <row r="52" spans="1:8">
      <c r="A52" s="108"/>
      <c r="B52" s="109"/>
      <c r="C52" s="109"/>
      <c r="D52" s="109"/>
      <c r="E52" s="109"/>
      <c r="F52" s="109"/>
      <c r="G52" s="109"/>
      <c r="H52" s="110"/>
    </row>
    <row r="53" spans="1:8">
      <c r="A53" s="80"/>
      <c r="B53" s="147" t="s">
        <v>64</v>
      </c>
      <c r="C53" s="81"/>
      <c r="D53" s="81"/>
      <c r="E53" s="81"/>
      <c r="F53" s="81"/>
      <c r="G53" s="81"/>
      <c r="H53" s="111"/>
    </row>
    <row r="54" spans="1:8">
      <c r="A54" s="80"/>
      <c r="B54" s="81"/>
      <c r="C54" s="81"/>
      <c r="D54" s="81"/>
      <c r="E54" s="81"/>
      <c r="F54" s="81"/>
      <c r="G54" s="81"/>
      <c r="H54" s="111"/>
    </row>
    <row r="55" spans="1:8">
      <c r="A55" s="80"/>
      <c r="B55" s="81" t="s">
        <v>139</v>
      </c>
      <c r="C55" s="81" t="str">
        <f>VLOOKUP(G56,'17_1'!$A$37:$G$70,6,0)</f>
        <v>DIAZ, GERONCIO</v>
      </c>
      <c r="D55" s="81"/>
      <c r="E55" s="81"/>
      <c r="F55" s="81"/>
      <c r="G55" s="138" t="s">
        <v>102</v>
      </c>
      <c r="H55" s="111"/>
    </row>
    <row r="56" spans="1:8">
      <c r="A56" s="80"/>
      <c r="B56" s="81" t="s">
        <v>72</v>
      </c>
      <c r="C56" s="81" t="str">
        <f>+'17_1'!$A$24</f>
        <v>Hijuela Gelvez - DIRECTOS</v>
      </c>
      <c r="D56" s="81"/>
      <c r="E56" s="81"/>
      <c r="F56" s="81"/>
      <c r="G56" s="138">
        <v>4</v>
      </c>
      <c r="H56" s="111"/>
    </row>
    <row r="57" spans="1:8">
      <c r="A57" s="80"/>
      <c r="B57" s="81"/>
      <c r="C57" s="81"/>
      <c r="D57" s="81"/>
      <c r="E57" s="81"/>
      <c r="F57" s="81"/>
      <c r="G57" s="81"/>
      <c r="H57" s="111"/>
    </row>
    <row r="58" spans="1:8">
      <c r="A58" s="80"/>
      <c r="B58" s="81" t="s">
        <v>140</v>
      </c>
      <c r="C58" s="138">
        <f>VLOOKUP(G56,'17_1'!$A$37:$B$70,2,0)</f>
        <v>1213</v>
      </c>
      <c r="D58" s="81"/>
      <c r="E58" s="139" t="s">
        <v>141</v>
      </c>
      <c r="F58" s="141" t="e">
        <f>DSUM('17_1'!A$36:J$70,'17_1'!$J$36,G55:G56)</f>
        <v>#N/A</v>
      </c>
      <c r="G58" s="81"/>
      <c r="H58" s="111"/>
    </row>
    <row r="59" spans="1:8">
      <c r="A59" s="80"/>
      <c r="B59" s="81" t="s">
        <v>142</v>
      </c>
      <c r="C59" s="205">
        <v>143</v>
      </c>
      <c r="D59" s="81"/>
      <c r="E59" s="81"/>
      <c r="F59" s="81"/>
      <c r="G59" s="81"/>
      <c r="H59" s="111"/>
    </row>
    <row r="60" spans="1:8">
      <c r="A60" s="80"/>
      <c r="B60" s="81" t="s">
        <v>144</v>
      </c>
      <c r="C60" s="206">
        <f>DSUM('17_1'!$A$36:$H$70,'17_1'!$H$36,G55:G56)</f>
        <v>0</v>
      </c>
      <c r="D60" s="81"/>
      <c r="E60" s="81"/>
      <c r="F60" s="584"/>
      <c r="G60" s="584"/>
      <c r="H60" s="111"/>
    </row>
    <row r="61" spans="1:8" ht="15.75">
      <c r="A61" s="80"/>
      <c r="B61" s="81"/>
      <c r="C61" s="81" t="s">
        <v>146</v>
      </c>
      <c r="D61" s="145" t="e">
        <f>DMIN('17_1'!A$36:K$70,'17_1'!$K$36,G55:G56)</f>
        <v>#REF!</v>
      </c>
      <c r="E61" s="189" t="e">
        <f>IF(F61=1,"Domingo",IF(F61=2,"Lunes",IF(F61=3,"Martes",IF(F61=4,"Miercoles",IF(F61=5,"Jueves",IF(F61=6,"Viernes",IF(F61=7,"Sábado",0)))))))</f>
        <v>#REF!</v>
      </c>
      <c r="F61" s="190" t="e">
        <f>WEEKDAY(D61)</f>
        <v>#REF!</v>
      </c>
      <c r="G61" s="142"/>
      <c r="H61" s="111"/>
    </row>
    <row r="62" spans="1:8" ht="15.75">
      <c r="A62" s="80"/>
      <c r="B62" s="81"/>
      <c r="C62" s="81" t="s">
        <v>147</v>
      </c>
      <c r="D62" s="145" t="e">
        <f>DMAX('17_1'!A$36:L$70,'17_1'!$L$36,G55:G56)</f>
        <v>#REF!</v>
      </c>
      <c r="E62" s="189" t="e">
        <f>IF(F62=1,"Domingo",IF(F62=2,"Lunes",IF(F62=3,"Martes",IF(F62=4,"Miercoles",IF(F62=5,"Jueves",IF(F62=6,"Viernes",IF(F62=7,"Sábado",0)))))))</f>
        <v>#REF!</v>
      </c>
      <c r="F62" s="190" t="e">
        <f>WEEKDAY(D62)</f>
        <v>#REF!</v>
      </c>
      <c r="G62" s="142"/>
      <c r="H62" s="111"/>
    </row>
    <row r="63" spans="1:8">
      <c r="A63" s="80"/>
      <c r="B63" s="81"/>
      <c r="C63" s="81"/>
      <c r="D63" s="81"/>
      <c r="E63" s="81"/>
      <c r="F63" s="584"/>
      <c r="G63" s="584"/>
      <c r="H63" s="111"/>
    </row>
    <row r="64" spans="1:8">
      <c r="A64" s="80"/>
      <c r="B64" s="146">
        <f>+Mensajes!$B$7</f>
        <v>0</v>
      </c>
      <c r="C64" s="81"/>
      <c r="D64" s="81"/>
      <c r="E64" s="81"/>
      <c r="F64" s="81"/>
      <c r="G64" s="81"/>
      <c r="H64" s="111"/>
    </row>
    <row r="65" spans="1:8">
      <c r="A65" s="80"/>
      <c r="B65" s="146">
        <f>+Mensajes!$B$12</f>
        <v>0</v>
      </c>
      <c r="C65" s="81"/>
      <c r="D65" s="81"/>
      <c r="E65" s="81"/>
      <c r="F65" s="81"/>
      <c r="G65" s="81"/>
      <c r="H65" s="111"/>
    </row>
    <row r="66" spans="1:8">
      <c r="A66" s="80"/>
      <c r="B66" s="146" t="str">
        <f>IF(VLOOKUP(G56,'17_1'!$A$37:$N$70,14,0)=0,"",VLOOKUP(G56,'17_1'!$A$37:$N$70,14,0))</f>
        <v/>
      </c>
      <c r="C66" s="81"/>
      <c r="D66" s="81"/>
      <c r="E66" s="81"/>
      <c r="F66" s="81"/>
      <c r="G66" s="81"/>
      <c r="H66" s="111"/>
    </row>
    <row r="67" spans="1:8">
      <c r="A67" s="140"/>
      <c r="B67" s="188" t="str">
        <f>IF(DSUM('17_1'!$A$36:$Q$70,17,G55:G56)=COUNTIF('17_1'!$A$37:$A$70,G56),"","Regularice su Deuda")</f>
        <v>Regularice su Deuda</v>
      </c>
      <c r="C67" s="82"/>
      <c r="D67" s="82"/>
      <c r="E67" s="82"/>
      <c r="F67" s="82"/>
      <c r="G67" s="82"/>
      <c r="H67" s="83"/>
    </row>
    <row r="69" spans="1:8">
      <c r="A69" s="108"/>
      <c r="B69" s="109"/>
      <c r="C69" s="109"/>
      <c r="D69" s="109"/>
      <c r="E69" s="109"/>
      <c r="F69" s="109"/>
      <c r="G69" s="109"/>
      <c r="H69" s="110"/>
    </row>
    <row r="70" spans="1:8">
      <c r="A70" s="80"/>
      <c r="B70" s="147" t="s">
        <v>64</v>
      </c>
      <c r="C70" s="81"/>
      <c r="D70" s="81"/>
      <c r="E70" s="81"/>
      <c r="F70" s="81"/>
      <c r="G70" s="81"/>
      <c r="H70" s="111"/>
    </row>
    <row r="71" spans="1:8">
      <c r="A71" s="80"/>
      <c r="B71" s="81"/>
      <c r="C71" s="81"/>
      <c r="D71" s="81"/>
      <c r="E71" s="81"/>
      <c r="F71" s="81"/>
      <c r="G71" s="81"/>
      <c r="H71" s="111"/>
    </row>
    <row r="72" spans="1:8">
      <c r="A72" s="80"/>
      <c r="B72" s="81" t="s">
        <v>139</v>
      </c>
      <c r="C72" s="81" t="str">
        <f>VLOOKUP(G73,'17_1'!$A$37:$G$70,6,0)</f>
        <v>MEDINA, ANGELINO</v>
      </c>
      <c r="D72" s="81"/>
      <c r="E72" s="81"/>
      <c r="F72" s="81"/>
      <c r="G72" s="138" t="s">
        <v>102</v>
      </c>
      <c r="H72" s="111"/>
    </row>
    <row r="73" spans="1:8">
      <c r="A73" s="80"/>
      <c r="B73" s="81" t="s">
        <v>72</v>
      </c>
      <c r="C73" s="81" t="str">
        <f>+'17_1'!$A$24</f>
        <v>Hijuela Gelvez - DIRECTOS</v>
      </c>
      <c r="D73" s="81"/>
      <c r="E73" s="81"/>
      <c r="F73" s="81"/>
      <c r="G73" s="138">
        <v>5</v>
      </c>
      <c r="H73" s="111"/>
    </row>
    <row r="74" spans="1:8">
      <c r="A74" s="80"/>
      <c r="B74" s="81"/>
      <c r="C74" s="81"/>
      <c r="D74" s="81"/>
      <c r="E74" s="81"/>
      <c r="F74" s="81"/>
      <c r="G74" s="81"/>
      <c r="H74" s="111"/>
    </row>
    <row r="75" spans="1:8">
      <c r="A75" s="80"/>
      <c r="B75" s="81" t="s">
        <v>140</v>
      </c>
      <c r="C75" s="138">
        <f>VLOOKUP(G73,'17_1'!$A$37:$B$70,2,0)</f>
        <v>1213</v>
      </c>
      <c r="D75" s="81"/>
      <c r="E75" s="139" t="s">
        <v>141</v>
      </c>
      <c r="F75" s="141" t="e">
        <f>DSUM('17_1'!A$36:J$70,'17_1'!$J$36,G72:G73)</f>
        <v>#N/A</v>
      </c>
      <c r="G75" s="81"/>
      <c r="H75" s="111"/>
    </row>
    <row r="76" spans="1:8">
      <c r="A76" s="80"/>
      <c r="B76" s="81" t="s">
        <v>142</v>
      </c>
      <c r="C76" s="205">
        <v>151</v>
      </c>
      <c r="D76" s="81"/>
      <c r="E76" s="81"/>
      <c r="F76" s="81"/>
      <c r="G76" s="81"/>
      <c r="H76" s="111"/>
    </row>
    <row r="77" spans="1:8">
      <c r="A77" s="80"/>
      <c r="B77" s="81" t="s">
        <v>144</v>
      </c>
      <c r="C77" s="206">
        <f>DSUM('17_1'!$A$36:$H$70,'17_1'!$H$36,G72:G73)</f>
        <v>0</v>
      </c>
      <c r="D77" s="81"/>
      <c r="E77" s="81"/>
      <c r="F77" s="584"/>
      <c r="G77" s="584"/>
      <c r="H77" s="111"/>
    </row>
    <row r="78" spans="1:8" ht="15.75">
      <c r="A78" s="80"/>
      <c r="B78" s="81"/>
      <c r="C78" s="81" t="s">
        <v>146</v>
      </c>
      <c r="D78" s="145" t="e">
        <f>DMIN('17_1'!A$36:K$70,'17_1'!$K$36,G72:G73)</f>
        <v>#REF!</v>
      </c>
      <c r="E78" s="189" t="e">
        <f>IF(F78=1,"Domingo",IF(F78=2,"Lunes",IF(F78=3,"Martes",IF(F78=4,"Miercoles",IF(F78=5,"Jueves",IF(F78=6,"Viernes",IF(F78=7,"Sábado",0)))))))</f>
        <v>#REF!</v>
      </c>
      <c r="F78" s="190" t="e">
        <f>WEEKDAY(D78)</f>
        <v>#REF!</v>
      </c>
      <c r="G78" s="142"/>
      <c r="H78" s="111"/>
    </row>
    <row r="79" spans="1:8" ht="15.75">
      <c r="A79" s="80"/>
      <c r="B79" s="81"/>
      <c r="C79" s="81" t="s">
        <v>147</v>
      </c>
      <c r="D79" s="145" t="e">
        <f>DMAX('17_1'!A$36:L$70,'17_1'!$L$36,G72:G73)</f>
        <v>#REF!</v>
      </c>
      <c r="E79" s="189" t="e">
        <f>IF(F79=1,"Domingo",IF(F79=2,"Lunes",IF(F79=3,"Martes",IF(F79=4,"Miercoles",IF(F79=5,"Jueves",IF(F79=6,"Viernes",IF(F79=7,"Sábado",0)))))))</f>
        <v>#REF!</v>
      </c>
      <c r="F79" s="190" t="e">
        <f>WEEKDAY(D79)</f>
        <v>#REF!</v>
      </c>
      <c r="G79" s="142"/>
      <c r="H79" s="111"/>
    </row>
    <row r="80" spans="1:8">
      <c r="A80" s="80"/>
      <c r="B80" s="81"/>
      <c r="C80" s="81"/>
      <c r="D80" s="81"/>
      <c r="E80" s="81"/>
      <c r="F80" s="584"/>
      <c r="G80" s="584"/>
      <c r="H80" s="111"/>
    </row>
    <row r="81" spans="1:8">
      <c r="A81" s="80"/>
      <c r="B81" s="146">
        <f>+Mensajes!$B$7</f>
        <v>0</v>
      </c>
      <c r="C81" s="81"/>
      <c r="D81" s="81"/>
      <c r="E81" s="81"/>
      <c r="F81" s="81"/>
      <c r="G81" s="81"/>
      <c r="H81" s="111"/>
    </row>
    <row r="82" spans="1:8">
      <c r="A82" s="80"/>
      <c r="B82" s="146">
        <f>+Mensajes!$B$12</f>
        <v>0</v>
      </c>
      <c r="C82" s="81"/>
      <c r="D82" s="81"/>
      <c r="E82" s="81"/>
      <c r="F82" s="81"/>
      <c r="G82" s="81"/>
      <c r="H82" s="111"/>
    </row>
    <row r="83" spans="1:8">
      <c r="A83" s="80"/>
      <c r="B83" s="146" t="str">
        <f>IF(VLOOKUP(G73,'17_1'!$A$37:$N$70,14,0)=0,"",VLOOKUP(G73,'17_1'!$A$37:$N$70,14,0))</f>
        <v/>
      </c>
      <c r="C83" s="81"/>
      <c r="D83" s="81"/>
      <c r="E83" s="81"/>
      <c r="F83" s="81"/>
      <c r="G83" s="81"/>
      <c r="H83" s="111"/>
    </row>
    <row r="84" spans="1:8">
      <c r="A84" s="140"/>
      <c r="B84" s="188" t="str">
        <f>IF(DSUM('17_1'!$A$36:$Q$70,17,G72:G73)=COUNTIF('17_1'!$A$37:$A$70,G73),"","Regularice su Deuda")</f>
        <v>Regularice su Deuda</v>
      </c>
      <c r="C84" s="82"/>
      <c r="D84" s="82"/>
      <c r="E84" s="82"/>
      <c r="F84" s="82"/>
      <c r="G84" s="82"/>
      <c r="H84" s="83"/>
    </row>
    <row r="86" spans="1:8">
      <c r="A86" s="108"/>
      <c r="B86" s="109"/>
      <c r="C86" s="109"/>
      <c r="D86" s="109"/>
      <c r="E86" s="109"/>
      <c r="F86" s="109"/>
      <c r="G86" s="109"/>
      <c r="H86" s="110"/>
    </row>
    <row r="87" spans="1:8">
      <c r="A87" s="80"/>
      <c r="B87" s="147" t="s">
        <v>64</v>
      </c>
      <c r="C87" s="81"/>
      <c r="D87" s="81"/>
      <c r="E87" s="81"/>
      <c r="F87" s="81"/>
      <c r="G87" s="81"/>
      <c r="H87" s="111"/>
    </row>
    <row r="88" spans="1:8">
      <c r="A88" s="80"/>
      <c r="B88" s="81"/>
      <c r="C88" s="81"/>
      <c r="D88" s="81"/>
      <c r="E88" s="81"/>
      <c r="F88" s="81"/>
      <c r="G88" s="81"/>
      <c r="H88" s="111"/>
    </row>
    <row r="89" spans="1:8">
      <c r="A89" s="80"/>
      <c r="B89" s="81" t="s">
        <v>139</v>
      </c>
      <c r="C89" s="81" t="str">
        <f>VLOOKUP(G90,'17_1'!$A$37:$G$70,6,0)</f>
        <v>QUATROCCHI DE FRANCO, MICAELA ARCANGELA</v>
      </c>
      <c r="D89" s="81"/>
      <c r="E89" s="81"/>
      <c r="F89" s="81"/>
      <c r="G89" s="138" t="s">
        <v>102</v>
      </c>
      <c r="H89" s="111"/>
    </row>
    <row r="90" spans="1:8">
      <c r="A90" s="80"/>
      <c r="B90" s="81" t="s">
        <v>72</v>
      </c>
      <c r="C90" s="81" t="str">
        <f>+'17_1'!$A$24</f>
        <v>Hijuela Gelvez - DIRECTOS</v>
      </c>
      <c r="D90" s="81"/>
      <c r="E90" s="81"/>
      <c r="F90" s="81"/>
      <c r="G90" s="138">
        <v>6</v>
      </c>
      <c r="H90" s="111"/>
    </row>
    <row r="91" spans="1:8">
      <c r="A91" s="80"/>
      <c r="B91" s="81"/>
      <c r="C91" s="81"/>
      <c r="D91" s="81"/>
      <c r="E91" s="81"/>
      <c r="F91" s="81"/>
      <c r="G91" s="81"/>
      <c r="H91" s="111"/>
    </row>
    <row r="92" spans="1:8">
      <c r="A92" s="80"/>
      <c r="B92" s="81" t="s">
        <v>140</v>
      </c>
      <c r="C92" s="138">
        <f>VLOOKUP(G90,'17_1'!$A$37:$B$70,2,0)</f>
        <v>1213</v>
      </c>
      <c r="D92" s="81"/>
      <c r="E92" s="139" t="s">
        <v>141</v>
      </c>
      <c r="F92" s="141" t="e">
        <f>DSUM('17_1'!A$36:J$70,'17_1'!$J$36,G89:G90)</f>
        <v>#N/A</v>
      </c>
      <c r="G92" s="81"/>
      <c r="H92" s="111"/>
    </row>
    <row r="93" spans="1:8">
      <c r="A93" s="80"/>
      <c r="B93" s="81" t="s">
        <v>142</v>
      </c>
      <c r="C93" s="205">
        <v>305</v>
      </c>
      <c r="D93" s="81"/>
      <c r="E93" s="81"/>
      <c r="F93" s="81"/>
      <c r="G93" s="81"/>
      <c r="H93" s="111"/>
    </row>
    <row r="94" spans="1:8">
      <c r="A94" s="80"/>
      <c r="B94" s="81" t="s">
        <v>144</v>
      </c>
      <c r="C94" s="206">
        <f>DSUM('17_1'!$A$36:$H$70,'17_1'!$H$36,G89:G90)</f>
        <v>32.580100000000002</v>
      </c>
      <c r="D94" s="81"/>
      <c r="E94" s="81"/>
      <c r="F94" s="584"/>
      <c r="G94" s="584"/>
      <c r="H94" s="111"/>
    </row>
    <row r="95" spans="1:8" ht="15.75">
      <c r="A95" s="80"/>
      <c r="B95" s="81"/>
      <c r="C95" s="81" t="s">
        <v>146</v>
      </c>
      <c r="D95" s="145" t="e">
        <f>DMIN('17_1'!A$36:K$70,'17_1'!$K$36,G89:G90)</f>
        <v>#REF!</v>
      </c>
      <c r="E95" s="189" t="e">
        <f>IF(F95=1,"Domingo",IF(F95=2,"Lunes",IF(F95=3,"Martes",IF(F95=4,"Miercoles",IF(F95=5,"Jueves",IF(F95=6,"Viernes",IF(F95=7,"Sábado",0)))))))</f>
        <v>#REF!</v>
      </c>
      <c r="F95" s="190" t="e">
        <f>WEEKDAY(D95)</f>
        <v>#REF!</v>
      </c>
      <c r="G95" s="142"/>
      <c r="H95" s="111"/>
    </row>
    <row r="96" spans="1:8" ht="15.75">
      <c r="A96" s="80"/>
      <c r="B96" s="81"/>
      <c r="C96" s="81" t="s">
        <v>147</v>
      </c>
      <c r="D96" s="145" t="e">
        <f>DMAX('17_1'!A$36:L$70,'17_1'!$L$36,G89:G90)</f>
        <v>#REF!</v>
      </c>
      <c r="E96" s="189" t="e">
        <f>IF(F96=1,"Domingo",IF(F96=2,"Lunes",IF(F96=3,"Martes",IF(F96=4,"Miercoles",IF(F96=5,"Jueves",IF(F96=6,"Viernes",IF(F96=7,"Sábado",0)))))))</f>
        <v>#REF!</v>
      </c>
      <c r="F96" s="190" t="e">
        <f>WEEKDAY(D96)</f>
        <v>#REF!</v>
      </c>
      <c r="G96" s="142"/>
      <c r="H96" s="111"/>
    </row>
    <row r="97" spans="1:8">
      <c r="A97" s="80"/>
      <c r="B97" s="81"/>
      <c r="C97" s="81"/>
      <c r="D97" s="81"/>
      <c r="E97" s="81"/>
      <c r="F97" s="584"/>
      <c r="G97" s="584"/>
      <c r="H97" s="111"/>
    </row>
    <row r="98" spans="1:8">
      <c r="A98" s="80"/>
      <c r="B98" s="146">
        <f>+Mensajes!$B$7</f>
        <v>0</v>
      </c>
      <c r="C98" s="81"/>
      <c r="D98" s="81"/>
      <c r="E98" s="81"/>
      <c r="F98" s="81"/>
      <c r="G98" s="81"/>
      <c r="H98" s="111"/>
    </row>
    <row r="99" spans="1:8">
      <c r="A99" s="80"/>
      <c r="B99" s="146">
        <f>+Mensajes!$B$12</f>
        <v>0</v>
      </c>
      <c r="C99" s="81"/>
      <c r="D99" s="81"/>
      <c r="E99" s="81"/>
      <c r="F99" s="81"/>
      <c r="G99" s="81"/>
      <c r="H99" s="111"/>
    </row>
    <row r="100" spans="1:8">
      <c r="A100" s="80"/>
      <c r="B100" s="146" t="str">
        <f>IF(VLOOKUP(G90,'17_1'!$A$37:$N$70,14,0)=0,"",VLOOKUP(G90,'17_1'!$A$37:$N$70,14,0))</f>
        <v/>
      </c>
      <c r="C100" s="81"/>
      <c r="D100" s="81"/>
      <c r="E100" s="81"/>
      <c r="F100" s="81"/>
      <c r="G100" s="81"/>
      <c r="H100" s="111"/>
    </row>
    <row r="101" spans="1:8">
      <c r="A101" s="140"/>
      <c r="B101" s="188" t="str">
        <f>IF(DSUM('17_1'!$A$36:$Q$70,17,G89:G90)=COUNTIF('17_1'!$A$37:$A$70,G90),"","Regularice su Deuda")</f>
        <v/>
      </c>
      <c r="C101" s="82"/>
      <c r="D101" s="82"/>
      <c r="E101" s="82"/>
      <c r="F101" s="82"/>
      <c r="G101" s="82"/>
      <c r="H101" s="83"/>
    </row>
    <row r="103" spans="1:8">
      <c r="A103" s="108"/>
      <c r="B103" s="109"/>
      <c r="C103" s="109"/>
      <c r="D103" s="109"/>
      <c r="E103" s="109"/>
      <c r="F103" s="109"/>
      <c r="G103" s="109"/>
      <c r="H103" s="110"/>
    </row>
    <row r="104" spans="1:8">
      <c r="A104" s="80"/>
      <c r="B104" s="147" t="s">
        <v>64</v>
      </c>
      <c r="C104" s="81"/>
      <c r="D104" s="81"/>
      <c r="E104" s="81"/>
      <c r="F104" s="81"/>
      <c r="G104" s="81"/>
      <c r="H104" s="111"/>
    </row>
    <row r="105" spans="1:8">
      <c r="A105" s="80"/>
      <c r="B105" s="81"/>
      <c r="C105" s="81"/>
      <c r="D105" s="81"/>
      <c r="E105" s="81"/>
      <c r="F105" s="81"/>
      <c r="G105" s="81"/>
      <c r="H105" s="111"/>
    </row>
    <row r="106" spans="1:8">
      <c r="A106" s="80"/>
      <c r="B106" s="81" t="s">
        <v>139</v>
      </c>
      <c r="C106" s="81" t="str">
        <f>VLOOKUP(G107,'17_1'!$A$37:$G$70,6,0)</f>
        <v>CAMPIONE, ORLANDO SALVADOR</v>
      </c>
      <c r="D106" s="81"/>
      <c r="E106" s="81"/>
      <c r="F106" s="81"/>
      <c r="G106" s="138" t="s">
        <v>102</v>
      </c>
      <c r="H106" s="111"/>
    </row>
    <row r="107" spans="1:8">
      <c r="A107" s="80"/>
      <c r="B107" s="81" t="s">
        <v>72</v>
      </c>
      <c r="C107" s="81" t="str">
        <f>+'17_1'!$A$24</f>
        <v>Hijuela Gelvez - DIRECTOS</v>
      </c>
      <c r="D107" s="81"/>
      <c r="E107" s="81"/>
      <c r="F107" s="81"/>
      <c r="G107" s="138">
        <v>7</v>
      </c>
      <c r="H107" s="111"/>
    </row>
    <row r="108" spans="1:8">
      <c r="A108" s="80"/>
      <c r="B108" s="81"/>
      <c r="C108" s="81"/>
      <c r="D108" s="81"/>
      <c r="E108" s="81"/>
      <c r="F108" s="81"/>
      <c r="G108" s="81"/>
      <c r="H108" s="111"/>
    </row>
    <row r="109" spans="1:8">
      <c r="A109" s="80"/>
      <c r="B109" s="81" t="s">
        <v>140</v>
      </c>
      <c r="C109" s="138">
        <f>VLOOKUP(G107,'17_1'!$A$37:$B$70,2,0)</f>
        <v>1213</v>
      </c>
      <c r="D109" s="81"/>
      <c r="E109" s="139" t="s">
        <v>141</v>
      </c>
      <c r="F109" s="141" t="e">
        <f>DSUM('17_1'!A$36:J$70,'17_1'!$J$36,G106:G107)</f>
        <v>#N/A</v>
      </c>
      <c r="G109" s="81"/>
      <c r="H109" s="111"/>
    </row>
    <row r="110" spans="1:8">
      <c r="A110" s="80"/>
      <c r="B110" s="81" t="s">
        <v>142</v>
      </c>
      <c r="C110" s="207">
        <v>304</v>
      </c>
      <c r="D110" s="81"/>
      <c r="E110" s="81"/>
      <c r="F110" s="81"/>
      <c r="G110" s="81"/>
      <c r="H110" s="111"/>
    </row>
    <row r="111" spans="1:8">
      <c r="A111" s="80"/>
      <c r="B111" s="81" t="s">
        <v>144</v>
      </c>
      <c r="C111" s="206">
        <f>DSUM('17_1'!$A$36:$H$70,'17_1'!$H$36,G106:G107)</f>
        <v>9.5116999999999994</v>
      </c>
      <c r="D111" s="81"/>
      <c r="E111" s="81"/>
      <c r="F111" s="584"/>
      <c r="G111" s="584"/>
      <c r="H111" s="111"/>
    </row>
    <row r="112" spans="1:8" ht="15.75">
      <c r="A112" s="80"/>
      <c r="B112" s="81"/>
      <c r="C112" s="81" t="s">
        <v>146</v>
      </c>
      <c r="D112" s="145" t="e">
        <f>DMIN('17_1'!A$36:K$70,'17_1'!$K$36,G106:G107)</f>
        <v>#REF!</v>
      </c>
      <c r="E112" s="189" t="e">
        <f>IF(F112=1,"Domingo",IF(F112=2,"Lunes",IF(F112=3,"Martes",IF(F112=4,"Miercoles",IF(F112=5,"Jueves",IF(F112=6,"Viernes",IF(F112=7,"Sábado",0)))))))</f>
        <v>#REF!</v>
      </c>
      <c r="F112" s="190" t="e">
        <f>WEEKDAY(D112)</f>
        <v>#REF!</v>
      </c>
      <c r="G112" s="142"/>
      <c r="H112" s="111"/>
    </row>
    <row r="113" spans="1:8" ht="15.75">
      <c r="A113" s="80"/>
      <c r="B113" s="81"/>
      <c r="C113" s="81" t="s">
        <v>147</v>
      </c>
      <c r="D113" s="145" t="e">
        <f>DMAX('17_1'!A$36:L$70,'17_1'!$L$36,G106:G107)</f>
        <v>#REF!</v>
      </c>
      <c r="E113" s="189" t="e">
        <f>IF(F113=1,"Domingo",IF(F113=2,"Lunes",IF(F113=3,"Martes",IF(F113=4,"Miercoles",IF(F113=5,"Jueves",IF(F113=6,"Viernes",IF(F113=7,"Sábado",0)))))))</f>
        <v>#REF!</v>
      </c>
      <c r="F113" s="190" t="e">
        <f>WEEKDAY(D113)</f>
        <v>#REF!</v>
      </c>
      <c r="G113" s="142"/>
      <c r="H113" s="111"/>
    </row>
    <row r="114" spans="1:8">
      <c r="A114" s="80"/>
      <c r="B114" s="81"/>
      <c r="C114" s="81"/>
      <c r="D114" s="81"/>
      <c r="E114" s="81"/>
      <c r="F114" s="584"/>
      <c r="G114" s="584"/>
      <c r="H114" s="111"/>
    </row>
    <row r="115" spans="1:8">
      <c r="A115" s="80"/>
      <c r="B115" s="146">
        <f>+Mensajes!$B$7</f>
        <v>0</v>
      </c>
      <c r="C115" s="81"/>
      <c r="D115" s="81"/>
      <c r="E115" s="81"/>
      <c r="F115" s="81"/>
      <c r="G115" s="81"/>
      <c r="H115" s="111"/>
    </row>
    <row r="116" spans="1:8">
      <c r="A116" s="80"/>
      <c r="B116" s="146">
        <f>+Mensajes!$B$12</f>
        <v>0</v>
      </c>
      <c r="C116" s="81"/>
      <c r="D116" s="81"/>
      <c r="E116" s="81"/>
      <c r="F116" s="81"/>
      <c r="G116" s="81"/>
      <c r="H116" s="111"/>
    </row>
    <row r="117" spans="1:8">
      <c r="A117" s="80"/>
      <c r="B117" s="146" t="str">
        <f>IF(VLOOKUP(G107,'17_1'!$A$37:$N$70,14,0)=0,"",VLOOKUP(G107,'17_1'!$A$37:$N$70,14,0))</f>
        <v/>
      </c>
      <c r="C117" s="81"/>
      <c r="D117" s="81"/>
      <c r="E117" s="81"/>
      <c r="F117" s="81"/>
      <c r="G117" s="81"/>
      <c r="H117" s="111"/>
    </row>
    <row r="118" spans="1:8">
      <c r="A118" s="140"/>
      <c r="B118" s="188" t="str">
        <f>IF(DSUM('17_1'!$A$36:$Q$70,17,G106:G107)=COUNTIF('17_1'!$A$37:$A$70,G107),"","Regularice su Deuda")</f>
        <v/>
      </c>
      <c r="C118" s="82"/>
      <c r="D118" s="82"/>
      <c r="E118" s="82"/>
      <c r="F118" s="82"/>
      <c r="G118" s="82"/>
      <c r="H118" s="83"/>
    </row>
    <row r="120" spans="1:8">
      <c r="A120" s="108"/>
      <c r="B120" s="109"/>
      <c r="C120" s="109"/>
      <c r="D120" s="109"/>
      <c r="E120" s="109"/>
      <c r="F120" s="109"/>
      <c r="G120" s="109"/>
      <c r="H120" s="110"/>
    </row>
    <row r="121" spans="1:8">
      <c r="A121" s="80"/>
      <c r="B121" s="147" t="s">
        <v>64</v>
      </c>
      <c r="C121" s="81"/>
      <c r="D121" s="81"/>
      <c r="E121" s="81"/>
      <c r="F121" s="81"/>
      <c r="G121" s="81"/>
      <c r="H121" s="111"/>
    </row>
    <row r="122" spans="1:8">
      <c r="A122" s="80"/>
      <c r="B122" s="81"/>
      <c r="C122" s="81"/>
      <c r="D122" s="81"/>
      <c r="E122" s="81"/>
      <c r="F122" s="81"/>
      <c r="G122" s="81"/>
      <c r="H122" s="111"/>
    </row>
    <row r="123" spans="1:8">
      <c r="A123" s="80"/>
      <c r="B123" s="81" t="s">
        <v>139</v>
      </c>
      <c r="C123" s="81" t="str">
        <f>VLOOKUP(G124,'17_1'!$A$37:$G$70,6,0)</f>
        <v>ANDRE GUAQUINCHAY, DEMETRIO JOSE CIRILO</v>
      </c>
      <c r="D123" s="81"/>
      <c r="E123" s="81"/>
      <c r="F123" s="81"/>
      <c r="G123" s="138" t="s">
        <v>102</v>
      </c>
      <c r="H123" s="111"/>
    </row>
    <row r="124" spans="1:8">
      <c r="A124" s="80"/>
      <c r="B124" s="81" t="s">
        <v>72</v>
      </c>
      <c r="C124" s="81" t="str">
        <f>+'17_1'!$A$24</f>
        <v>Hijuela Gelvez - DIRECTOS</v>
      </c>
      <c r="D124" s="81"/>
      <c r="E124" s="81"/>
      <c r="F124" s="81"/>
      <c r="G124" s="138">
        <v>8</v>
      </c>
      <c r="H124" s="111"/>
    </row>
    <row r="125" spans="1:8">
      <c r="A125" s="80"/>
      <c r="B125" s="81"/>
      <c r="C125" s="81"/>
      <c r="D125" s="81"/>
      <c r="E125" s="81"/>
      <c r="F125" s="81"/>
      <c r="G125" s="81"/>
      <c r="H125" s="111"/>
    </row>
    <row r="126" spans="1:8">
      <c r="A126" s="80"/>
      <c r="B126" s="81" t="s">
        <v>140</v>
      </c>
      <c r="C126" s="138">
        <f>VLOOKUP(G124,'17_1'!$A$37:$B$70,2,0)</f>
        <v>1213</v>
      </c>
      <c r="D126" s="81"/>
      <c r="E126" s="139" t="s">
        <v>141</v>
      </c>
      <c r="F126" s="141" t="e">
        <f>DSUM('17_1'!A$36:J$70,'17_1'!$J$36,G123:G124)</f>
        <v>#N/A</v>
      </c>
      <c r="G126" s="81"/>
      <c r="H126" s="111"/>
    </row>
    <row r="127" spans="1:8">
      <c r="A127" s="80"/>
      <c r="B127" s="81" t="s">
        <v>142</v>
      </c>
      <c r="C127" s="205">
        <v>194</v>
      </c>
      <c r="D127" s="81"/>
      <c r="E127" s="81"/>
      <c r="F127" s="81"/>
      <c r="G127" s="81"/>
      <c r="H127" s="111"/>
    </row>
    <row r="128" spans="1:8">
      <c r="A128" s="80"/>
      <c r="B128" s="81" t="s">
        <v>144</v>
      </c>
      <c r="C128" s="206">
        <f>DSUM('17_1'!$A$36:$H$70,'17_1'!$H$36,G123:G124)</f>
        <v>6.1170999999999998</v>
      </c>
      <c r="D128" s="81"/>
      <c r="E128" s="81"/>
      <c r="F128" s="584"/>
      <c r="G128" s="584"/>
      <c r="H128" s="111"/>
    </row>
    <row r="129" spans="1:8" ht="15.75">
      <c r="A129" s="80"/>
      <c r="B129" s="81"/>
      <c r="C129" s="81" t="s">
        <v>146</v>
      </c>
      <c r="D129" s="145" t="e">
        <f>DMIN('17_1'!A$36:K$70,'17_1'!$K$36,G123:G124)</f>
        <v>#REF!</v>
      </c>
      <c r="E129" s="189" t="e">
        <f>IF(F129=1,"Domingo",IF(F129=2,"Lunes",IF(F129=3,"Martes",IF(F129=4,"Miercoles",IF(F129=5,"Jueves",IF(F129=6,"Viernes",IF(F129=7,"Sábado",0)))))))</f>
        <v>#REF!</v>
      </c>
      <c r="F129" s="190" t="e">
        <f>WEEKDAY(D129)</f>
        <v>#REF!</v>
      </c>
      <c r="G129" s="142"/>
      <c r="H129" s="111"/>
    </row>
    <row r="130" spans="1:8" ht="15.75">
      <c r="A130" s="80"/>
      <c r="B130" s="81"/>
      <c r="C130" s="81" t="s">
        <v>147</v>
      </c>
      <c r="D130" s="145" t="e">
        <f>DMAX('17_1'!A$36:L$70,'17_1'!$L$36,G123:G124)</f>
        <v>#REF!</v>
      </c>
      <c r="E130" s="189" t="e">
        <f>IF(F130=1,"Domingo",IF(F130=2,"Lunes",IF(F130=3,"Martes",IF(F130=4,"Miercoles",IF(F130=5,"Jueves",IF(F130=6,"Viernes",IF(F130=7,"Sábado",0)))))))</f>
        <v>#REF!</v>
      </c>
      <c r="F130" s="190" t="e">
        <f>WEEKDAY(D130)</f>
        <v>#REF!</v>
      </c>
      <c r="G130" s="142"/>
      <c r="H130" s="111"/>
    </row>
    <row r="131" spans="1:8">
      <c r="A131" s="80"/>
      <c r="B131" s="81"/>
      <c r="C131" s="81"/>
      <c r="D131" s="81"/>
      <c r="E131" s="81"/>
      <c r="F131" s="584"/>
      <c r="G131" s="584"/>
      <c r="H131" s="111"/>
    </row>
    <row r="132" spans="1:8">
      <c r="A132" s="80"/>
      <c r="B132" s="146">
        <f>+Mensajes!$B$7</f>
        <v>0</v>
      </c>
      <c r="C132" s="81"/>
      <c r="D132" s="81"/>
      <c r="E132" s="81"/>
      <c r="F132" s="81"/>
      <c r="G132" s="81"/>
      <c r="H132" s="111"/>
    </row>
    <row r="133" spans="1:8">
      <c r="A133" s="80"/>
      <c r="B133" s="146">
        <f>+Mensajes!$B$12</f>
        <v>0</v>
      </c>
      <c r="C133" s="81"/>
      <c r="D133" s="81"/>
      <c r="E133" s="81"/>
      <c r="F133" s="81"/>
      <c r="G133" s="81"/>
      <c r="H133" s="111"/>
    </row>
    <row r="134" spans="1:8">
      <c r="A134" s="80"/>
      <c r="B134" s="146" t="str">
        <f>IF(VLOOKUP(G124,'17_1'!$A$37:$N$70,14,0)=0,"",VLOOKUP(G124,'17_1'!$A$37:$N$70,14,0))</f>
        <v/>
      </c>
      <c r="C134" s="81"/>
      <c r="D134" s="81"/>
      <c r="E134" s="81"/>
      <c r="F134" s="81"/>
      <c r="G134" s="81"/>
      <c r="H134" s="111"/>
    </row>
    <row r="135" spans="1:8">
      <c r="A135" s="140"/>
      <c r="B135" s="188" t="str">
        <f>IF(DSUM('17_1'!$A$36:$Q$70,17,G123:G124)=COUNTIF('17_1'!$A$37:$A$70,G124),"","Regularice su Deuda")</f>
        <v/>
      </c>
      <c r="C135" s="82"/>
      <c r="D135" s="82"/>
      <c r="E135" s="82"/>
      <c r="F135" s="82"/>
      <c r="G135" s="82"/>
      <c r="H135" s="83"/>
    </row>
    <row r="137" spans="1:8">
      <c r="A137" s="108"/>
      <c r="B137" s="109"/>
      <c r="C137" s="109"/>
      <c r="D137" s="109"/>
      <c r="E137" s="109"/>
      <c r="F137" s="109"/>
      <c r="G137" s="109"/>
      <c r="H137" s="110"/>
    </row>
    <row r="138" spans="1:8">
      <c r="A138" s="80"/>
      <c r="B138" s="147" t="s">
        <v>64</v>
      </c>
      <c r="C138" s="81"/>
      <c r="D138" s="81"/>
      <c r="E138" s="81"/>
      <c r="F138" s="81"/>
      <c r="G138" s="81"/>
      <c r="H138" s="111"/>
    </row>
    <row r="139" spans="1:8">
      <c r="A139" s="80"/>
      <c r="B139" s="81"/>
      <c r="C139" s="81"/>
      <c r="D139" s="81"/>
      <c r="E139" s="81"/>
      <c r="F139" s="81"/>
      <c r="G139" s="81"/>
      <c r="H139" s="111"/>
    </row>
    <row r="140" spans="1:8">
      <c r="A140" s="80"/>
      <c r="B140" s="81" t="s">
        <v>139</v>
      </c>
      <c r="C140" s="81" t="str">
        <f>VLOOKUP(G141,'17_1'!$A$37:$G$70,6,0)</f>
        <v>TEJERO, JOSE MARIA</v>
      </c>
      <c r="D140" s="81"/>
      <c r="E140" s="81"/>
      <c r="F140" s="81"/>
      <c r="G140" s="138" t="s">
        <v>102</v>
      </c>
      <c r="H140" s="111"/>
    </row>
    <row r="141" spans="1:8">
      <c r="A141" s="80"/>
      <c r="B141" s="81" t="s">
        <v>72</v>
      </c>
      <c r="C141" s="81" t="str">
        <f>+'17_1'!$A$24</f>
        <v>Hijuela Gelvez - DIRECTOS</v>
      </c>
      <c r="D141" s="81"/>
      <c r="E141" s="81"/>
      <c r="F141" s="81"/>
      <c r="G141" s="138">
        <v>9</v>
      </c>
      <c r="H141" s="111"/>
    </row>
    <row r="142" spans="1:8">
      <c r="A142" s="80"/>
      <c r="B142" s="81"/>
      <c r="C142" s="81"/>
      <c r="D142" s="81"/>
      <c r="E142" s="81"/>
      <c r="F142" s="81"/>
      <c r="G142" s="81"/>
      <c r="H142" s="111"/>
    </row>
    <row r="143" spans="1:8">
      <c r="A143" s="80"/>
      <c r="B143" s="81" t="s">
        <v>140</v>
      </c>
      <c r="C143" s="138">
        <f>VLOOKUP(G141,'17_1'!$A$37:$B$70,2,0)</f>
        <v>1213</v>
      </c>
      <c r="D143" s="81"/>
      <c r="E143" s="139" t="s">
        <v>141</v>
      </c>
      <c r="F143" s="141" t="e">
        <f>DSUM('17_1'!A$36:J$70,'17_1'!$J$36,G140:G141)</f>
        <v>#N/A</v>
      </c>
      <c r="G143" s="81"/>
      <c r="H143" s="111"/>
    </row>
    <row r="144" spans="1:8">
      <c r="A144" s="80"/>
      <c r="B144" s="81" t="s">
        <v>142</v>
      </c>
      <c r="C144" s="205">
        <v>259</v>
      </c>
      <c r="D144" s="81"/>
      <c r="E144" s="81"/>
      <c r="F144" s="81"/>
      <c r="G144" s="81"/>
      <c r="H144" s="111"/>
    </row>
    <row r="145" spans="1:8">
      <c r="A145" s="80"/>
      <c r="B145" s="81" t="s">
        <v>144</v>
      </c>
      <c r="C145" s="206" t="e">
        <f>DSUM('17_1'!$A$36:$H$70,'17_1'!$H$36,G140:G141)</f>
        <v>#N/A</v>
      </c>
      <c r="D145" s="81"/>
      <c r="E145" s="81"/>
      <c r="F145" s="584"/>
      <c r="G145" s="584"/>
      <c r="H145" s="111"/>
    </row>
    <row r="146" spans="1:8" ht="15.75">
      <c r="A146" s="80"/>
      <c r="B146" s="81"/>
      <c r="C146" s="81" t="s">
        <v>146</v>
      </c>
      <c r="D146" s="145" t="e">
        <f>DMIN('17_1'!A$36:K$70,'17_1'!$K$36,G140:G141)</f>
        <v>#REF!</v>
      </c>
      <c r="E146" s="189" t="e">
        <f>IF(F146=1,"Domingo",IF(F146=2,"Lunes",IF(F146=3,"Martes",IF(F146=4,"Miercoles",IF(F146=5,"Jueves",IF(F146=6,"Viernes",IF(F146=7,"Sábado",0)))))))</f>
        <v>#REF!</v>
      </c>
      <c r="F146" s="190" t="e">
        <f>WEEKDAY(D146)</f>
        <v>#REF!</v>
      </c>
      <c r="G146" s="142"/>
      <c r="H146" s="111"/>
    </row>
    <row r="147" spans="1:8" ht="15.75">
      <c r="A147" s="80"/>
      <c r="B147" s="81"/>
      <c r="C147" s="81" t="s">
        <v>147</v>
      </c>
      <c r="D147" s="145" t="e">
        <f>DMAX('17_1'!A$36:L$70,'17_1'!$L$36,G140:G141)</f>
        <v>#REF!</v>
      </c>
      <c r="E147" s="189" t="e">
        <f>IF(F147=1,"Domingo",IF(F147=2,"Lunes",IF(F147=3,"Martes",IF(F147=4,"Miercoles",IF(F147=5,"Jueves",IF(F147=6,"Viernes",IF(F147=7,"Sábado",0)))))))</f>
        <v>#REF!</v>
      </c>
      <c r="F147" s="190" t="e">
        <f>WEEKDAY(D147)</f>
        <v>#REF!</v>
      </c>
      <c r="G147" s="142"/>
      <c r="H147" s="111"/>
    </row>
    <row r="148" spans="1:8">
      <c r="A148" s="80"/>
      <c r="B148" s="81"/>
      <c r="C148" s="81"/>
      <c r="D148" s="81"/>
      <c r="E148" s="81"/>
      <c r="F148" s="584"/>
      <c r="G148" s="584"/>
      <c r="H148" s="111"/>
    </row>
    <row r="149" spans="1:8">
      <c r="A149" s="80"/>
      <c r="B149" s="146">
        <f>+Mensajes!$B$7</f>
        <v>0</v>
      </c>
      <c r="C149" s="81"/>
      <c r="D149" s="81"/>
      <c r="E149" s="81"/>
      <c r="F149" s="81"/>
      <c r="G149" s="81"/>
      <c r="H149" s="111"/>
    </row>
    <row r="150" spans="1:8">
      <c r="A150" s="80"/>
      <c r="B150" s="146">
        <f>+Mensajes!$B$12</f>
        <v>0</v>
      </c>
      <c r="C150" s="81"/>
      <c r="D150" s="81"/>
      <c r="E150" s="81"/>
      <c r="F150" s="81"/>
      <c r="G150" s="81"/>
      <c r="H150" s="111"/>
    </row>
    <row r="151" spans="1:8">
      <c r="A151" s="80"/>
      <c r="B151" s="146" t="str">
        <f>IF(VLOOKUP(G141,'17_1'!$A$37:$N$70,14,0)=0,"",VLOOKUP(G141,'17_1'!$A$37:$N$70,14,0))</f>
        <v/>
      </c>
      <c r="C151" s="81"/>
      <c r="D151" s="81"/>
      <c r="E151" s="81"/>
      <c r="F151" s="81"/>
      <c r="G151" s="81"/>
      <c r="H151" s="111"/>
    </row>
    <row r="152" spans="1:8">
      <c r="A152" s="140"/>
      <c r="B152" s="188" t="e">
        <f>IF(DSUM('17_1'!$A$36:$Q$70,17,G140:G141)=COUNTIF('17_1'!$A$37:$A$70,G141),"","Regularice su Deuda")</f>
        <v>#N/A</v>
      </c>
      <c r="C152" s="82"/>
      <c r="D152" s="82"/>
      <c r="E152" s="82"/>
      <c r="F152" s="82"/>
      <c r="G152" s="82"/>
      <c r="H152" s="83"/>
    </row>
    <row r="154" spans="1:8">
      <c r="A154" s="108"/>
      <c r="B154" s="109"/>
      <c r="C154" s="109"/>
      <c r="D154" s="109"/>
      <c r="E154" s="109"/>
      <c r="F154" s="109"/>
      <c r="G154" s="109"/>
      <c r="H154" s="110"/>
    </row>
    <row r="155" spans="1:8">
      <c r="A155" s="80"/>
      <c r="B155" s="147" t="s">
        <v>64</v>
      </c>
      <c r="C155" s="81"/>
      <c r="D155" s="81"/>
      <c r="E155" s="81"/>
      <c r="F155" s="81"/>
      <c r="G155" s="81"/>
      <c r="H155" s="111"/>
    </row>
    <row r="156" spans="1:8">
      <c r="A156" s="80"/>
      <c r="B156" s="81"/>
      <c r="C156" s="81"/>
      <c r="D156" s="81"/>
      <c r="E156" s="81"/>
      <c r="F156" s="81"/>
      <c r="G156" s="81"/>
      <c r="H156" s="111"/>
    </row>
    <row r="157" spans="1:8">
      <c r="A157" s="80"/>
      <c r="B157" s="81" t="s">
        <v>139</v>
      </c>
      <c r="C157" s="81" t="str">
        <f>VLOOKUP(G158,'17_1'!$A$37:$G$70,6,0)</f>
        <v>TEJERO, MANUEL HUMBERTO</v>
      </c>
      <c r="D157" s="81"/>
      <c r="E157" s="81"/>
      <c r="F157" s="81"/>
      <c r="G157" s="138" t="s">
        <v>102</v>
      </c>
      <c r="H157" s="111"/>
    </row>
    <row r="158" spans="1:8">
      <c r="A158" s="80"/>
      <c r="B158" s="81" t="s">
        <v>72</v>
      </c>
      <c r="C158" s="81" t="str">
        <f>+'17_1'!$A$24</f>
        <v>Hijuela Gelvez - DIRECTOS</v>
      </c>
      <c r="D158" s="81"/>
      <c r="E158" s="81"/>
      <c r="F158" s="81"/>
      <c r="G158" s="138">
        <v>10</v>
      </c>
      <c r="H158" s="111"/>
    </row>
    <row r="159" spans="1:8">
      <c r="A159" s="80"/>
      <c r="B159" s="81"/>
      <c r="C159" s="81"/>
      <c r="D159" s="81"/>
      <c r="E159" s="81"/>
      <c r="F159" s="81"/>
      <c r="G159" s="81"/>
      <c r="H159" s="111"/>
    </row>
    <row r="160" spans="1:8">
      <c r="A160" s="80"/>
      <c r="B160" s="81" t="s">
        <v>140</v>
      </c>
      <c r="C160" s="138">
        <f>VLOOKUP(G158,'17_1'!$A$37:$B$70,2,0)</f>
        <v>1213</v>
      </c>
      <c r="D160" s="81"/>
      <c r="E160" s="139" t="s">
        <v>141</v>
      </c>
      <c r="F160" s="141" t="e">
        <f>DSUM('17_1'!A$36:J$70,'17_1'!$J$36,G157:G158)</f>
        <v>#N/A</v>
      </c>
      <c r="G160" s="81"/>
      <c r="H160" s="111"/>
    </row>
    <row r="161" spans="1:8">
      <c r="A161" s="80"/>
      <c r="B161" s="81" t="s">
        <v>142</v>
      </c>
      <c r="C161" s="205">
        <v>260</v>
      </c>
      <c r="D161" s="81"/>
      <c r="E161" s="81"/>
      <c r="F161" s="81"/>
      <c r="G161" s="81"/>
      <c r="H161" s="111"/>
    </row>
    <row r="162" spans="1:8">
      <c r="A162" s="80"/>
      <c r="B162" s="81" t="s">
        <v>144</v>
      </c>
      <c r="C162" s="206">
        <f>DSUM('17_1'!$A$36:$H$70,'17_1'!$H$36,G157:G158)</f>
        <v>0.69989999999999997</v>
      </c>
      <c r="D162" s="81"/>
      <c r="E162" s="81"/>
      <c r="F162" s="584"/>
      <c r="G162" s="584"/>
      <c r="H162" s="111"/>
    </row>
    <row r="163" spans="1:8" ht="15.75">
      <c r="A163" s="80"/>
      <c r="B163" s="81"/>
      <c r="C163" s="81" t="s">
        <v>146</v>
      </c>
      <c r="D163" s="145" t="e">
        <f>DMIN('17_1'!A$36:K$70,'17_1'!$K$36,G157:G158)</f>
        <v>#REF!</v>
      </c>
      <c r="E163" s="189" t="e">
        <f>IF(F163=1,"Domingo",IF(F163=2,"Lunes",IF(F163=3,"Martes",IF(F163=4,"Miercoles",IF(F163=5,"Jueves",IF(F163=6,"Viernes",IF(F163=7,"Sábado",0)))))))</f>
        <v>#REF!</v>
      </c>
      <c r="F163" s="190" t="e">
        <f>WEEKDAY(D163)</f>
        <v>#REF!</v>
      </c>
      <c r="G163" s="142"/>
      <c r="H163" s="111"/>
    </row>
    <row r="164" spans="1:8" ht="15.75">
      <c r="A164" s="80"/>
      <c r="B164" s="81"/>
      <c r="C164" s="81" t="s">
        <v>147</v>
      </c>
      <c r="D164" s="145" t="e">
        <f>DMAX('17_1'!A$36:L$70,'17_1'!$L$36,G157:G158)</f>
        <v>#REF!</v>
      </c>
      <c r="E164" s="189" t="e">
        <f>IF(F164=1,"Domingo",IF(F164=2,"Lunes",IF(F164=3,"Martes",IF(F164=4,"Miercoles",IF(F164=5,"Jueves",IF(F164=6,"Viernes",IF(F164=7,"Sábado",0)))))))</f>
        <v>#REF!</v>
      </c>
      <c r="F164" s="190" t="e">
        <f>WEEKDAY(D164)</f>
        <v>#REF!</v>
      </c>
      <c r="G164" s="142"/>
      <c r="H164" s="111"/>
    </row>
    <row r="165" spans="1:8">
      <c r="A165" s="80"/>
      <c r="B165" s="81"/>
      <c r="C165" s="81"/>
      <c r="D165" s="81"/>
      <c r="E165" s="81"/>
      <c r="F165" s="584"/>
      <c r="G165" s="584"/>
      <c r="H165" s="111"/>
    </row>
    <row r="166" spans="1:8">
      <c r="A166" s="80"/>
      <c r="B166" s="146">
        <f>+Mensajes!$B$7</f>
        <v>0</v>
      </c>
      <c r="C166" s="81"/>
      <c r="D166" s="81"/>
      <c r="E166" s="81"/>
      <c r="F166" s="81"/>
      <c r="G166" s="81"/>
      <c r="H166" s="111"/>
    </row>
    <row r="167" spans="1:8">
      <c r="A167" s="80"/>
      <c r="B167" s="146">
        <f>+Mensajes!$B$12</f>
        <v>0</v>
      </c>
      <c r="C167" s="81"/>
      <c r="D167" s="81"/>
      <c r="E167" s="81"/>
      <c r="F167" s="81"/>
      <c r="G167" s="81"/>
      <c r="H167" s="111"/>
    </row>
    <row r="168" spans="1:8">
      <c r="A168" s="80"/>
      <c r="B168" s="146" t="str">
        <f>IF(VLOOKUP(G158,'17_1'!$A$37:$N$70,14,0)=0,"",VLOOKUP(G158,'17_1'!$A$37:$N$70,14,0))</f>
        <v/>
      </c>
      <c r="C168" s="81"/>
      <c r="D168" s="81"/>
      <c r="E168" s="81"/>
      <c r="F168" s="81"/>
      <c r="G168" s="81"/>
      <c r="H168" s="111"/>
    </row>
    <row r="169" spans="1:8">
      <c r="A169" s="140"/>
      <c r="B169" s="188" t="str">
        <f>IF(DSUM('17_1'!$A$36:$Q$70,17,G157:G158)=COUNTIF('17_1'!$A$37:$A$70,G158),"","Regularice su Deuda")</f>
        <v/>
      </c>
      <c r="C169" s="82"/>
      <c r="D169" s="82"/>
      <c r="E169" s="82"/>
      <c r="F169" s="82"/>
      <c r="G169" s="82"/>
      <c r="H169" s="83"/>
    </row>
    <row r="171" spans="1:8">
      <c r="A171" s="108"/>
      <c r="B171" s="109"/>
      <c r="C171" s="109"/>
      <c r="D171" s="109"/>
      <c r="E171" s="109"/>
      <c r="F171" s="109"/>
      <c r="G171" s="109"/>
      <c r="H171" s="110"/>
    </row>
    <row r="172" spans="1:8">
      <c r="A172" s="80"/>
      <c r="B172" s="147" t="s">
        <v>64</v>
      </c>
      <c r="C172" s="81"/>
      <c r="D172" s="81"/>
      <c r="E172" s="81"/>
      <c r="F172" s="81"/>
      <c r="G172" s="81"/>
      <c r="H172" s="111"/>
    </row>
    <row r="173" spans="1:8">
      <c r="A173" s="80"/>
      <c r="B173" s="81"/>
      <c r="C173" s="81"/>
      <c r="D173" s="81"/>
      <c r="E173" s="81"/>
      <c r="F173" s="81"/>
      <c r="G173" s="81"/>
      <c r="H173" s="111"/>
    </row>
    <row r="174" spans="1:8">
      <c r="A174" s="80"/>
      <c r="B174" s="81" t="s">
        <v>139</v>
      </c>
      <c r="C174" s="81" t="str">
        <f>VLOOKUP(G175,'17_1'!$A$37:$G$70,6,0)</f>
        <v>TEJERO, CARLOS GREGORIO</v>
      </c>
      <c r="D174" s="81"/>
      <c r="E174" s="81"/>
      <c r="F174" s="81"/>
      <c r="G174" s="138" t="s">
        <v>102</v>
      </c>
      <c r="H174" s="111"/>
    </row>
    <row r="175" spans="1:8">
      <c r="A175" s="80"/>
      <c r="B175" s="81" t="s">
        <v>72</v>
      </c>
      <c r="C175" s="81" t="str">
        <f>+'17_1'!$A$24</f>
        <v>Hijuela Gelvez - DIRECTOS</v>
      </c>
      <c r="D175" s="81"/>
      <c r="E175" s="81"/>
      <c r="F175" s="81"/>
      <c r="G175" s="138">
        <v>11</v>
      </c>
      <c r="H175" s="111"/>
    </row>
    <row r="176" spans="1:8">
      <c r="A176" s="80"/>
      <c r="B176" s="81"/>
      <c r="C176" s="81"/>
      <c r="D176" s="81"/>
      <c r="E176" s="81"/>
      <c r="F176" s="81"/>
      <c r="G176" s="81"/>
      <c r="H176" s="111"/>
    </row>
    <row r="177" spans="1:8">
      <c r="A177" s="80"/>
      <c r="B177" s="81" t="s">
        <v>140</v>
      </c>
      <c r="C177" s="138">
        <f>VLOOKUP(G175,'17_1'!$A$37:$B$70,2,0)</f>
        <v>1213</v>
      </c>
      <c r="D177" s="81"/>
      <c r="E177" s="139" t="s">
        <v>141</v>
      </c>
      <c r="F177" s="141" t="e">
        <f>DSUM('17_1'!A$36:J$70,'17_1'!$J$36,G174:G175)</f>
        <v>#N/A</v>
      </c>
      <c r="G177" s="81"/>
      <c r="H177" s="111"/>
    </row>
    <row r="178" spans="1:8">
      <c r="A178" s="80"/>
      <c r="B178" s="81" t="s">
        <v>142</v>
      </c>
      <c r="C178" s="205">
        <v>261</v>
      </c>
      <c r="D178" s="81"/>
      <c r="E178" s="81"/>
      <c r="F178" s="81"/>
      <c r="G178" s="81"/>
      <c r="H178" s="111"/>
    </row>
    <row r="179" spans="1:8">
      <c r="A179" s="80"/>
      <c r="B179" s="81" t="s">
        <v>144</v>
      </c>
      <c r="C179" s="206">
        <f>DSUM('17_1'!$A$36:$H$70,'17_1'!$H$36,G174:G175)</f>
        <v>0.68989999999999996</v>
      </c>
      <c r="D179" s="81"/>
      <c r="E179" s="81"/>
      <c r="F179" s="584"/>
      <c r="G179" s="584"/>
      <c r="H179" s="111"/>
    </row>
    <row r="180" spans="1:8" ht="15.75">
      <c r="A180" s="80"/>
      <c r="B180" s="81"/>
      <c r="C180" s="81" t="s">
        <v>146</v>
      </c>
      <c r="D180" s="145" t="e">
        <f>DMIN('17_1'!A$36:K$70,'17_1'!$K$36,G174:G175)</f>
        <v>#REF!</v>
      </c>
      <c r="E180" s="189" t="e">
        <f>IF(F180=1,"Domingo",IF(F180=2,"Lunes",IF(F180=3,"Martes",IF(F180=4,"Miercoles",IF(F180=5,"Jueves",IF(F180=6,"Viernes",IF(F180=7,"Sábado",0)))))))</f>
        <v>#REF!</v>
      </c>
      <c r="F180" s="190" t="e">
        <f>WEEKDAY(D180)</f>
        <v>#REF!</v>
      </c>
      <c r="G180" s="142"/>
      <c r="H180" s="111"/>
    </row>
    <row r="181" spans="1:8" ht="15.75">
      <c r="A181" s="80"/>
      <c r="B181" s="81"/>
      <c r="C181" s="81" t="s">
        <v>147</v>
      </c>
      <c r="D181" s="145" t="e">
        <f>DMAX('17_1'!A$36:L$70,'17_1'!$L$36,G174:G175)</f>
        <v>#REF!</v>
      </c>
      <c r="E181" s="189" t="e">
        <f>IF(F181=1,"Domingo",IF(F181=2,"Lunes",IF(F181=3,"Martes",IF(F181=4,"Miercoles",IF(F181=5,"Jueves",IF(F181=6,"Viernes",IF(F181=7,"Sábado",0)))))))</f>
        <v>#REF!</v>
      </c>
      <c r="F181" s="190" t="e">
        <f>WEEKDAY(D181)</f>
        <v>#REF!</v>
      </c>
      <c r="G181" s="142"/>
      <c r="H181" s="111"/>
    </row>
    <row r="182" spans="1:8">
      <c r="A182" s="80"/>
      <c r="B182" s="81"/>
      <c r="C182" s="81"/>
      <c r="D182" s="81"/>
      <c r="E182" s="81"/>
      <c r="F182" s="584"/>
      <c r="G182" s="584"/>
      <c r="H182" s="111"/>
    </row>
    <row r="183" spans="1:8">
      <c r="A183" s="80"/>
      <c r="B183" s="146">
        <f>+Mensajes!$B$7</f>
        <v>0</v>
      </c>
      <c r="C183" s="81"/>
      <c r="D183" s="81"/>
      <c r="E183" s="81"/>
      <c r="F183" s="81"/>
      <c r="G183" s="81"/>
      <c r="H183" s="111"/>
    </row>
    <row r="184" spans="1:8">
      <c r="A184" s="80"/>
      <c r="B184" s="146">
        <f>+Mensajes!$B$12</f>
        <v>0</v>
      </c>
      <c r="C184" s="81"/>
      <c r="D184" s="81"/>
      <c r="E184" s="81"/>
      <c r="F184" s="81"/>
      <c r="G184" s="81"/>
      <c r="H184" s="111"/>
    </row>
    <row r="185" spans="1:8">
      <c r="A185" s="80"/>
      <c r="B185" s="146" t="str">
        <f>IF(VLOOKUP(G175,'17_1'!$A$37:$N$70,14,0)=0,"",VLOOKUP(G175,'17_1'!$A$37:$N$70,14,0))</f>
        <v/>
      </c>
      <c r="C185" s="81"/>
      <c r="D185" s="81"/>
      <c r="E185" s="81"/>
      <c r="F185" s="81"/>
      <c r="G185" s="81"/>
      <c r="H185" s="111"/>
    </row>
    <row r="186" spans="1:8">
      <c r="A186" s="140"/>
      <c r="B186" s="188" t="str">
        <f>IF(DSUM('17_1'!$A$36:$Q$70,17,G174:G175)=COUNTIF('17_1'!$A$37:$A$70,G175),"","Regularice su Deuda")</f>
        <v/>
      </c>
      <c r="C186" s="82"/>
      <c r="D186" s="82"/>
      <c r="E186" s="82"/>
      <c r="F186" s="82"/>
      <c r="G186" s="82"/>
      <c r="H186" s="83"/>
    </row>
    <row r="188" spans="1:8">
      <c r="A188" s="108"/>
      <c r="B188" s="109"/>
      <c r="C188" s="109"/>
      <c r="D188" s="109"/>
      <c r="E188" s="109"/>
      <c r="F188" s="109"/>
      <c r="G188" s="109"/>
      <c r="H188" s="110"/>
    </row>
    <row r="189" spans="1:8">
      <c r="A189" s="80"/>
      <c r="B189" s="147" t="s">
        <v>64</v>
      </c>
      <c r="C189" s="81"/>
      <c r="D189" s="81"/>
      <c r="E189" s="81"/>
      <c r="F189" s="81"/>
      <c r="G189" s="81"/>
      <c r="H189" s="111"/>
    </row>
    <row r="190" spans="1:8">
      <c r="A190" s="80"/>
      <c r="B190" s="81"/>
      <c r="C190" s="81"/>
      <c r="D190" s="81"/>
      <c r="E190" s="81"/>
      <c r="F190" s="81"/>
      <c r="G190" s="81"/>
      <c r="H190" s="111"/>
    </row>
    <row r="191" spans="1:8">
      <c r="A191" s="80"/>
      <c r="B191" s="81" t="s">
        <v>139</v>
      </c>
      <c r="C191" s="81" t="str">
        <f>VLOOKUP(G192,'17_1'!$A$37:$G$70,6,0)</f>
        <v>TEJERO, HECTOR MARTINIANO</v>
      </c>
      <c r="D191" s="81"/>
      <c r="E191" s="81"/>
      <c r="F191" s="81"/>
      <c r="G191" s="138" t="s">
        <v>102</v>
      </c>
      <c r="H191" s="111"/>
    </row>
    <row r="192" spans="1:8">
      <c r="A192" s="80"/>
      <c r="B192" s="81" t="s">
        <v>72</v>
      </c>
      <c r="C192" s="81" t="str">
        <f>+'17_1'!$A$24</f>
        <v>Hijuela Gelvez - DIRECTOS</v>
      </c>
      <c r="D192" s="81"/>
      <c r="E192" s="81"/>
      <c r="F192" s="81"/>
      <c r="G192" s="138">
        <v>12</v>
      </c>
      <c r="H192" s="111"/>
    </row>
    <row r="193" spans="1:8">
      <c r="A193" s="80"/>
      <c r="B193" s="81"/>
      <c r="C193" s="81"/>
      <c r="D193" s="81"/>
      <c r="E193" s="81"/>
      <c r="F193" s="81"/>
      <c r="G193" s="81"/>
      <c r="H193" s="111"/>
    </row>
    <row r="194" spans="1:8">
      <c r="A194" s="80"/>
      <c r="B194" s="81" t="s">
        <v>140</v>
      </c>
      <c r="C194" s="138">
        <f>VLOOKUP(G192,'17_1'!$A$37:$B$70,2,0)</f>
        <v>1213</v>
      </c>
      <c r="D194" s="81"/>
      <c r="E194" s="139" t="s">
        <v>141</v>
      </c>
      <c r="F194" s="141" t="e">
        <f>DSUM('17_1'!A$36:J$70,'17_1'!$J$36,G191:G192)</f>
        <v>#N/A</v>
      </c>
      <c r="G194" s="81"/>
      <c r="H194" s="111"/>
    </row>
    <row r="195" spans="1:8">
      <c r="A195" s="80"/>
      <c r="B195" s="81" t="s">
        <v>142</v>
      </c>
      <c r="C195" s="205">
        <v>262</v>
      </c>
      <c r="D195" s="81"/>
      <c r="E195" s="81"/>
      <c r="F195" s="81"/>
      <c r="G195" s="81"/>
      <c r="H195" s="111"/>
    </row>
    <row r="196" spans="1:8">
      <c r="A196" s="80"/>
      <c r="B196" s="81" t="s">
        <v>144</v>
      </c>
      <c r="C196" s="206">
        <f>DSUM('17_1'!$A$36:$H$70,'17_1'!$H$36,G191:G192)</f>
        <v>0</v>
      </c>
      <c r="D196" s="81"/>
      <c r="E196" s="81"/>
      <c r="F196" s="584"/>
      <c r="G196" s="584"/>
      <c r="H196" s="111"/>
    </row>
    <row r="197" spans="1:8" ht="15.75">
      <c r="A197" s="80"/>
      <c r="B197" s="81"/>
      <c r="C197" s="81" t="s">
        <v>146</v>
      </c>
      <c r="D197" s="145" t="e">
        <f>DMIN('17_1'!A$36:K$70,'17_1'!$K$36,G191:G192)</f>
        <v>#REF!</v>
      </c>
      <c r="E197" s="189" t="e">
        <f>IF(F197=1,"Domingo",IF(F197=2,"Lunes",IF(F197=3,"Martes",IF(F197=4,"Miercoles",IF(F197=5,"Jueves",IF(F197=6,"Viernes",IF(F197=7,"Sábado",0)))))))</f>
        <v>#REF!</v>
      </c>
      <c r="F197" s="190" t="e">
        <f>WEEKDAY(D197)</f>
        <v>#REF!</v>
      </c>
      <c r="G197" s="142"/>
      <c r="H197" s="111"/>
    </row>
    <row r="198" spans="1:8" ht="15.75">
      <c r="A198" s="80"/>
      <c r="B198" s="81"/>
      <c r="C198" s="81" t="s">
        <v>147</v>
      </c>
      <c r="D198" s="145" t="e">
        <f>DMAX('17_1'!A$36:L$70,'17_1'!$L$36,G191:G192)</f>
        <v>#REF!</v>
      </c>
      <c r="E198" s="189" t="e">
        <f>IF(F198=1,"Domingo",IF(F198=2,"Lunes",IF(F198=3,"Martes",IF(F198=4,"Miercoles",IF(F198=5,"Jueves",IF(F198=6,"Viernes",IF(F198=7,"Sábado",0)))))))</f>
        <v>#REF!</v>
      </c>
      <c r="F198" s="190" t="e">
        <f>WEEKDAY(D198)</f>
        <v>#REF!</v>
      </c>
      <c r="G198" s="142"/>
      <c r="H198" s="111"/>
    </row>
    <row r="199" spans="1:8">
      <c r="A199" s="80"/>
      <c r="B199" s="81"/>
      <c r="C199" s="81"/>
      <c r="D199" s="81"/>
      <c r="E199" s="81"/>
      <c r="F199" s="584"/>
      <c r="G199" s="584"/>
      <c r="H199" s="111"/>
    </row>
    <row r="200" spans="1:8">
      <c r="A200" s="80"/>
      <c r="B200" s="146">
        <f>+Mensajes!$B$7</f>
        <v>0</v>
      </c>
      <c r="C200" s="81"/>
      <c r="D200" s="81"/>
      <c r="E200" s="81"/>
      <c r="F200" s="81"/>
      <c r="G200" s="81"/>
      <c r="H200" s="111"/>
    </row>
    <row r="201" spans="1:8">
      <c r="A201" s="80"/>
      <c r="B201" s="146">
        <f>+Mensajes!$B$12</f>
        <v>0</v>
      </c>
      <c r="C201" s="81"/>
      <c r="D201" s="81"/>
      <c r="E201" s="81"/>
      <c r="F201" s="81"/>
      <c r="G201" s="81"/>
      <c r="H201" s="111"/>
    </row>
    <row r="202" spans="1:8">
      <c r="A202" s="80"/>
      <c r="B202" s="146" t="str">
        <f>IF(VLOOKUP(G192,'17_1'!$A$37:$N$70,14,0)=0,"",VLOOKUP(G192,'17_1'!$A$37:$N$70,14,0))</f>
        <v/>
      </c>
      <c r="C202" s="81"/>
      <c r="D202" s="81"/>
      <c r="E202" s="81"/>
      <c r="F202" s="81"/>
      <c r="G202" s="81"/>
      <c r="H202" s="111"/>
    </row>
    <row r="203" spans="1:8">
      <c r="A203" s="140"/>
      <c r="B203" s="188" t="str">
        <f>IF(DSUM('17_1'!$A$36:$Q$70,17,G191:G192)=COUNTIF('17_1'!$A$37:$A$70,G192),"","Regularice su Deuda")</f>
        <v>Regularice su Deuda</v>
      </c>
      <c r="C203" s="82"/>
      <c r="D203" s="82"/>
      <c r="E203" s="82"/>
      <c r="F203" s="82"/>
      <c r="G203" s="82"/>
      <c r="H203" s="83"/>
    </row>
    <row r="205" spans="1:8">
      <c r="A205" s="108"/>
      <c r="B205" s="109"/>
      <c r="C205" s="109"/>
      <c r="D205" s="109"/>
      <c r="E205" s="109"/>
      <c r="F205" s="109"/>
      <c r="G205" s="109"/>
      <c r="H205" s="110"/>
    </row>
    <row r="206" spans="1:8">
      <c r="A206" s="80"/>
      <c r="B206" s="147" t="s">
        <v>64</v>
      </c>
      <c r="C206" s="81"/>
      <c r="D206" s="81"/>
      <c r="E206" s="81"/>
      <c r="F206" s="81"/>
      <c r="G206" s="81"/>
      <c r="H206" s="111"/>
    </row>
    <row r="207" spans="1:8">
      <c r="A207" s="80"/>
      <c r="B207" s="81"/>
      <c r="C207" s="81"/>
      <c r="D207" s="81"/>
      <c r="E207" s="81"/>
      <c r="F207" s="81"/>
      <c r="G207" s="81"/>
      <c r="H207" s="111"/>
    </row>
    <row r="208" spans="1:8">
      <c r="A208" s="80"/>
      <c r="B208" s="81" t="s">
        <v>139</v>
      </c>
      <c r="C208" s="81" t="str">
        <f>VLOOKUP(G209,'17_1'!$A$37:$G$70,6,0)</f>
        <v>VILLEGAS, JUAN LAZARO</v>
      </c>
      <c r="D208" s="81"/>
      <c r="E208" s="81"/>
      <c r="F208" s="81"/>
      <c r="G208" s="138" t="s">
        <v>102</v>
      </c>
      <c r="H208" s="111"/>
    </row>
    <row r="209" spans="1:8">
      <c r="A209" s="80"/>
      <c r="B209" s="81" t="s">
        <v>72</v>
      </c>
      <c r="C209" s="81" t="str">
        <f>+'17_1'!$A$24</f>
        <v>Hijuela Gelvez - DIRECTOS</v>
      </c>
      <c r="D209" s="81"/>
      <c r="E209" s="81"/>
      <c r="F209" s="81"/>
      <c r="G209" s="138">
        <v>13</v>
      </c>
      <c r="H209" s="111"/>
    </row>
    <row r="210" spans="1:8">
      <c r="A210" s="80"/>
      <c r="B210" s="81"/>
      <c r="C210" s="81"/>
      <c r="D210" s="81"/>
      <c r="E210" s="81"/>
      <c r="F210" s="81"/>
      <c r="G210" s="81"/>
      <c r="H210" s="111"/>
    </row>
    <row r="211" spans="1:8">
      <c r="A211" s="80"/>
      <c r="B211" s="81" t="s">
        <v>140</v>
      </c>
      <c r="C211" s="138">
        <f>VLOOKUP(G209,'17_1'!$A$37:$B$70,2,0)</f>
        <v>1213</v>
      </c>
      <c r="D211" s="81"/>
      <c r="E211" s="139" t="s">
        <v>141</v>
      </c>
      <c r="F211" s="141" t="e">
        <f>DSUM('17_1'!A$36:J$70,'17_1'!$J$36,G208:G209)</f>
        <v>#N/A</v>
      </c>
      <c r="G211" s="81"/>
      <c r="H211" s="111"/>
    </row>
    <row r="212" spans="1:8">
      <c r="A212" s="80"/>
      <c r="B212" s="81" t="s">
        <v>142</v>
      </c>
      <c r="C212" s="205">
        <v>17</v>
      </c>
      <c r="D212" s="81"/>
      <c r="E212" s="81"/>
      <c r="F212" s="81"/>
      <c r="G212" s="81"/>
      <c r="H212" s="111"/>
    </row>
    <row r="213" spans="1:8">
      <c r="A213" s="80"/>
      <c r="B213" s="81" t="s">
        <v>144</v>
      </c>
      <c r="C213" s="206">
        <f>DSUM('17_1'!$A$36:$H$70,'17_1'!$H$36,G208:G209)</f>
        <v>0</v>
      </c>
      <c r="D213" s="81"/>
      <c r="E213" s="81"/>
      <c r="F213" s="584"/>
      <c r="G213" s="584"/>
      <c r="H213" s="111"/>
    </row>
    <row r="214" spans="1:8" ht="15.75">
      <c r="A214" s="80"/>
      <c r="B214" s="81"/>
      <c r="C214" s="81" t="s">
        <v>146</v>
      </c>
      <c r="D214" s="145" t="e">
        <f>DMIN('17_1'!A$36:K$70,'17_1'!$K$36,G208:G209)</f>
        <v>#REF!</v>
      </c>
      <c r="E214" s="189" t="e">
        <f>IF(F214=1,"Domingo",IF(F214=2,"Lunes",IF(F214=3,"Martes",IF(F214=4,"Miercoles",IF(F214=5,"Jueves",IF(F214=6,"Viernes",IF(F214=7,"Sábado",0)))))))</f>
        <v>#REF!</v>
      </c>
      <c r="F214" s="190" t="e">
        <f>WEEKDAY(D214)</f>
        <v>#REF!</v>
      </c>
      <c r="G214" s="142"/>
      <c r="H214" s="111"/>
    </row>
    <row r="215" spans="1:8" ht="15.75">
      <c r="A215" s="80"/>
      <c r="B215" s="81"/>
      <c r="C215" s="81" t="s">
        <v>147</v>
      </c>
      <c r="D215" s="145" t="e">
        <f>DMAX('17_1'!A$36:L$70,'17_1'!$L$36,G208:G209)</f>
        <v>#REF!</v>
      </c>
      <c r="E215" s="189" t="e">
        <f>IF(F215=1,"Domingo",IF(F215=2,"Lunes",IF(F215=3,"Martes",IF(F215=4,"Miercoles",IF(F215=5,"Jueves",IF(F215=6,"Viernes",IF(F215=7,"Sábado",0)))))))</f>
        <v>#REF!</v>
      </c>
      <c r="F215" s="190" t="e">
        <f>WEEKDAY(D215)</f>
        <v>#REF!</v>
      </c>
      <c r="G215" s="142"/>
      <c r="H215" s="111"/>
    </row>
    <row r="216" spans="1:8">
      <c r="A216" s="80"/>
      <c r="B216" s="81"/>
      <c r="C216" s="81"/>
      <c r="D216" s="81"/>
      <c r="E216" s="81"/>
      <c r="F216" s="584"/>
      <c r="G216" s="584"/>
      <c r="H216" s="111"/>
    </row>
    <row r="217" spans="1:8">
      <c r="A217" s="80"/>
      <c r="B217" s="146">
        <f>+Mensajes!$B$7</f>
        <v>0</v>
      </c>
      <c r="C217" s="81"/>
      <c r="D217" s="81"/>
      <c r="E217" s="81"/>
      <c r="F217" s="81"/>
      <c r="G217" s="81"/>
      <c r="H217" s="111"/>
    </row>
    <row r="218" spans="1:8">
      <c r="A218" s="80"/>
      <c r="B218" s="146">
        <f>+Mensajes!$B$12</f>
        <v>0</v>
      </c>
      <c r="C218" s="81"/>
      <c r="D218" s="81"/>
      <c r="E218" s="81"/>
      <c r="F218" s="81"/>
      <c r="G218" s="81"/>
      <c r="H218" s="111"/>
    </row>
    <row r="219" spans="1:8">
      <c r="A219" s="80"/>
      <c r="B219" s="146" t="str">
        <f>IF(VLOOKUP(G209,'17_1'!$A$37:$N$70,14,0)=0,"",VLOOKUP(G209,'17_1'!$A$37:$N$70,14,0))</f>
        <v/>
      </c>
      <c r="C219" s="81"/>
      <c r="D219" s="81"/>
      <c r="E219" s="81"/>
      <c r="F219" s="81"/>
      <c r="G219" s="81"/>
      <c r="H219" s="111"/>
    </row>
    <row r="220" spans="1:8">
      <c r="A220" s="140"/>
      <c r="B220" s="188" t="str">
        <f>IF(DSUM('17_1'!$A$36:$Q$70,17,G208:G209)=COUNTIF('17_1'!$A$37:$A$70,G209),"","Regularice su Deuda")</f>
        <v>Regularice su Deuda</v>
      </c>
      <c r="C220" s="82"/>
      <c r="D220" s="82"/>
      <c r="E220" s="82"/>
      <c r="F220" s="82"/>
      <c r="G220" s="82"/>
      <c r="H220" s="83"/>
    </row>
    <row r="222" spans="1:8">
      <c r="A222" s="108"/>
      <c r="B222" s="109"/>
      <c r="C222" s="109"/>
      <c r="D222" s="109"/>
      <c r="E222" s="109"/>
      <c r="F222" s="109"/>
      <c r="G222" s="109"/>
      <c r="H222" s="110"/>
    </row>
    <row r="223" spans="1:8">
      <c r="A223" s="80"/>
      <c r="B223" s="147" t="s">
        <v>64</v>
      </c>
      <c r="C223" s="81"/>
      <c r="D223" s="81"/>
      <c r="E223" s="81"/>
      <c r="F223" s="81"/>
      <c r="G223" s="81"/>
      <c r="H223" s="111"/>
    </row>
    <row r="224" spans="1:8">
      <c r="A224" s="80"/>
      <c r="B224" s="81"/>
      <c r="C224" s="81"/>
      <c r="D224" s="81"/>
      <c r="E224" s="81"/>
      <c r="F224" s="81"/>
      <c r="G224" s="81"/>
      <c r="H224" s="111"/>
    </row>
    <row r="225" spans="1:8">
      <c r="A225" s="80"/>
      <c r="B225" s="81" t="s">
        <v>139</v>
      </c>
      <c r="C225" s="81" t="str">
        <f>VLOOKUP(G226,'17_1'!$A$37:$G$70,6,0)</f>
        <v>ALONSO, ERNESTO</v>
      </c>
      <c r="D225" s="81"/>
      <c r="E225" s="81"/>
      <c r="F225" s="81"/>
      <c r="G225" s="138" t="s">
        <v>102</v>
      </c>
      <c r="H225" s="111"/>
    </row>
    <row r="226" spans="1:8">
      <c r="A226" s="80"/>
      <c r="B226" s="81" t="s">
        <v>72</v>
      </c>
      <c r="C226" s="81" t="str">
        <f>+'17_1'!$A$24</f>
        <v>Hijuela Gelvez - DIRECTOS</v>
      </c>
      <c r="D226" s="81"/>
      <c r="E226" s="81"/>
      <c r="F226" s="81"/>
      <c r="G226" s="138">
        <v>14</v>
      </c>
      <c r="H226" s="111"/>
    </row>
    <row r="227" spans="1:8">
      <c r="A227" s="80"/>
      <c r="B227" s="81"/>
      <c r="C227" s="81"/>
      <c r="D227" s="81"/>
      <c r="E227" s="81"/>
      <c r="F227" s="81"/>
      <c r="G227" s="81"/>
      <c r="H227" s="111"/>
    </row>
    <row r="228" spans="1:8">
      <c r="A228" s="80"/>
      <c r="B228" s="81" t="s">
        <v>140</v>
      </c>
      <c r="C228" s="138">
        <f>VLOOKUP(G226,'17_1'!$A$37:$B$70,2,0)</f>
        <v>1213</v>
      </c>
      <c r="D228" s="81"/>
      <c r="E228" s="139" t="s">
        <v>141</v>
      </c>
      <c r="F228" s="141" t="e">
        <f>DSUM('17_1'!A$36:J$70,'17_1'!$J$36,G225:G226)</f>
        <v>#N/A</v>
      </c>
      <c r="G228" s="81"/>
      <c r="H228" s="111"/>
    </row>
    <row r="229" spans="1:8">
      <c r="A229" s="80"/>
      <c r="B229" s="81" t="s">
        <v>142</v>
      </c>
      <c r="C229" s="205">
        <v>164</v>
      </c>
      <c r="D229" s="81"/>
      <c r="E229" s="81"/>
      <c r="F229" s="81"/>
      <c r="G229" s="81"/>
      <c r="H229" s="111"/>
    </row>
    <row r="230" spans="1:8">
      <c r="A230" s="80"/>
      <c r="B230" s="81" t="s">
        <v>144</v>
      </c>
      <c r="C230" s="206">
        <f>DSUM('17_1'!$A$36:$H$70,'17_1'!$H$36,G225:G226)</f>
        <v>0</v>
      </c>
      <c r="D230" s="81"/>
      <c r="E230" s="81"/>
      <c r="F230" s="584"/>
      <c r="G230" s="584"/>
      <c r="H230" s="111"/>
    </row>
    <row r="231" spans="1:8" ht="15.75">
      <c r="A231" s="80"/>
      <c r="B231" s="81"/>
      <c r="C231" s="81" t="s">
        <v>146</v>
      </c>
      <c r="D231" s="145" t="e">
        <f>DMIN('17_1'!A$36:K$70,'17_1'!$K$36,G225:G226)</f>
        <v>#REF!</v>
      </c>
      <c r="E231" s="189" t="e">
        <f>IF(F231=1,"Domingo",IF(F231=2,"Lunes",IF(F231=3,"Martes",IF(F231=4,"Miercoles",IF(F231=5,"Jueves",IF(F231=6,"Viernes",IF(F231=7,"Sábado",0)))))))</f>
        <v>#REF!</v>
      </c>
      <c r="F231" s="190" t="e">
        <f>WEEKDAY(D231)</f>
        <v>#REF!</v>
      </c>
      <c r="G231" s="142"/>
      <c r="H231" s="111"/>
    </row>
    <row r="232" spans="1:8" ht="15.75">
      <c r="A232" s="80"/>
      <c r="B232" s="81"/>
      <c r="C232" s="81" t="s">
        <v>147</v>
      </c>
      <c r="D232" s="145" t="e">
        <f>DMAX('17_1'!A$36:L$70,'17_1'!$L$36,G225:G226)</f>
        <v>#REF!</v>
      </c>
      <c r="E232" s="189" t="e">
        <f>IF(F232=1,"Domingo",IF(F232=2,"Lunes",IF(F232=3,"Martes",IF(F232=4,"Miercoles",IF(F232=5,"Jueves",IF(F232=6,"Viernes",IF(F232=7,"Sábado",0)))))))</f>
        <v>#REF!</v>
      </c>
      <c r="F232" s="190" t="e">
        <f>WEEKDAY(D232)</f>
        <v>#REF!</v>
      </c>
      <c r="G232" s="142"/>
      <c r="H232" s="111"/>
    </row>
    <row r="233" spans="1:8">
      <c r="A233" s="80"/>
      <c r="B233" s="81"/>
      <c r="C233" s="81"/>
      <c r="D233" s="81"/>
      <c r="E233" s="81"/>
      <c r="F233" s="584"/>
      <c r="G233" s="584"/>
      <c r="H233" s="111"/>
    </row>
    <row r="234" spans="1:8">
      <c r="A234" s="80"/>
      <c r="B234" s="146">
        <f>+Mensajes!$B$7</f>
        <v>0</v>
      </c>
      <c r="C234" s="81"/>
      <c r="D234" s="81"/>
      <c r="E234" s="81"/>
      <c r="F234" s="81"/>
      <c r="G234" s="81"/>
      <c r="H234" s="111"/>
    </row>
    <row r="235" spans="1:8">
      <c r="A235" s="80"/>
      <c r="B235" s="146">
        <f>+Mensajes!$B$12</f>
        <v>0</v>
      </c>
      <c r="C235" s="81"/>
      <c r="D235" s="81"/>
      <c r="E235" s="81"/>
      <c r="F235" s="81"/>
      <c r="G235" s="81"/>
      <c r="H235" s="111"/>
    </row>
    <row r="236" spans="1:8">
      <c r="A236" s="80"/>
      <c r="B236" s="146" t="str">
        <f>IF(VLOOKUP(G226,'17_1'!$A$37:$N$70,14,0)=0,"",VLOOKUP(G226,'17_1'!$A$37:$N$70,14,0))</f>
        <v/>
      </c>
      <c r="C236" s="81"/>
      <c r="D236" s="81"/>
      <c r="E236" s="81"/>
      <c r="F236" s="81"/>
      <c r="G236" s="81"/>
      <c r="H236" s="111"/>
    </row>
    <row r="237" spans="1:8">
      <c r="A237" s="140"/>
      <c r="B237" s="188" t="str">
        <f>IF(DSUM('17_1'!$A$36:$Q$70,17,G225:G226)=COUNTIF('17_1'!$A$37:$A$70,G226),"","Regularice su Deuda")</f>
        <v>Regularice su Deuda</v>
      </c>
      <c r="C237" s="82"/>
      <c r="D237" s="82"/>
      <c r="E237" s="82"/>
      <c r="F237" s="82"/>
      <c r="G237" s="82"/>
      <c r="H237" s="83"/>
    </row>
    <row r="239" spans="1:8">
      <c r="A239" s="108"/>
      <c r="B239" s="109"/>
      <c r="C239" s="109"/>
      <c r="D239" s="109"/>
      <c r="E239" s="109"/>
      <c r="F239" s="109"/>
      <c r="G239" s="109"/>
      <c r="H239" s="110"/>
    </row>
    <row r="240" spans="1:8">
      <c r="A240" s="80"/>
      <c r="B240" s="147" t="s">
        <v>64</v>
      </c>
      <c r="C240" s="81"/>
      <c r="D240" s="81"/>
      <c r="E240" s="81"/>
      <c r="F240" s="81"/>
      <c r="G240" s="81"/>
      <c r="H240" s="111"/>
    </row>
    <row r="241" spans="1:8">
      <c r="A241" s="80"/>
      <c r="B241" s="81"/>
      <c r="C241" s="81"/>
      <c r="D241" s="81"/>
      <c r="E241" s="81"/>
      <c r="F241" s="81"/>
      <c r="G241" s="81"/>
      <c r="H241" s="111"/>
    </row>
    <row r="242" spans="1:8">
      <c r="A242" s="80"/>
      <c r="B242" s="81" t="s">
        <v>139</v>
      </c>
      <c r="C242" s="81" t="str">
        <f>VLOOKUP(G243,'17_1'!$A$37:$G$70,6,0)</f>
        <v>FICARRA, CASPERO</v>
      </c>
      <c r="D242" s="81"/>
      <c r="E242" s="81"/>
      <c r="F242" s="81"/>
      <c r="G242" s="138" t="s">
        <v>102</v>
      </c>
      <c r="H242" s="111"/>
    </row>
    <row r="243" spans="1:8">
      <c r="A243" s="80"/>
      <c r="B243" s="81" t="s">
        <v>72</v>
      </c>
      <c r="C243" s="81" t="str">
        <f>+'17_1'!$A$24</f>
        <v>Hijuela Gelvez - DIRECTOS</v>
      </c>
      <c r="D243" s="81"/>
      <c r="E243" s="81"/>
      <c r="F243" s="81"/>
      <c r="G243" s="138">
        <v>15</v>
      </c>
      <c r="H243" s="111"/>
    </row>
    <row r="244" spans="1:8">
      <c r="A244" s="80"/>
      <c r="B244" s="81"/>
      <c r="C244" s="81"/>
      <c r="D244" s="81"/>
      <c r="E244" s="81"/>
      <c r="F244" s="81"/>
      <c r="G244" s="81"/>
      <c r="H244" s="111"/>
    </row>
    <row r="245" spans="1:8">
      <c r="A245" s="80"/>
      <c r="B245" s="81" t="s">
        <v>140</v>
      </c>
      <c r="C245" s="138">
        <f>VLOOKUP(G243,'17_1'!$A$37:$B$70,2,0)</f>
        <v>1213</v>
      </c>
      <c r="D245" s="81"/>
      <c r="E245" s="139" t="s">
        <v>141</v>
      </c>
      <c r="F245" s="141" t="e">
        <f>DSUM('17_1'!A$36:J$70,'17_1'!$J$36,G242:G243)</f>
        <v>#N/A</v>
      </c>
      <c r="G245" s="81"/>
      <c r="H245" s="111"/>
    </row>
    <row r="246" spans="1:8">
      <c r="A246" s="80"/>
      <c r="B246" s="81" t="s">
        <v>142</v>
      </c>
      <c r="C246" s="205">
        <v>214</v>
      </c>
      <c r="D246" s="81"/>
      <c r="E246" s="81"/>
      <c r="F246" s="81"/>
      <c r="G246" s="81"/>
      <c r="H246" s="111"/>
    </row>
    <row r="247" spans="1:8">
      <c r="A247" s="80"/>
      <c r="B247" s="81" t="s">
        <v>144</v>
      </c>
      <c r="C247" s="206" t="e">
        <f>DSUM('17_1'!$A$36:$H$70,'17_1'!$H$36,G242:G243)</f>
        <v>#N/A</v>
      </c>
      <c r="D247" s="81"/>
      <c r="E247" s="81"/>
      <c r="F247" s="584"/>
      <c r="G247" s="584"/>
      <c r="H247" s="111"/>
    </row>
    <row r="248" spans="1:8" ht="15.75">
      <c r="A248" s="80"/>
      <c r="B248" s="81"/>
      <c r="C248" s="81" t="s">
        <v>146</v>
      </c>
      <c r="D248" s="145" t="e">
        <f>DMIN('17_1'!A$36:K$70,'17_1'!$K$36,G242:G243)</f>
        <v>#REF!</v>
      </c>
      <c r="E248" s="189" t="e">
        <f>IF(F248=1,"Domingo",IF(F248=2,"Lunes",IF(F248=3,"Martes",IF(F248=4,"Miercoles",IF(F248=5,"Jueves",IF(F248=6,"Viernes",IF(F248=7,"Sábado",0)))))))</f>
        <v>#REF!</v>
      </c>
      <c r="F248" s="190" t="e">
        <f>WEEKDAY(D248)</f>
        <v>#REF!</v>
      </c>
      <c r="G248" s="142"/>
      <c r="H248" s="111"/>
    </row>
    <row r="249" spans="1:8" ht="15.75">
      <c r="A249" s="80"/>
      <c r="B249" s="81"/>
      <c r="C249" s="81" t="s">
        <v>147</v>
      </c>
      <c r="D249" s="145" t="e">
        <f>DMAX('17_1'!A$36:L$70,'17_1'!$L$36,G242:G243)</f>
        <v>#REF!</v>
      </c>
      <c r="E249" s="189" t="e">
        <f>IF(F249=1,"Domingo",IF(F249=2,"Lunes",IF(F249=3,"Martes",IF(F249=4,"Miercoles",IF(F249=5,"Jueves",IF(F249=6,"Viernes",IF(F249=7,"Sábado",0)))))))</f>
        <v>#REF!</v>
      </c>
      <c r="F249" s="190" t="e">
        <f>WEEKDAY(D249)</f>
        <v>#REF!</v>
      </c>
      <c r="G249" s="142"/>
      <c r="H249" s="111"/>
    </row>
    <row r="250" spans="1:8">
      <c r="A250" s="80"/>
      <c r="B250" s="81"/>
      <c r="C250" s="81"/>
      <c r="D250" s="81"/>
      <c r="E250" s="81"/>
      <c r="F250" s="584"/>
      <c r="G250" s="584"/>
      <c r="H250" s="111"/>
    </row>
    <row r="251" spans="1:8">
      <c r="A251" s="80"/>
      <c r="B251" s="146">
        <f>+Mensajes!$B$7</f>
        <v>0</v>
      </c>
      <c r="C251" s="81"/>
      <c r="D251" s="81"/>
      <c r="E251" s="81"/>
      <c r="F251" s="81"/>
      <c r="G251" s="81"/>
      <c r="H251" s="111"/>
    </row>
    <row r="252" spans="1:8">
      <c r="A252" s="80"/>
      <c r="B252" s="146">
        <f>+Mensajes!$B$12</f>
        <v>0</v>
      </c>
      <c r="C252" s="81"/>
      <c r="D252" s="81"/>
      <c r="E252" s="81"/>
      <c r="F252" s="81"/>
      <c r="G252" s="81"/>
      <c r="H252" s="111"/>
    </row>
    <row r="253" spans="1:8">
      <c r="A253" s="80"/>
      <c r="B253" s="146" t="str">
        <f>IF(VLOOKUP(G243,'17_1'!$A$37:$N$70,14,0)=0,"",VLOOKUP(G243,'17_1'!$A$37:$N$70,14,0))</f>
        <v/>
      </c>
      <c r="C253" s="81"/>
      <c r="D253" s="81"/>
      <c r="E253" s="81"/>
      <c r="F253" s="81"/>
      <c r="G253" s="81"/>
      <c r="H253" s="111"/>
    </row>
    <row r="254" spans="1:8">
      <c r="A254" s="140"/>
      <c r="B254" s="188" t="e">
        <f>IF(DSUM('17_1'!$A$36:$Q$70,17,G242:G243)=COUNTIF('17_1'!$A$37:$A$70,G243),"","Regularice su Deuda")</f>
        <v>#N/A</v>
      </c>
      <c r="C254" s="82"/>
      <c r="D254" s="82"/>
      <c r="E254" s="82"/>
      <c r="F254" s="82"/>
      <c r="G254" s="82"/>
      <c r="H254" s="83"/>
    </row>
    <row r="256" spans="1:8">
      <c r="A256" s="108"/>
      <c r="B256" s="109"/>
      <c r="C256" s="109"/>
      <c r="D256" s="109"/>
      <c r="E256" s="109"/>
      <c r="F256" s="109"/>
      <c r="G256" s="109"/>
      <c r="H256" s="110"/>
    </row>
    <row r="257" spans="1:8">
      <c r="A257" s="80"/>
      <c r="B257" s="147" t="s">
        <v>64</v>
      </c>
      <c r="C257" s="81"/>
      <c r="D257" s="81"/>
      <c r="E257" s="81"/>
      <c r="F257" s="81"/>
      <c r="G257" s="81"/>
      <c r="H257" s="111"/>
    </row>
    <row r="258" spans="1:8">
      <c r="A258" s="80"/>
      <c r="B258" s="81"/>
      <c r="C258" s="81"/>
      <c r="D258" s="81"/>
      <c r="E258" s="81"/>
      <c r="F258" s="81"/>
      <c r="G258" s="81"/>
      <c r="H258" s="111"/>
    </row>
    <row r="259" spans="1:8">
      <c r="A259" s="80"/>
      <c r="B259" s="81" t="s">
        <v>139</v>
      </c>
      <c r="C259" s="81" t="str">
        <f>VLOOKUP(G260,'17_1'!$A$37:$G$70,6,0)</f>
        <v>CALDERON VIUDA DE ARAUJO, MAGDALENA</v>
      </c>
      <c r="D259" s="81"/>
      <c r="E259" s="81"/>
      <c r="F259" s="81"/>
      <c r="G259" s="138" t="s">
        <v>102</v>
      </c>
      <c r="H259" s="111"/>
    </row>
    <row r="260" spans="1:8">
      <c r="A260" s="80"/>
      <c r="B260" s="81" t="s">
        <v>72</v>
      </c>
      <c r="C260" s="81" t="str">
        <f>+'17_1'!$A$24</f>
        <v>Hijuela Gelvez - DIRECTOS</v>
      </c>
      <c r="D260" s="81"/>
      <c r="E260" s="81"/>
      <c r="F260" s="81"/>
      <c r="G260" s="138">
        <v>16</v>
      </c>
      <c r="H260" s="111"/>
    </row>
    <row r="261" spans="1:8">
      <c r="A261" s="80"/>
      <c r="B261" s="81"/>
      <c r="C261" s="81"/>
      <c r="D261" s="81"/>
      <c r="E261" s="81"/>
      <c r="F261" s="81"/>
      <c r="G261" s="81"/>
      <c r="H261" s="111"/>
    </row>
    <row r="262" spans="1:8">
      <c r="A262" s="80"/>
      <c r="B262" s="81" t="s">
        <v>140</v>
      </c>
      <c r="C262" s="138">
        <f>VLOOKUP(G260,'17_1'!$A$37:$B$70,2,0)</f>
        <v>1213</v>
      </c>
      <c r="D262" s="81"/>
      <c r="E262" s="139" t="s">
        <v>141</v>
      </c>
      <c r="F262" s="141" t="e">
        <f>DSUM('17_1'!A$36:J$70,'17_1'!$J$36,G259:G260)</f>
        <v>#N/A</v>
      </c>
      <c r="G262" s="81"/>
      <c r="H262" s="111"/>
    </row>
    <row r="263" spans="1:8">
      <c r="A263" s="80"/>
      <c r="B263" s="81" t="s">
        <v>142</v>
      </c>
      <c r="C263" s="205">
        <v>81</v>
      </c>
      <c r="D263" s="81"/>
      <c r="E263" s="81"/>
      <c r="F263" s="81"/>
      <c r="G263" s="81"/>
      <c r="H263" s="111"/>
    </row>
    <row r="264" spans="1:8">
      <c r="A264" s="80"/>
      <c r="B264" s="81" t="s">
        <v>144</v>
      </c>
      <c r="C264" s="206">
        <f>DSUM('17_1'!$A$36:$H$70,'17_1'!$H$36,G259:G260)</f>
        <v>0</v>
      </c>
      <c r="D264" s="81"/>
      <c r="E264" s="81"/>
      <c r="F264" s="584"/>
      <c r="G264" s="584"/>
      <c r="H264" s="111"/>
    </row>
    <row r="265" spans="1:8" ht="15.75">
      <c r="A265" s="80"/>
      <c r="B265" s="81"/>
      <c r="C265" s="81" t="s">
        <v>146</v>
      </c>
      <c r="D265" s="145" t="e">
        <f>DMIN('17_1'!A$36:K$70,'17_1'!$K$36,G259:G260)</f>
        <v>#REF!</v>
      </c>
      <c r="E265" s="189" t="e">
        <f>IF(F265=1,"Domingo",IF(F265=2,"Lunes",IF(F265=3,"Martes",IF(F265=4,"Miercoles",IF(F265=5,"Jueves",IF(F265=6,"Viernes",IF(F265=7,"Sábado",0)))))))</f>
        <v>#REF!</v>
      </c>
      <c r="F265" s="190" t="e">
        <f>WEEKDAY(D265)</f>
        <v>#REF!</v>
      </c>
      <c r="G265" s="142"/>
      <c r="H265" s="111"/>
    </row>
    <row r="266" spans="1:8" ht="15.75">
      <c r="A266" s="80"/>
      <c r="B266" s="81"/>
      <c r="C266" s="81" t="s">
        <v>147</v>
      </c>
      <c r="D266" s="145" t="e">
        <f>DMAX('17_1'!A$36:L$70,'17_1'!$L$36,G259:G260)</f>
        <v>#REF!</v>
      </c>
      <c r="E266" s="189" t="e">
        <f>IF(F266=1,"Domingo",IF(F266=2,"Lunes",IF(F266=3,"Martes",IF(F266=4,"Miercoles",IF(F266=5,"Jueves",IF(F266=6,"Viernes",IF(F266=7,"Sábado",0)))))))</f>
        <v>#REF!</v>
      </c>
      <c r="F266" s="190" t="e">
        <f>WEEKDAY(D266)</f>
        <v>#REF!</v>
      </c>
      <c r="G266" s="142"/>
      <c r="H266" s="111"/>
    </row>
    <row r="267" spans="1:8">
      <c r="A267" s="80"/>
      <c r="B267" s="81"/>
      <c r="C267" s="81"/>
      <c r="D267" s="81"/>
      <c r="E267" s="81"/>
      <c r="F267" s="584"/>
      <c r="G267" s="584"/>
      <c r="H267" s="111"/>
    </row>
    <row r="268" spans="1:8">
      <c r="A268" s="80"/>
      <c r="B268" s="146">
        <f>+Mensajes!$B$7</f>
        <v>0</v>
      </c>
      <c r="C268" s="81"/>
      <c r="D268" s="81"/>
      <c r="E268" s="81"/>
      <c r="F268" s="81"/>
      <c r="G268" s="81"/>
      <c r="H268" s="111"/>
    </row>
    <row r="269" spans="1:8">
      <c r="A269" s="80"/>
      <c r="B269" s="146">
        <f>+Mensajes!$B$12</f>
        <v>0</v>
      </c>
      <c r="C269" s="81"/>
      <c r="D269" s="81"/>
      <c r="E269" s="81"/>
      <c r="F269" s="81"/>
      <c r="G269" s="81"/>
      <c r="H269" s="111"/>
    </row>
    <row r="270" spans="1:8">
      <c r="A270" s="80"/>
      <c r="B270" s="146" t="str">
        <f>IF(VLOOKUP(G260,'17_1'!$A$37:$N$70,14,0)=0,"",VLOOKUP(G260,'17_1'!$A$37:$N$70,14,0))</f>
        <v/>
      </c>
      <c r="C270" s="81"/>
      <c r="D270" s="81"/>
      <c r="E270" s="81"/>
      <c r="F270" s="81"/>
      <c r="G270" s="81"/>
      <c r="H270" s="111"/>
    </row>
    <row r="271" spans="1:8">
      <c r="A271" s="140"/>
      <c r="B271" s="188" t="str">
        <f>IF(DSUM('17_1'!$A$36:$Q$70,17,G259:G260)=COUNTIF('17_1'!$A$37:$A$70,G260),"","Regularice su Deuda")</f>
        <v>Regularice su Deuda</v>
      </c>
      <c r="C271" s="82"/>
      <c r="D271" s="82"/>
      <c r="E271" s="82"/>
      <c r="F271" s="82"/>
      <c r="G271" s="82"/>
      <c r="H271" s="83"/>
    </row>
    <row r="273" spans="1:8">
      <c r="A273" s="108"/>
      <c r="B273" s="109"/>
      <c r="C273" s="109"/>
      <c r="D273" s="109"/>
      <c r="E273" s="109"/>
      <c r="F273" s="109"/>
      <c r="G273" s="109"/>
      <c r="H273" s="110"/>
    </row>
    <row r="274" spans="1:8">
      <c r="A274" s="80"/>
      <c r="B274" s="147" t="s">
        <v>64</v>
      </c>
      <c r="C274" s="81"/>
      <c r="D274" s="81"/>
      <c r="E274" s="81"/>
      <c r="F274" s="81"/>
      <c r="G274" s="81"/>
      <c r="H274" s="111"/>
    </row>
    <row r="275" spans="1:8">
      <c r="A275" s="80"/>
      <c r="B275" s="81"/>
      <c r="C275" s="81"/>
      <c r="D275" s="81"/>
      <c r="E275" s="81"/>
      <c r="F275" s="81"/>
      <c r="G275" s="81"/>
      <c r="H275" s="111"/>
    </row>
    <row r="276" spans="1:8">
      <c r="A276" s="80"/>
      <c r="B276" s="81" t="s">
        <v>139</v>
      </c>
      <c r="C276" s="81" t="str">
        <f>VLOOKUP(G277,'17_1'!$A$37:$G$70,6,0)</f>
        <v>VILLEGAS, RUBEN FELIPE</v>
      </c>
      <c r="D276" s="81"/>
      <c r="E276" s="81"/>
      <c r="F276" s="81"/>
      <c r="G276" s="138" t="s">
        <v>102</v>
      </c>
      <c r="H276" s="111"/>
    </row>
    <row r="277" spans="1:8">
      <c r="A277" s="80"/>
      <c r="B277" s="81" t="s">
        <v>72</v>
      </c>
      <c r="C277" s="81" t="str">
        <f>+'17_1'!$A$24</f>
        <v>Hijuela Gelvez - DIRECTOS</v>
      </c>
      <c r="D277" s="81"/>
      <c r="E277" s="81"/>
      <c r="F277" s="81"/>
      <c r="G277" s="138">
        <v>17</v>
      </c>
      <c r="H277" s="111"/>
    </row>
    <row r="278" spans="1:8">
      <c r="A278" s="80"/>
      <c r="B278" s="81"/>
      <c r="C278" s="81"/>
      <c r="D278" s="81"/>
      <c r="E278" s="81"/>
      <c r="F278" s="81"/>
      <c r="G278" s="81"/>
      <c r="H278" s="111"/>
    </row>
    <row r="279" spans="1:8">
      <c r="A279" s="80"/>
      <c r="B279" s="81" t="s">
        <v>140</v>
      </c>
      <c r="C279" s="138">
        <f>VLOOKUP(G277,'17_1'!$A$37:$B$70,2,0)</f>
        <v>1213</v>
      </c>
      <c r="D279" s="81"/>
      <c r="E279" s="139" t="s">
        <v>141</v>
      </c>
      <c r="F279" s="141" t="e">
        <f>DSUM('17_1'!A$36:J$70,'17_1'!$J$36,G276:G277)</f>
        <v>#N/A</v>
      </c>
      <c r="G279" s="81"/>
      <c r="H279" s="111"/>
    </row>
    <row r="280" spans="1:8">
      <c r="A280" s="80"/>
      <c r="B280" s="81" t="s">
        <v>142</v>
      </c>
      <c r="C280" s="205">
        <v>80</v>
      </c>
      <c r="D280" s="81"/>
      <c r="E280" s="81"/>
      <c r="F280" s="81"/>
      <c r="G280" s="81"/>
      <c r="H280" s="111"/>
    </row>
    <row r="281" spans="1:8">
      <c r="A281" s="80"/>
      <c r="B281" s="81" t="s">
        <v>144</v>
      </c>
      <c r="C281" s="206">
        <f>DSUM('17_1'!$A$36:$H$70,'17_1'!$H$36,G276:G277)</f>
        <v>0.32269999999999999</v>
      </c>
      <c r="D281" s="81"/>
      <c r="E281" s="81"/>
      <c r="F281" s="584"/>
      <c r="G281" s="584"/>
      <c r="H281" s="111"/>
    </row>
    <row r="282" spans="1:8" ht="15.75">
      <c r="A282" s="80"/>
      <c r="B282" s="81"/>
      <c r="C282" s="81" t="s">
        <v>146</v>
      </c>
      <c r="D282" s="145" t="e">
        <f>DMIN('17_1'!A$36:K$70,'17_1'!$K$36,G276:G277)</f>
        <v>#REF!</v>
      </c>
      <c r="E282" s="189" t="e">
        <f>IF(F282=1,"Domingo",IF(F282=2,"Lunes",IF(F282=3,"Martes",IF(F282=4,"Miercoles",IF(F282=5,"Jueves",IF(F282=6,"Viernes",IF(F282=7,"Sábado",0)))))))</f>
        <v>#REF!</v>
      </c>
      <c r="F282" s="190" t="e">
        <f>WEEKDAY(D282)</f>
        <v>#REF!</v>
      </c>
      <c r="G282" s="142"/>
      <c r="H282" s="111"/>
    </row>
    <row r="283" spans="1:8" ht="15.75">
      <c r="A283" s="80"/>
      <c r="B283" s="81"/>
      <c r="C283" s="81" t="s">
        <v>147</v>
      </c>
      <c r="D283" s="145" t="e">
        <f>DMAX('17_1'!A$36:L$70,'17_1'!$L$36,G276:G277)</f>
        <v>#REF!</v>
      </c>
      <c r="E283" s="189" t="e">
        <f>IF(F283=1,"Domingo",IF(F283=2,"Lunes",IF(F283=3,"Martes",IF(F283=4,"Miercoles",IF(F283=5,"Jueves",IF(F283=6,"Viernes",IF(F283=7,"Sábado",0)))))))</f>
        <v>#REF!</v>
      </c>
      <c r="F283" s="190" t="e">
        <f>WEEKDAY(D283)</f>
        <v>#REF!</v>
      </c>
      <c r="G283" s="142"/>
      <c r="H283" s="111"/>
    </row>
    <row r="284" spans="1:8">
      <c r="A284" s="80"/>
      <c r="B284" s="81"/>
      <c r="C284" s="81"/>
      <c r="D284" s="81"/>
      <c r="E284" s="81"/>
      <c r="F284" s="584"/>
      <c r="G284" s="584"/>
      <c r="H284" s="111"/>
    </row>
    <row r="285" spans="1:8">
      <c r="A285" s="80"/>
      <c r="B285" s="146">
        <f>+Mensajes!$B$7</f>
        <v>0</v>
      </c>
      <c r="C285" s="81"/>
      <c r="D285" s="81"/>
      <c r="E285" s="81"/>
      <c r="F285" s="81"/>
      <c r="G285" s="81"/>
      <c r="H285" s="111"/>
    </row>
    <row r="286" spans="1:8">
      <c r="A286" s="80"/>
      <c r="B286" s="146">
        <f>+Mensajes!$B$12</f>
        <v>0</v>
      </c>
      <c r="C286" s="81"/>
      <c r="D286" s="81"/>
      <c r="E286" s="81"/>
      <c r="F286" s="81"/>
      <c r="G286" s="81"/>
      <c r="H286" s="111"/>
    </row>
    <row r="287" spans="1:8">
      <c r="A287" s="80"/>
      <c r="B287" s="146" t="str">
        <f>IF(VLOOKUP(G277,'17_1'!$A$37:$N$70,14,0)=0,"",VLOOKUP(G277,'17_1'!$A$37:$N$70,14,0))</f>
        <v/>
      </c>
      <c r="C287" s="81"/>
      <c r="D287" s="81"/>
      <c r="E287" s="81"/>
      <c r="F287" s="81"/>
      <c r="G287" s="81"/>
      <c r="H287" s="111"/>
    </row>
    <row r="288" spans="1:8">
      <c r="A288" s="140"/>
      <c r="B288" s="188" t="str">
        <f>IF(DSUM('17_1'!$A$36:$Q$70,17,G276:G277)=COUNTIF('17_1'!$A$37:$A$70,G277),"","Regularice su Deuda")</f>
        <v/>
      </c>
      <c r="C288" s="82"/>
      <c r="D288" s="82"/>
      <c r="E288" s="82"/>
      <c r="F288" s="82"/>
      <c r="G288" s="82"/>
      <c r="H288" s="83"/>
    </row>
    <row r="290" spans="1:8">
      <c r="A290" s="108"/>
      <c r="B290" s="109"/>
      <c r="C290" s="109"/>
      <c r="D290" s="109"/>
      <c r="E290" s="109"/>
      <c r="F290" s="109"/>
      <c r="G290" s="109"/>
      <c r="H290" s="110"/>
    </row>
    <row r="291" spans="1:8">
      <c r="A291" s="80"/>
      <c r="B291" s="147" t="s">
        <v>64</v>
      </c>
      <c r="C291" s="81"/>
      <c r="D291" s="81"/>
      <c r="E291" s="81"/>
      <c r="F291" s="81"/>
      <c r="G291" s="81"/>
      <c r="H291" s="111"/>
    </row>
    <row r="292" spans="1:8">
      <c r="A292" s="80"/>
      <c r="B292" s="81"/>
      <c r="C292" s="81"/>
      <c r="D292" s="81"/>
      <c r="E292" s="81"/>
      <c r="F292" s="81"/>
      <c r="G292" s="81"/>
      <c r="H292" s="111"/>
    </row>
    <row r="293" spans="1:8">
      <c r="A293" s="80"/>
      <c r="B293" s="81" t="s">
        <v>139</v>
      </c>
      <c r="C293" s="81" t="str">
        <f>VLOOKUP(G294,'17_1'!$A$37:$G$70,6,0)</f>
        <v>GUARDIA, DANIEL</v>
      </c>
      <c r="D293" s="81"/>
      <c r="E293" s="81"/>
      <c r="F293" s="81"/>
      <c r="G293" s="138" t="s">
        <v>102</v>
      </c>
      <c r="H293" s="111"/>
    </row>
    <row r="294" spans="1:8">
      <c r="A294" s="80"/>
      <c r="B294" s="81" t="s">
        <v>72</v>
      </c>
      <c r="C294" s="81" t="str">
        <f>+'17_1'!$A$24</f>
        <v>Hijuela Gelvez - DIRECTOS</v>
      </c>
      <c r="D294" s="81"/>
      <c r="E294" s="81"/>
      <c r="F294" s="81"/>
      <c r="G294" s="138">
        <v>18</v>
      </c>
      <c r="H294" s="111"/>
    </row>
    <row r="295" spans="1:8">
      <c r="A295" s="80"/>
      <c r="B295" s="81"/>
      <c r="C295" s="81"/>
      <c r="D295" s="81"/>
      <c r="E295" s="81"/>
      <c r="F295" s="81"/>
      <c r="G295" s="81"/>
      <c r="H295" s="111"/>
    </row>
    <row r="296" spans="1:8">
      <c r="A296" s="80"/>
      <c r="B296" s="81" t="s">
        <v>140</v>
      </c>
      <c r="C296" s="138">
        <f>VLOOKUP(G294,'17_1'!$A$37:$B$70,2,0)</f>
        <v>1213</v>
      </c>
      <c r="D296" s="81"/>
      <c r="E296" s="139" t="s">
        <v>141</v>
      </c>
      <c r="F296" s="141" t="e">
        <f>DSUM('17_1'!A$36:J$70,'17_1'!$J$36,G293:G294)</f>
        <v>#N/A</v>
      </c>
      <c r="G296" s="81"/>
      <c r="H296" s="111"/>
    </row>
    <row r="297" spans="1:8">
      <c r="A297" s="80"/>
      <c r="B297" s="81" t="s">
        <v>142</v>
      </c>
      <c r="C297" s="205">
        <v>82</v>
      </c>
      <c r="D297" s="81"/>
      <c r="E297" s="81"/>
      <c r="F297" s="81"/>
      <c r="G297" s="81"/>
      <c r="H297" s="111"/>
    </row>
    <row r="298" spans="1:8">
      <c r="A298" s="80"/>
      <c r="B298" s="81" t="s">
        <v>144</v>
      </c>
      <c r="C298" s="206">
        <f>DSUM('17_1'!$A$36:$H$70,'17_1'!$H$36,G293:G294)</f>
        <v>0</v>
      </c>
      <c r="D298" s="81"/>
      <c r="E298" s="81"/>
      <c r="F298" s="584"/>
      <c r="G298" s="584"/>
      <c r="H298" s="111"/>
    </row>
    <row r="299" spans="1:8" ht="15.75">
      <c r="A299" s="80"/>
      <c r="B299" s="81"/>
      <c r="C299" s="81" t="s">
        <v>146</v>
      </c>
      <c r="D299" s="145" t="e">
        <f>DMIN('17_1'!A$36:K$70,'17_1'!$K$36,G293:G294)</f>
        <v>#REF!</v>
      </c>
      <c r="E299" s="189" t="e">
        <f>IF(F299=1,"Domingo",IF(F299=2,"Lunes",IF(F299=3,"Martes",IF(F299=4,"Miercoles",IF(F299=5,"Jueves",IF(F299=6,"Viernes",IF(F299=7,"Sábado",0)))))))</f>
        <v>#REF!</v>
      </c>
      <c r="F299" s="190" t="e">
        <f>WEEKDAY(D299)</f>
        <v>#REF!</v>
      </c>
      <c r="G299" s="142"/>
      <c r="H299" s="111"/>
    </row>
    <row r="300" spans="1:8" ht="15.75">
      <c r="A300" s="80"/>
      <c r="B300" s="81"/>
      <c r="C300" s="81" t="s">
        <v>147</v>
      </c>
      <c r="D300" s="145" t="e">
        <f>DMAX('17_1'!A$36:L$70,'17_1'!$L$36,G293:G294)</f>
        <v>#REF!</v>
      </c>
      <c r="E300" s="189" t="e">
        <f>IF(F300=1,"Domingo",IF(F300=2,"Lunes",IF(F300=3,"Martes",IF(F300=4,"Miercoles",IF(F300=5,"Jueves",IF(F300=6,"Viernes",IF(F300=7,"Sábado",0)))))))</f>
        <v>#REF!</v>
      </c>
      <c r="F300" s="190" t="e">
        <f>WEEKDAY(D300)</f>
        <v>#REF!</v>
      </c>
      <c r="G300" s="142"/>
      <c r="H300" s="111"/>
    </row>
    <row r="301" spans="1:8">
      <c r="A301" s="80"/>
      <c r="B301" s="81"/>
      <c r="C301" s="81"/>
      <c r="D301" s="81"/>
      <c r="E301" s="81"/>
      <c r="F301" s="584"/>
      <c r="G301" s="584"/>
      <c r="H301" s="111"/>
    </row>
    <row r="302" spans="1:8">
      <c r="A302" s="80"/>
      <c r="B302" s="146">
        <f>+Mensajes!$B$7</f>
        <v>0</v>
      </c>
      <c r="C302" s="81"/>
      <c r="D302" s="81"/>
      <c r="E302" s="81"/>
      <c r="F302" s="81"/>
      <c r="G302" s="81"/>
      <c r="H302" s="111"/>
    </row>
    <row r="303" spans="1:8">
      <c r="A303" s="80"/>
      <c r="B303" s="146">
        <f>+Mensajes!$B$12</f>
        <v>0</v>
      </c>
      <c r="C303" s="81"/>
      <c r="D303" s="81"/>
      <c r="E303" s="81"/>
      <c r="F303" s="81"/>
      <c r="G303" s="81"/>
      <c r="H303" s="111"/>
    </row>
    <row r="304" spans="1:8">
      <c r="A304" s="80"/>
      <c r="B304" s="146" t="str">
        <f>IF(VLOOKUP(G294,'17_1'!$A$37:$N$70,14,0)=0,"",VLOOKUP(G294,'17_1'!$A$37:$N$70,14,0))</f>
        <v/>
      </c>
      <c r="C304" s="81"/>
      <c r="D304" s="81"/>
      <c r="E304" s="81"/>
      <c r="F304" s="81"/>
      <c r="G304" s="81"/>
      <c r="H304" s="111"/>
    </row>
    <row r="305" spans="1:8">
      <c r="A305" s="140"/>
      <c r="B305" s="188" t="str">
        <f>IF(DSUM('17_1'!$A$36:$Q$70,17,G293:G294)=COUNTIF('17_1'!$A$37:$A$70,G294),"","Regularice su Deuda")</f>
        <v>Regularice su Deuda</v>
      </c>
      <c r="C305" s="82"/>
      <c r="D305" s="82"/>
      <c r="E305" s="82"/>
      <c r="F305" s="82"/>
      <c r="G305" s="82"/>
      <c r="H305" s="83"/>
    </row>
    <row r="307" spans="1:8">
      <c r="A307" s="108"/>
      <c r="B307" s="109"/>
      <c r="C307" s="109"/>
      <c r="D307" s="109"/>
      <c r="E307" s="109"/>
      <c r="F307" s="109"/>
      <c r="G307" s="109"/>
      <c r="H307" s="110"/>
    </row>
    <row r="308" spans="1:8">
      <c r="A308" s="80"/>
      <c r="B308" s="147" t="s">
        <v>64</v>
      </c>
      <c r="C308" s="81"/>
      <c r="D308" s="81"/>
      <c r="E308" s="81"/>
      <c r="F308" s="81"/>
      <c r="G308" s="81"/>
      <c r="H308" s="111"/>
    </row>
    <row r="309" spans="1:8">
      <c r="A309" s="80"/>
      <c r="B309" s="81"/>
      <c r="C309" s="81"/>
      <c r="D309" s="81"/>
      <c r="E309" s="81"/>
      <c r="F309" s="81"/>
      <c r="G309" s="81"/>
      <c r="H309" s="111"/>
    </row>
    <row r="310" spans="1:8">
      <c r="A310" s="80"/>
      <c r="B310" s="81" t="s">
        <v>139</v>
      </c>
      <c r="C310" s="81" t="str">
        <f>VLOOKUP(G311,'17_1'!$A$37:$G$70,6,0)</f>
        <v>DIRECCION GENERAL DE ESCUELAS-(ESC.1-183-CORREO ARGENTINO-LAVALLE)</v>
      </c>
      <c r="D310" s="81"/>
      <c r="E310" s="81"/>
      <c r="F310" s="81"/>
      <c r="G310" s="138" t="s">
        <v>102</v>
      </c>
      <c r="H310" s="111"/>
    </row>
    <row r="311" spans="1:8">
      <c r="A311" s="80"/>
      <c r="B311" s="81" t="s">
        <v>72</v>
      </c>
      <c r="C311" s="81" t="str">
        <f>+'17_1'!$A$24</f>
        <v>Hijuela Gelvez - DIRECTOS</v>
      </c>
      <c r="D311" s="81"/>
      <c r="E311" s="81"/>
      <c r="F311" s="81"/>
      <c r="G311" s="138">
        <v>19</v>
      </c>
      <c r="H311" s="111"/>
    </row>
    <row r="312" spans="1:8">
      <c r="A312" s="80"/>
      <c r="B312" s="81"/>
      <c r="C312" s="81"/>
      <c r="D312" s="81"/>
      <c r="E312" s="81"/>
      <c r="F312" s="81"/>
      <c r="G312" s="81"/>
      <c r="H312" s="111"/>
    </row>
    <row r="313" spans="1:8">
      <c r="A313" s="80"/>
      <c r="B313" s="81" t="s">
        <v>140</v>
      </c>
      <c r="C313" s="138">
        <f>VLOOKUP(G311,'17_1'!$A$37:$B$70,2,0)</f>
        <v>1213</v>
      </c>
      <c r="D313" s="81"/>
      <c r="E313" s="139" t="s">
        <v>141</v>
      </c>
      <c r="F313" s="141" t="e">
        <f>DSUM('17_1'!A$36:J$70,'17_1'!$J$36,G310:G311)</f>
        <v>#N/A</v>
      </c>
      <c r="G313" s="81"/>
      <c r="H313" s="111"/>
    </row>
    <row r="314" spans="1:8">
      <c r="A314" s="80"/>
      <c r="B314" s="81" t="s">
        <v>142</v>
      </c>
      <c r="C314" s="205">
        <v>83</v>
      </c>
      <c r="D314" s="81"/>
      <c r="E314" s="81"/>
      <c r="F314" s="81"/>
      <c r="G314" s="81"/>
      <c r="H314" s="111"/>
    </row>
    <row r="315" spans="1:8">
      <c r="A315" s="80"/>
      <c r="B315" s="81" t="s">
        <v>144</v>
      </c>
      <c r="C315" s="206" t="e">
        <f>DSUM('17_1'!$A$36:$H$70,'17_1'!$H$36,G310:G311)</f>
        <v>#N/A</v>
      </c>
      <c r="D315" s="81"/>
      <c r="E315" s="81"/>
      <c r="F315" s="584"/>
      <c r="G315" s="584"/>
      <c r="H315" s="111"/>
    </row>
    <row r="316" spans="1:8" ht="15.75">
      <c r="A316" s="80"/>
      <c r="B316" s="81"/>
      <c r="C316" s="81" t="s">
        <v>146</v>
      </c>
      <c r="D316" s="145" t="e">
        <f>DMIN('17_1'!A$36:K$70,'17_1'!$K$36,G310:G311)</f>
        <v>#REF!</v>
      </c>
      <c r="E316" s="189" t="e">
        <f>IF(F316=1,"Domingo",IF(F316=2,"Lunes",IF(F316=3,"Martes",IF(F316=4,"Miercoles",IF(F316=5,"Jueves",IF(F316=6,"Viernes",IF(F316=7,"Sábado",0)))))))</f>
        <v>#REF!</v>
      </c>
      <c r="F316" s="190" t="e">
        <f>WEEKDAY(D316)</f>
        <v>#REF!</v>
      </c>
      <c r="G316" s="142"/>
      <c r="H316" s="111"/>
    </row>
    <row r="317" spans="1:8" ht="15.75">
      <c r="A317" s="80"/>
      <c r="B317" s="81"/>
      <c r="C317" s="81" t="s">
        <v>147</v>
      </c>
      <c r="D317" s="145" t="e">
        <f>DMAX('17_1'!A$36:L$70,'17_1'!$L$36,G310:G311)</f>
        <v>#REF!</v>
      </c>
      <c r="E317" s="189" t="e">
        <f>IF(F317=1,"Domingo",IF(F317=2,"Lunes",IF(F317=3,"Martes",IF(F317=4,"Miercoles",IF(F317=5,"Jueves",IF(F317=6,"Viernes",IF(F317=7,"Sábado",0)))))))</f>
        <v>#REF!</v>
      </c>
      <c r="F317" s="190" t="e">
        <f>WEEKDAY(D317)</f>
        <v>#REF!</v>
      </c>
      <c r="G317" s="142"/>
      <c r="H317" s="111"/>
    </row>
    <row r="318" spans="1:8">
      <c r="A318" s="80"/>
      <c r="B318" s="81"/>
      <c r="C318" s="81"/>
      <c r="D318" s="81"/>
      <c r="E318" s="81"/>
      <c r="F318" s="584"/>
      <c r="G318" s="584"/>
      <c r="H318" s="111"/>
    </row>
    <row r="319" spans="1:8">
      <c r="A319" s="80"/>
      <c r="B319" s="146">
        <f>+Mensajes!$B$7</f>
        <v>0</v>
      </c>
      <c r="C319" s="81"/>
      <c r="D319" s="81"/>
      <c r="E319" s="81"/>
      <c r="F319" s="81"/>
      <c r="G319" s="81"/>
      <c r="H319" s="111"/>
    </row>
    <row r="320" spans="1:8">
      <c r="A320" s="80"/>
      <c r="B320" s="146">
        <f>+Mensajes!$B$12</f>
        <v>0</v>
      </c>
      <c r="C320" s="81"/>
      <c r="D320" s="81"/>
      <c r="E320" s="81"/>
      <c r="F320" s="81"/>
      <c r="G320" s="81"/>
      <c r="H320" s="111"/>
    </row>
    <row r="321" spans="1:8">
      <c r="A321" s="80"/>
      <c r="B321" s="146" t="str">
        <f>IF(VLOOKUP(G311,'17_1'!$A$37:$N$70,14,0)=0,"",VLOOKUP(G311,'17_1'!$A$37:$N$70,14,0))</f>
        <v/>
      </c>
      <c r="C321" s="81"/>
      <c r="D321" s="81"/>
      <c r="E321" s="81"/>
      <c r="F321" s="81"/>
      <c r="G321" s="81"/>
      <c r="H321" s="111"/>
    </row>
    <row r="322" spans="1:8">
      <c r="A322" s="140"/>
      <c r="B322" s="188" t="e">
        <f>IF(DSUM('17_1'!$A$36:$Q$70,17,G310:G311)=COUNTIF('17_1'!$A$37:$A$70,G311),"","Regularice su Deuda")</f>
        <v>#N/A</v>
      </c>
      <c r="C322" s="82"/>
      <c r="D322" s="82"/>
      <c r="E322" s="82"/>
      <c r="F322" s="82"/>
      <c r="G322" s="82"/>
      <c r="H322" s="83"/>
    </row>
    <row r="324" spans="1:8">
      <c r="A324" s="108"/>
      <c r="B324" s="109"/>
      <c r="C324" s="109"/>
      <c r="D324" s="109"/>
      <c r="E324" s="109"/>
      <c r="F324" s="109"/>
      <c r="G324" s="109"/>
      <c r="H324" s="110"/>
    </row>
    <row r="325" spans="1:8">
      <c r="A325" s="80"/>
      <c r="B325" s="147" t="s">
        <v>64</v>
      </c>
      <c r="C325" s="81"/>
      <c r="D325" s="81"/>
      <c r="E325" s="81"/>
      <c r="F325" s="81"/>
      <c r="G325" s="81"/>
      <c r="H325" s="111"/>
    </row>
    <row r="326" spans="1:8">
      <c r="A326" s="80"/>
      <c r="B326" s="81"/>
      <c r="C326" s="81"/>
      <c r="D326" s="81"/>
      <c r="E326" s="81"/>
      <c r="F326" s="81"/>
      <c r="G326" s="81"/>
      <c r="H326" s="111"/>
    </row>
    <row r="327" spans="1:8">
      <c r="A327" s="80"/>
      <c r="B327" s="81" t="s">
        <v>139</v>
      </c>
      <c r="C327" s="81" t="str">
        <f>VLOOKUP(G328,'17_1'!$A$37:$G$70,6,0)</f>
        <v>MUNICIPALIDAD DE LAVALLE</v>
      </c>
      <c r="D327" s="81"/>
      <c r="E327" s="81"/>
      <c r="F327" s="81"/>
      <c r="G327" s="138" t="s">
        <v>102</v>
      </c>
      <c r="H327" s="111"/>
    </row>
    <row r="328" spans="1:8">
      <c r="A328" s="80"/>
      <c r="B328" s="81" t="s">
        <v>72</v>
      </c>
      <c r="C328" s="81" t="str">
        <f>+'17_1'!$A$24</f>
        <v>Hijuela Gelvez - DIRECTOS</v>
      </c>
      <c r="D328" s="81"/>
      <c r="E328" s="81"/>
      <c r="F328" s="81"/>
      <c r="G328" s="138">
        <v>20</v>
      </c>
      <c r="H328" s="111"/>
    </row>
    <row r="329" spans="1:8">
      <c r="A329" s="80"/>
      <c r="B329" s="81"/>
      <c r="C329" s="81"/>
      <c r="D329" s="81"/>
      <c r="E329" s="81"/>
      <c r="F329" s="81"/>
      <c r="G329" s="81"/>
      <c r="H329" s="111"/>
    </row>
    <row r="330" spans="1:8">
      <c r="A330" s="80"/>
      <c r="B330" s="81" t="s">
        <v>140</v>
      </c>
      <c r="C330" s="138">
        <f>VLOOKUP(G328,'17_1'!$A$37:$B$70,2,0)</f>
        <v>1213</v>
      </c>
      <c r="D330" s="81"/>
      <c r="E330" s="139" t="s">
        <v>141</v>
      </c>
      <c r="F330" s="141" t="e">
        <f>DSUM('17_1'!A$36:J$70,'17_1'!$J$36,G327:G328)</f>
        <v>#N/A</v>
      </c>
      <c r="G330" s="81"/>
      <c r="H330" s="111"/>
    </row>
    <row r="331" spans="1:8">
      <c r="A331" s="80"/>
      <c r="B331" s="81" t="s">
        <v>142</v>
      </c>
      <c r="C331" s="205" t="s">
        <v>541</v>
      </c>
      <c r="D331" s="81"/>
      <c r="E331" s="81"/>
      <c r="F331" s="81"/>
      <c r="G331" s="81"/>
      <c r="H331" s="111"/>
    </row>
    <row r="332" spans="1:8">
      <c r="A332" s="80"/>
      <c r="B332" s="81" t="s">
        <v>144</v>
      </c>
      <c r="C332" s="206">
        <f>DSUM('17_1'!$A$36:$H$70,'17_1'!$H$36,G327:G328)</f>
        <v>0</v>
      </c>
      <c r="D332" s="81"/>
      <c r="E332" s="81"/>
      <c r="F332" s="584"/>
      <c r="G332" s="584"/>
      <c r="H332" s="111"/>
    </row>
    <row r="333" spans="1:8" ht="15.75">
      <c r="A333" s="80"/>
      <c r="B333" s="81"/>
      <c r="C333" s="81" t="s">
        <v>146</v>
      </c>
      <c r="D333" s="145" t="e">
        <f>DMIN('17_1'!A$36:K$70,'17_1'!$K$36,G327:G328)</f>
        <v>#REF!</v>
      </c>
      <c r="E333" s="189" t="e">
        <f>IF(F333=1,"Domingo",IF(F333=2,"Lunes",IF(F333=3,"Martes",IF(F333=4,"Miercoles",IF(F333=5,"Jueves",IF(F333=6,"Viernes",IF(F333=7,"Sábado",0)))))))</f>
        <v>#REF!</v>
      </c>
      <c r="F333" s="190" t="e">
        <f>WEEKDAY(D333)</f>
        <v>#REF!</v>
      </c>
      <c r="G333" s="142"/>
      <c r="H333" s="111"/>
    </row>
    <row r="334" spans="1:8" ht="15.75">
      <c r="A334" s="80"/>
      <c r="B334" s="81"/>
      <c r="C334" s="81" t="s">
        <v>147</v>
      </c>
      <c r="D334" s="145" t="e">
        <f>DMAX('17_1'!A$36:L$70,'17_1'!$L$36,G327:G328)</f>
        <v>#REF!</v>
      </c>
      <c r="E334" s="189" t="e">
        <f>IF(F334=1,"Domingo",IF(F334=2,"Lunes",IF(F334=3,"Martes",IF(F334=4,"Miercoles",IF(F334=5,"Jueves",IF(F334=6,"Viernes",IF(F334=7,"Sábado",0)))))))</f>
        <v>#REF!</v>
      </c>
      <c r="F334" s="190" t="e">
        <f>WEEKDAY(D334)</f>
        <v>#REF!</v>
      </c>
      <c r="G334" s="142"/>
      <c r="H334" s="111"/>
    </row>
    <row r="335" spans="1:8">
      <c r="A335" s="80"/>
      <c r="B335" s="81"/>
      <c r="C335" s="81"/>
      <c r="D335" s="81"/>
      <c r="E335" s="81"/>
      <c r="F335" s="584"/>
      <c r="G335" s="584"/>
      <c r="H335" s="111"/>
    </row>
    <row r="336" spans="1:8">
      <c r="A336" s="80"/>
      <c r="B336" s="146">
        <f>+Mensajes!$B$7</f>
        <v>0</v>
      </c>
      <c r="C336" s="81"/>
      <c r="D336" s="81"/>
      <c r="E336" s="81"/>
      <c r="F336" s="81"/>
      <c r="G336" s="81"/>
      <c r="H336" s="111"/>
    </row>
    <row r="337" spans="1:8">
      <c r="A337" s="80"/>
      <c r="B337" s="146">
        <f>+Mensajes!$B$12</f>
        <v>0</v>
      </c>
      <c r="C337" s="81"/>
      <c r="D337" s="81"/>
      <c r="E337" s="81"/>
      <c r="F337" s="81"/>
      <c r="G337" s="81"/>
      <c r="H337" s="111"/>
    </row>
    <row r="338" spans="1:8">
      <c r="A338" s="80"/>
      <c r="B338" s="146" t="str">
        <f>IF(VLOOKUP(G328,'17_1'!$A$37:$N$70,14,0)=0,"",VLOOKUP(G328,'17_1'!$A$37:$N$70,14,0))</f>
        <v/>
      </c>
      <c r="C338" s="81"/>
      <c r="D338" s="81"/>
      <c r="E338" s="81"/>
      <c r="F338" s="81"/>
      <c r="G338" s="81"/>
      <c r="H338" s="111"/>
    </row>
    <row r="339" spans="1:8">
      <c r="A339" s="140"/>
      <c r="B339" s="188" t="str">
        <f>IF(DSUM('17_1'!$A$36:$Q$70,17,G327:G328)=COUNTIF('17_1'!$A$37:$A$70,G328),"","Regularice su Deuda")</f>
        <v>Regularice su Deuda</v>
      </c>
      <c r="C339" s="82"/>
      <c r="D339" s="82"/>
      <c r="E339" s="82"/>
      <c r="F339" s="82"/>
      <c r="G339" s="82"/>
      <c r="H339" s="83"/>
    </row>
    <row r="341" spans="1:8">
      <c r="A341" s="108"/>
      <c r="B341" s="109"/>
      <c r="C341" s="109"/>
      <c r="D341" s="109"/>
      <c r="E341" s="109"/>
      <c r="F341" s="109"/>
      <c r="G341" s="109"/>
      <c r="H341" s="110"/>
    </row>
    <row r="342" spans="1:8">
      <c r="A342" s="80"/>
      <c r="B342" s="147" t="s">
        <v>64</v>
      </c>
      <c r="C342" s="81"/>
      <c r="D342" s="81"/>
      <c r="E342" s="81"/>
      <c r="F342" s="81"/>
      <c r="G342" s="81"/>
      <c r="H342" s="111"/>
    </row>
    <row r="343" spans="1:8">
      <c r="A343" s="80"/>
      <c r="B343" s="81"/>
      <c r="C343" s="81"/>
      <c r="D343" s="81"/>
      <c r="E343" s="81"/>
      <c r="F343" s="81"/>
      <c r="G343" s="81"/>
      <c r="H343" s="111"/>
    </row>
    <row r="344" spans="1:8">
      <c r="A344" s="80"/>
      <c r="B344" s="81" t="s">
        <v>139</v>
      </c>
      <c r="C344" s="81" t="str">
        <f>VLOOKUP(G345,'17_1'!$A$37:$G$70,6,0)</f>
        <v>ARGUMEDO MORALES, MARINA ARGENTINA</v>
      </c>
      <c r="D344" s="81"/>
      <c r="E344" s="81"/>
      <c r="F344" s="81"/>
      <c r="G344" s="138" t="s">
        <v>102</v>
      </c>
      <c r="H344" s="111"/>
    </row>
    <row r="345" spans="1:8">
      <c r="A345" s="80"/>
      <c r="B345" s="81" t="s">
        <v>72</v>
      </c>
      <c r="C345" s="81" t="str">
        <f>+'17_1'!$A$24</f>
        <v>Hijuela Gelvez - DIRECTOS</v>
      </c>
      <c r="D345" s="81"/>
      <c r="E345" s="81"/>
      <c r="F345" s="81"/>
      <c r="G345" s="138">
        <v>21</v>
      </c>
      <c r="H345" s="111"/>
    </row>
    <row r="346" spans="1:8">
      <c r="A346" s="80"/>
      <c r="B346" s="81"/>
      <c r="C346" s="81"/>
      <c r="D346" s="81"/>
      <c r="E346" s="81"/>
      <c r="F346" s="81"/>
      <c r="G346" s="81"/>
      <c r="H346" s="111"/>
    </row>
    <row r="347" spans="1:8">
      <c r="A347" s="80"/>
      <c r="B347" s="81" t="s">
        <v>140</v>
      </c>
      <c r="C347" s="138">
        <f>VLOOKUP(G345,'17_1'!$A$37:$B$70,2,0)</f>
        <v>1213</v>
      </c>
      <c r="D347" s="81"/>
      <c r="E347" s="139" t="s">
        <v>141</v>
      </c>
      <c r="F347" s="141" t="e">
        <f>DSUM('17_1'!A$36:J$70,'17_1'!$J$36,G344:G345)</f>
        <v>#N/A</v>
      </c>
      <c r="G347" s="81"/>
      <c r="H347" s="111"/>
    </row>
    <row r="348" spans="1:8">
      <c r="A348" s="80"/>
      <c r="B348" s="81" t="s">
        <v>142</v>
      </c>
      <c r="C348" s="205">
        <v>246</v>
      </c>
      <c r="D348" s="81"/>
      <c r="E348" s="81"/>
      <c r="F348" s="81"/>
      <c r="G348" s="81"/>
      <c r="H348" s="111"/>
    </row>
    <row r="349" spans="1:8">
      <c r="A349" s="80"/>
      <c r="B349" s="81" t="s">
        <v>144</v>
      </c>
      <c r="C349" s="206">
        <f>DSUM('17_1'!$A$36:$H$70,'17_1'!$H$36,G344:G345)</f>
        <v>3.5491000000000001</v>
      </c>
      <c r="D349" s="81"/>
      <c r="E349" s="81"/>
      <c r="F349" s="584"/>
      <c r="G349" s="584"/>
      <c r="H349" s="111"/>
    </row>
    <row r="350" spans="1:8" ht="15.75">
      <c r="A350" s="80"/>
      <c r="B350" s="81"/>
      <c r="C350" s="81" t="s">
        <v>146</v>
      </c>
      <c r="D350" s="145" t="e">
        <f>DMIN('17_1'!A$36:K$70,'17_1'!$K$36,G344:G345)</f>
        <v>#REF!</v>
      </c>
      <c r="E350" s="189" t="e">
        <f>IF(F350=1,"Domingo",IF(F350=2,"Lunes",IF(F350=3,"Martes",IF(F350=4,"Miercoles",IF(F350=5,"Jueves",IF(F350=6,"Viernes",IF(F350=7,"Sábado",0)))))))</f>
        <v>#REF!</v>
      </c>
      <c r="F350" s="190" t="e">
        <f>WEEKDAY(D350)</f>
        <v>#REF!</v>
      </c>
      <c r="G350" s="142"/>
      <c r="H350" s="111"/>
    </row>
    <row r="351" spans="1:8" ht="15.75">
      <c r="A351" s="80"/>
      <c r="B351" s="81"/>
      <c r="C351" s="81" t="s">
        <v>147</v>
      </c>
      <c r="D351" s="145" t="e">
        <f>DMAX('17_1'!A$36:L$70,'17_1'!$L$36,G344:G345)</f>
        <v>#REF!</v>
      </c>
      <c r="E351" s="189" t="e">
        <f>IF(F351=1,"Domingo",IF(F351=2,"Lunes",IF(F351=3,"Martes",IF(F351=4,"Miercoles",IF(F351=5,"Jueves",IF(F351=6,"Viernes",IF(F351=7,"Sábado",0)))))))</f>
        <v>#REF!</v>
      </c>
      <c r="F351" s="190" t="e">
        <f>WEEKDAY(D351)</f>
        <v>#REF!</v>
      </c>
      <c r="G351" s="142"/>
      <c r="H351" s="111"/>
    </row>
    <row r="352" spans="1:8">
      <c r="A352" s="80"/>
      <c r="B352" s="81"/>
      <c r="C352" s="81"/>
      <c r="D352" s="81"/>
      <c r="E352" s="81"/>
      <c r="F352" s="584"/>
      <c r="G352" s="584"/>
      <c r="H352" s="111"/>
    </row>
    <row r="353" spans="1:8">
      <c r="A353" s="80"/>
      <c r="B353" s="146">
        <f>+Mensajes!$B$7</f>
        <v>0</v>
      </c>
      <c r="C353" s="81"/>
      <c r="D353" s="81"/>
      <c r="E353" s="81"/>
      <c r="F353" s="81"/>
      <c r="G353" s="81"/>
      <c r="H353" s="111"/>
    </row>
    <row r="354" spans="1:8">
      <c r="A354" s="80"/>
      <c r="B354" s="146">
        <f>+Mensajes!$B$12</f>
        <v>0</v>
      </c>
      <c r="C354" s="81"/>
      <c r="D354" s="81"/>
      <c r="E354" s="81"/>
      <c r="F354" s="81"/>
      <c r="G354" s="81"/>
      <c r="H354" s="111"/>
    </row>
    <row r="355" spans="1:8">
      <c r="A355" s="80"/>
      <c r="B355" s="146" t="str">
        <f>IF(VLOOKUP(G345,'17_1'!$A$37:$N$70,14,0)=0,"",VLOOKUP(G345,'17_1'!$A$37:$N$70,14,0))</f>
        <v/>
      </c>
      <c r="C355" s="81"/>
      <c r="D355" s="81"/>
      <c r="E355" s="81"/>
      <c r="F355" s="81"/>
      <c r="G355" s="81"/>
      <c r="H355" s="111"/>
    </row>
    <row r="356" spans="1:8">
      <c r="A356" s="140"/>
      <c r="B356" s="188" t="str">
        <f>IF(DSUM('17_1'!$A$36:$Q$70,17,G344:G345)=COUNTIF('17_1'!$A$37:$A$70,G345),"","Regularice su Deuda")</f>
        <v/>
      </c>
      <c r="C356" s="82"/>
      <c r="D356" s="82"/>
      <c r="E356" s="82"/>
      <c r="F356" s="82"/>
      <c r="G356" s="82"/>
      <c r="H356" s="83"/>
    </row>
    <row r="358" spans="1:8">
      <c r="A358" s="108"/>
      <c r="B358" s="109"/>
      <c r="C358" s="109"/>
      <c r="D358" s="109"/>
      <c r="E358" s="109"/>
      <c r="F358" s="109"/>
      <c r="G358" s="109"/>
      <c r="H358" s="110"/>
    </row>
    <row r="359" spans="1:8">
      <c r="A359" s="80"/>
      <c r="B359" s="147" t="s">
        <v>64</v>
      </c>
      <c r="C359" s="81"/>
      <c r="D359" s="81"/>
      <c r="E359" s="81"/>
      <c r="F359" s="81"/>
      <c r="G359" s="81"/>
      <c r="H359" s="111"/>
    </row>
    <row r="360" spans="1:8">
      <c r="A360" s="80"/>
      <c r="B360" s="81"/>
      <c r="C360" s="81"/>
      <c r="D360" s="81"/>
      <c r="E360" s="81"/>
      <c r="F360" s="81"/>
      <c r="G360" s="81"/>
      <c r="H360" s="111"/>
    </row>
    <row r="361" spans="1:8">
      <c r="A361" s="80"/>
      <c r="B361" s="81" t="s">
        <v>139</v>
      </c>
      <c r="C361" s="81" t="str">
        <f>VLOOKUP(G362,'17_1'!$A$37:$G$70,6,0)</f>
        <v>HUMBERTO, IGNACIO PIO</v>
      </c>
      <c r="D361" s="81"/>
      <c r="E361" s="81"/>
      <c r="F361" s="81"/>
      <c r="G361" s="138" t="s">
        <v>102</v>
      </c>
      <c r="H361" s="111"/>
    </row>
    <row r="362" spans="1:8">
      <c r="A362" s="80"/>
      <c r="B362" s="81" t="s">
        <v>72</v>
      </c>
      <c r="C362" s="81" t="str">
        <f>+'17_1'!$A$24</f>
        <v>Hijuela Gelvez - DIRECTOS</v>
      </c>
      <c r="D362" s="81"/>
      <c r="E362" s="81"/>
      <c r="F362" s="81"/>
      <c r="G362" s="138">
        <v>22</v>
      </c>
      <c r="H362" s="111"/>
    </row>
    <row r="363" spans="1:8">
      <c r="A363" s="80"/>
      <c r="B363" s="81"/>
      <c r="C363" s="81"/>
      <c r="D363" s="81"/>
      <c r="E363" s="81"/>
      <c r="F363" s="81"/>
      <c r="G363" s="81"/>
      <c r="H363" s="111"/>
    </row>
    <row r="364" spans="1:8">
      <c r="A364" s="80"/>
      <c r="B364" s="81" t="s">
        <v>140</v>
      </c>
      <c r="C364" s="138">
        <f>VLOOKUP(G362,'17_1'!$A$37:$B$70,2,0)</f>
        <v>1213</v>
      </c>
      <c r="D364" s="81"/>
      <c r="E364" s="139" t="s">
        <v>141</v>
      </c>
      <c r="F364" s="141" t="e">
        <f>DSUM('17_1'!A$36:J$70,'17_1'!$J$36,G361:G362)</f>
        <v>#N/A</v>
      </c>
      <c r="G364" s="81"/>
      <c r="H364" s="111"/>
    </row>
    <row r="365" spans="1:8">
      <c r="A365" s="80"/>
      <c r="B365" s="81" t="s">
        <v>142</v>
      </c>
      <c r="C365" s="205">
        <v>290</v>
      </c>
      <c r="D365" s="81"/>
      <c r="E365" s="81"/>
      <c r="F365" s="81"/>
      <c r="G365" s="81"/>
      <c r="H365" s="111"/>
    </row>
    <row r="366" spans="1:8">
      <c r="A366" s="80"/>
      <c r="B366" s="81" t="s">
        <v>144</v>
      </c>
      <c r="C366" s="206">
        <f>DSUM('17_1'!$A$36:$H$70,'17_1'!$H$36,G361:G362)</f>
        <v>0</v>
      </c>
      <c r="D366" s="81"/>
      <c r="E366" s="81"/>
      <c r="F366" s="584"/>
      <c r="G366" s="584"/>
      <c r="H366" s="111"/>
    </row>
    <row r="367" spans="1:8" ht="15.75">
      <c r="A367" s="80"/>
      <c r="B367" s="81"/>
      <c r="C367" s="81" t="s">
        <v>146</v>
      </c>
      <c r="D367" s="145" t="e">
        <f>DMIN('17_1'!A$36:K$70,'17_1'!$K$36,G361:G362)</f>
        <v>#REF!</v>
      </c>
      <c r="E367" s="189" t="e">
        <f>IF(F367=1,"Domingo",IF(F367=2,"Lunes",IF(F367=3,"Martes",IF(F367=4,"Miercoles",IF(F367=5,"Jueves",IF(F367=6,"Viernes",IF(F367=7,"Sábado",0)))))))</f>
        <v>#REF!</v>
      </c>
      <c r="F367" s="190" t="e">
        <f>WEEKDAY(D367)</f>
        <v>#REF!</v>
      </c>
      <c r="G367" s="142"/>
      <c r="H367" s="111"/>
    </row>
    <row r="368" spans="1:8" ht="15.75">
      <c r="A368" s="80"/>
      <c r="B368" s="81"/>
      <c r="C368" s="81" t="s">
        <v>147</v>
      </c>
      <c r="D368" s="145" t="e">
        <f>DMAX('17_1'!A$36:L$70,'17_1'!$L$36,G361:G362)</f>
        <v>#REF!</v>
      </c>
      <c r="E368" s="189" t="e">
        <f>IF(F368=1,"Domingo",IF(F368=2,"Lunes",IF(F368=3,"Martes",IF(F368=4,"Miercoles",IF(F368=5,"Jueves",IF(F368=6,"Viernes",IF(F368=7,"Sábado",0)))))))</f>
        <v>#REF!</v>
      </c>
      <c r="F368" s="190" t="e">
        <f>WEEKDAY(D368)</f>
        <v>#REF!</v>
      </c>
      <c r="G368" s="142"/>
      <c r="H368" s="111"/>
    </row>
    <row r="369" spans="1:8">
      <c r="A369" s="80"/>
      <c r="B369" s="81"/>
      <c r="C369" s="81"/>
      <c r="D369" s="81"/>
      <c r="E369" s="81"/>
      <c r="F369" s="584"/>
      <c r="G369" s="584"/>
      <c r="H369" s="111"/>
    </row>
    <row r="370" spans="1:8">
      <c r="A370" s="80"/>
      <c r="B370" s="146">
        <f>+Mensajes!$B$7</f>
        <v>0</v>
      </c>
      <c r="C370" s="81"/>
      <c r="D370" s="81"/>
      <c r="E370" s="81"/>
      <c r="F370" s="81"/>
      <c r="G370" s="81"/>
      <c r="H370" s="111"/>
    </row>
    <row r="371" spans="1:8">
      <c r="A371" s="80"/>
      <c r="B371" s="146">
        <f>+Mensajes!$B$12</f>
        <v>0</v>
      </c>
      <c r="C371" s="81"/>
      <c r="D371" s="81"/>
      <c r="E371" s="81"/>
      <c r="F371" s="81"/>
      <c r="G371" s="81"/>
      <c r="H371" s="111"/>
    </row>
    <row r="372" spans="1:8">
      <c r="A372" s="80"/>
      <c r="B372" s="146" t="str">
        <f>IF(VLOOKUP(G362,'17_1'!$A$37:$N$70,14,0)=0,"",VLOOKUP(G362,'17_1'!$A$37:$N$70,14,0))</f>
        <v/>
      </c>
      <c r="C372" s="81"/>
      <c r="D372" s="81"/>
      <c r="E372" s="81"/>
      <c r="F372" s="81"/>
      <c r="G372" s="81"/>
      <c r="H372" s="111"/>
    </row>
    <row r="373" spans="1:8">
      <c r="A373" s="140"/>
      <c r="B373" s="188" t="str">
        <f>IF(DSUM('17_1'!$A$36:$Q$70,17,G361:G362)=COUNTIF('17_1'!$A$37:$A$70,G362),"","Regularice su Deuda")</f>
        <v>Regularice su Deuda</v>
      </c>
      <c r="C373" s="82"/>
      <c r="D373" s="82"/>
      <c r="E373" s="82"/>
      <c r="F373" s="82"/>
      <c r="G373" s="82"/>
      <c r="H373" s="83"/>
    </row>
    <row r="375" spans="1:8">
      <c r="A375" s="108"/>
      <c r="B375" s="109"/>
      <c r="C375" s="109"/>
      <c r="D375" s="109"/>
      <c r="E375" s="109"/>
      <c r="F375" s="109"/>
      <c r="G375" s="109"/>
      <c r="H375" s="110"/>
    </row>
    <row r="376" spans="1:8">
      <c r="A376" s="80"/>
      <c r="B376" s="147" t="s">
        <v>64</v>
      </c>
      <c r="C376" s="81"/>
      <c r="D376" s="81"/>
      <c r="E376" s="81"/>
      <c r="F376" s="81"/>
      <c r="G376" s="81"/>
      <c r="H376" s="111"/>
    </row>
    <row r="377" spans="1:8">
      <c r="A377" s="80"/>
      <c r="B377" s="81"/>
      <c r="C377" s="81"/>
      <c r="D377" s="81"/>
      <c r="E377" s="81"/>
      <c r="F377" s="81"/>
      <c r="G377" s="81"/>
      <c r="H377" s="111"/>
    </row>
    <row r="378" spans="1:8">
      <c r="A378" s="80"/>
      <c r="B378" s="81" t="s">
        <v>139</v>
      </c>
      <c r="C378" s="81" t="str">
        <f>VLOOKUP(G379,'17_1'!$A$37:$G$70,6,0)</f>
        <v>HUMBERTO, IGNACIO PIO</v>
      </c>
      <c r="D378" s="81"/>
      <c r="E378" s="81"/>
      <c r="F378" s="81"/>
      <c r="G378" s="138" t="s">
        <v>102</v>
      </c>
      <c r="H378" s="111"/>
    </row>
    <row r="379" spans="1:8">
      <c r="A379" s="80"/>
      <c r="B379" s="81" t="s">
        <v>72</v>
      </c>
      <c r="C379" s="81" t="str">
        <f>+'17_1'!$A$24</f>
        <v>Hijuela Gelvez - DIRECTOS</v>
      </c>
      <c r="D379" s="81"/>
      <c r="E379" s="81"/>
      <c r="F379" s="81"/>
      <c r="G379" s="138">
        <v>23</v>
      </c>
      <c r="H379" s="111"/>
    </row>
    <row r="380" spans="1:8">
      <c r="A380" s="80"/>
      <c r="B380" s="81"/>
      <c r="C380" s="81"/>
      <c r="D380" s="81"/>
      <c r="E380" s="81"/>
      <c r="F380" s="81"/>
      <c r="G380" s="81"/>
      <c r="H380" s="111"/>
    </row>
    <row r="381" spans="1:8">
      <c r="A381" s="80"/>
      <c r="B381" s="81" t="s">
        <v>140</v>
      </c>
      <c r="C381" s="138">
        <f>VLOOKUP(G379,'17_1'!$A$37:$B$70,2,0)</f>
        <v>1213</v>
      </c>
      <c r="D381" s="81"/>
      <c r="E381" s="139" t="s">
        <v>141</v>
      </c>
      <c r="F381" s="141" t="e">
        <f>DSUM('17_1'!A$36:J$70,'17_1'!$J$36,G378:G379)</f>
        <v>#N/A</v>
      </c>
      <c r="G381" s="81"/>
      <c r="H381" s="111"/>
    </row>
    <row r="382" spans="1:8">
      <c r="A382" s="80"/>
      <c r="B382" s="81" t="s">
        <v>142</v>
      </c>
      <c r="C382" s="205">
        <v>21</v>
      </c>
      <c r="D382" s="81"/>
      <c r="E382" s="81"/>
      <c r="F382" s="81"/>
      <c r="G382" s="81"/>
      <c r="H382" s="111"/>
    </row>
    <row r="383" spans="1:8">
      <c r="A383" s="80"/>
      <c r="B383" s="81" t="s">
        <v>144</v>
      </c>
      <c r="C383" s="206" t="e">
        <f>DSUM('17_1'!$A$36:$H$70,'17_1'!$H$36,G378:G379)</f>
        <v>#N/A</v>
      </c>
      <c r="D383" s="81"/>
      <c r="E383" s="81"/>
      <c r="F383" s="584"/>
      <c r="G383" s="584"/>
      <c r="H383" s="111"/>
    </row>
    <row r="384" spans="1:8" ht="15.75">
      <c r="A384" s="80"/>
      <c r="B384" s="81"/>
      <c r="C384" s="81" t="s">
        <v>146</v>
      </c>
      <c r="D384" s="145" t="e">
        <f>DMIN('17_1'!A$36:K$70,'17_1'!$K$36,G378:G379)</f>
        <v>#REF!</v>
      </c>
      <c r="E384" s="189" t="e">
        <f>IF(F384=1,"Domingo",IF(F384=2,"Lunes",IF(F384=3,"Martes",IF(F384=4,"Miercoles",IF(F384=5,"Jueves",IF(F384=6,"Viernes",IF(F384=7,"Sábado",0)))))))</f>
        <v>#REF!</v>
      </c>
      <c r="F384" s="190" t="e">
        <f>WEEKDAY(D384)</f>
        <v>#REF!</v>
      </c>
      <c r="G384" s="142"/>
      <c r="H384" s="111"/>
    </row>
    <row r="385" spans="1:8" ht="15.75">
      <c r="A385" s="80"/>
      <c r="B385" s="81"/>
      <c r="C385" s="81" t="s">
        <v>147</v>
      </c>
      <c r="D385" s="145" t="e">
        <f>DMAX('17_1'!A$36:L$70,'17_1'!$L$36,G378:G379)</f>
        <v>#REF!</v>
      </c>
      <c r="E385" s="189" t="e">
        <f>IF(F385=1,"Domingo",IF(F385=2,"Lunes",IF(F385=3,"Martes",IF(F385=4,"Miercoles",IF(F385=5,"Jueves",IF(F385=6,"Viernes",IF(F385=7,"Sábado",0)))))))</f>
        <v>#REF!</v>
      </c>
      <c r="F385" s="190" t="e">
        <f>WEEKDAY(D385)</f>
        <v>#REF!</v>
      </c>
      <c r="G385" s="142"/>
      <c r="H385" s="111"/>
    </row>
    <row r="386" spans="1:8">
      <c r="A386" s="80"/>
      <c r="B386" s="81"/>
      <c r="C386" s="81"/>
      <c r="D386" s="81"/>
      <c r="E386" s="81"/>
      <c r="F386" s="584"/>
      <c r="G386" s="584"/>
      <c r="H386" s="111"/>
    </row>
    <row r="387" spans="1:8">
      <c r="A387" s="80"/>
      <c r="B387" s="146">
        <f>+Mensajes!$B$7</f>
        <v>0</v>
      </c>
      <c r="C387" s="81"/>
      <c r="D387" s="81"/>
      <c r="E387" s="81"/>
      <c r="F387" s="81"/>
      <c r="G387" s="81"/>
      <c r="H387" s="111"/>
    </row>
    <row r="388" spans="1:8">
      <c r="A388" s="80"/>
      <c r="B388" s="146">
        <f>+Mensajes!$B$12</f>
        <v>0</v>
      </c>
      <c r="C388" s="81"/>
      <c r="D388" s="81"/>
      <c r="E388" s="81"/>
      <c r="F388" s="81"/>
      <c r="G388" s="81"/>
      <c r="H388" s="111"/>
    </row>
    <row r="389" spans="1:8">
      <c r="A389" s="80"/>
      <c r="B389" s="146" t="str">
        <f>IF(VLOOKUP(G379,'17_1'!$A$37:$N$70,14,0)=0,"",VLOOKUP(G379,'17_1'!$A$37:$N$70,14,0))</f>
        <v/>
      </c>
      <c r="C389" s="81"/>
      <c r="D389" s="81"/>
      <c r="E389" s="81"/>
      <c r="F389" s="81"/>
      <c r="G389" s="81"/>
      <c r="H389" s="111"/>
    </row>
    <row r="390" spans="1:8">
      <c r="A390" s="140"/>
      <c r="B390" s="188" t="e">
        <f>IF(DSUM('17_1'!$A$36:$Q$70,17,G378:G379)=COUNTIF('17_1'!$A$37:$A$70,G379),"","Regularice su Deuda")</f>
        <v>#N/A</v>
      </c>
      <c r="C390" s="82"/>
      <c r="D390" s="82"/>
      <c r="E390" s="82"/>
      <c r="F390" s="82"/>
      <c r="G390" s="82"/>
      <c r="H390" s="83"/>
    </row>
    <row r="392" spans="1:8">
      <c r="A392" s="108"/>
      <c r="B392" s="109"/>
      <c r="C392" s="109"/>
      <c r="D392" s="109"/>
      <c r="E392" s="109"/>
      <c r="F392" s="109"/>
      <c r="G392" s="109"/>
      <c r="H392" s="110"/>
    </row>
    <row r="393" spans="1:8">
      <c r="A393" s="80"/>
      <c r="B393" s="147" t="s">
        <v>64</v>
      </c>
      <c r="C393" s="81"/>
      <c r="D393" s="81"/>
      <c r="E393" s="81"/>
      <c r="F393" s="81"/>
      <c r="G393" s="81"/>
      <c r="H393" s="111"/>
    </row>
    <row r="394" spans="1:8">
      <c r="A394" s="80"/>
      <c r="B394" s="81"/>
      <c r="C394" s="81"/>
      <c r="D394" s="81"/>
      <c r="E394" s="81"/>
      <c r="F394" s="81"/>
      <c r="G394" s="81"/>
      <c r="H394" s="111"/>
    </row>
    <row r="395" spans="1:8">
      <c r="A395" s="80"/>
      <c r="B395" s="81" t="s">
        <v>139</v>
      </c>
      <c r="C395" s="81" t="str">
        <f>VLOOKUP(G396,'17_1'!$A$37:$G$70,6,0)</f>
        <v>TOMERA, JUAN BAUTISTA</v>
      </c>
      <c r="D395" s="81"/>
      <c r="E395" s="81"/>
      <c r="F395" s="81"/>
      <c r="G395" s="138" t="s">
        <v>102</v>
      </c>
      <c r="H395" s="111"/>
    </row>
    <row r="396" spans="1:8">
      <c r="A396" s="80"/>
      <c r="B396" s="81" t="s">
        <v>72</v>
      </c>
      <c r="C396" s="81" t="str">
        <f>+'17_1'!$A$24</f>
        <v>Hijuela Gelvez - DIRECTOS</v>
      </c>
      <c r="D396" s="81"/>
      <c r="E396" s="81"/>
      <c r="F396" s="81"/>
      <c r="G396" s="138">
        <v>24</v>
      </c>
      <c r="H396" s="111"/>
    </row>
    <row r="397" spans="1:8">
      <c r="A397" s="80"/>
      <c r="B397" s="81"/>
      <c r="C397" s="81"/>
      <c r="D397" s="81"/>
      <c r="E397" s="81"/>
      <c r="F397" s="81"/>
      <c r="G397" s="81"/>
      <c r="H397" s="111"/>
    </row>
    <row r="398" spans="1:8">
      <c r="A398" s="80"/>
      <c r="B398" s="81" t="s">
        <v>140</v>
      </c>
      <c r="C398" s="138">
        <f>VLOOKUP(G396,'17_1'!$A$37:$B$70,2,0)</f>
        <v>1213</v>
      </c>
      <c r="D398" s="81"/>
      <c r="E398" s="139" t="s">
        <v>141</v>
      </c>
      <c r="F398" s="141" t="e">
        <f>DSUM('17_1'!A$36:J$70,'17_1'!$J$36,G395:G396)</f>
        <v>#N/A</v>
      </c>
      <c r="G398" s="81"/>
      <c r="H398" s="111"/>
    </row>
    <row r="399" spans="1:8">
      <c r="A399" s="80"/>
      <c r="B399" s="81" t="s">
        <v>142</v>
      </c>
      <c r="C399" s="205">
        <v>75</v>
      </c>
      <c r="D399" s="81"/>
      <c r="E399" s="81"/>
      <c r="F399" s="81"/>
      <c r="G399" s="81"/>
      <c r="H399" s="111"/>
    </row>
    <row r="400" spans="1:8">
      <c r="A400" s="80"/>
      <c r="B400" s="81" t="s">
        <v>144</v>
      </c>
      <c r="C400" s="206" t="e">
        <f>DSUM('17_1'!$A$36:$H$70,'17_1'!$H$36,G395:G396)</f>
        <v>#N/A</v>
      </c>
      <c r="D400" s="81"/>
      <c r="E400" s="81"/>
      <c r="F400" s="584"/>
      <c r="G400" s="584"/>
      <c r="H400" s="111"/>
    </row>
    <row r="401" spans="1:8" ht="15.75">
      <c r="A401" s="80"/>
      <c r="B401" s="81"/>
      <c r="C401" s="81" t="s">
        <v>146</v>
      </c>
      <c r="D401" s="145" t="e">
        <f>DMIN('17_1'!A$36:K$70,'17_1'!$K$36,G395:G396)</f>
        <v>#REF!</v>
      </c>
      <c r="E401" s="189" t="e">
        <f>IF(F401=1,"Domingo",IF(F401=2,"Lunes",IF(F401=3,"Martes",IF(F401=4,"Miercoles",IF(F401=5,"Jueves",IF(F401=6,"Viernes",IF(F401=7,"Sábado",0)))))))</f>
        <v>#REF!</v>
      </c>
      <c r="F401" s="190" t="e">
        <f>WEEKDAY(D401)</f>
        <v>#REF!</v>
      </c>
      <c r="G401" s="142"/>
      <c r="H401" s="111"/>
    </row>
    <row r="402" spans="1:8" ht="15.75">
      <c r="A402" s="80"/>
      <c r="B402" s="81"/>
      <c r="C402" s="81" t="s">
        <v>147</v>
      </c>
      <c r="D402" s="145" t="e">
        <f>DMAX('17_1'!A$36:L$70,'17_1'!$L$36,G395:G396)</f>
        <v>#REF!</v>
      </c>
      <c r="E402" s="189" t="e">
        <f>IF(F402=1,"Domingo",IF(F402=2,"Lunes",IF(F402=3,"Martes",IF(F402=4,"Miercoles",IF(F402=5,"Jueves",IF(F402=6,"Viernes",IF(F402=7,"Sábado",0)))))))</f>
        <v>#REF!</v>
      </c>
      <c r="F402" s="190" t="e">
        <f>WEEKDAY(D402)</f>
        <v>#REF!</v>
      </c>
      <c r="G402" s="142"/>
      <c r="H402" s="111"/>
    </row>
    <row r="403" spans="1:8">
      <c r="A403" s="80"/>
      <c r="B403" s="81"/>
      <c r="C403" s="81"/>
      <c r="D403" s="81"/>
      <c r="E403" s="81"/>
      <c r="F403" s="584"/>
      <c r="G403" s="584"/>
      <c r="H403" s="111"/>
    </row>
    <row r="404" spans="1:8">
      <c r="A404" s="80"/>
      <c r="B404" s="146">
        <f>+Mensajes!$B$7</f>
        <v>0</v>
      </c>
      <c r="C404" s="81"/>
      <c r="D404" s="81"/>
      <c r="E404" s="81"/>
      <c r="F404" s="81"/>
      <c r="G404" s="81"/>
      <c r="H404" s="111"/>
    </row>
    <row r="405" spans="1:8">
      <c r="A405" s="80"/>
      <c r="B405" s="146">
        <f>+Mensajes!$B$12</f>
        <v>0</v>
      </c>
      <c r="C405" s="81"/>
      <c r="D405" s="81"/>
      <c r="E405" s="81"/>
      <c r="F405" s="81"/>
      <c r="G405" s="81"/>
      <c r="H405" s="111"/>
    </row>
    <row r="406" spans="1:8">
      <c r="A406" s="80"/>
      <c r="B406" s="146" t="str">
        <f>IF(VLOOKUP(G396,'17_1'!$A$37:$N$70,14,0)=0,"",VLOOKUP(G396,'17_1'!$A$37:$N$70,14,0))</f>
        <v/>
      </c>
      <c r="C406" s="81"/>
      <c r="D406" s="81"/>
      <c r="E406" s="81"/>
      <c r="F406" s="81"/>
      <c r="G406" s="81"/>
      <c r="H406" s="111"/>
    </row>
    <row r="407" spans="1:8">
      <c r="A407" s="140"/>
      <c r="B407" s="188" t="e">
        <f>IF(DSUM('17_1'!$A$36:$Q$70,17,G395:G396)=COUNTIF('17_1'!$A$37:$A$70,G396),"","Regularice su Deuda")</f>
        <v>#N/A</v>
      </c>
      <c r="C407" s="82"/>
      <c r="D407" s="82"/>
      <c r="E407" s="82"/>
      <c r="F407" s="82"/>
      <c r="G407" s="82"/>
      <c r="H407" s="83"/>
    </row>
    <row r="409" spans="1:8">
      <c r="A409" s="108"/>
      <c r="B409" s="109"/>
      <c r="C409" s="109"/>
      <c r="D409" s="109"/>
      <c r="E409" s="109"/>
      <c r="F409" s="109"/>
      <c r="G409" s="109"/>
      <c r="H409" s="110"/>
    </row>
    <row r="410" spans="1:8">
      <c r="A410" s="80"/>
      <c r="B410" s="147" t="s">
        <v>64</v>
      </c>
      <c r="C410" s="81"/>
      <c r="D410" s="81"/>
      <c r="E410" s="81"/>
      <c r="F410" s="81"/>
      <c r="G410" s="81"/>
      <c r="H410" s="111"/>
    </row>
    <row r="411" spans="1:8">
      <c r="A411" s="80"/>
      <c r="B411" s="81"/>
      <c r="C411" s="81"/>
      <c r="D411" s="81"/>
      <c r="E411" s="81"/>
      <c r="F411" s="81"/>
      <c r="G411" s="81"/>
      <c r="H411" s="111"/>
    </row>
    <row r="412" spans="1:8">
      <c r="A412" s="80"/>
      <c r="B412" s="81" t="s">
        <v>139</v>
      </c>
      <c r="C412" s="81" t="str">
        <f>VLOOKUP(G413,'17_1'!$A$37:$G$70,6,0)</f>
        <v>CIPPOLLETTA DE TOMERA, ROSA</v>
      </c>
      <c r="D412" s="81"/>
      <c r="E412" s="81"/>
      <c r="F412" s="81"/>
      <c r="G412" s="138" t="s">
        <v>102</v>
      </c>
      <c r="H412" s="111"/>
    </row>
    <row r="413" spans="1:8">
      <c r="A413" s="80"/>
      <c r="B413" s="81" t="s">
        <v>72</v>
      </c>
      <c r="C413" s="81" t="str">
        <f>+'17_1'!$A$24</f>
        <v>Hijuela Gelvez - DIRECTOS</v>
      </c>
      <c r="D413" s="81"/>
      <c r="E413" s="81"/>
      <c r="F413" s="81"/>
      <c r="G413" s="138">
        <v>25</v>
      </c>
      <c r="H413" s="111"/>
    </row>
    <row r="414" spans="1:8">
      <c r="A414" s="80"/>
      <c r="B414" s="81"/>
      <c r="C414" s="81"/>
      <c r="D414" s="81"/>
      <c r="E414" s="81"/>
      <c r="F414" s="81"/>
      <c r="G414" s="81"/>
      <c r="H414" s="111"/>
    </row>
    <row r="415" spans="1:8">
      <c r="A415" s="80"/>
      <c r="B415" s="81" t="s">
        <v>140</v>
      </c>
      <c r="C415" s="138">
        <f>VLOOKUP(G413,'17_1'!$A$37:$B$70,2,0)</f>
        <v>1213</v>
      </c>
      <c r="D415" s="81"/>
      <c r="E415" s="139" t="s">
        <v>141</v>
      </c>
      <c r="F415" s="141" t="e">
        <f>DSUM('17_1'!A$36:J$70,'17_1'!$J$36,G412:G413)</f>
        <v>#N/A</v>
      </c>
      <c r="G415" s="81"/>
      <c r="H415" s="111"/>
    </row>
    <row r="416" spans="1:8">
      <c r="A416" s="80"/>
      <c r="B416" s="81" t="s">
        <v>142</v>
      </c>
      <c r="C416" s="205" t="s">
        <v>542</v>
      </c>
      <c r="D416" s="81"/>
      <c r="E416" s="81"/>
      <c r="F416" s="81"/>
      <c r="G416" s="81"/>
      <c r="H416" s="111"/>
    </row>
    <row r="417" spans="1:8">
      <c r="A417" s="80"/>
      <c r="B417" s="81" t="s">
        <v>144</v>
      </c>
      <c r="C417" s="206">
        <f>DSUM('17_1'!$A$36:$H$70,'17_1'!$H$36,G412:G413)</f>
        <v>3.5628000000000002</v>
      </c>
      <c r="D417" s="81"/>
      <c r="E417" s="81"/>
      <c r="F417" s="584"/>
      <c r="G417" s="584"/>
      <c r="H417" s="111"/>
    </row>
    <row r="418" spans="1:8" ht="15.75">
      <c r="A418" s="80"/>
      <c r="B418" s="81"/>
      <c r="C418" s="81" t="s">
        <v>146</v>
      </c>
      <c r="D418" s="145" t="e">
        <f>DMIN('17_1'!A$36:K$70,'17_1'!$K$36,G412:G413)</f>
        <v>#REF!</v>
      </c>
      <c r="E418" s="189" t="e">
        <f>IF(F418=1,"Domingo",IF(F418=2,"Lunes",IF(F418=3,"Martes",IF(F418=4,"Miercoles",IF(F418=5,"Jueves",IF(F418=6,"Viernes",IF(F418=7,"Sábado",0)))))))</f>
        <v>#REF!</v>
      </c>
      <c r="F418" s="190" t="e">
        <f>WEEKDAY(D418)</f>
        <v>#REF!</v>
      </c>
      <c r="G418" s="142"/>
      <c r="H418" s="111"/>
    </row>
    <row r="419" spans="1:8" ht="15.75">
      <c r="A419" s="80"/>
      <c r="B419" s="81"/>
      <c r="C419" s="81" t="s">
        <v>147</v>
      </c>
      <c r="D419" s="145" t="e">
        <f>DMAX('17_1'!A$36:L$70,'17_1'!$L$36,G412:G413)</f>
        <v>#REF!</v>
      </c>
      <c r="E419" s="189" t="e">
        <f>IF(F419=1,"Domingo",IF(F419=2,"Lunes",IF(F419=3,"Martes",IF(F419=4,"Miercoles",IF(F419=5,"Jueves",IF(F419=6,"Viernes",IF(F419=7,"Sábado",0)))))))</f>
        <v>#REF!</v>
      </c>
      <c r="F419" s="190" t="e">
        <f>WEEKDAY(D419)</f>
        <v>#REF!</v>
      </c>
      <c r="G419" s="142"/>
      <c r="H419" s="111"/>
    </row>
    <row r="420" spans="1:8">
      <c r="A420" s="80"/>
      <c r="B420" s="81"/>
      <c r="C420" s="81"/>
      <c r="D420" s="81"/>
      <c r="E420" s="81"/>
      <c r="F420" s="584"/>
      <c r="G420" s="584"/>
      <c r="H420" s="111"/>
    </row>
    <row r="421" spans="1:8">
      <c r="A421" s="80"/>
      <c r="B421" s="146">
        <f>+Mensajes!$B$7</f>
        <v>0</v>
      </c>
      <c r="C421" s="81"/>
      <c r="D421" s="81"/>
      <c r="E421" s="81"/>
      <c r="F421" s="81"/>
      <c r="G421" s="81"/>
      <c r="H421" s="111"/>
    </row>
    <row r="422" spans="1:8">
      <c r="A422" s="80"/>
      <c r="B422" s="146">
        <f>+Mensajes!$B$12</f>
        <v>0</v>
      </c>
      <c r="C422" s="81"/>
      <c r="D422" s="81"/>
      <c r="E422" s="81"/>
      <c r="F422" s="81"/>
      <c r="G422" s="81"/>
      <c r="H422" s="111"/>
    </row>
    <row r="423" spans="1:8">
      <c r="A423" s="80"/>
      <c r="B423" s="146" t="str">
        <f>IF(VLOOKUP(G413,'17_1'!$A$37:$N$70,14,0)=0,"",VLOOKUP(G413,'17_1'!$A$37:$N$70,14,0))</f>
        <v/>
      </c>
      <c r="C423" s="81"/>
      <c r="D423" s="81"/>
      <c r="E423" s="81"/>
      <c r="F423" s="81"/>
      <c r="G423" s="81"/>
      <c r="H423" s="111"/>
    </row>
    <row r="424" spans="1:8">
      <c r="A424" s="140"/>
      <c r="B424" s="188" t="str">
        <f>IF(DSUM('17_1'!$A$36:$Q$70,17,G412:G413)=COUNTIF('17_1'!$A$37:$A$70,G413),"","Regularice su Deuda")</f>
        <v>Regularice su Deuda</v>
      </c>
      <c r="C424" s="82"/>
      <c r="D424" s="82"/>
      <c r="E424" s="82"/>
      <c r="F424" s="82"/>
      <c r="G424" s="82"/>
      <c r="H424" s="83"/>
    </row>
    <row r="426" spans="1:8">
      <c r="A426" s="108"/>
      <c r="B426" s="109"/>
      <c r="C426" s="109"/>
      <c r="D426" s="109"/>
      <c r="E426" s="109"/>
      <c r="F426" s="109"/>
      <c r="G426" s="109"/>
      <c r="H426" s="110"/>
    </row>
    <row r="427" spans="1:8">
      <c r="A427" s="80"/>
      <c r="B427" s="147" t="s">
        <v>64</v>
      </c>
      <c r="C427" s="81"/>
      <c r="D427" s="81"/>
      <c r="E427" s="81"/>
      <c r="F427" s="81"/>
      <c r="G427" s="81"/>
      <c r="H427" s="111"/>
    </row>
    <row r="428" spans="1:8">
      <c r="A428" s="80"/>
      <c r="B428" s="81"/>
      <c r="C428" s="81"/>
      <c r="D428" s="81"/>
      <c r="E428" s="81"/>
      <c r="F428" s="81"/>
      <c r="G428" s="81"/>
      <c r="H428" s="111"/>
    </row>
    <row r="429" spans="1:8">
      <c r="A429" s="80"/>
      <c r="B429" s="81" t="s">
        <v>139</v>
      </c>
      <c r="C429" s="81" t="str">
        <f>VLOOKUP(G430,'17_1'!$A$37:$G$70,6,0)</f>
        <v>CICHINELLI, RAFAEL ALBINO</v>
      </c>
      <c r="D429" s="81"/>
      <c r="E429" s="81"/>
      <c r="F429" s="81"/>
      <c r="G429" s="138" t="s">
        <v>102</v>
      </c>
      <c r="H429" s="111"/>
    </row>
    <row r="430" spans="1:8">
      <c r="A430" s="80"/>
      <c r="B430" s="81" t="s">
        <v>72</v>
      </c>
      <c r="C430" s="81" t="str">
        <f>+'17_1'!$A$24</f>
        <v>Hijuela Gelvez - DIRECTOS</v>
      </c>
      <c r="D430" s="81"/>
      <c r="E430" s="81"/>
      <c r="F430" s="81"/>
      <c r="G430" s="138">
        <v>26</v>
      </c>
      <c r="H430" s="111"/>
    </row>
    <row r="431" spans="1:8">
      <c r="A431" s="80"/>
      <c r="B431" s="81"/>
      <c r="C431" s="81"/>
      <c r="D431" s="81"/>
      <c r="E431" s="81"/>
      <c r="F431" s="81"/>
      <c r="G431" s="81"/>
      <c r="H431" s="111"/>
    </row>
    <row r="432" spans="1:8">
      <c r="A432" s="80"/>
      <c r="B432" s="81" t="s">
        <v>140</v>
      </c>
      <c r="C432" s="138">
        <f>VLOOKUP(G430,'17_1'!$A$37:$B$70,2,0)</f>
        <v>1213</v>
      </c>
      <c r="D432" s="81"/>
      <c r="E432" s="139" t="s">
        <v>141</v>
      </c>
      <c r="F432" s="141" t="e">
        <f>DSUM('17_1'!A$36:J$70,'17_1'!$J$36,G429:G430)</f>
        <v>#N/A</v>
      </c>
      <c r="G432" s="81"/>
      <c r="H432" s="111"/>
    </row>
    <row r="433" spans="1:8">
      <c r="A433" s="80"/>
      <c r="B433" s="81" t="s">
        <v>142</v>
      </c>
      <c r="C433" s="205">
        <v>322</v>
      </c>
      <c r="D433" s="81"/>
      <c r="E433" s="81"/>
      <c r="F433" s="81"/>
      <c r="G433" s="81"/>
      <c r="H433" s="111"/>
    </row>
    <row r="434" spans="1:8">
      <c r="A434" s="80"/>
      <c r="B434" s="81" t="s">
        <v>144</v>
      </c>
      <c r="C434" s="206">
        <f>DSUM('17_1'!$A$36:$H$70,'17_1'!$H$36,G429:G430)</f>
        <v>0</v>
      </c>
      <c r="D434" s="81"/>
      <c r="E434" s="81"/>
      <c r="F434" s="584"/>
      <c r="G434" s="584"/>
      <c r="H434" s="111"/>
    </row>
    <row r="435" spans="1:8" ht="15.75">
      <c r="A435" s="80"/>
      <c r="B435" s="81"/>
      <c r="C435" s="81" t="s">
        <v>146</v>
      </c>
      <c r="D435" s="145" t="e">
        <f>DMIN('17_1'!A$36:K$70,'17_1'!$K$36,G429:G430)</f>
        <v>#REF!</v>
      </c>
      <c r="E435" s="189" t="e">
        <f>IF(F435=1,"Domingo",IF(F435=2,"Lunes",IF(F435=3,"Martes",IF(F435=4,"Miercoles",IF(F435=5,"Jueves",IF(F435=6,"Viernes",IF(F435=7,"Sábado",0)))))))</f>
        <v>#REF!</v>
      </c>
      <c r="F435" s="190" t="e">
        <f>WEEKDAY(D435)</f>
        <v>#REF!</v>
      </c>
      <c r="G435" s="142"/>
      <c r="H435" s="111"/>
    </row>
    <row r="436" spans="1:8" ht="15.75">
      <c r="A436" s="80"/>
      <c r="B436" s="81"/>
      <c r="C436" s="81" t="s">
        <v>147</v>
      </c>
      <c r="D436" s="145" t="e">
        <f>DMAX('17_1'!A$36:L$70,'17_1'!$L$36,G429:G430)</f>
        <v>#REF!</v>
      </c>
      <c r="E436" s="189" t="e">
        <f>IF(F436=1,"Domingo",IF(F436=2,"Lunes",IF(F436=3,"Martes",IF(F436=4,"Miercoles",IF(F436=5,"Jueves",IF(F436=6,"Viernes",IF(F436=7,"Sábado",0)))))))</f>
        <v>#REF!</v>
      </c>
      <c r="F436" s="190" t="e">
        <f>WEEKDAY(D436)</f>
        <v>#REF!</v>
      </c>
      <c r="G436" s="142"/>
      <c r="H436" s="111"/>
    </row>
    <row r="437" spans="1:8">
      <c r="A437" s="80"/>
      <c r="B437" s="81"/>
      <c r="C437" s="81"/>
      <c r="D437" s="81"/>
      <c r="E437" s="81"/>
      <c r="F437" s="584"/>
      <c r="G437" s="584"/>
      <c r="H437" s="111"/>
    </row>
    <row r="438" spans="1:8">
      <c r="A438" s="80"/>
      <c r="B438" s="146">
        <f>+Mensajes!$B$7</f>
        <v>0</v>
      </c>
      <c r="C438" s="81"/>
      <c r="D438" s="81"/>
      <c r="E438" s="81"/>
      <c r="F438" s="81"/>
      <c r="G438" s="81"/>
      <c r="H438" s="111"/>
    </row>
    <row r="439" spans="1:8">
      <c r="A439" s="80"/>
      <c r="B439" s="146">
        <f>+Mensajes!$B$12</f>
        <v>0</v>
      </c>
      <c r="C439" s="81"/>
      <c r="D439" s="81"/>
      <c r="E439" s="81"/>
      <c r="F439" s="81"/>
      <c r="G439" s="81"/>
      <c r="H439" s="111"/>
    </row>
    <row r="440" spans="1:8">
      <c r="A440" s="80"/>
      <c r="B440" s="146" t="str">
        <f>IF(VLOOKUP(G430,'17_1'!$A$37:$N$70,14,0)=0,"",VLOOKUP(G430,'17_1'!$A$37:$N$70,14,0))</f>
        <v/>
      </c>
      <c r="C440" s="81"/>
      <c r="D440" s="81"/>
      <c r="E440" s="81"/>
      <c r="F440" s="81"/>
      <c r="G440" s="81"/>
      <c r="H440" s="111"/>
    </row>
    <row r="441" spans="1:8">
      <c r="A441" s="140"/>
      <c r="B441" s="188" t="str">
        <f>IF(DSUM('17_1'!$A$36:$Q$70,17,G429:G430)=COUNTIF('17_1'!$A$37:$A$70,G430),"","Regularice su Deuda")</f>
        <v>Regularice su Deuda</v>
      </c>
      <c r="C441" s="82"/>
      <c r="D441" s="82"/>
      <c r="E441" s="82"/>
      <c r="F441" s="82"/>
      <c r="G441" s="82"/>
      <c r="H441" s="83"/>
    </row>
    <row r="443" spans="1:8">
      <c r="A443" s="108"/>
      <c r="B443" s="109"/>
      <c r="C443" s="109"/>
      <c r="D443" s="109"/>
      <c r="E443" s="109"/>
      <c r="F443" s="109"/>
      <c r="G443" s="109"/>
      <c r="H443" s="110"/>
    </row>
    <row r="444" spans="1:8">
      <c r="A444" s="80"/>
      <c r="B444" s="147" t="s">
        <v>64</v>
      </c>
      <c r="C444" s="81"/>
      <c r="D444" s="81"/>
      <c r="E444" s="81"/>
      <c r="F444" s="81"/>
      <c r="G444" s="81"/>
      <c r="H444" s="111"/>
    </row>
    <row r="445" spans="1:8">
      <c r="A445" s="80"/>
      <c r="B445" s="81"/>
      <c r="C445" s="81"/>
      <c r="D445" s="81"/>
      <c r="E445" s="81"/>
      <c r="F445" s="81"/>
      <c r="G445" s="81"/>
      <c r="H445" s="111"/>
    </row>
    <row r="446" spans="1:8">
      <c r="A446" s="80"/>
      <c r="B446" s="81" t="s">
        <v>139</v>
      </c>
      <c r="C446" s="81" t="str">
        <f>VLOOKUP(G447,'17_1'!$A$85:$G$123,6,0)</f>
        <v>GELVEZ, ARNULFO</v>
      </c>
      <c r="D446" s="81"/>
      <c r="E446" s="81"/>
      <c r="F446" s="81"/>
      <c r="G446" s="138" t="s">
        <v>102</v>
      </c>
      <c r="H446" s="111"/>
    </row>
    <row r="447" spans="1:8">
      <c r="A447" s="80"/>
      <c r="B447" s="81" t="s">
        <v>72</v>
      </c>
      <c r="C447" s="81" t="str">
        <f>+'17_1'!$A$75</f>
        <v>Hijuela Gelvez - CUBELLS</v>
      </c>
      <c r="D447" s="81"/>
      <c r="E447" s="81"/>
      <c r="F447" s="81"/>
      <c r="G447" s="138">
        <v>1</v>
      </c>
      <c r="H447" s="111"/>
    </row>
    <row r="448" spans="1:8">
      <c r="A448" s="80"/>
      <c r="B448" s="81"/>
      <c r="C448" s="81"/>
      <c r="D448" s="81"/>
      <c r="E448" s="81"/>
      <c r="F448" s="81"/>
      <c r="G448" s="81"/>
      <c r="H448" s="111"/>
    </row>
    <row r="449" spans="1:8">
      <c r="A449" s="80"/>
      <c r="B449" s="81" t="s">
        <v>140</v>
      </c>
      <c r="C449" s="138">
        <f>VLOOKUP(G447,'17_1'!$A$85:$B$123,2,0)</f>
        <v>1213</v>
      </c>
      <c r="D449" s="81"/>
      <c r="E449" s="139" t="s">
        <v>141</v>
      </c>
      <c r="F449" s="141" t="e">
        <f>DSUM('17_1'!A$85:J$123,'17_1'!$J$85,G446:G447)</f>
        <v>#N/A</v>
      </c>
      <c r="G449" s="81"/>
      <c r="H449" s="111"/>
    </row>
    <row r="450" spans="1:8">
      <c r="A450" s="80"/>
      <c r="B450" s="81" t="s">
        <v>142</v>
      </c>
      <c r="C450" s="205">
        <v>76</v>
      </c>
      <c r="D450" s="81"/>
      <c r="E450" s="81"/>
      <c r="F450" s="81"/>
      <c r="G450" s="81"/>
      <c r="H450" s="111"/>
    </row>
    <row r="451" spans="1:8">
      <c r="A451" s="80"/>
      <c r="B451" s="81" t="s">
        <v>144</v>
      </c>
      <c r="C451" s="206">
        <f>DSUM('17_1'!$A$85:$H$123,'17_1'!$H$85,G446:G447)</f>
        <v>2.6511999999999998</v>
      </c>
      <c r="D451" s="81"/>
      <c r="E451" s="81"/>
      <c r="F451" s="584"/>
      <c r="G451" s="584"/>
      <c r="H451" s="111"/>
    </row>
    <row r="452" spans="1:8" ht="15.75">
      <c r="A452" s="80"/>
      <c r="B452" s="81"/>
      <c r="C452" s="81" t="s">
        <v>146</v>
      </c>
      <c r="D452" s="145" t="e">
        <f>DMIN('17_1'!A$85:K$123,'17_1'!$K$85,G446:G447)</f>
        <v>#REF!</v>
      </c>
      <c r="E452" s="189" t="e">
        <f>IF(F452=1,"Domingo",IF(F452=2,"Lunes",IF(F452=3,"Martes",IF(F452=4,"Miercoles",IF(F452=5,"Jueves",IF(F452=6,"Viernes",IF(F452=7,"Sábado",0)))))))</f>
        <v>#REF!</v>
      </c>
      <c r="F452" s="190" t="e">
        <f>WEEKDAY(D452)</f>
        <v>#REF!</v>
      </c>
      <c r="G452" s="142"/>
      <c r="H452" s="111"/>
    </row>
    <row r="453" spans="1:8" ht="15.75">
      <c r="A453" s="80"/>
      <c r="B453" s="81"/>
      <c r="C453" s="81" t="s">
        <v>147</v>
      </c>
      <c r="D453" s="145" t="e">
        <f>DMAX('17_1'!A$85:L$123,'17_1'!$L$85,G446:G447)</f>
        <v>#REF!</v>
      </c>
      <c r="E453" s="189" t="e">
        <f>IF(F453=1,"Domingo",IF(F453=2,"Lunes",IF(F453=3,"Martes",IF(F453=4,"Miercoles",IF(F453=5,"Jueves",IF(F453=6,"Viernes",IF(F453=7,"Sábado",0)))))))</f>
        <v>#REF!</v>
      </c>
      <c r="F453" s="190" t="e">
        <f>WEEKDAY(D453)</f>
        <v>#REF!</v>
      </c>
      <c r="G453" s="142"/>
      <c r="H453" s="111"/>
    </row>
    <row r="454" spans="1:8">
      <c r="A454" s="80"/>
      <c r="B454" s="81"/>
      <c r="C454" s="81"/>
      <c r="D454" s="81"/>
      <c r="E454" s="81"/>
      <c r="F454" s="584"/>
      <c r="G454" s="584"/>
      <c r="H454" s="111"/>
    </row>
    <row r="455" spans="1:8">
      <c r="A455" s="80"/>
      <c r="B455" s="146">
        <f>+Mensajes!$B$7</f>
        <v>0</v>
      </c>
      <c r="C455" s="81"/>
      <c r="D455" s="81"/>
      <c r="E455" s="81"/>
      <c r="F455" s="81"/>
      <c r="G455" s="81"/>
      <c r="H455" s="111"/>
    </row>
    <row r="456" spans="1:8">
      <c r="A456" s="80"/>
      <c r="B456" s="146">
        <f>+Mensajes!$B$12</f>
        <v>0</v>
      </c>
      <c r="C456" s="81"/>
      <c r="D456" s="81"/>
      <c r="E456" s="81"/>
      <c r="F456" s="81"/>
      <c r="G456" s="81"/>
      <c r="H456" s="111"/>
    </row>
    <row r="457" spans="1:8">
      <c r="A457" s="80"/>
      <c r="B457" s="146" t="str">
        <f>IF(VLOOKUP(G447,'17_1'!$A$85:$N$123,14,0)=0,"",VLOOKUP(G447,'17_1'!$A$85:$N$123,14,0))</f>
        <v/>
      </c>
      <c r="C457" s="81"/>
      <c r="D457" s="81"/>
      <c r="E457" s="81"/>
      <c r="F457" s="81"/>
      <c r="G457" s="81"/>
      <c r="H457" s="111"/>
    </row>
    <row r="458" spans="1:8">
      <c r="A458" s="140"/>
      <c r="B458" s="188" t="str">
        <f>IF(DSUM('17_1'!$A$85:$Q$123,17,G446:G447)=COUNTIF('17_1'!$A$85:$A$123,G447),"","Regularice su Deuda")</f>
        <v/>
      </c>
      <c r="C458" s="82"/>
      <c r="D458" s="82"/>
      <c r="E458" s="82"/>
      <c r="F458" s="82"/>
      <c r="G458" s="82"/>
      <c r="H458" s="83"/>
    </row>
    <row r="460" spans="1:8">
      <c r="A460" s="108"/>
      <c r="B460" s="109"/>
      <c r="C460" s="109"/>
      <c r="D460" s="109"/>
      <c r="E460" s="109"/>
      <c r="F460" s="109"/>
      <c r="G460" s="109"/>
      <c r="H460" s="110"/>
    </row>
    <row r="461" spans="1:8">
      <c r="A461" s="80"/>
      <c r="B461" s="147" t="s">
        <v>64</v>
      </c>
      <c r="C461" s="81"/>
      <c r="D461" s="81"/>
      <c r="E461" s="81"/>
      <c r="F461" s="81"/>
      <c r="G461" s="81"/>
      <c r="H461" s="111"/>
    </row>
    <row r="462" spans="1:8">
      <c r="A462" s="80"/>
      <c r="B462" s="81"/>
      <c r="C462" s="81"/>
      <c r="D462" s="81"/>
      <c r="E462" s="81"/>
      <c r="F462" s="81"/>
      <c r="G462" s="81"/>
      <c r="H462" s="111"/>
    </row>
    <row r="463" spans="1:8">
      <c r="A463" s="80"/>
      <c r="B463" s="81" t="s">
        <v>139</v>
      </c>
      <c r="C463" s="81" t="str">
        <f>VLOOKUP(G464,'17_1'!$A$85:$G$123,6,0)</f>
        <v>ROSSI, ANACLETO</v>
      </c>
      <c r="D463" s="81"/>
      <c r="E463" s="81"/>
      <c r="F463" s="81"/>
      <c r="G463" s="138" t="s">
        <v>102</v>
      </c>
      <c r="H463" s="111"/>
    </row>
    <row r="464" spans="1:8">
      <c r="A464" s="80"/>
      <c r="B464" s="81" t="s">
        <v>72</v>
      </c>
      <c r="C464" s="81" t="str">
        <f>+'17_1'!$A$75</f>
        <v>Hijuela Gelvez - CUBELLS</v>
      </c>
      <c r="D464" s="81"/>
      <c r="E464" s="81"/>
      <c r="F464" s="81"/>
      <c r="G464" s="138">
        <v>2</v>
      </c>
      <c r="H464" s="111"/>
    </row>
    <row r="465" spans="1:8">
      <c r="A465" s="80"/>
      <c r="B465" s="81"/>
      <c r="C465" s="81"/>
      <c r="D465" s="81"/>
      <c r="E465" s="81"/>
      <c r="F465" s="81"/>
      <c r="G465" s="81"/>
      <c r="H465" s="111"/>
    </row>
    <row r="466" spans="1:8">
      <c r="A466" s="80"/>
      <c r="B466" s="81" t="s">
        <v>140</v>
      </c>
      <c r="C466" s="138">
        <f>VLOOKUP(G464,'17_1'!$A$85:$B$123,2,0)</f>
        <v>1213</v>
      </c>
      <c r="D466" s="81"/>
      <c r="E466" s="139" t="s">
        <v>141</v>
      </c>
      <c r="F466" s="141" t="e">
        <f>DSUM('17_1'!A$85:J$123,'17_1'!$J$85,G463:G464)</f>
        <v>#N/A</v>
      </c>
      <c r="G466" s="81"/>
      <c r="H466" s="111"/>
    </row>
    <row r="467" spans="1:8">
      <c r="A467" s="80"/>
      <c r="B467" s="81" t="s">
        <v>142</v>
      </c>
      <c r="C467" s="205" t="s">
        <v>543</v>
      </c>
      <c r="D467" s="81"/>
      <c r="E467" s="81"/>
      <c r="F467" s="81"/>
      <c r="G467" s="81"/>
      <c r="H467" s="111"/>
    </row>
    <row r="468" spans="1:8">
      <c r="A468" s="80"/>
      <c r="B468" s="81" t="s">
        <v>144</v>
      </c>
      <c r="C468" s="206">
        <f>DSUM('17_1'!$A$85:$H$123,'17_1'!$H$85,G463:G464)</f>
        <v>11.285500000000001</v>
      </c>
      <c r="D468" s="81"/>
      <c r="E468" s="81"/>
      <c r="F468" s="584"/>
      <c r="G468" s="584"/>
      <c r="H468" s="111"/>
    </row>
    <row r="469" spans="1:8" ht="15.75">
      <c r="A469" s="80"/>
      <c r="B469" s="81"/>
      <c r="C469" s="81" t="s">
        <v>146</v>
      </c>
      <c r="D469" s="145" t="e">
        <f>DMIN('17_1'!A$85:K$123,'17_1'!$K$85,G463:G464)</f>
        <v>#REF!</v>
      </c>
      <c r="E469" s="189" t="e">
        <f>IF(F469=1,"Domingo",IF(F469=2,"Lunes",IF(F469=3,"Martes",IF(F469=4,"Miercoles",IF(F469=5,"Jueves",IF(F469=6,"Viernes",IF(F469=7,"Sábado",0)))))))</f>
        <v>#REF!</v>
      </c>
      <c r="F469" s="190" t="e">
        <f>WEEKDAY(D469)</f>
        <v>#REF!</v>
      </c>
      <c r="G469" s="142"/>
      <c r="H469" s="111"/>
    </row>
    <row r="470" spans="1:8" ht="15.75">
      <c r="A470" s="80"/>
      <c r="B470" s="81"/>
      <c r="C470" s="81" t="s">
        <v>147</v>
      </c>
      <c r="D470" s="145" t="e">
        <f>DMAX('17_1'!A$85:L$123,'17_1'!$L$85,G463:G464)</f>
        <v>#REF!</v>
      </c>
      <c r="E470" s="189" t="e">
        <f>IF(F470=1,"Domingo",IF(F470=2,"Lunes",IF(F470=3,"Martes",IF(F470=4,"Miercoles",IF(F470=5,"Jueves",IF(F470=6,"Viernes",IF(F470=7,"Sábado",0)))))))</f>
        <v>#REF!</v>
      </c>
      <c r="F470" s="190" t="e">
        <f>WEEKDAY(D470)</f>
        <v>#REF!</v>
      </c>
      <c r="G470" s="142"/>
      <c r="H470" s="111"/>
    </row>
    <row r="471" spans="1:8">
      <c r="A471" s="80"/>
      <c r="B471" s="81"/>
      <c r="C471" s="81"/>
      <c r="D471" s="81"/>
      <c r="E471" s="81"/>
      <c r="F471" s="584"/>
      <c r="G471" s="584"/>
      <c r="H471" s="111"/>
    </row>
    <row r="472" spans="1:8">
      <c r="A472" s="80"/>
      <c r="B472" s="146">
        <f>+Mensajes!$B$7</f>
        <v>0</v>
      </c>
      <c r="C472" s="81"/>
      <c r="D472" s="81"/>
      <c r="E472" s="81"/>
      <c r="F472" s="81"/>
      <c r="G472" s="81"/>
      <c r="H472" s="111"/>
    </row>
    <row r="473" spans="1:8">
      <c r="A473" s="80"/>
      <c r="B473" s="146">
        <f>+Mensajes!$B$12</f>
        <v>0</v>
      </c>
      <c r="C473" s="81"/>
      <c r="D473" s="81"/>
      <c r="E473" s="81"/>
      <c r="F473" s="81"/>
      <c r="G473" s="81"/>
      <c r="H473" s="111"/>
    </row>
    <row r="474" spans="1:8">
      <c r="A474" s="80"/>
      <c r="B474" s="146" t="str">
        <f>IF(VLOOKUP(G464,'17_1'!$A$85:$N$123,14,0)=0,"",VLOOKUP(G464,'17_1'!$A$85:$N$123,14,0))</f>
        <v/>
      </c>
      <c r="C474" s="81"/>
      <c r="D474" s="81"/>
      <c r="E474" s="81"/>
      <c r="F474" s="81"/>
      <c r="G474" s="81"/>
      <c r="H474" s="111"/>
    </row>
    <row r="475" spans="1:8">
      <c r="A475" s="140"/>
      <c r="B475" s="188" t="str">
        <f>IF(DSUM('17_1'!$A$85:$Q$123,17,G463:G464)=COUNTIF('17_1'!$A$85:$A$123,G464),"","Regularice su Deuda")</f>
        <v/>
      </c>
      <c r="C475" s="82"/>
      <c r="D475" s="82"/>
      <c r="E475" s="82"/>
      <c r="F475" s="82"/>
      <c r="G475" s="82"/>
      <c r="H475" s="83"/>
    </row>
    <row r="477" spans="1:8">
      <c r="A477" s="108"/>
      <c r="B477" s="109"/>
      <c r="C477" s="109"/>
      <c r="D477" s="109"/>
      <c r="E477" s="109"/>
      <c r="F477" s="109"/>
      <c r="G477" s="109"/>
      <c r="H477" s="110"/>
    </row>
    <row r="478" spans="1:8">
      <c r="A478" s="80"/>
      <c r="B478" s="147" t="s">
        <v>64</v>
      </c>
      <c r="C478" s="81"/>
      <c r="D478" s="81"/>
      <c r="E478" s="81"/>
      <c r="F478" s="81"/>
      <c r="G478" s="81"/>
      <c r="H478" s="111"/>
    </row>
    <row r="479" spans="1:8">
      <c r="A479" s="80"/>
      <c r="B479" s="81"/>
      <c r="C479" s="81"/>
      <c r="D479" s="81"/>
      <c r="E479" s="81"/>
      <c r="F479" s="81"/>
      <c r="G479" s="81"/>
      <c r="H479" s="111"/>
    </row>
    <row r="480" spans="1:8">
      <c r="A480" s="80"/>
      <c r="B480" s="81" t="s">
        <v>139</v>
      </c>
      <c r="C480" s="81" t="str">
        <f>VLOOKUP(G481,'17_1'!$A$85:$G$123,6,0)</f>
        <v>MARTINO, ESTEBAN</v>
      </c>
      <c r="D480" s="81"/>
      <c r="E480" s="81"/>
      <c r="F480" s="81"/>
      <c r="G480" s="138" t="s">
        <v>102</v>
      </c>
      <c r="H480" s="111"/>
    </row>
    <row r="481" spans="1:8">
      <c r="A481" s="80"/>
      <c r="B481" s="81" t="s">
        <v>72</v>
      </c>
      <c r="C481" s="81" t="str">
        <f>+'17_1'!$A$75</f>
        <v>Hijuela Gelvez - CUBELLS</v>
      </c>
      <c r="D481" s="81"/>
      <c r="E481" s="81"/>
      <c r="F481" s="81"/>
      <c r="G481" s="138">
        <v>3</v>
      </c>
      <c r="H481" s="111"/>
    </row>
    <row r="482" spans="1:8">
      <c r="A482" s="80"/>
      <c r="B482" s="81"/>
      <c r="C482" s="81"/>
      <c r="D482" s="81"/>
      <c r="E482" s="81"/>
      <c r="F482" s="81"/>
      <c r="G482" s="81"/>
      <c r="H482" s="111"/>
    </row>
    <row r="483" spans="1:8">
      <c r="A483" s="80"/>
      <c r="B483" s="81" t="s">
        <v>140</v>
      </c>
      <c r="C483" s="138">
        <f>VLOOKUP(G481,'17_1'!$A$85:$B$123,2,0)</f>
        <v>1213</v>
      </c>
      <c r="D483" s="81"/>
      <c r="E483" s="139" t="s">
        <v>141</v>
      </c>
      <c r="F483" s="141" t="e">
        <f>DSUM('17_1'!A$85:J$123,'17_1'!$J$85,G480:G481)</f>
        <v>#N/A</v>
      </c>
      <c r="G483" s="81"/>
      <c r="H483" s="111"/>
    </row>
    <row r="484" spans="1:8">
      <c r="A484" s="80"/>
      <c r="B484" s="81" t="s">
        <v>142</v>
      </c>
      <c r="C484" s="205">
        <v>137</v>
      </c>
      <c r="D484" s="81"/>
      <c r="E484" s="81"/>
      <c r="F484" s="81"/>
      <c r="G484" s="81"/>
      <c r="H484" s="111"/>
    </row>
    <row r="485" spans="1:8">
      <c r="A485" s="80"/>
      <c r="B485" s="81" t="s">
        <v>144</v>
      </c>
      <c r="C485" s="206">
        <f>DSUM('17_1'!$A$85:$H$123,'17_1'!$H$85,G480:G481)</f>
        <v>0</v>
      </c>
      <c r="D485" s="81"/>
      <c r="E485" s="81"/>
      <c r="F485" s="584"/>
      <c r="G485" s="584"/>
      <c r="H485" s="111"/>
    </row>
    <row r="486" spans="1:8" ht="15.75">
      <c r="A486" s="80"/>
      <c r="B486" s="81"/>
      <c r="C486" s="81" t="s">
        <v>146</v>
      </c>
      <c r="D486" s="145" t="e">
        <f>DMIN('17_1'!A$85:K$123,'17_1'!$K$85,G480:G481)</f>
        <v>#REF!</v>
      </c>
      <c r="E486" s="189" t="e">
        <f>IF(F486=1,"Domingo",IF(F486=2,"Lunes",IF(F486=3,"Martes",IF(F486=4,"Miercoles",IF(F486=5,"Jueves",IF(F486=6,"Viernes",IF(F486=7,"Sábado",0)))))))</f>
        <v>#REF!</v>
      </c>
      <c r="F486" s="190" t="e">
        <f>WEEKDAY(D486)</f>
        <v>#REF!</v>
      </c>
      <c r="G486" s="142"/>
      <c r="H486" s="111"/>
    </row>
    <row r="487" spans="1:8" ht="15.75">
      <c r="A487" s="80"/>
      <c r="B487" s="81"/>
      <c r="C487" s="81" t="s">
        <v>147</v>
      </c>
      <c r="D487" s="145" t="e">
        <f>DMAX('17_1'!A$85:L$123,'17_1'!$L$85,G480:G481)</f>
        <v>#REF!</v>
      </c>
      <c r="E487" s="189" t="e">
        <f>IF(F487=1,"Domingo",IF(F487=2,"Lunes",IF(F487=3,"Martes",IF(F487=4,"Miercoles",IF(F487=5,"Jueves",IF(F487=6,"Viernes",IF(F487=7,"Sábado",0)))))))</f>
        <v>#REF!</v>
      </c>
      <c r="F487" s="190" t="e">
        <f>WEEKDAY(D487)</f>
        <v>#REF!</v>
      </c>
      <c r="G487" s="142"/>
      <c r="H487" s="111"/>
    </row>
    <row r="488" spans="1:8">
      <c r="A488" s="80"/>
      <c r="B488" s="81"/>
      <c r="C488" s="81"/>
      <c r="D488" s="81"/>
      <c r="E488" s="81"/>
      <c r="F488" s="584"/>
      <c r="G488" s="584"/>
      <c r="H488" s="111"/>
    </row>
    <row r="489" spans="1:8">
      <c r="A489" s="80"/>
      <c r="B489" s="146">
        <f>+Mensajes!$B$7</f>
        <v>0</v>
      </c>
      <c r="C489" s="81"/>
      <c r="D489" s="81"/>
      <c r="E489" s="81"/>
      <c r="F489" s="81"/>
      <c r="G489" s="81"/>
      <c r="H489" s="111"/>
    </row>
    <row r="490" spans="1:8">
      <c r="A490" s="80"/>
      <c r="B490" s="146">
        <f>+Mensajes!$B$12</f>
        <v>0</v>
      </c>
      <c r="C490" s="81"/>
      <c r="D490" s="81"/>
      <c r="E490" s="81"/>
      <c r="F490" s="81"/>
      <c r="G490" s="81"/>
      <c r="H490" s="111"/>
    </row>
    <row r="491" spans="1:8">
      <c r="A491" s="80"/>
      <c r="B491" s="146" t="str">
        <f>IF(VLOOKUP(G481,'17_1'!$A$85:$N$123,14,0)=0,"",VLOOKUP(G481,'17_1'!$A$85:$N$123,14,0))</f>
        <v/>
      </c>
      <c r="C491" s="81"/>
      <c r="D491" s="81"/>
      <c r="E491" s="81"/>
      <c r="F491" s="81"/>
      <c r="G491" s="81"/>
      <c r="H491" s="111"/>
    </row>
    <row r="492" spans="1:8">
      <c r="A492" s="140"/>
      <c r="B492" s="188" t="str">
        <f>IF(DSUM('17_1'!$A$85:$Q$123,17,G480:G481)=COUNTIF('17_1'!$A$85:$A$123,G481),"","Regularice su Deuda")</f>
        <v>Regularice su Deuda</v>
      </c>
      <c r="C492" s="82"/>
      <c r="D492" s="82"/>
      <c r="E492" s="82"/>
      <c r="F492" s="82"/>
      <c r="G492" s="82"/>
      <c r="H492" s="83"/>
    </row>
    <row r="494" spans="1:8">
      <c r="A494" s="108"/>
      <c r="B494" s="109"/>
      <c r="C494" s="109"/>
      <c r="D494" s="109"/>
      <c r="E494" s="109"/>
      <c r="F494" s="109"/>
      <c r="G494" s="109"/>
      <c r="H494" s="110"/>
    </row>
    <row r="495" spans="1:8">
      <c r="A495" s="80"/>
      <c r="B495" s="147" t="s">
        <v>64</v>
      </c>
      <c r="C495" s="81"/>
      <c r="D495" s="81"/>
      <c r="E495" s="81"/>
      <c r="F495" s="81"/>
      <c r="G495" s="81"/>
      <c r="H495" s="111"/>
    </row>
    <row r="496" spans="1:8">
      <c r="A496" s="80"/>
      <c r="B496" s="81"/>
      <c r="C496" s="81"/>
      <c r="D496" s="81"/>
      <c r="E496" s="81"/>
      <c r="F496" s="81"/>
      <c r="G496" s="81"/>
      <c r="H496" s="111"/>
    </row>
    <row r="497" spans="1:8">
      <c r="A497" s="80"/>
      <c r="B497" s="81" t="s">
        <v>139</v>
      </c>
      <c r="C497" s="81" t="str">
        <f>VLOOKUP(G498,'17_1'!$A$85:$G$123,6,0)</f>
        <v>SERPOLLI, VICENTE</v>
      </c>
      <c r="D497" s="81"/>
      <c r="E497" s="81"/>
      <c r="F497" s="81"/>
      <c r="G497" s="138" t="s">
        <v>102</v>
      </c>
      <c r="H497" s="111"/>
    </row>
    <row r="498" spans="1:8">
      <c r="A498" s="80"/>
      <c r="B498" s="81" t="s">
        <v>72</v>
      </c>
      <c r="C498" s="81" t="str">
        <f>+'17_1'!$A$75</f>
        <v>Hijuela Gelvez - CUBELLS</v>
      </c>
      <c r="D498" s="81"/>
      <c r="E498" s="81"/>
      <c r="F498" s="81"/>
      <c r="G498" s="138">
        <v>4</v>
      </c>
      <c r="H498" s="111"/>
    </row>
    <row r="499" spans="1:8">
      <c r="A499" s="80"/>
      <c r="B499" s="81"/>
      <c r="C499" s="81"/>
      <c r="D499" s="81"/>
      <c r="E499" s="81"/>
      <c r="F499" s="81"/>
      <c r="G499" s="81"/>
      <c r="H499" s="111"/>
    </row>
    <row r="500" spans="1:8">
      <c r="A500" s="80"/>
      <c r="B500" s="81" t="s">
        <v>140</v>
      </c>
      <c r="C500" s="138">
        <f>VLOOKUP(G498,'17_1'!$A$85:$B$123,2,0)</f>
        <v>1213</v>
      </c>
      <c r="D500" s="81"/>
      <c r="E500" s="139" t="s">
        <v>141</v>
      </c>
      <c r="F500" s="141" t="e">
        <f>DSUM('17_1'!A$85:J$123,'17_1'!$J$85,G497:G498)</f>
        <v>#N/A</v>
      </c>
      <c r="G500" s="81"/>
      <c r="H500" s="111"/>
    </row>
    <row r="501" spans="1:8">
      <c r="A501" s="80"/>
      <c r="B501" s="81" t="s">
        <v>142</v>
      </c>
      <c r="C501" s="205">
        <v>300</v>
      </c>
      <c r="D501" s="81"/>
      <c r="E501" s="81"/>
      <c r="F501" s="81"/>
      <c r="G501" s="81"/>
      <c r="H501" s="111"/>
    </row>
    <row r="502" spans="1:8">
      <c r="A502" s="80"/>
      <c r="B502" s="81" t="s">
        <v>144</v>
      </c>
      <c r="C502" s="206">
        <f>DSUM('17_1'!$A$85:$H$123,'17_1'!$H$85,G497:G498)</f>
        <v>0</v>
      </c>
      <c r="D502" s="81"/>
      <c r="E502" s="81"/>
      <c r="F502" s="584"/>
      <c r="G502" s="584"/>
      <c r="H502" s="111"/>
    </row>
    <row r="503" spans="1:8" ht="15.75">
      <c r="A503" s="80"/>
      <c r="B503" s="81"/>
      <c r="C503" s="81" t="s">
        <v>146</v>
      </c>
      <c r="D503" s="145" t="e">
        <f>DMIN('17_1'!A$85:K$123,'17_1'!$K$85,G497:G498)</f>
        <v>#REF!</v>
      </c>
      <c r="E503" s="189" t="e">
        <f>IF(F503=1,"Domingo",IF(F503=2,"Lunes",IF(F503=3,"Martes",IF(F503=4,"Miercoles",IF(F503=5,"Jueves",IF(F503=6,"Viernes",IF(F503=7,"Sábado",0)))))))</f>
        <v>#REF!</v>
      </c>
      <c r="F503" s="190" t="e">
        <f>WEEKDAY(D503)</f>
        <v>#REF!</v>
      </c>
      <c r="G503" s="142"/>
      <c r="H503" s="111"/>
    </row>
    <row r="504" spans="1:8" ht="15.75">
      <c r="A504" s="80"/>
      <c r="B504" s="81"/>
      <c r="C504" s="81" t="s">
        <v>147</v>
      </c>
      <c r="D504" s="145" t="e">
        <f>DMAX('17_1'!A$85:L$123,'17_1'!$L$85,G497:G498)</f>
        <v>#REF!</v>
      </c>
      <c r="E504" s="189" t="e">
        <f>IF(F504=1,"Domingo",IF(F504=2,"Lunes",IF(F504=3,"Martes",IF(F504=4,"Miercoles",IF(F504=5,"Jueves",IF(F504=6,"Viernes",IF(F504=7,"Sábado",0)))))))</f>
        <v>#REF!</v>
      </c>
      <c r="F504" s="190" t="e">
        <f>WEEKDAY(D504)</f>
        <v>#REF!</v>
      </c>
      <c r="G504" s="142"/>
      <c r="H504" s="111"/>
    </row>
    <row r="505" spans="1:8">
      <c r="A505" s="80"/>
      <c r="B505" s="81"/>
      <c r="C505" s="81"/>
      <c r="D505" s="81"/>
      <c r="E505" s="81"/>
      <c r="F505" s="584"/>
      <c r="G505" s="584"/>
      <c r="H505" s="111"/>
    </row>
    <row r="506" spans="1:8">
      <c r="A506" s="80"/>
      <c r="B506" s="146">
        <f>+Mensajes!$B$7</f>
        <v>0</v>
      </c>
      <c r="C506" s="81"/>
      <c r="D506" s="81"/>
      <c r="E506" s="81"/>
      <c r="F506" s="81"/>
      <c r="G506" s="81"/>
      <c r="H506" s="111"/>
    </row>
    <row r="507" spans="1:8">
      <c r="A507" s="80"/>
      <c r="B507" s="146">
        <f>+Mensajes!$B$12</f>
        <v>0</v>
      </c>
      <c r="C507" s="81"/>
      <c r="D507" s="81"/>
      <c r="E507" s="81"/>
      <c r="F507" s="81"/>
      <c r="G507" s="81"/>
      <c r="H507" s="111"/>
    </row>
    <row r="508" spans="1:8">
      <c r="A508" s="80"/>
      <c r="B508" s="146" t="str">
        <f>IF(VLOOKUP(G498,'17_1'!$A$85:$N$123,14,0)=0,"",VLOOKUP(G498,'17_1'!$A$85:$N$123,14,0))</f>
        <v/>
      </c>
      <c r="C508" s="81"/>
      <c r="D508" s="81"/>
      <c r="E508" s="81"/>
      <c r="F508" s="81"/>
      <c r="G508" s="81"/>
      <c r="H508" s="111"/>
    </row>
    <row r="509" spans="1:8">
      <c r="A509" s="140"/>
      <c r="B509" s="188" t="str">
        <f>IF(DSUM('17_1'!$A$85:$Q$123,17,G497:G498)=COUNTIF('17_1'!$A$85:$A$123,G498),"","Regularice su Deuda")</f>
        <v>Regularice su Deuda</v>
      </c>
      <c r="C509" s="82"/>
      <c r="D509" s="82"/>
      <c r="E509" s="82"/>
      <c r="F509" s="82"/>
      <c r="G509" s="82"/>
      <c r="H509" s="83"/>
    </row>
    <row r="511" spans="1:8">
      <c r="A511" s="108"/>
      <c r="B511" s="109"/>
      <c r="C511" s="109"/>
      <c r="D511" s="109"/>
      <c r="E511" s="109"/>
      <c r="F511" s="109"/>
      <c r="G511" s="109"/>
      <c r="H511" s="110"/>
    </row>
    <row r="512" spans="1:8">
      <c r="A512" s="80"/>
      <c r="B512" s="147" t="s">
        <v>64</v>
      </c>
      <c r="C512" s="81"/>
      <c r="D512" s="81"/>
      <c r="E512" s="81"/>
      <c r="F512" s="81"/>
      <c r="G512" s="81"/>
      <c r="H512" s="111"/>
    </row>
    <row r="513" spans="1:8">
      <c r="A513" s="80"/>
      <c r="B513" s="81"/>
      <c r="C513" s="81"/>
      <c r="D513" s="81"/>
      <c r="E513" s="81"/>
      <c r="F513" s="81"/>
      <c r="G513" s="81"/>
      <c r="H513" s="111"/>
    </row>
    <row r="514" spans="1:8">
      <c r="A514" s="80"/>
      <c r="B514" s="81" t="s">
        <v>139</v>
      </c>
      <c r="C514" s="81" t="str">
        <f>VLOOKUP(G515,'17_1'!$A$85:$G$123,6,0)</f>
        <v>ARAUJO, ANIBAL HERMES</v>
      </c>
      <c r="D514" s="81"/>
      <c r="E514" s="81"/>
      <c r="F514" s="81"/>
      <c r="G514" s="138" t="s">
        <v>102</v>
      </c>
      <c r="H514" s="111"/>
    </row>
    <row r="515" spans="1:8">
      <c r="A515" s="80"/>
      <c r="B515" s="81" t="s">
        <v>72</v>
      </c>
      <c r="C515" s="81" t="str">
        <f>+'17_1'!$A$75</f>
        <v>Hijuela Gelvez - CUBELLS</v>
      </c>
      <c r="D515" s="81"/>
      <c r="E515" s="81"/>
      <c r="F515" s="81"/>
      <c r="G515" s="138">
        <v>5</v>
      </c>
      <c r="H515" s="111"/>
    </row>
    <row r="516" spans="1:8">
      <c r="A516" s="80"/>
      <c r="B516" s="81"/>
      <c r="C516" s="81"/>
      <c r="D516" s="81"/>
      <c r="E516" s="81"/>
      <c r="F516" s="81"/>
      <c r="G516" s="81"/>
      <c r="H516" s="111"/>
    </row>
    <row r="517" spans="1:8">
      <c r="A517" s="80"/>
      <c r="B517" s="81" t="s">
        <v>140</v>
      </c>
      <c r="C517" s="138">
        <f>VLOOKUP(G515,'17_1'!$A$85:$B$123,2,0)</f>
        <v>1213</v>
      </c>
      <c r="D517" s="81"/>
      <c r="E517" s="139" t="s">
        <v>141</v>
      </c>
      <c r="F517" s="141" t="e">
        <f>DSUM('17_1'!A$85:J$123,'17_1'!$J$85,G514:G515)</f>
        <v>#N/A</v>
      </c>
      <c r="G517" s="81"/>
      <c r="H517" s="111"/>
    </row>
    <row r="518" spans="1:8">
      <c r="A518" s="80"/>
      <c r="B518" s="81" t="s">
        <v>142</v>
      </c>
      <c r="C518" s="205" t="s">
        <v>544</v>
      </c>
      <c r="D518" s="81"/>
      <c r="E518" s="81"/>
      <c r="F518" s="81"/>
      <c r="G518" s="81"/>
      <c r="H518" s="111"/>
    </row>
    <row r="519" spans="1:8">
      <c r="A519" s="80"/>
      <c r="B519" s="81" t="s">
        <v>144</v>
      </c>
      <c r="C519" s="206">
        <f>DSUM('17_1'!$A$85:$H$123,'17_1'!$H$85,G514:G515)</f>
        <v>0</v>
      </c>
      <c r="D519" s="81"/>
      <c r="E519" s="81"/>
      <c r="F519" s="584"/>
      <c r="G519" s="584"/>
      <c r="H519" s="111"/>
    </row>
    <row r="520" spans="1:8" ht="15.75">
      <c r="A520" s="80"/>
      <c r="B520" s="81"/>
      <c r="C520" s="81" t="s">
        <v>146</v>
      </c>
      <c r="D520" s="145" t="e">
        <f>DMIN('17_1'!A$85:K$123,'17_1'!$K$85,G514:G515)</f>
        <v>#REF!</v>
      </c>
      <c r="E520" s="189" t="e">
        <f>IF(F520=1,"Domingo",IF(F520=2,"Lunes",IF(F520=3,"Martes",IF(F520=4,"Miercoles",IF(F520=5,"Jueves",IF(F520=6,"Viernes",IF(F520=7,"Sábado",0)))))))</f>
        <v>#REF!</v>
      </c>
      <c r="F520" s="190" t="e">
        <f>WEEKDAY(D520)</f>
        <v>#REF!</v>
      </c>
      <c r="G520" s="142"/>
      <c r="H520" s="111"/>
    </row>
    <row r="521" spans="1:8" ht="15.75">
      <c r="A521" s="80"/>
      <c r="B521" s="81"/>
      <c r="C521" s="81" t="s">
        <v>147</v>
      </c>
      <c r="D521" s="145" t="e">
        <f>DMAX('17_1'!A$85:L$123,'17_1'!$L$85,G514:G515)</f>
        <v>#REF!</v>
      </c>
      <c r="E521" s="189" t="e">
        <f>IF(F521=1,"Domingo",IF(F521=2,"Lunes",IF(F521=3,"Martes",IF(F521=4,"Miercoles",IF(F521=5,"Jueves",IF(F521=6,"Viernes",IF(F521=7,"Sábado",0)))))))</f>
        <v>#REF!</v>
      </c>
      <c r="F521" s="190" t="e">
        <f>WEEKDAY(D521)</f>
        <v>#REF!</v>
      </c>
      <c r="G521" s="142"/>
      <c r="H521" s="111"/>
    </row>
    <row r="522" spans="1:8">
      <c r="A522" s="80"/>
      <c r="B522" s="81"/>
      <c r="C522" s="81"/>
      <c r="D522" s="81"/>
      <c r="E522" s="81"/>
      <c r="F522" s="584"/>
      <c r="G522" s="584"/>
      <c r="H522" s="111"/>
    </row>
    <row r="523" spans="1:8">
      <c r="A523" s="80"/>
      <c r="B523" s="146">
        <f>+Mensajes!$B$7</f>
        <v>0</v>
      </c>
      <c r="C523" s="81"/>
      <c r="D523" s="81"/>
      <c r="E523" s="81"/>
      <c r="F523" s="81"/>
      <c r="G523" s="81"/>
      <c r="H523" s="111"/>
    </row>
    <row r="524" spans="1:8">
      <c r="A524" s="80"/>
      <c r="B524" s="146">
        <f>+Mensajes!$B$12</f>
        <v>0</v>
      </c>
      <c r="C524" s="81"/>
      <c r="D524" s="81"/>
      <c r="E524" s="81"/>
      <c r="F524" s="81"/>
      <c r="G524" s="81"/>
      <c r="H524" s="111"/>
    </row>
    <row r="525" spans="1:8">
      <c r="A525" s="80"/>
      <c r="B525" s="146" t="str">
        <f>IF(VLOOKUP(G515,'17_1'!$A$85:$N$123,14,0)=0,"",VLOOKUP(G515,'17_1'!$A$85:$N$123,14,0))</f>
        <v/>
      </c>
      <c r="C525" s="81"/>
      <c r="D525" s="81"/>
      <c r="E525" s="81"/>
      <c r="F525" s="81"/>
      <c r="G525" s="81"/>
      <c r="H525" s="111"/>
    </row>
    <row r="526" spans="1:8">
      <c r="A526" s="140"/>
      <c r="B526" s="188" t="str">
        <f>IF(DSUM('17_1'!$A$85:$Q$123,17,G514:G515)=COUNTIF('17_1'!$A$85:$A$123,G515),"","Regularice su Deuda")</f>
        <v>Regularice su Deuda</v>
      </c>
      <c r="C526" s="82"/>
      <c r="D526" s="82"/>
      <c r="E526" s="82"/>
      <c r="F526" s="82"/>
      <c r="G526" s="82"/>
      <c r="H526" s="83"/>
    </row>
    <row r="528" spans="1:8">
      <c r="A528" s="108"/>
      <c r="B528" s="109"/>
      <c r="C528" s="109"/>
      <c r="D528" s="109"/>
      <c r="E528" s="109"/>
      <c r="F528" s="109"/>
      <c r="G528" s="109"/>
      <c r="H528" s="110"/>
    </row>
    <row r="529" spans="1:8">
      <c r="A529" s="80"/>
      <c r="B529" s="147" t="s">
        <v>64</v>
      </c>
      <c r="C529" s="81"/>
      <c r="D529" s="81"/>
      <c r="E529" s="81"/>
      <c r="F529" s="81"/>
      <c r="G529" s="81"/>
      <c r="H529" s="111"/>
    </row>
    <row r="530" spans="1:8">
      <c r="A530" s="80"/>
      <c r="B530" s="81"/>
      <c r="C530" s="81"/>
      <c r="D530" s="81"/>
      <c r="E530" s="81"/>
      <c r="F530" s="81"/>
      <c r="G530" s="81"/>
      <c r="H530" s="111"/>
    </row>
    <row r="531" spans="1:8">
      <c r="A531" s="80"/>
      <c r="B531" s="81" t="s">
        <v>139</v>
      </c>
      <c r="C531" s="81" t="str">
        <f>VLOOKUP(G532,'17_1'!$A$85:$G$123,6,0)</f>
        <v>ARAUJO, MARTHA ROSARIO</v>
      </c>
      <c r="D531" s="81"/>
      <c r="E531" s="81"/>
      <c r="F531" s="81"/>
      <c r="G531" s="138" t="s">
        <v>102</v>
      </c>
      <c r="H531" s="111"/>
    </row>
    <row r="532" spans="1:8">
      <c r="A532" s="80"/>
      <c r="B532" s="81" t="s">
        <v>72</v>
      </c>
      <c r="C532" s="81" t="str">
        <f>+'17_1'!$A$75</f>
        <v>Hijuela Gelvez - CUBELLS</v>
      </c>
      <c r="D532" s="81"/>
      <c r="E532" s="81"/>
      <c r="F532" s="81"/>
      <c r="G532" s="138">
        <v>6</v>
      </c>
      <c r="H532" s="111"/>
    </row>
    <row r="533" spans="1:8">
      <c r="A533" s="80"/>
      <c r="B533" s="81"/>
      <c r="C533" s="81"/>
      <c r="D533" s="81"/>
      <c r="E533" s="81"/>
      <c r="F533" s="81"/>
      <c r="G533" s="81"/>
      <c r="H533" s="111"/>
    </row>
    <row r="534" spans="1:8">
      <c r="A534" s="80"/>
      <c r="B534" s="81" t="s">
        <v>140</v>
      </c>
      <c r="C534" s="138">
        <f>VLOOKUP(G532,'17_1'!$A$85:$B$123,2,0)</f>
        <v>1213</v>
      </c>
      <c r="D534" s="81"/>
      <c r="E534" s="139" t="s">
        <v>141</v>
      </c>
      <c r="F534" s="141" t="e">
        <f>DSUM('17_1'!A$85:J$123,'17_1'!$J$85,G531:G532)</f>
        <v>#N/A</v>
      </c>
      <c r="G534" s="81"/>
      <c r="H534" s="111"/>
    </row>
    <row r="535" spans="1:8">
      <c r="A535" s="80"/>
      <c r="B535" s="81" t="s">
        <v>142</v>
      </c>
      <c r="C535" s="205">
        <v>91</v>
      </c>
      <c r="D535" s="81"/>
      <c r="E535" s="81"/>
      <c r="F535" s="81"/>
      <c r="G535" s="81"/>
      <c r="H535" s="111"/>
    </row>
    <row r="536" spans="1:8">
      <c r="A536" s="80"/>
      <c r="B536" s="81" t="s">
        <v>144</v>
      </c>
      <c r="C536" s="206">
        <f>DSUM('17_1'!$A$85:$H$123,'17_1'!$H$85,G531:G532)</f>
        <v>0</v>
      </c>
      <c r="D536" s="81"/>
      <c r="E536" s="81"/>
      <c r="F536" s="584"/>
      <c r="G536" s="584"/>
      <c r="H536" s="111"/>
    </row>
    <row r="537" spans="1:8" ht="15.75">
      <c r="A537" s="80"/>
      <c r="B537" s="81"/>
      <c r="C537" s="81" t="s">
        <v>146</v>
      </c>
      <c r="D537" s="145" t="e">
        <f>DMIN('17_1'!A$85:K$123,'17_1'!$K$85,G531:G532)</f>
        <v>#REF!</v>
      </c>
      <c r="E537" s="189" t="e">
        <f>IF(F537=1,"Domingo",IF(F537=2,"Lunes",IF(F537=3,"Martes",IF(F537=4,"Miercoles",IF(F537=5,"Jueves",IF(F537=6,"Viernes",IF(F537=7,"Sábado",0)))))))</f>
        <v>#REF!</v>
      </c>
      <c r="F537" s="190" t="e">
        <f>WEEKDAY(D537)</f>
        <v>#REF!</v>
      </c>
      <c r="G537" s="142"/>
      <c r="H537" s="111"/>
    </row>
    <row r="538" spans="1:8" ht="15.75">
      <c r="A538" s="80"/>
      <c r="B538" s="81"/>
      <c r="C538" s="81" t="s">
        <v>147</v>
      </c>
      <c r="D538" s="145" t="e">
        <f>DMAX('17_1'!A$85:L$123,'17_1'!$L$85,G531:G532)</f>
        <v>#REF!</v>
      </c>
      <c r="E538" s="189" t="e">
        <f>IF(F538=1,"Domingo",IF(F538=2,"Lunes",IF(F538=3,"Martes",IF(F538=4,"Miercoles",IF(F538=5,"Jueves",IF(F538=6,"Viernes",IF(F538=7,"Sábado",0)))))))</f>
        <v>#REF!</v>
      </c>
      <c r="F538" s="190" t="e">
        <f>WEEKDAY(D538)</f>
        <v>#REF!</v>
      </c>
      <c r="G538" s="142"/>
      <c r="H538" s="111"/>
    </row>
    <row r="539" spans="1:8">
      <c r="A539" s="80"/>
      <c r="B539" s="81"/>
      <c r="C539" s="81"/>
      <c r="D539" s="81"/>
      <c r="E539" s="81"/>
      <c r="F539" s="584"/>
      <c r="G539" s="584"/>
      <c r="H539" s="111"/>
    </row>
    <row r="540" spans="1:8">
      <c r="A540" s="80"/>
      <c r="B540" s="146">
        <f>+Mensajes!$B$7</f>
        <v>0</v>
      </c>
      <c r="C540" s="81"/>
      <c r="D540" s="81"/>
      <c r="E540" s="81"/>
      <c r="F540" s="81"/>
      <c r="G540" s="81"/>
      <c r="H540" s="111"/>
    </row>
    <row r="541" spans="1:8">
      <c r="A541" s="80"/>
      <c r="B541" s="146">
        <f>+Mensajes!$B$12</f>
        <v>0</v>
      </c>
      <c r="C541" s="81"/>
      <c r="D541" s="81"/>
      <c r="E541" s="81"/>
      <c r="F541" s="81"/>
      <c r="G541" s="81"/>
      <c r="H541" s="111"/>
    </row>
    <row r="542" spans="1:8">
      <c r="A542" s="80"/>
      <c r="B542" s="146" t="str">
        <f>IF(VLOOKUP(G532,'17_1'!$A$85:$N$123,14,0)=0,"",VLOOKUP(G532,'17_1'!$A$85:$N$123,14,0))</f>
        <v/>
      </c>
      <c r="C542" s="81"/>
      <c r="D542" s="81"/>
      <c r="E542" s="81"/>
      <c r="F542" s="81"/>
      <c r="G542" s="81"/>
      <c r="H542" s="111"/>
    </row>
    <row r="543" spans="1:8">
      <c r="A543" s="140"/>
      <c r="B543" s="188" t="str">
        <f>IF(DSUM('17_1'!$A$85:$Q$123,17,G531:G532)=COUNTIF('17_1'!$A$85:$A$123,G532),"","Regularice su Deuda")</f>
        <v>Regularice su Deuda</v>
      </c>
      <c r="C543" s="82"/>
      <c r="D543" s="82"/>
      <c r="E543" s="82"/>
      <c r="F543" s="82"/>
      <c r="G543" s="82"/>
      <c r="H543" s="83"/>
    </row>
    <row r="545" spans="1:8">
      <c r="A545" s="108"/>
      <c r="B545" s="109"/>
      <c r="C545" s="109"/>
      <c r="D545" s="109"/>
      <c r="E545" s="109"/>
      <c r="F545" s="109"/>
      <c r="G545" s="109"/>
      <c r="H545" s="110"/>
    </row>
    <row r="546" spans="1:8">
      <c r="A546" s="80"/>
      <c r="B546" s="147" t="s">
        <v>64</v>
      </c>
      <c r="C546" s="81"/>
      <c r="D546" s="81"/>
      <c r="E546" s="81"/>
      <c r="F546" s="81"/>
      <c r="G546" s="81"/>
      <c r="H546" s="111"/>
    </row>
    <row r="547" spans="1:8">
      <c r="A547" s="80"/>
      <c r="B547" s="81"/>
      <c r="C547" s="81"/>
      <c r="D547" s="81"/>
      <c r="E547" s="81"/>
      <c r="F547" s="81"/>
      <c r="G547" s="81"/>
      <c r="H547" s="111"/>
    </row>
    <row r="548" spans="1:8">
      <c r="A548" s="80"/>
      <c r="B548" s="81" t="s">
        <v>139</v>
      </c>
      <c r="C548" s="81" t="str">
        <f>VLOOKUP(G549,'17_1'!$A$85:$G$123,6,0)</f>
        <v>ZANIOLO, JOSE LORENZO</v>
      </c>
      <c r="D548" s="81"/>
      <c r="E548" s="81"/>
      <c r="F548" s="81"/>
      <c r="G548" s="138" t="s">
        <v>102</v>
      </c>
      <c r="H548" s="111"/>
    </row>
    <row r="549" spans="1:8">
      <c r="A549" s="80"/>
      <c r="B549" s="81" t="s">
        <v>72</v>
      </c>
      <c r="C549" s="81" t="str">
        <f>+'17_1'!$A$75</f>
        <v>Hijuela Gelvez - CUBELLS</v>
      </c>
      <c r="D549" s="81"/>
      <c r="E549" s="81"/>
      <c r="F549" s="81"/>
      <c r="G549" s="138">
        <v>7</v>
      </c>
      <c r="H549" s="111"/>
    </row>
    <row r="550" spans="1:8">
      <c r="A550" s="80"/>
      <c r="B550" s="81"/>
      <c r="C550" s="81"/>
      <c r="D550" s="81"/>
      <c r="E550" s="81"/>
      <c r="F550" s="81"/>
      <c r="G550" s="81"/>
      <c r="H550" s="111"/>
    </row>
    <row r="551" spans="1:8">
      <c r="A551" s="80"/>
      <c r="B551" s="81" t="s">
        <v>140</v>
      </c>
      <c r="C551" s="138">
        <f>VLOOKUP(G549,'17_1'!$A$85:$B$123,2,0)</f>
        <v>1213</v>
      </c>
      <c r="D551" s="81"/>
      <c r="E551" s="139" t="s">
        <v>141</v>
      </c>
      <c r="F551" s="141" t="e">
        <f>DSUM('17_1'!A$85:J$123,'17_1'!$J$85,G548:G549)</f>
        <v>#N/A</v>
      </c>
      <c r="G551" s="81"/>
      <c r="H551" s="111"/>
    </row>
    <row r="552" spans="1:8">
      <c r="A552" s="80"/>
      <c r="B552" s="81" t="s">
        <v>142</v>
      </c>
      <c r="C552" s="205">
        <v>92</v>
      </c>
      <c r="D552" s="81"/>
      <c r="E552" s="81"/>
      <c r="F552" s="81"/>
      <c r="G552" s="81"/>
      <c r="H552" s="111"/>
    </row>
    <row r="553" spans="1:8">
      <c r="A553" s="80"/>
      <c r="B553" s="81" t="s">
        <v>144</v>
      </c>
      <c r="C553" s="206">
        <f>DSUM('17_1'!$A$85:$H$123,'17_1'!$H$85,G548:G549)</f>
        <v>30.680399999999995</v>
      </c>
      <c r="D553" s="81"/>
      <c r="E553" s="81"/>
      <c r="F553" s="584"/>
      <c r="G553" s="584"/>
      <c r="H553" s="111"/>
    </row>
    <row r="554" spans="1:8" ht="15.75">
      <c r="A554" s="80"/>
      <c r="B554" s="81"/>
      <c r="C554" s="81" t="s">
        <v>146</v>
      </c>
      <c r="D554" s="145" t="e">
        <f>DMIN('17_1'!A$85:K$123,'17_1'!$K$85,G548:G549)</f>
        <v>#REF!</v>
      </c>
      <c r="E554" s="189" t="e">
        <f>IF(F554=1,"Domingo",IF(F554=2,"Lunes",IF(F554=3,"Martes",IF(F554=4,"Miercoles",IF(F554=5,"Jueves",IF(F554=6,"Viernes",IF(F554=7,"Sábado",0)))))))</f>
        <v>#REF!</v>
      </c>
      <c r="F554" s="190" t="e">
        <f>WEEKDAY(D554)</f>
        <v>#REF!</v>
      </c>
      <c r="G554" s="142"/>
      <c r="H554" s="111"/>
    </row>
    <row r="555" spans="1:8" ht="15.75">
      <c r="A555" s="80"/>
      <c r="B555" s="81"/>
      <c r="C555" s="81" t="s">
        <v>147</v>
      </c>
      <c r="D555" s="145" t="e">
        <f>DMAX('17_1'!A$85:L$123,'17_1'!$L$85,G548:G549)</f>
        <v>#REF!</v>
      </c>
      <c r="E555" s="189" t="e">
        <f>IF(F555=1,"Domingo",IF(F555=2,"Lunes",IF(F555=3,"Martes",IF(F555=4,"Miercoles",IF(F555=5,"Jueves",IF(F555=6,"Viernes",IF(F555=7,"Sábado",0)))))))</f>
        <v>#REF!</v>
      </c>
      <c r="F555" s="190" t="e">
        <f>WEEKDAY(D555)</f>
        <v>#REF!</v>
      </c>
      <c r="G555" s="142"/>
      <c r="H555" s="111"/>
    </row>
    <row r="556" spans="1:8">
      <c r="A556" s="80"/>
      <c r="B556" s="81"/>
      <c r="C556" s="81"/>
      <c r="D556" s="81"/>
      <c r="E556" s="81"/>
      <c r="F556" s="584"/>
      <c r="G556" s="584"/>
      <c r="H556" s="111"/>
    </row>
    <row r="557" spans="1:8">
      <c r="A557" s="80"/>
      <c r="B557" s="146">
        <f>+Mensajes!$B$7</f>
        <v>0</v>
      </c>
      <c r="C557" s="81"/>
      <c r="D557" s="81"/>
      <c r="E557" s="81"/>
      <c r="F557" s="81"/>
      <c r="G557" s="81"/>
      <c r="H557" s="111"/>
    </row>
    <row r="558" spans="1:8">
      <c r="A558" s="80"/>
      <c r="B558" s="146">
        <f>+Mensajes!$B$12</f>
        <v>0</v>
      </c>
      <c r="C558" s="81"/>
      <c r="D558" s="81"/>
      <c r="E558" s="81"/>
      <c r="F558" s="81"/>
      <c r="G558" s="81"/>
      <c r="H558" s="111"/>
    </row>
    <row r="559" spans="1:8">
      <c r="A559" s="80"/>
      <c r="B559" s="146" t="str">
        <f>IF(VLOOKUP(G549,'17_1'!$A$85:$N$123,14,0)=0,"",VLOOKUP(G549,'17_1'!$A$85:$N$123,14,0))</f>
        <v/>
      </c>
      <c r="C559" s="81"/>
      <c r="D559" s="81"/>
      <c r="E559" s="81"/>
      <c r="F559" s="81"/>
      <c r="G559" s="81"/>
      <c r="H559" s="111"/>
    </row>
    <row r="560" spans="1:8">
      <c r="A560" s="140"/>
      <c r="B560" s="188" t="str">
        <f>IF(DSUM('17_1'!$A$85:$Q$123,17,G548:G549)=COUNTIF('17_1'!$A$85:$A$123,G549),"","Regularice su Deuda")</f>
        <v/>
      </c>
      <c r="C560" s="82"/>
      <c r="D560" s="82"/>
      <c r="E560" s="82"/>
      <c r="F560" s="82"/>
      <c r="G560" s="82"/>
      <c r="H560" s="83"/>
    </row>
    <row r="562" spans="1:8">
      <c r="A562" s="108"/>
      <c r="B562" s="109"/>
      <c r="C562" s="109"/>
      <c r="D562" s="109"/>
      <c r="E562" s="109"/>
      <c r="F562" s="109"/>
      <c r="G562" s="109"/>
      <c r="H562" s="110"/>
    </row>
    <row r="563" spans="1:8">
      <c r="A563" s="80"/>
      <c r="B563" s="147" t="s">
        <v>64</v>
      </c>
      <c r="C563" s="81"/>
      <c r="D563" s="81"/>
      <c r="E563" s="81"/>
      <c r="F563" s="81"/>
      <c r="G563" s="81"/>
      <c r="H563" s="111"/>
    </row>
    <row r="564" spans="1:8">
      <c r="A564" s="80"/>
      <c r="B564" s="81"/>
      <c r="C564" s="81"/>
      <c r="D564" s="81"/>
      <c r="E564" s="81"/>
      <c r="F564" s="81"/>
      <c r="G564" s="81"/>
      <c r="H564" s="111"/>
    </row>
    <row r="565" spans="1:8">
      <c r="A565" s="80"/>
      <c r="B565" s="81" t="s">
        <v>139</v>
      </c>
      <c r="C565" s="81" t="str">
        <f>VLOOKUP(G566,'17_1'!$A$85:$G$123,6,0)</f>
        <v>DIAZ, FRANCISCO-SUCESORES-(HIJUEL DE PAGOS)</v>
      </c>
      <c r="D565" s="81"/>
      <c r="E565" s="81"/>
      <c r="F565" s="81"/>
      <c r="G565" s="138" t="s">
        <v>102</v>
      </c>
      <c r="H565" s="111"/>
    </row>
    <row r="566" spans="1:8">
      <c r="A566" s="80"/>
      <c r="B566" s="81" t="s">
        <v>72</v>
      </c>
      <c r="C566" s="81" t="str">
        <f>+'17_1'!$A$75</f>
        <v>Hijuela Gelvez - CUBELLS</v>
      </c>
      <c r="D566" s="81"/>
      <c r="E566" s="81"/>
      <c r="F566" s="81"/>
      <c r="G566" s="138">
        <v>8</v>
      </c>
      <c r="H566" s="111"/>
    </row>
    <row r="567" spans="1:8">
      <c r="A567" s="80"/>
      <c r="B567" s="81"/>
      <c r="C567" s="81"/>
      <c r="D567" s="81"/>
      <c r="E567" s="81"/>
      <c r="F567" s="81"/>
      <c r="G567" s="81"/>
      <c r="H567" s="111"/>
    </row>
    <row r="568" spans="1:8">
      <c r="A568" s="80"/>
      <c r="B568" s="81" t="s">
        <v>140</v>
      </c>
      <c r="C568" s="138">
        <f>VLOOKUP(G566,'17_1'!$A$85:$B$123,2,0)</f>
        <v>1213</v>
      </c>
      <c r="D568" s="81"/>
      <c r="E568" s="139" t="s">
        <v>141</v>
      </c>
      <c r="F568" s="141" t="e">
        <f>DSUM('17_1'!A$85:J$123,'17_1'!$J$85,G565:G566)</f>
        <v>#N/A</v>
      </c>
      <c r="G568" s="81"/>
      <c r="H568" s="111"/>
    </row>
    <row r="569" spans="1:8">
      <c r="A569" s="80"/>
      <c r="B569" s="81" t="s">
        <v>142</v>
      </c>
      <c r="C569" s="205">
        <v>93</v>
      </c>
      <c r="D569" s="81"/>
      <c r="E569" s="81"/>
      <c r="F569" s="81"/>
      <c r="G569" s="81"/>
      <c r="H569" s="111"/>
    </row>
    <row r="570" spans="1:8">
      <c r="A570" s="80"/>
      <c r="B570" s="81" t="s">
        <v>144</v>
      </c>
      <c r="C570" s="206">
        <f>DSUM('17_1'!$A$85:$H$123,'17_1'!$H$85,G565:G566)</f>
        <v>4.6063999999999998</v>
      </c>
      <c r="D570" s="81"/>
      <c r="E570" s="81"/>
      <c r="F570" s="584"/>
      <c r="G570" s="584"/>
      <c r="H570" s="111"/>
    </row>
    <row r="571" spans="1:8" ht="15.75">
      <c r="A571" s="80"/>
      <c r="B571" s="81"/>
      <c r="C571" s="81" t="s">
        <v>146</v>
      </c>
      <c r="D571" s="145" t="e">
        <f>DMIN('17_1'!A$85:K$123,'17_1'!$K$85,G565:G566)</f>
        <v>#REF!</v>
      </c>
      <c r="E571" s="189" t="e">
        <f>IF(F571=1,"Domingo",IF(F571=2,"Lunes",IF(F571=3,"Martes",IF(F571=4,"Miercoles",IF(F571=5,"Jueves",IF(F571=6,"Viernes",IF(F571=7,"Sábado",0)))))))</f>
        <v>#REF!</v>
      </c>
      <c r="F571" s="190" t="e">
        <f>WEEKDAY(D571)</f>
        <v>#REF!</v>
      </c>
      <c r="G571" s="142"/>
      <c r="H571" s="111"/>
    </row>
    <row r="572" spans="1:8" ht="15.75">
      <c r="A572" s="80"/>
      <c r="B572" s="81"/>
      <c r="C572" s="81" t="s">
        <v>147</v>
      </c>
      <c r="D572" s="145" t="e">
        <f>DMAX('17_1'!A$85:L$123,'17_1'!$L$85,G565:G566)</f>
        <v>#REF!</v>
      </c>
      <c r="E572" s="189" t="e">
        <f>IF(F572=1,"Domingo",IF(F572=2,"Lunes",IF(F572=3,"Martes",IF(F572=4,"Miercoles",IF(F572=5,"Jueves",IF(F572=6,"Viernes",IF(F572=7,"Sábado",0)))))))</f>
        <v>#REF!</v>
      </c>
      <c r="F572" s="190" t="e">
        <f>WEEKDAY(D572)</f>
        <v>#REF!</v>
      </c>
      <c r="G572" s="142"/>
      <c r="H572" s="111"/>
    </row>
    <row r="573" spans="1:8">
      <c r="A573" s="80"/>
      <c r="B573" s="81"/>
      <c r="C573" s="81"/>
      <c r="D573" s="81"/>
      <c r="E573" s="81"/>
      <c r="F573" s="584"/>
      <c r="G573" s="584"/>
      <c r="H573" s="111"/>
    </row>
    <row r="574" spans="1:8">
      <c r="A574" s="80"/>
      <c r="B574" s="146">
        <f>+Mensajes!$B$7</f>
        <v>0</v>
      </c>
      <c r="C574" s="81"/>
      <c r="D574" s="81"/>
      <c r="E574" s="81"/>
      <c r="F574" s="81"/>
      <c r="G574" s="81"/>
      <c r="H574" s="111"/>
    </row>
    <row r="575" spans="1:8">
      <c r="A575" s="80"/>
      <c r="B575" s="146">
        <f>+Mensajes!$B$12</f>
        <v>0</v>
      </c>
      <c r="C575" s="81"/>
      <c r="D575" s="81"/>
      <c r="E575" s="81"/>
      <c r="F575" s="81"/>
      <c r="G575" s="81"/>
      <c r="H575" s="111"/>
    </row>
    <row r="576" spans="1:8">
      <c r="A576" s="80"/>
      <c r="B576" s="146" t="str">
        <f>IF(VLOOKUP(G566,'17_1'!$A$85:$N$123,14,0)=0,"",VLOOKUP(G566,'17_1'!$A$85:$N$123,14,0))</f>
        <v/>
      </c>
      <c r="C576" s="81"/>
      <c r="D576" s="81"/>
      <c r="E576" s="81"/>
      <c r="F576" s="81"/>
      <c r="G576" s="81"/>
      <c r="H576" s="111"/>
    </row>
    <row r="577" spans="1:8">
      <c r="A577" s="140"/>
      <c r="B577" s="188" t="str">
        <f>IF(DSUM('17_1'!$A$85:$Q$123,17,G565:G566)=COUNTIF('17_1'!$A$85:$A$123,G566),"","Regularice su Deuda")</f>
        <v/>
      </c>
      <c r="C577" s="82"/>
      <c r="D577" s="82"/>
      <c r="E577" s="82"/>
      <c r="F577" s="82"/>
      <c r="G577" s="82"/>
      <c r="H577" s="83"/>
    </row>
    <row r="579" spans="1:8">
      <c r="A579" s="108"/>
      <c r="B579" s="109"/>
      <c r="C579" s="109"/>
      <c r="D579" s="109"/>
      <c r="E579" s="109"/>
      <c r="F579" s="109"/>
      <c r="G579" s="109"/>
      <c r="H579" s="110"/>
    </row>
    <row r="580" spans="1:8">
      <c r="A580" s="80"/>
      <c r="B580" s="147" t="s">
        <v>64</v>
      </c>
      <c r="C580" s="81"/>
      <c r="D580" s="81"/>
      <c r="E580" s="81"/>
      <c r="F580" s="81"/>
      <c r="G580" s="81"/>
      <c r="H580" s="111"/>
    </row>
    <row r="581" spans="1:8">
      <c r="A581" s="80"/>
      <c r="B581" s="81"/>
      <c r="C581" s="81"/>
      <c r="D581" s="81"/>
      <c r="E581" s="81"/>
      <c r="F581" s="81"/>
      <c r="G581" s="81"/>
      <c r="H581" s="111"/>
    </row>
    <row r="582" spans="1:8">
      <c r="A582" s="80"/>
      <c r="B582" s="81" t="s">
        <v>139</v>
      </c>
      <c r="C582" s="81" t="str">
        <f>VLOOKUP(G583,'17_1'!$A$85:$G$123,6,0)</f>
        <v>NICOLOSI, FILADELFO</v>
      </c>
      <c r="D582" s="81"/>
      <c r="E582" s="81"/>
      <c r="F582" s="81"/>
      <c r="G582" s="138" t="s">
        <v>102</v>
      </c>
      <c r="H582" s="111"/>
    </row>
    <row r="583" spans="1:8">
      <c r="A583" s="80"/>
      <c r="B583" s="81" t="s">
        <v>72</v>
      </c>
      <c r="C583" s="81" t="str">
        <f>+'17_1'!$A$75</f>
        <v>Hijuela Gelvez - CUBELLS</v>
      </c>
      <c r="D583" s="81"/>
      <c r="E583" s="81"/>
      <c r="F583" s="81"/>
      <c r="G583" s="138">
        <v>9</v>
      </c>
      <c r="H583" s="111"/>
    </row>
    <row r="584" spans="1:8">
      <c r="A584" s="80"/>
      <c r="B584" s="81"/>
      <c r="C584" s="81"/>
      <c r="D584" s="81"/>
      <c r="E584" s="81"/>
      <c r="F584" s="81"/>
      <c r="G584" s="81"/>
      <c r="H584" s="111"/>
    </row>
    <row r="585" spans="1:8">
      <c r="A585" s="80"/>
      <c r="B585" s="81" t="s">
        <v>140</v>
      </c>
      <c r="C585" s="138">
        <f>VLOOKUP(G583,'17_1'!$A$85:$B$123,2,0)</f>
        <v>1213</v>
      </c>
      <c r="D585" s="81"/>
      <c r="E585" s="139" t="s">
        <v>141</v>
      </c>
      <c r="F585" s="141" t="e">
        <f>DSUM('17_1'!A$85:J$123,'17_1'!$J$85,G582:G583)</f>
        <v>#N/A</v>
      </c>
      <c r="G585" s="81"/>
      <c r="H585" s="111"/>
    </row>
    <row r="586" spans="1:8">
      <c r="A586" s="80"/>
      <c r="B586" s="81" t="s">
        <v>142</v>
      </c>
      <c r="C586" s="205">
        <v>306</v>
      </c>
      <c r="D586" s="81"/>
      <c r="E586" s="81"/>
      <c r="F586" s="81"/>
      <c r="G586" s="81"/>
      <c r="H586" s="111"/>
    </row>
    <row r="587" spans="1:8">
      <c r="A587" s="80"/>
      <c r="B587" s="81" t="s">
        <v>144</v>
      </c>
      <c r="C587" s="206">
        <f>DSUM('17_1'!$A$85:$H$123,'17_1'!$H$85,G582:G583)</f>
        <v>0.60699999999999998</v>
      </c>
      <c r="D587" s="81"/>
      <c r="E587" s="81"/>
      <c r="F587" s="584"/>
      <c r="G587" s="584"/>
      <c r="H587" s="111"/>
    </row>
    <row r="588" spans="1:8" ht="15.75">
      <c r="A588" s="80"/>
      <c r="B588" s="81"/>
      <c r="C588" s="81" t="s">
        <v>146</v>
      </c>
      <c r="D588" s="145" t="e">
        <f>DMIN('17_1'!A$85:K$123,'17_1'!$K$85,G582:G583)</f>
        <v>#REF!</v>
      </c>
      <c r="E588" s="189" t="e">
        <f>IF(F588=1,"Domingo",IF(F588=2,"Lunes",IF(F588=3,"Martes",IF(F588=4,"Miercoles",IF(F588=5,"Jueves",IF(F588=6,"Viernes",IF(F588=7,"Sábado",0)))))))</f>
        <v>#REF!</v>
      </c>
      <c r="F588" s="190" t="e">
        <f>WEEKDAY(D588)</f>
        <v>#REF!</v>
      </c>
      <c r="G588" s="142"/>
      <c r="H588" s="111"/>
    </row>
    <row r="589" spans="1:8" ht="15.75">
      <c r="A589" s="80"/>
      <c r="B589" s="81"/>
      <c r="C589" s="81" t="s">
        <v>147</v>
      </c>
      <c r="D589" s="145" t="e">
        <f>DMAX('17_1'!A$85:L$123,'17_1'!$L$85,G582:G583)</f>
        <v>#REF!</v>
      </c>
      <c r="E589" s="189" t="e">
        <f>IF(F589=1,"Domingo",IF(F589=2,"Lunes",IF(F589=3,"Martes",IF(F589=4,"Miercoles",IF(F589=5,"Jueves",IF(F589=6,"Viernes",IF(F589=7,"Sábado",0)))))))</f>
        <v>#REF!</v>
      </c>
      <c r="F589" s="190" t="e">
        <f>WEEKDAY(D589)</f>
        <v>#REF!</v>
      </c>
      <c r="G589" s="142"/>
      <c r="H589" s="111"/>
    </row>
    <row r="590" spans="1:8">
      <c r="A590" s="80"/>
      <c r="B590" s="81"/>
      <c r="C590" s="81"/>
      <c r="D590" s="81"/>
      <c r="E590" s="81"/>
      <c r="F590" s="584"/>
      <c r="G590" s="584"/>
      <c r="H590" s="111"/>
    </row>
    <row r="591" spans="1:8">
      <c r="A591" s="80"/>
      <c r="B591" s="146">
        <f>+Mensajes!$B$7</f>
        <v>0</v>
      </c>
      <c r="C591" s="81"/>
      <c r="D591" s="81"/>
      <c r="E591" s="81"/>
      <c r="F591" s="81"/>
      <c r="G591" s="81"/>
      <c r="H591" s="111"/>
    </row>
    <row r="592" spans="1:8">
      <c r="A592" s="80"/>
      <c r="B592" s="146">
        <f>+Mensajes!$B$12</f>
        <v>0</v>
      </c>
      <c r="C592" s="81"/>
      <c r="D592" s="81"/>
      <c r="E592" s="81"/>
      <c r="F592" s="81"/>
      <c r="G592" s="81"/>
      <c r="H592" s="111"/>
    </row>
    <row r="593" spans="1:8">
      <c r="A593" s="80"/>
      <c r="B593" s="146" t="str">
        <f>IF(VLOOKUP(G583,'17_1'!$A$85:$N$123,14,0)=0,"",VLOOKUP(G583,'17_1'!$A$85:$N$123,14,0))</f>
        <v/>
      </c>
      <c r="C593" s="81"/>
      <c r="D593" s="81"/>
      <c r="E593" s="81"/>
      <c r="F593" s="81"/>
      <c r="G593" s="81"/>
      <c r="H593" s="111"/>
    </row>
    <row r="594" spans="1:8">
      <c r="A594" s="140"/>
      <c r="B594" s="188" t="str">
        <f>IF(DSUM('17_1'!$A$85:$Q$123,17,G582:G583)=COUNTIF('17_1'!$A$85:$A$123,G583),"","Regularice su Deuda")</f>
        <v/>
      </c>
      <c r="C594" s="82"/>
      <c r="D594" s="82"/>
      <c r="E594" s="82"/>
      <c r="F594" s="82"/>
      <c r="G594" s="82"/>
      <c r="H594" s="83"/>
    </row>
    <row r="596" spans="1:8">
      <c r="A596" s="108"/>
      <c r="B596" s="109"/>
      <c r="C596" s="109"/>
      <c r="D596" s="109"/>
      <c r="E596" s="109"/>
      <c r="F596" s="109"/>
      <c r="G596" s="109"/>
      <c r="H596" s="110"/>
    </row>
    <row r="597" spans="1:8">
      <c r="A597" s="80"/>
      <c r="B597" s="147" t="s">
        <v>64</v>
      </c>
      <c r="C597" s="81"/>
      <c r="D597" s="81"/>
      <c r="E597" s="81"/>
      <c r="F597" s="81"/>
      <c r="G597" s="81"/>
      <c r="H597" s="111"/>
    </row>
    <row r="598" spans="1:8">
      <c r="A598" s="80"/>
      <c r="B598" s="81"/>
      <c r="C598" s="81"/>
      <c r="D598" s="81"/>
      <c r="E598" s="81"/>
      <c r="F598" s="81"/>
      <c r="G598" s="81"/>
      <c r="H598" s="111"/>
    </row>
    <row r="599" spans="1:8">
      <c r="A599" s="80"/>
      <c r="B599" s="81" t="s">
        <v>139</v>
      </c>
      <c r="C599" s="81" t="str">
        <f>VLOOKUP(G600,'17_1'!$A$85:$G$123,6,0)</f>
        <v>DAFFUNCHIO, LUIS DELFIN</v>
      </c>
      <c r="D599" s="81"/>
      <c r="E599" s="81"/>
      <c r="F599" s="81"/>
      <c r="G599" s="138" t="s">
        <v>102</v>
      </c>
      <c r="H599" s="111"/>
    </row>
    <row r="600" spans="1:8">
      <c r="A600" s="80"/>
      <c r="B600" s="81" t="s">
        <v>72</v>
      </c>
      <c r="C600" s="81" t="str">
        <f>+'17_1'!$A$75</f>
        <v>Hijuela Gelvez - CUBELLS</v>
      </c>
      <c r="D600" s="81"/>
      <c r="E600" s="81"/>
      <c r="F600" s="81"/>
      <c r="G600" s="138">
        <v>10</v>
      </c>
      <c r="H600" s="111"/>
    </row>
    <row r="601" spans="1:8">
      <c r="A601" s="80"/>
      <c r="B601" s="81"/>
      <c r="C601" s="81"/>
      <c r="D601" s="81"/>
      <c r="E601" s="81"/>
      <c r="F601" s="81"/>
      <c r="G601" s="81"/>
      <c r="H601" s="111"/>
    </row>
    <row r="602" spans="1:8">
      <c r="A602" s="80"/>
      <c r="B602" s="81" t="s">
        <v>140</v>
      </c>
      <c r="C602" s="138">
        <f>VLOOKUP(G600,'17_1'!$A$85:$B$123,2,0)</f>
        <v>1213</v>
      </c>
      <c r="D602" s="81"/>
      <c r="E602" s="139" t="s">
        <v>141</v>
      </c>
      <c r="F602" s="141" t="e">
        <f>DSUM('17_1'!A$85:J$123,'17_1'!$J$85,G599:G600)</f>
        <v>#N/A</v>
      </c>
      <c r="G602" s="81"/>
      <c r="H602" s="111"/>
    </row>
    <row r="603" spans="1:8">
      <c r="A603" s="80"/>
      <c r="B603" s="81" t="s">
        <v>142</v>
      </c>
      <c r="C603" s="205">
        <v>200</v>
      </c>
      <c r="D603" s="81"/>
      <c r="E603" s="81"/>
      <c r="F603" s="81"/>
      <c r="G603" s="81"/>
      <c r="H603" s="111"/>
    </row>
    <row r="604" spans="1:8">
      <c r="A604" s="80"/>
      <c r="B604" s="81" t="s">
        <v>144</v>
      </c>
      <c r="C604" s="206">
        <f>DSUM('17_1'!$A$85:$H$123,'17_1'!$H$85,G599:G600)</f>
        <v>2.2999999999999998</v>
      </c>
      <c r="D604" s="81"/>
      <c r="E604" s="81"/>
      <c r="F604" s="584"/>
      <c r="G604" s="584"/>
      <c r="H604" s="111"/>
    </row>
    <row r="605" spans="1:8" ht="15.75">
      <c r="A605" s="80"/>
      <c r="B605" s="81"/>
      <c r="C605" s="81" t="s">
        <v>146</v>
      </c>
      <c r="D605" s="145" t="e">
        <f>DMIN('17_1'!A$85:K$123,'17_1'!$K$85,G599:G600)</f>
        <v>#REF!</v>
      </c>
      <c r="E605" s="189" t="e">
        <f>IF(F605=1,"Domingo",IF(F605=2,"Lunes",IF(F605=3,"Martes",IF(F605=4,"Miercoles",IF(F605=5,"Jueves",IF(F605=6,"Viernes",IF(F605=7,"Sábado",0)))))))</f>
        <v>#REF!</v>
      </c>
      <c r="F605" s="190" t="e">
        <f>WEEKDAY(D605)</f>
        <v>#REF!</v>
      </c>
      <c r="G605" s="142"/>
      <c r="H605" s="111"/>
    </row>
    <row r="606" spans="1:8" ht="15.75">
      <c r="A606" s="80"/>
      <c r="B606" s="81"/>
      <c r="C606" s="81" t="s">
        <v>147</v>
      </c>
      <c r="D606" s="145" t="e">
        <f>DMAX('17_1'!A$85:L$123,'17_1'!$L$85,G599:G600)</f>
        <v>#REF!</v>
      </c>
      <c r="E606" s="189" t="e">
        <f>IF(F606=1,"Domingo",IF(F606=2,"Lunes",IF(F606=3,"Martes",IF(F606=4,"Miercoles",IF(F606=5,"Jueves",IF(F606=6,"Viernes",IF(F606=7,"Sábado",0)))))))</f>
        <v>#REF!</v>
      </c>
      <c r="F606" s="190" t="e">
        <f>WEEKDAY(D606)</f>
        <v>#REF!</v>
      </c>
      <c r="G606" s="142"/>
      <c r="H606" s="111"/>
    </row>
    <row r="607" spans="1:8">
      <c r="A607" s="80"/>
      <c r="B607" s="81"/>
      <c r="C607" s="81"/>
      <c r="D607" s="81"/>
      <c r="E607" s="81"/>
      <c r="F607" s="584"/>
      <c r="G607" s="584"/>
      <c r="H607" s="111"/>
    </row>
    <row r="608" spans="1:8">
      <c r="A608" s="80"/>
      <c r="B608" s="146">
        <f>+Mensajes!$B$7</f>
        <v>0</v>
      </c>
      <c r="C608" s="81"/>
      <c r="D608" s="81"/>
      <c r="E608" s="81"/>
      <c r="F608" s="81"/>
      <c r="G608" s="81"/>
      <c r="H608" s="111"/>
    </row>
    <row r="609" spans="1:8">
      <c r="A609" s="80"/>
      <c r="B609" s="146">
        <f>+Mensajes!$B$12</f>
        <v>0</v>
      </c>
      <c r="C609" s="81"/>
      <c r="D609" s="81"/>
      <c r="E609" s="81"/>
      <c r="F609" s="81"/>
      <c r="G609" s="81"/>
      <c r="H609" s="111"/>
    </row>
    <row r="610" spans="1:8">
      <c r="A610" s="80"/>
      <c r="B610" s="146" t="str">
        <f>IF(VLOOKUP(G600,'17_1'!$A$85:$N$123,14,0)=0,"",VLOOKUP(G600,'17_1'!$A$85:$N$123,14,0))</f>
        <v/>
      </c>
      <c r="C610" s="81"/>
      <c r="D610" s="81"/>
      <c r="E610" s="81"/>
      <c r="F610" s="81"/>
      <c r="G610" s="81"/>
      <c r="H610" s="111"/>
    </row>
    <row r="611" spans="1:8">
      <c r="A611" s="140"/>
      <c r="B611" s="188" t="str">
        <f>IF(DSUM('17_1'!$A$85:$Q$123,17,G599:G600)=COUNTIF('17_1'!$A$85:$A$123,G600),"","Regularice su Deuda")</f>
        <v/>
      </c>
      <c r="C611" s="82"/>
      <c r="D611" s="82"/>
      <c r="E611" s="82"/>
      <c r="F611" s="82"/>
      <c r="G611" s="82"/>
      <c r="H611" s="83"/>
    </row>
    <row r="613" spans="1:8">
      <c r="A613" s="108"/>
      <c r="B613" s="109"/>
      <c r="C613" s="109"/>
      <c r="D613" s="109"/>
      <c r="E613" s="109"/>
      <c r="F613" s="109"/>
      <c r="G613" s="109"/>
      <c r="H613" s="110"/>
    </row>
    <row r="614" spans="1:8">
      <c r="A614" s="80"/>
      <c r="B614" s="147" t="s">
        <v>64</v>
      </c>
      <c r="C614" s="81"/>
      <c r="D614" s="81"/>
      <c r="E614" s="81"/>
      <c r="F614" s="81"/>
      <c r="G614" s="81"/>
      <c r="H614" s="111"/>
    </row>
    <row r="615" spans="1:8">
      <c r="A615" s="80"/>
      <c r="B615" s="81"/>
      <c r="C615" s="81"/>
      <c r="D615" s="81"/>
      <c r="E615" s="81"/>
      <c r="F615" s="81"/>
      <c r="G615" s="81"/>
      <c r="H615" s="111"/>
    </row>
    <row r="616" spans="1:8">
      <c r="A616" s="80"/>
      <c r="B616" s="81" t="s">
        <v>139</v>
      </c>
      <c r="C616" s="81" t="str">
        <f>VLOOKUP(G617,'17_1'!$A$85:$G$123,6,0)</f>
        <v>LUCESOLE, MARTA</v>
      </c>
      <c r="D616" s="81"/>
      <c r="E616" s="81"/>
      <c r="F616" s="81"/>
      <c r="G616" s="138" t="s">
        <v>102</v>
      </c>
      <c r="H616" s="111"/>
    </row>
    <row r="617" spans="1:8">
      <c r="A617" s="80"/>
      <c r="B617" s="81" t="s">
        <v>72</v>
      </c>
      <c r="C617" s="81" t="str">
        <f>+'17_1'!$A$75</f>
        <v>Hijuela Gelvez - CUBELLS</v>
      </c>
      <c r="D617" s="81"/>
      <c r="E617" s="81"/>
      <c r="F617" s="81"/>
      <c r="G617" s="138">
        <v>11</v>
      </c>
      <c r="H617" s="111"/>
    </row>
    <row r="618" spans="1:8">
      <c r="A618" s="80"/>
      <c r="B618" s="81"/>
      <c r="C618" s="81"/>
      <c r="D618" s="81"/>
      <c r="E618" s="81"/>
      <c r="F618" s="81"/>
      <c r="G618" s="81"/>
      <c r="H618" s="111"/>
    </row>
    <row r="619" spans="1:8">
      <c r="A619" s="80"/>
      <c r="B619" s="81" t="s">
        <v>140</v>
      </c>
      <c r="C619" s="138">
        <f>VLOOKUP(G617,'17_1'!$A$85:$B$123,2,0)</f>
        <v>1213</v>
      </c>
      <c r="D619" s="81"/>
      <c r="E619" s="139" t="s">
        <v>141</v>
      </c>
      <c r="F619" s="141" t="e">
        <f>DSUM('17_1'!A$85:J$123,'17_1'!$J$85,G616:G617)</f>
        <v>#N/A</v>
      </c>
      <c r="G619" s="81"/>
      <c r="H619" s="111"/>
    </row>
    <row r="620" spans="1:8">
      <c r="A620" s="80"/>
      <c r="B620" s="81" t="s">
        <v>142</v>
      </c>
      <c r="C620" s="205">
        <v>94</v>
      </c>
      <c r="D620" s="81"/>
      <c r="E620" s="81"/>
      <c r="F620" s="81"/>
      <c r="G620" s="81"/>
      <c r="H620" s="111"/>
    </row>
    <row r="621" spans="1:8">
      <c r="A621" s="80"/>
      <c r="B621" s="81" t="s">
        <v>144</v>
      </c>
      <c r="C621" s="206">
        <f>DSUM('17_1'!$A$85:$H$123,'17_1'!$H$85,G616:G617)</f>
        <v>4.5285000000000002</v>
      </c>
      <c r="D621" s="81"/>
      <c r="E621" s="81"/>
      <c r="F621" s="584"/>
      <c r="G621" s="584"/>
      <c r="H621" s="111"/>
    </row>
    <row r="622" spans="1:8" ht="15.75">
      <c r="A622" s="80"/>
      <c r="B622" s="81"/>
      <c r="C622" s="81" t="s">
        <v>146</v>
      </c>
      <c r="D622" s="145" t="e">
        <f>DMIN('17_1'!A$85:K$123,'17_1'!$K$85,G616:G617)</f>
        <v>#REF!</v>
      </c>
      <c r="E622" s="189" t="e">
        <f>IF(F622=1,"Domingo",IF(F622=2,"Lunes",IF(F622=3,"Martes",IF(F622=4,"Miercoles",IF(F622=5,"Jueves",IF(F622=6,"Viernes",IF(F622=7,"Sábado",0)))))))</f>
        <v>#REF!</v>
      </c>
      <c r="F622" s="190" t="e">
        <f>WEEKDAY(D622)</f>
        <v>#REF!</v>
      </c>
      <c r="G622" s="142"/>
      <c r="H622" s="111"/>
    </row>
    <row r="623" spans="1:8" ht="15.75">
      <c r="A623" s="80"/>
      <c r="B623" s="81"/>
      <c r="C623" s="81" t="s">
        <v>147</v>
      </c>
      <c r="D623" s="145" t="e">
        <f>DMAX('17_1'!A$85:L$123,'17_1'!$L$85,G616:G617)</f>
        <v>#REF!</v>
      </c>
      <c r="E623" s="189" t="e">
        <f>IF(F623=1,"Domingo",IF(F623=2,"Lunes",IF(F623=3,"Martes",IF(F623=4,"Miercoles",IF(F623=5,"Jueves",IF(F623=6,"Viernes",IF(F623=7,"Sábado",0)))))))</f>
        <v>#REF!</v>
      </c>
      <c r="F623" s="190" t="e">
        <f>WEEKDAY(D623)</f>
        <v>#REF!</v>
      </c>
      <c r="G623" s="142"/>
      <c r="H623" s="111"/>
    </row>
    <row r="624" spans="1:8">
      <c r="A624" s="80"/>
      <c r="B624" s="81"/>
      <c r="C624" s="81"/>
      <c r="D624" s="81"/>
      <c r="E624" s="81"/>
      <c r="F624" s="584"/>
      <c r="G624" s="584"/>
      <c r="H624" s="111"/>
    </row>
    <row r="625" spans="1:8">
      <c r="A625" s="80"/>
      <c r="B625" s="146">
        <f>+Mensajes!$B$7</f>
        <v>0</v>
      </c>
      <c r="C625" s="81"/>
      <c r="D625" s="81"/>
      <c r="E625" s="81"/>
      <c r="F625" s="81"/>
      <c r="G625" s="81"/>
      <c r="H625" s="111"/>
    </row>
    <row r="626" spans="1:8">
      <c r="A626" s="80"/>
      <c r="B626" s="146">
        <f>+Mensajes!$B$12</f>
        <v>0</v>
      </c>
      <c r="C626" s="81"/>
      <c r="D626" s="81"/>
      <c r="E626" s="81"/>
      <c r="F626" s="81"/>
      <c r="G626" s="81"/>
      <c r="H626" s="111"/>
    </row>
    <row r="627" spans="1:8">
      <c r="A627" s="80"/>
      <c r="B627" s="146" t="str">
        <f>IF(VLOOKUP(G617,'17_1'!$A$85:$N$123,14,0)=0,"",VLOOKUP(G617,'17_1'!$A$85:$N$123,14,0))</f>
        <v/>
      </c>
      <c r="C627" s="81"/>
      <c r="D627" s="81"/>
      <c r="E627" s="81"/>
      <c r="F627" s="81"/>
      <c r="G627" s="81"/>
      <c r="H627" s="111"/>
    </row>
    <row r="628" spans="1:8">
      <c r="A628" s="140"/>
      <c r="B628" s="188" t="str">
        <f>IF(DSUM('17_1'!$A$85:$Q$123,17,G616:G617)=COUNTIF('17_1'!$A$85:$A$123,G617),"","Regularice su Deuda")</f>
        <v/>
      </c>
      <c r="C628" s="82"/>
      <c r="D628" s="82"/>
      <c r="E628" s="82"/>
      <c r="F628" s="82"/>
      <c r="G628" s="82"/>
      <c r="H628" s="83"/>
    </row>
    <row r="630" spans="1:8">
      <c r="A630" s="108"/>
      <c r="B630" s="109"/>
      <c r="C630" s="109"/>
      <c r="D630" s="109"/>
      <c r="E630" s="109"/>
      <c r="F630" s="109"/>
      <c r="G630" s="109"/>
      <c r="H630" s="110"/>
    </row>
    <row r="631" spans="1:8">
      <c r="A631" s="80"/>
      <c r="B631" s="147" t="s">
        <v>64</v>
      </c>
      <c r="C631" s="81"/>
      <c r="D631" s="81"/>
      <c r="E631" s="81"/>
      <c r="F631" s="81"/>
      <c r="G631" s="81"/>
      <c r="H631" s="111"/>
    </row>
    <row r="632" spans="1:8">
      <c r="A632" s="80"/>
      <c r="B632" s="81"/>
      <c r="C632" s="81"/>
      <c r="D632" s="81"/>
      <c r="E632" s="81"/>
      <c r="F632" s="81"/>
      <c r="G632" s="81"/>
      <c r="H632" s="111"/>
    </row>
    <row r="633" spans="1:8">
      <c r="A633" s="80"/>
      <c r="B633" s="81" t="s">
        <v>139</v>
      </c>
      <c r="C633" s="81" t="str">
        <f>VLOOKUP(G634,'17_1'!$A$85:$G$123,6,0)</f>
        <v>ARAUJO QUIROGA, FERNANDO ALBERTO</v>
      </c>
      <c r="D633" s="81"/>
      <c r="E633" s="81"/>
      <c r="F633" s="81"/>
      <c r="G633" s="138" t="s">
        <v>102</v>
      </c>
      <c r="H633" s="111"/>
    </row>
    <row r="634" spans="1:8">
      <c r="A634" s="80"/>
      <c r="B634" s="81" t="s">
        <v>72</v>
      </c>
      <c r="C634" s="81" t="str">
        <f>+'17_1'!$A$75</f>
        <v>Hijuela Gelvez - CUBELLS</v>
      </c>
      <c r="D634" s="81"/>
      <c r="E634" s="81"/>
      <c r="F634" s="81"/>
      <c r="G634" s="138">
        <v>12</v>
      </c>
      <c r="H634" s="111"/>
    </row>
    <row r="635" spans="1:8">
      <c r="A635" s="80"/>
      <c r="B635" s="81"/>
      <c r="C635" s="81"/>
      <c r="D635" s="81"/>
      <c r="E635" s="81"/>
      <c r="F635" s="81"/>
      <c r="G635" s="81"/>
      <c r="H635" s="111"/>
    </row>
    <row r="636" spans="1:8">
      <c r="A636" s="80"/>
      <c r="B636" s="81" t="s">
        <v>140</v>
      </c>
      <c r="C636" s="138">
        <f>VLOOKUP(G634,'17_1'!$A$85:$B$123,2,0)</f>
        <v>1213</v>
      </c>
      <c r="D636" s="81"/>
      <c r="E636" s="139" t="s">
        <v>141</v>
      </c>
      <c r="F636" s="141" t="e">
        <f>DSUM('17_1'!A$85:J$123,'17_1'!$J$85,G633:G634)</f>
        <v>#N/A</v>
      </c>
      <c r="G636" s="81"/>
      <c r="H636" s="111"/>
    </row>
    <row r="637" spans="1:8">
      <c r="A637" s="80"/>
      <c r="B637" s="81" t="s">
        <v>142</v>
      </c>
      <c r="C637" s="205">
        <v>95</v>
      </c>
      <c r="D637" s="81"/>
      <c r="E637" s="81"/>
      <c r="F637" s="81"/>
      <c r="G637" s="81"/>
      <c r="H637" s="111"/>
    </row>
    <row r="638" spans="1:8">
      <c r="A638" s="80"/>
      <c r="B638" s="81" t="s">
        <v>144</v>
      </c>
      <c r="C638" s="206">
        <f>DSUM('17_1'!$A$85:$H$123,'17_1'!$H$85,G633:G634)</f>
        <v>0</v>
      </c>
      <c r="D638" s="81"/>
      <c r="E638" s="81"/>
      <c r="F638" s="584"/>
      <c r="G638" s="584"/>
      <c r="H638" s="111"/>
    </row>
    <row r="639" spans="1:8" ht="15.75">
      <c r="A639" s="80"/>
      <c r="B639" s="81"/>
      <c r="C639" s="81" t="s">
        <v>146</v>
      </c>
      <c r="D639" s="145" t="e">
        <f>DMIN('17_1'!A$85:K$123,'17_1'!$K$85,G633:G634)</f>
        <v>#REF!</v>
      </c>
      <c r="E639" s="189" t="e">
        <f>IF(F639=1,"Domingo",IF(F639=2,"Lunes",IF(F639=3,"Martes",IF(F639=4,"Miercoles",IF(F639=5,"Jueves",IF(F639=6,"Viernes",IF(F639=7,"Sábado",0)))))))</f>
        <v>#REF!</v>
      </c>
      <c r="F639" s="190" t="e">
        <f>WEEKDAY(D639)</f>
        <v>#REF!</v>
      </c>
      <c r="G639" s="142"/>
      <c r="H639" s="111"/>
    </row>
    <row r="640" spans="1:8" ht="15.75">
      <c r="A640" s="80"/>
      <c r="B640" s="81"/>
      <c r="C640" s="81" t="s">
        <v>147</v>
      </c>
      <c r="D640" s="145" t="e">
        <f>DMAX('17_1'!A$85:L$123,'17_1'!$L$85,G633:G634)</f>
        <v>#REF!</v>
      </c>
      <c r="E640" s="189" t="e">
        <f>IF(F640=1,"Domingo",IF(F640=2,"Lunes",IF(F640=3,"Martes",IF(F640=4,"Miercoles",IF(F640=5,"Jueves",IF(F640=6,"Viernes",IF(F640=7,"Sábado",0)))))))</f>
        <v>#REF!</v>
      </c>
      <c r="F640" s="190" t="e">
        <f>WEEKDAY(D640)</f>
        <v>#REF!</v>
      </c>
      <c r="G640" s="142"/>
      <c r="H640" s="111"/>
    </row>
    <row r="641" spans="1:8">
      <c r="A641" s="80"/>
      <c r="B641" s="81"/>
      <c r="C641" s="81"/>
      <c r="D641" s="81"/>
      <c r="E641" s="81"/>
      <c r="F641" s="584"/>
      <c r="G641" s="584"/>
      <c r="H641" s="111"/>
    </row>
    <row r="642" spans="1:8">
      <c r="A642" s="80"/>
      <c r="B642" s="146">
        <f>+Mensajes!$B$7</f>
        <v>0</v>
      </c>
      <c r="C642" s="81"/>
      <c r="D642" s="81"/>
      <c r="E642" s="81"/>
      <c r="F642" s="81"/>
      <c r="G642" s="81"/>
      <c r="H642" s="111"/>
    </row>
    <row r="643" spans="1:8">
      <c r="A643" s="80"/>
      <c r="B643" s="146">
        <f>+Mensajes!$B$12</f>
        <v>0</v>
      </c>
      <c r="C643" s="81"/>
      <c r="D643" s="81"/>
      <c r="E643" s="81"/>
      <c r="F643" s="81"/>
      <c r="G643" s="81"/>
      <c r="H643" s="111"/>
    </row>
    <row r="644" spans="1:8">
      <c r="A644" s="80"/>
      <c r="B644" s="146" t="str">
        <f>IF(VLOOKUP(G634,'17_1'!$A$85:$N$123,14,0)=0,"",VLOOKUP(G634,'17_1'!$A$85:$N$123,14,0))</f>
        <v/>
      </c>
      <c r="C644" s="81"/>
      <c r="D644" s="81"/>
      <c r="E644" s="81"/>
      <c r="F644" s="81"/>
      <c r="G644" s="81"/>
      <c r="H644" s="111"/>
    </row>
    <row r="645" spans="1:8">
      <c r="A645" s="140"/>
      <c r="B645" s="188" t="str">
        <f>IF(DSUM('17_1'!$A$85:$Q$123,17,G633:G634)=COUNTIF('17_1'!$A$85:$A$123,G634),"","Regularice su Deuda")</f>
        <v>Regularice su Deuda</v>
      </c>
      <c r="C645" s="82"/>
      <c r="D645" s="82"/>
      <c r="E645" s="82"/>
      <c r="F645" s="82"/>
      <c r="G645" s="82"/>
      <c r="H645" s="83"/>
    </row>
    <row r="647" spans="1:8">
      <c r="A647" s="108"/>
      <c r="B647" s="109"/>
      <c r="C647" s="109"/>
      <c r="D647" s="109"/>
      <c r="E647" s="109"/>
      <c r="F647" s="109"/>
      <c r="G647" s="109"/>
      <c r="H647" s="110"/>
    </row>
    <row r="648" spans="1:8">
      <c r="A648" s="80"/>
      <c r="B648" s="147" t="s">
        <v>64</v>
      </c>
      <c r="C648" s="81"/>
      <c r="D648" s="81"/>
      <c r="E648" s="81"/>
      <c r="F648" s="81"/>
      <c r="G648" s="81"/>
      <c r="H648" s="111"/>
    </row>
    <row r="649" spans="1:8">
      <c r="A649" s="80"/>
      <c r="B649" s="81"/>
      <c r="C649" s="81"/>
      <c r="D649" s="81"/>
      <c r="E649" s="81"/>
      <c r="F649" s="81"/>
      <c r="G649" s="81"/>
      <c r="H649" s="111"/>
    </row>
    <row r="650" spans="1:8">
      <c r="A650" s="80"/>
      <c r="B650" s="81" t="s">
        <v>139</v>
      </c>
      <c r="C650" s="81" t="str">
        <f>VLOOKUP(G651,'17_1'!$A$85:$G$123,6,0)</f>
        <v>CALDENTEY, ANTONIO</v>
      </c>
      <c r="D650" s="81"/>
      <c r="E650" s="81"/>
      <c r="F650" s="81"/>
      <c r="G650" s="138" t="s">
        <v>102</v>
      </c>
      <c r="H650" s="111"/>
    </row>
    <row r="651" spans="1:8">
      <c r="A651" s="80"/>
      <c r="B651" s="81" t="s">
        <v>72</v>
      </c>
      <c r="C651" s="81" t="str">
        <f>+'17_1'!$A$75</f>
        <v>Hijuela Gelvez - CUBELLS</v>
      </c>
      <c r="D651" s="81"/>
      <c r="E651" s="81"/>
      <c r="F651" s="81"/>
      <c r="G651" s="138">
        <v>13</v>
      </c>
      <c r="H651" s="111"/>
    </row>
    <row r="652" spans="1:8">
      <c r="A652" s="80"/>
      <c r="B652" s="81"/>
      <c r="C652" s="81"/>
      <c r="D652" s="81"/>
      <c r="E652" s="81"/>
      <c r="F652" s="81"/>
      <c r="G652" s="81"/>
      <c r="H652" s="111"/>
    </row>
    <row r="653" spans="1:8">
      <c r="A653" s="80"/>
      <c r="B653" s="81" t="s">
        <v>140</v>
      </c>
      <c r="C653" s="138">
        <f>VLOOKUP(G651,'17_1'!$A$85:$B$123,2,0)</f>
        <v>1213</v>
      </c>
      <c r="D653" s="81"/>
      <c r="E653" s="139" t="s">
        <v>141</v>
      </c>
      <c r="F653" s="141" t="e">
        <f>DSUM('17_1'!A$85:J$123,'17_1'!$J$85,G650:G651)</f>
        <v>#N/A</v>
      </c>
      <c r="G653" s="81"/>
      <c r="H653" s="111"/>
    </row>
    <row r="654" spans="1:8">
      <c r="A654" s="80"/>
      <c r="B654" s="81" t="s">
        <v>142</v>
      </c>
      <c r="C654" s="205" t="s">
        <v>545</v>
      </c>
      <c r="D654" s="81"/>
      <c r="E654" s="81"/>
      <c r="F654" s="81"/>
      <c r="G654" s="81"/>
      <c r="H654" s="111"/>
    </row>
    <row r="655" spans="1:8">
      <c r="A655" s="80"/>
      <c r="B655" s="81" t="s">
        <v>144</v>
      </c>
      <c r="C655" s="206">
        <f>DSUM('17_1'!$A$85:$H$123,'17_1'!$H$85,G650:G651)</f>
        <v>0.7228</v>
      </c>
      <c r="D655" s="81"/>
      <c r="E655" s="81"/>
      <c r="F655" s="584"/>
      <c r="G655" s="584"/>
      <c r="H655" s="111"/>
    </row>
    <row r="656" spans="1:8" ht="15.75">
      <c r="A656" s="80"/>
      <c r="B656" s="81"/>
      <c r="C656" s="81" t="s">
        <v>146</v>
      </c>
      <c r="D656" s="145" t="e">
        <f>DMIN('17_1'!A$85:K$123,'17_1'!$K$85,G650:G651)</f>
        <v>#REF!</v>
      </c>
      <c r="E656" s="189" t="e">
        <f>IF(F656=1,"Domingo",IF(F656=2,"Lunes",IF(F656=3,"Martes",IF(F656=4,"Miercoles",IF(F656=5,"Jueves",IF(F656=6,"Viernes",IF(F656=7,"Sábado",0)))))))</f>
        <v>#REF!</v>
      </c>
      <c r="F656" s="190" t="e">
        <f>WEEKDAY(D656)</f>
        <v>#REF!</v>
      </c>
      <c r="G656" s="142"/>
      <c r="H656" s="111"/>
    </row>
    <row r="657" spans="1:8" ht="15.75">
      <c r="A657" s="80"/>
      <c r="B657" s="81"/>
      <c r="C657" s="81" t="s">
        <v>147</v>
      </c>
      <c r="D657" s="145" t="e">
        <f>DMAX('17_1'!A$85:L$123,'17_1'!$L$85,G650:G651)</f>
        <v>#REF!</v>
      </c>
      <c r="E657" s="189" t="e">
        <f>IF(F657=1,"Domingo",IF(F657=2,"Lunes",IF(F657=3,"Martes",IF(F657=4,"Miercoles",IF(F657=5,"Jueves",IF(F657=6,"Viernes",IF(F657=7,"Sábado",0)))))))</f>
        <v>#REF!</v>
      </c>
      <c r="F657" s="190" t="e">
        <f>WEEKDAY(D657)</f>
        <v>#REF!</v>
      </c>
      <c r="G657" s="142"/>
      <c r="H657" s="111"/>
    </row>
    <row r="658" spans="1:8">
      <c r="A658" s="80"/>
      <c r="B658" s="81"/>
      <c r="C658" s="81"/>
      <c r="D658" s="81"/>
      <c r="E658" s="81"/>
      <c r="F658" s="584"/>
      <c r="G658" s="584"/>
      <c r="H658" s="111"/>
    </row>
    <row r="659" spans="1:8">
      <c r="A659" s="80"/>
      <c r="B659" s="146">
        <f>+Mensajes!$B$7</f>
        <v>0</v>
      </c>
      <c r="C659" s="81"/>
      <c r="D659" s="81"/>
      <c r="E659" s="81"/>
      <c r="F659" s="81"/>
      <c r="G659" s="81"/>
      <c r="H659" s="111"/>
    </row>
    <row r="660" spans="1:8">
      <c r="A660" s="80"/>
      <c r="B660" s="146">
        <f>+Mensajes!$B$12</f>
        <v>0</v>
      </c>
      <c r="C660" s="81"/>
      <c r="D660" s="81"/>
      <c r="E660" s="81"/>
      <c r="F660" s="81"/>
      <c r="G660" s="81"/>
      <c r="H660" s="111"/>
    </row>
    <row r="661" spans="1:8">
      <c r="A661" s="80"/>
      <c r="B661" s="146" t="str">
        <f>IF(VLOOKUP(G651,'17_1'!$A$85:$N$123,14,0)=0,"",VLOOKUP(G651,'17_1'!$A$85:$N$123,14,0))</f>
        <v/>
      </c>
      <c r="C661" s="81"/>
      <c r="D661" s="81"/>
      <c r="E661" s="81"/>
      <c r="F661" s="81"/>
      <c r="G661" s="81"/>
      <c r="H661" s="111"/>
    </row>
    <row r="662" spans="1:8">
      <c r="A662" s="140"/>
      <c r="B662" s="188" t="str">
        <f>IF(DSUM('17_1'!$A$85:$Q$123,17,G650:G651)=COUNTIF('17_1'!$A$85:$A$123,G651),"","Regularice su Deuda")</f>
        <v/>
      </c>
      <c r="C662" s="82"/>
      <c r="D662" s="82"/>
      <c r="E662" s="82"/>
      <c r="F662" s="82"/>
      <c r="G662" s="82"/>
      <c r="H662" s="83"/>
    </row>
    <row r="664" spans="1:8">
      <c r="A664" s="108"/>
      <c r="B664" s="109"/>
      <c r="C664" s="109"/>
      <c r="D664" s="109"/>
      <c r="E664" s="109"/>
      <c r="F664" s="109"/>
      <c r="G664" s="109"/>
      <c r="H664" s="110"/>
    </row>
    <row r="665" spans="1:8">
      <c r="A665" s="80"/>
      <c r="B665" s="147" t="s">
        <v>64</v>
      </c>
      <c r="C665" s="81"/>
      <c r="D665" s="81"/>
      <c r="E665" s="81"/>
      <c r="F665" s="81"/>
      <c r="G665" s="81"/>
      <c r="H665" s="111"/>
    </row>
    <row r="666" spans="1:8">
      <c r="A666" s="80"/>
      <c r="B666" s="81"/>
      <c r="C666" s="81"/>
      <c r="D666" s="81"/>
      <c r="E666" s="81"/>
      <c r="F666" s="81"/>
      <c r="G666" s="81"/>
      <c r="H666" s="111"/>
    </row>
    <row r="667" spans="1:8">
      <c r="A667" s="80"/>
      <c r="B667" s="81" t="s">
        <v>139</v>
      </c>
      <c r="C667" s="81" t="str">
        <f>VLOOKUP(G668,'17_1'!$A$85:$G$123,6,0)</f>
        <v>PASCOLO, ARTURO ALBERTO</v>
      </c>
      <c r="D667" s="81"/>
      <c r="E667" s="81"/>
      <c r="F667" s="81"/>
      <c r="G667" s="138" t="s">
        <v>102</v>
      </c>
      <c r="H667" s="111"/>
    </row>
    <row r="668" spans="1:8">
      <c r="A668" s="80"/>
      <c r="B668" s="81" t="s">
        <v>72</v>
      </c>
      <c r="C668" s="81" t="str">
        <f>+'17_1'!$A$75</f>
        <v>Hijuela Gelvez - CUBELLS</v>
      </c>
      <c r="D668" s="81"/>
      <c r="E668" s="81"/>
      <c r="F668" s="81"/>
      <c r="G668" s="138">
        <v>14</v>
      </c>
      <c r="H668" s="111"/>
    </row>
    <row r="669" spans="1:8">
      <c r="A669" s="80"/>
      <c r="B669" s="81"/>
      <c r="C669" s="81"/>
      <c r="D669" s="81"/>
      <c r="E669" s="81"/>
      <c r="F669" s="81"/>
      <c r="G669" s="81"/>
      <c r="H669" s="111"/>
    </row>
    <row r="670" spans="1:8">
      <c r="A670" s="80"/>
      <c r="B670" s="81" t="s">
        <v>140</v>
      </c>
      <c r="C670" s="138">
        <f>VLOOKUP(G668,'17_1'!$A$85:$B$123,2,0)</f>
        <v>1213</v>
      </c>
      <c r="D670" s="81"/>
      <c r="E670" s="139" t="s">
        <v>141</v>
      </c>
      <c r="F670" s="141" t="e">
        <f>DSUM('17_1'!A$85:J$123,'17_1'!$J$85,G667:G668)</f>
        <v>#N/A</v>
      </c>
      <c r="G670" s="81"/>
      <c r="H670" s="111"/>
    </row>
    <row r="671" spans="1:8">
      <c r="A671" s="80"/>
      <c r="B671" s="81" t="s">
        <v>142</v>
      </c>
      <c r="C671" s="205">
        <v>212</v>
      </c>
      <c r="D671" s="81"/>
      <c r="E671" s="81"/>
      <c r="F671" s="81"/>
      <c r="G671" s="81"/>
      <c r="H671" s="111"/>
    </row>
    <row r="672" spans="1:8">
      <c r="A672" s="80"/>
      <c r="B672" s="81" t="s">
        <v>144</v>
      </c>
      <c r="C672" s="206">
        <f>DSUM('17_1'!$A$85:$H$123,'17_1'!$H$85,G667:G668)</f>
        <v>0.5</v>
      </c>
      <c r="D672" s="81"/>
      <c r="E672" s="81"/>
      <c r="F672" s="584"/>
      <c r="G672" s="584"/>
      <c r="H672" s="111"/>
    </row>
    <row r="673" spans="1:8" ht="15.75">
      <c r="A673" s="80"/>
      <c r="B673" s="81"/>
      <c r="C673" s="81" t="s">
        <v>146</v>
      </c>
      <c r="D673" s="145" t="e">
        <f>DMIN('17_1'!A$85:K$123,'17_1'!$K$85,G667:G668)</f>
        <v>#REF!</v>
      </c>
      <c r="E673" s="189" t="e">
        <f>IF(F673=1,"Domingo",IF(F673=2,"Lunes",IF(F673=3,"Martes",IF(F673=4,"Miercoles",IF(F673=5,"Jueves",IF(F673=6,"Viernes",IF(F673=7,"Sábado",0)))))))</f>
        <v>#REF!</v>
      </c>
      <c r="F673" s="190" t="e">
        <f>WEEKDAY(D673)</f>
        <v>#REF!</v>
      </c>
      <c r="G673" s="142"/>
      <c r="H673" s="111"/>
    </row>
    <row r="674" spans="1:8" ht="15.75">
      <c r="A674" s="80"/>
      <c r="B674" s="81"/>
      <c r="C674" s="81" t="s">
        <v>147</v>
      </c>
      <c r="D674" s="145" t="e">
        <f>DMAX('17_1'!A$85:L$123,'17_1'!$L$85,G667:G668)</f>
        <v>#REF!</v>
      </c>
      <c r="E674" s="189" t="e">
        <f>IF(F674=1,"Domingo",IF(F674=2,"Lunes",IF(F674=3,"Martes",IF(F674=4,"Miercoles",IF(F674=5,"Jueves",IF(F674=6,"Viernes",IF(F674=7,"Sábado",0)))))))</f>
        <v>#REF!</v>
      </c>
      <c r="F674" s="190" t="e">
        <f>WEEKDAY(D674)</f>
        <v>#REF!</v>
      </c>
      <c r="G674" s="142"/>
      <c r="H674" s="111"/>
    </row>
    <row r="675" spans="1:8">
      <c r="A675" s="80"/>
      <c r="B675" s="81"/>
      <c r="C675" s="81"/>
      <c r="D675" s="81"/>
      <c r="E675" s="81"/>
      <c r="F675" s="584"/>
      <c r="G675" s="584"/>
      <c r="H675" s="111"/>
    </row>
    <row r="676" spans="1:8">
      <c r="A676" s="80"/>
      <c r="B676" s="146">
        <f>+Mensajes!$B$7</f>
        <v>0</v>
      </c>
      <c r="C676" s="81"/>
      <c r="D676" s="81"/>
      <c r="E676" s="81"/>
      <c r="F676" s="81"/>
      <c r="G676" s="81"/>
      <c r="H676" s="111"/>
    </row>
    <row r="677" spans="1:8">
      <c r="A677" s="80"/>
      <c r="B677" s="146">
        <f>+Mensajes!$B$12</f>
        <v>0</v>
      </c>
      <c r="C677" s="81"/>
      <c r="D677" s="81"/>
      <c r="E677" s="81"/>
      <c r="F677" s="81"/>
      <c r="G677" s="81"/>
      <c r="H677" s="111"/>
    </row>
    <row r="678" spans="1:8">
      <c r="A678" s="80"/>
      <c r="B678" s="146" t="str">
        <f>IF(VLOOKUP(G668,'17_1'!$A$85:$N$123,14,0)=0,"",VLOOKUP(G668,'17_1'!$A$85:$N$123,14,0))</f>
        <v/>
      </c>
      <c r="C678" s="81"/>
      <c r="D678" s="81"/>
      <c r="E678" s="81"/>
      <c r="F678" s="81"/>
      <c r="G678" s="81"/>
      <c r="H678" s="111"/>
    </row>
    <row r="679" spans="1:8">
      <c r="A679" s="140"/>
      <c r="B679" s="188" t="str">
        <f>IF(DSUM('17_1'!$A$85:$Q$123,17,G667:G668)=COUNTIF('17_1'!$A$85:$A$123,G668),"","Regularice su Deuda")</f>
        <v/>
      </c>
      <c r="C679" s="82"/>
      <c r="D679" s="82"/>
      <c r="E679" s="82"/>
      <c r="F679" s="82"/>
      <c r="G679" s="82"/>
      <c r="H679" s="83"/>
    </row>
    <row r="681" spans="1:8">
      <c r="A681" s="108"/>
      <c r="B681" s="109"/>
      <c r="C681" s="109"/>
      <c r="D681" s="109"/>
      <c r="E681" s="109"/>
      <c r="F681" s="109"/>
      <c r="G681" s="109"/>
      <c r="H681" s="110"/>
    </row>
    <row r="682" spans="1:8">
      <c r="A682" s="80"/>
      <c r="B682" s="147" t="s">
        <v>64</v>
      </c>
      <c r="C682" s="81"/>
      <c r="D682" s="81"/>
      <c r="E682" s="81"/>
      <c r="F682" s="81"/>
      <c r="G682" s="81"/>
      <c r="H682" s="111"/>
    </row>
    <row r="683" spans="1:8">
      <c r="A683" s="80"/>
      <c r="B683" s="81"/>
      <c r="C683" s="81"/>
      <c r="D683" s="81"/>
      <c r="E683" s="81"/>
      <c r="F683" s="81"/>
      <c r="G683" s="81"/>
      <c r="H683" s="111"/>
    </row>
    <row r="684" spans="1:8">
      <c r="A684" s="80"/>
      <c r="B684" s="81" t="s">
        <v>139</v>
      </c>
      <c r="C684" s="81" t="str">
        <f>VLOOKUP(G685,'17_1'!$A$85:$G$123,6,0)</f>
        <v>NUËEZ VERAS, ALFREDO</v>
      </c>
      <c r="D684" s="81"/>
      <c r="E684" s="81"/>
      <c r="F684" s="81"/>
      <c r="G684" s="138" t="s">
        <v>102</v>
      </c>
      <c r="H684" s="111"/>
    </row>
    <row r="685" spans="1:8">
      <c r="A685" s="80"/>
      <c r="B685" s="81" t="s">
        <v>72</v>
      </c>
      <c r="C685" s="81" t="str">
        <f>+'17_1'!$A$75</f>
        <v>Hijuela Gelvez - CUBELLS</v>
      </c>
      <c r="D685" s="81"/>
      <c r="E685" s="81"/>
      <c r="F685" s="81"/>
      <c r="G685" s="138">
        <v>15</v>
      </c>
      <c r="H685" s="111"/>
    </row>
    <row r="686" spans="1:8">
      <c r="A686" s="80"/>
      <c r="B686" s="81"/>
      <c r="C686" s="81"/>
      <c r="D686" s="81"/>
      <c r="E686" s="81"/>
      <c r="F686" s="81"/>
      <c r="G686" s="81"/>
      <c r="H686" s="111"/>
    </row>
    <row r="687" spans="1:8">
      <c r="A687" s="80"/>
      <c r="B687" s="81" t="s">
        <v>140</v>
      </c>
      <c r="C687" s="138">
        <f>VLOOKUP(G685,'17_1'!$A$85:$B$123,2,0)</f>
        <v>1213</v>
      </c>
      <c r="D687" s="81"/>
      <c r="E687" s="139" t="s">
        <v>141</v>
      </c>
      <c r="F687" s="141" t="e">
        <f>DSUM('17_1'!A$85:J$123,'17_1'!$J$85,G684:G685)</f>
        <v>#N/A</v>
      </c>
      <c r="G687" s="81"/>
      <c r="H687" s="111"/>
    </row>
    <row r="688" spans="1:8">
      <c r="A688" s="80"/>
      <c r="B688" s="81" t="s">
        <v>142</v>
      </c>
      <c r="C688" s="205">
        <v>105</v>
      </c>
      <c r="D688" s="81"/>
      <c r="E688" s="81"/>
      <c r="F688" s="81"/>
      <c r="G688" s="81"/>
      <c r="H688" s="111"/>
    </row>
    <row r="689" spans="1:8">
      <c r="A689" s="80"/>
      <c r="B689" s="81" t="s">
        <v>144</v>
      </c>
      <c r="C689" s="206">
        <f>DSUM('17_1'!$A$85:$H$123,'17_1'!$H$85,G684:G685)</f>
        <v>0</v>
      </c>
      <c r="D689" s="81"/>
      <c r="E689" s="81"/>
      <c r="F689" s="584"/>
      <c r="G689" s="584"/>
      <c r="H689" s="111"/>
    </row>
    <row r="690" spans="1:8" ht="15.75">
      <c r="A690" s="80"/>
      <c r="B690" s="81"/>
      <c r="C690" s="81" t="s">
        <v>146</v>
      </c>
      <c r="D690" s="145" t="e">
        <f>DMIN('17_1'!A$85:K$123,'17_1'!$K$85,G684:G685)</f>
        <v>#REF!</v>
      </c>
      <c r="E690" s="189" t="e">
        <f>IF(F690=1,"Domingo",IF(F690=2,"Lunes",IF(F690=3,"Martes",IF(F690=4,"Miercoles",IF(F690=5,"Jueves",IF(F690=6,"Viernes",IF(F690=7,"Sábado",0)))))))</f>
        <v>#REF!</v>
      </c>
      <c r="F690" s="190" t="e">
        <f>WEEKDAY(D690)</f>
        <v>#REF!</v>
      </c>
      <c r="G690" s="142"/>
      <c r="H690" s="111"/>
    </row>
    <row r="691" spans="1:8" ht="15.75">
      <c r="A691" s="80"/>
      <c r="B691" s="81"/>
      <c r="C691" s="81" t="s">
        <v>147</v>
      </c>
      <c r="D691" s="145" t="e">
        <f>DMAX('17_1'!A$85:L$123,'17_1'!$L$85,G684:G685)</f>
        <v>#REF!</v>
      </c>
      <c r="E691" s="189" t="e">
        <f>IF(F691=1,"Domingo",IF(F691=2,"Lunes",IF(F691=3,"Martes",IF(F691=4,"Miercoles",IF(F691=5,"Jueves",IF(F691=6,"Viernes",IF(F691=7,"Sábado",0)))))))</f>
        <v>#REF!</v>
      </c>
      <c r="F691" s="190" t="e">
        <f>WEEKDAY(D691)</f>
        <v>#REF!</v>
      </c>
      <c r="G691" s="142"/>
      <c r="H691" s="111"/>
    </row>
    <row r="692" spans="1:8">
      <c r="A692" s="80"/>
      <c r="B692" s="81"/>
      <c r="C692" s="81"/>
      <c r="D692" s="81"/>
      <c r="E692" s="81"/>
      <c r="F692" s="584"/>
      <c r="G692" s="584"/>
      <c r="H692" s="111"/>
    </row>
    <row r="693" spans="1:8">
      <c r="A693" s="80"/>
      <c r="B693" s="146">
        <f>+Mensajes!$B$7</f>
        <v>0</v>
      </c>
      <c r="C693" s="81"/>
      <c r="D693" s="81"/>
      <c r="E693" s="81"/>
      <c r="F693" s="81"/>
      <c r="G693" s="81"/>
      <c r="H693" s="111"/>
    </row>
    <row r="694" spans="1:8">
      <c r="A694" s="80"/>
      <c r="B694" s="146">
        <f>+Mensajes!$B$12</f>
        <v>0</v>
      </c>
      <c r="C694" s="81"/>
      <c r="D694" s="81"/>
      <c r="E694" s="81"/>
      <c r="F694" s="81"/>
      <c r="G694" s="81"/>
      <c r="H694" s="111"/>
    </row>
    <row r="695" spans="1:8">
      <c r="A695" s="80"/>
      <c r="B695" s="146" t="str">
        <f>IF(VLOOKUP(G685,'17_1'!$A$85:$N$123,14,0)=0,"",VLOOKUP(G685,'17_1'!$A$85:$N$123,14,0))</f>
        <v/>
      </c>
      <c r="C695" s="81"/>
      <c r="D695" s="81"/>
      <c r="E695" s="81"/>
      <c r="F695" s="81"/>
      <c r="G695" s="81"/>
      <c r="H695" s="111"/>
    </row>
    <row r="696" spans="1:8">
      <c r="A696" s="140"/>
      <c r="B696" s="188" t="str">
        <f>IF(DSUM('17_1'!$A$85:$Q$123,17,G684:G685)=COUNTIF('17_1'!$A$85:$A$123,G685),"","Regularice su Deuda")</f>
        <v>Regularice su Deuda</v>
      </c>
      <c r="C696" s="82"/>
      <c r="D696" s="82"/>
      <c r="E696" s="82"/>
      <c r="F696" s="82"/>
      <c r="G696" s="82"/>
      <c r="H696" s="83"/>
    </row>
    <row r="698" spans="1:8">
      <c r="A698" s="108"/>
      <c r="B698" s="109"/>
      <c r="C698" s="109"/>
      <c r="D698" s="109"/>
      <c r="E698" s="109"/>
      <c r="F698" s="109"/>
      <c r="G698" s="109"/>
      <c r="H698" s="110"/>
    </row>
    <row r="699" spans="1:8">
      <c r="A699" s="80"/>
      <c r="B699" s="147" t="s">
        <v>64</v>
      </c>
      <c r="C699" s="81"/>
      <c r="D699" s="81"/>
      <c r="E699" s="81"/>
      <c r="F699" s="81"/>
      <c r="G699" s="81"/>
      <c r="H699" s="111"/>
    </row>
    <row r="700" spans="1:8">
      <c r="A700" s="80"/>
      <c r="B700" s="81"/>
      <c r="C700" s="81"/>
      <c r="D700" s="81"/>
      <c r="E700" s="81"/>
      <c r="F700" s="81"/>
      <c r="G700" s="81"/>
      <c r="H700" s="111"/>
    </row>
    <row r="701" spans="1:8">
      <c r="A701" s="80"/>
      <c r="B701" s="81" t="s">
        <v>139</v>
      </c>
      <c r="C701" s="81" t="str">
        <f>VLOOKUP(G702,'17_1'!$A$85:$G$123,6,0)</f>
        <v>CRUZ, PEDRO</v>
      </c>
      <c r="D701" s="81"/>
      <c r="E701" s="81"/>
      <c r="F701" s="81"/>
      <c r="G701" s="138" t="s">
        <v>102</v>
      </c>
      <c r="H701" s="111"/>
    </row>
    <row r="702" spans="1:8">
      <c r="A702" s="80"/>
      <c r="B702" s="81" t="s">
        <v>72</v>
      </c>
      <c r="C702" s="81" t="str">
        <f>+'17_1'!$A$75</f>
        <v>Hijuela Gelvez - CUBELLS</v>
      </c>
      <c r="D702" s="81"/>
      <c r="E702" s="81"/>
      <c r="F702" s="81"/>
      <c r="G702" s="138">
        <v>16</v>
      </c>
      <c r="H702" s="111"/>
    </row>
    <row r="703" spans="1:8">
      <c r="A703" s="80"/>
      <c r="B703" s="81"/>
      <c r="C703" s="81"/>
      <c r="D703" s="81"/>
      <c r="E703" s="81"/>
      <c r="F703" s="81"/>
      <c r="G703" s="81"/>
      <c r="H703" s="111"/>
    </row>
    <row r="704" spans="1:8">
      <c r="A704" s="80"/>
      <c r="B704" s="81" t="s">
        <v>140</v>
      </c>
      <c r="C704" s="138">
        <f>VLOOKUP(G702,'17_1'!$A$85:$B$123,2,0)</f>
        <v>1213</v>
      </c>
      <c r="D704" s="81"/>
      <c r="E704" s="139" t="s">
        <v>141</v>
      </c>
      <c r="F704" s="141" t="e">
        <f>DSUM('17_1'!A$85:J$123,'17_1'!$J$85,G701:G702)</f>
        <v>#N/A</v>
      </c>
      <c r="G704" s="81"/>
      <c r="H704" s="111"/>
    </row>
    <row r="705" spans="1:8">
      <c r="A705" s="80"/>
      <c r="B705" s="81" t="s">
        <v>142</v>
      </c>
      <c r="C705" s="205">
        <v>216</v>
      </c>
      <c r="D705" s="81"/>
      <c r="E705" s="81"/>
      <c r="F705" s="81"/>
      <c r="G705" s="81"/>
      <c r="H705" s="111"/>
    </row>
    <row r="706" spans="1:8">
      <c r="A706" s="80"/>
      <c r="B706" s="81" t="s">
        <v>144</v>
      </c>
      <c r="C706" s="206">
        <f>DSUM('17_1'!$A$85:$H$123,'17_1'!$H$85,G701:G702)</f>
        <v>0.1381</v>
      </c>
      <c r="D706" s="81"/>
      <c r="E706" s="81"/>
      <c r="F706" s="584"/>
      <c r="G706" s="584"/>
      <c r="H706" s="111"/>
    </row>
    <row r="707" spans="1:8" ht="15.75">
      <c r="A707" s="80"/>
      <c r="B707" s="81"/>
      <c r="C707" s="81" t="s">
        <v>146</v>
      </c>
      <c r="D707" s="145" t="e">
        <f>DMIN('17_1'!A$85:K$123,'17_1'!$K$85,G701:G702)</f>
        <v>#REF!</v>
      </c>
      <c r="E707" s="189" t="e">
        <f>IF(F707=1,"Domingo",IF(F707=2,"Lunes",IF(F707=3,"Martes",IF(F707=4,"Miercoles",IF(F707=5,"Jueves",IF(F707=6,"Viernes",IF(F707=7,"Sábado",0)))))))</f>
        <v>#REF!</v>
      </c>
      <c r="F707" s="190" t="e">
        <f>WEEKDAY(D707)</f>
        <v>#REF!</v>
      </c>
      <c r="G707" s="142"/>
      <c r="H707" s="111"/>
    </row>
    <row r="708" spans="1:8" ht="15.75">
      <c r="A708" s="80"/>
      <c r="B708" s="81"/>
      <c r="C708" s="81" t="s">
        <v>147</v>
      </c>
      <c r="D708" s="145" t="e">
        <f>DMAX('17_1'!A$85:L$123,'17_1'!$L$85,G701:G702)</f>
        <v>#REF!</v>
      </c>
      <c r="E708" s="189" t="e">
        <f>IF(F708=1,"Domingo",IF(F708=2,"Lunes",IF(F708=3,"Martes",IF(F708=4,"Miercoles",IF(F708=5,"Jueves",IF(F708=6,"Viernes",IF(F708=7,"Sábado",0)))))))</f>
        <v>#REF!</v>
      </c>
      <c r="F708" s="190" t="e">
        <f>WEEKDAY(D708)</f>
        <v>#REF!</v>
      </c>
      <c r="G708" s="142"/>
      <c r="H708" s="111"/>
    </row>
    <row r="709" spans="1:8">
      <c r="A709" s="80"/>
      <c r="B709" s="81"/>
      <c r="C709" s="81"/>
      <c r="D709" s="81"/>
      <c r="E709" s="81"/>
      <c r="F709" s="584"/>
      <c r="G709" s="584"/>
      <c r="H709" s="111"/>
    </row>
    <row r="710" spans="1:8">
      <c r="A710" s="80"/>
      <c r="B710" s="146">
        <f>+Mensajes!$B$7</f>
        <v>0</v>
      </c>
      <c r="C710" s="81"/>
      <c r="D710" s="81"/>
      <c r="E710" s="81"/>
      <c r="F710" s="81"/>
      <c r="G710" s="81"/>
      <c r="H710" s="111"/>
    </row>
    <row r="711" spans="1:8">
      <c r="A711" s="80"/>
      <c r="B711" s="146">
        <f>+Mensajes!$B$12</f>
        <v>0</v>
      </c>
      <c r="C711" s="81"/>
      <c r="D711" s="81"/>
      <c r="E711" s="81"/>
      <c r="F711" s="81"/>
      <c r="G711" s="81"/>
      <c r="H711" s="111"/>
    </row>
    <row r="712" spans="1:8">
      <c r="A712" s="80"/>
      <c r="B712" s="146" t="str">
        <f>IF(VLOOKUP(G702,'17_1'!$A$85:$N$123,14,0)=0,"",VLOOKUP(G702,'17_1'!$A$85:$N$123,14,0))</f>
        <v/>
      </c>
      <c r="C712" s="81"/>
      <c r="D712" s="81"/>
      <c r="E712" s="81"/>
      <c r="F712" s="81"/>
      <c r="G712" s="81"/>
      <c r="H712" s="111"/>
    </row>
    <row r="713" spans="1:8">
      <c r="A713" s="140"/>
      <c r="B713" s="188" t="str">
        <f>IF(DSUM('17_1'!$A$85:$Q$123,17,G701:G702)=COUNTIF('17_1'!$A$85:$A$123,G702),"","Regularice su Deuda")</f>
        <v/>
      </c>
      <c r="C713" s="82"/>
      <c r="D713" s="82"/>
      <c r="E713" s="82"/>
      <c r="F713" s="82"/>
      <c r="G713" s="82"/>
      <c r="H713" s="83"/>
    </row>
    <row r="715" spans="1:8">
      <c r="A715" s="108"/>
      <c r="B715" s="109"/>
      <c r="C715" s="109"/>
      <c r="D715" s="109"/>
      <c r="E715" s="109"/>
      <c r="F715" s="109"/>
      <c r="G715" s="109"/>
      <c r="H715" s="110"/>
    </row>
    <row r="716" spans="1:8">
      <c r="A716" s="80"/>
      <c r="B716" s="147" t="s">
        <v>64</v>
      </c>
      <c r="C716" s="81"/>
      <c r="D716" s="81"/>
      <c r="E716" s="81"/>
      <c r="F716" s="81"/>
      <c r="G716" s="81"/>
      <c r="H716" s="111"/>
    </row>
    <row r="717" spans="1:8">
      <c r="A717" s="80"/>
      <c r="B717" s="81"/>
      <c r="C717" s="81"/>
      <c r="D717" s="81"/>
      <c r="E717" s="81"/>
      <c r="F717" s="81"/>
      <c r="G717" s="81"/>
      <c r="H717" s="111"/>
    </row>
    <row r="718" spans="1:8">
      <c r="A718" s="80"/>
      <c r="B718" s="81" t="s">
        <v>139</v>
      </c>
      <c r="C718" s="81" t="str">
        <f>VLOOKUP(G719,'17_1'!$A$85:$G$123,6,0)</f>
        <v>LODI DE GRECO, MARIA CRISTINA</v>
      </c>
      <c r="D718" s="81"/>
      <c r="E718" s="81"/>
      <c r="F718" s="81"/>
      <c r="G718" s="138" t="s">
        <v>102</v>
      </c>
      <c r="H718" s="111"/>
    </row>
    <row r="719" spans="1:8">
      <c r="A719" s="80"/>
      <c r="B719" s="81" t="s">
        <v>72</v>
      </c>
      <c r="C719" s="81" t="str">
        <f>+'17_1'!$A$75</f>
        <v>Hijuela Gelvez - CUBELLS</v>
      </c>
      <c r="D719" s="81"/>
      <c r="E719" s="81"/>
      <c r="F719" s="81"/>
      <c r="G719" s="138">
        <v>17</v>
      </c>
      <c r="H719" s="111"/>
    </row>
    <row r="720" spans="1:8">
      <c r="A720" s="80"/>
      <c r="B720" s="81"/>
      <c r="C720" s="81"/>
      <c r="D720" s="81"/>
      <c r="E720" s="81"/>
      <c r="F720" s="81"/>
      <c r="G720" s="81"/>
      <c r="H720" s="111"/>
    </row>
    <row r="721" spans="1:8">
      <c r="A721" s="80"/>
      <c r="B721" s="81" t="s">
        <v>140</v>
      </c>
      <c r="C721" s="138">
        <f>VLOOKUP(G719,'17_1'!$A$85:$B$123,2,0)</f>
        <v>1213</v>
      </c>
      <c r="D721" s="81"/>
      <c r="E721" s="139" t="s">
        <v>141</v>
      </c>
      <c r="F721" s="141" t="e">
        <f>DSUM('17_1'!A$85:J$123,'17_1'!$J$85,G718:G719)</f>
        <v>#N/A</v>
      </c>
      <c r="G721" s="81"/>
      <c r="H721" s="111"/>
    </row>
    <row r="722" spans="1:8">
      <c r="A722" s="80"/>
      <c r="B722" s="81" t="s">
        <v>142</v>
      </c>
      <c r="C722" s="205">
        <v>103</v>
      </c>
      <c r="D722" s="81"/>
      <c r="E722" s="81"/>
      <c r="F722" s="81"/>
      <c r="G722" s="81"/>
      <c r="H722" s="111"/>
    </row>
    <row r="723" spans="1:8">
      <c r="A723" s="80"/>
      <c r="B723" s="81" t="s">
        <v>144</v>
      </c>
      <c r="C723" s="206">
        <f>DSUM('17_1'!$A$85:$H$123,'17_1'!$H$85,G718:G719)</f>
        <v>0</v>
      </c>
      <c r="D723" s="81"/>
      <c r="E723" s="81"/>
      <c r="F723" s="584"/>
      <c r="G723" s="584"/>
      <c r="H723" s="111"/>
    </row>
    <row r="724" spans="1:8" ht="15.75">
      <c r="A724" s="80"/>
      <c r="B724" s="81"/>
      <c r="C724" s="81" t="s">
        <v>146</v>
      </c>
      <c r="D724" s="145" t="e">
        <f>DMIN('17_1'!A$85:K$123,'17_1'!$K$85,G718:G719)</f>
        <v>#REF!</v>
      </c>
      <c r="E724" s="189" t="e">
        <f>IF(F724=1,"Domingo",IF(F724=2,"Lunes",IF(F724=3,"Martes",IF(F724=4,"Miercoles",IF(F724=5,"Jueves",IF(F724=6,"Viernes",IF(F724=7,"Sábado",0)))))))</f>
        <v>#REF!</v>
      </c>
      <c r="F724" s="190" t="e">
        <f>WEEKDAY(D724)</f>
        <v>#REF!</v>
      </c>
      <c r="G724" s="142"/>
      <c r="H724" s="111"/>
    </row>
    <row r="725" spans="1:8" ht="15.75">
      <c r="A725" s="80"/>
      <c r="B725" s="81"/>
      <c r="C725" s="81" t="s">
        <v>147</v>
      </c>
      <c r="D725" s="145" t="e">
        <f>DMAX('17_1'!A$85:L$123,'17_1'!$L$85,G718:G719)</f>
        <v>#REF!</v>
      </c>
      <c r="E725" s="189" t="e">
        <f>IF(F725=1,"Domingo",IF(F725=2,"Lunes",IF(F725=3,"Martes",IF(F725=4,"Miercoles",IF(F725=5,"Jueves",IF(F725=6,"Viernes",IF(F725=7,"Sábado",0)))))))</f>
        <v>#REF!</v>
      </c>
      <c r="F725" s="190" t="e">
        <f>WEEKDAY(D725)</f>
        <v>#REF!</v>
      </c>
      <c r="G725" s="142"/>
      <c r="H725" s="111"/>
    </row>
    <row r="726" spans="1:8">
      <c r="A726" s="80"/>
      <c r="B726" s="81"/>
      <c r="C726" s="81"/>
      <c r="D726" s="81"/>
      <c r="E726" s="81"/>
      <c r="F726" s="584"/>
      <c r="G726" s="584"/>
      <c r="H726" s="111"/>
    </row>
    <row r="727" spans="1:8">
      <c r="A727" s="80"/>
      <c r="B727" s="146">
        <f>+Mensajes!$B$7</f>
        <v>0</v>
      </c>
      <c r="C727" s="81"/>
      <c r="D727" s="81"/>
      <c r="E727" s="81"/>
      <c r="F727" s="81"/>
      <c r="G727" s="81"/>
      <c r="H727" s="111"/>
    </row>
    <row r="728" spans="1:8">
      <c r="A728" s="80"/>
      <c r="B728" s="146">
        <f>+Mensajes!$B$12</f>
        <v>0</v>
      </c>
      <c r="C728" s="81"/>
      <c r="D728" s="81"/>
      <c r="E728" s="81"/>
      <c r="F728" s="81"/>
      <c r="G728" s="81"/>
      <c r="H728" s="111"/>
    </row>
    <row r="729" spans="1:8">
      <c r="A729" s="80"/>
      <c r="B729" s="146" t="str">
        <f>IF(VLOOKUP(G719,'17_1'!$A$85:$N$123,14,0)=0,"",VLOOKUP(G719,'17_1'!$A$85:$N$123,14,0))</f>
        <v/>
      </c>
      <c r="C729" s="81"/>
      <c r="D729" s="81"/>
      <c r="E729" s="81"/>
      <c r="F729" s="81"/>
      <c r="G729" s="81"/>
      <c r="H729" s="111"/>
    </row>
    <row r="730" spans="1:8">
      <c r="A730" s="140"/>
      <c r="B730" s="188" t="str">
        <f>IF(DSUM('17_1'!$A$85:$Q$123,17,G718:G719)=COUNTIF('17_1'!$A$85:$A$123,G719),"","Regularice su Deuda")</f>
        <v>Regularice su Deuda</v>
      </c>
      <c r="C730" s="82"/>
      <c r="D730" s="82"/>
      <c r="E730" s="82"/>
      <c r="F730" s="82"/>
      <c r="G730" s="82"/>
      <c r="H730" s="83"/>
    </row>
    <row r="732" spans="1:8">
      <c r="A732" s="108"/>
      <c r="B732" s="109"/>
      <c r="C732" s="109"/>
      <c r="D732" s="109"/>
      <c r="E732" s="109"/>
      <c r="F732" s="109"/>
      <c r="G732" s="109"/>
      <c r="H732" s="110"/>
    </row>
    <row r="733" spans="1:8">
      <c r="A733" s="80"/>
      <c r="B733" s="147" t="s">
        <v>64</v>
      </c>
      <c r="C733" s="81"/>
      <c r="D733" s="81"/>
      <c r="E733" s="81"/>
      <c r="F733" s="81"/>
      <c r="G733" s="81"/>
      <c r="H733" s="111"/>
    </row>
    <row r="734" spans="1:8">
      <c r="A734" s="80"/>
      <c r="B734" s="81"/>
      <c r="C734" s="81"/>
      <c r="D734" s="81"/>
      <c r="E734" s="81"/>
      <c r="F734" s="81"/>
      <c r="G734" s="81"/>
      <c r="H734" s="111"/>
    </row>
    <row r="735" spans="1:8">
      <c r="A735" s="80"/>
      <c r="B735" s="81" t="s">
        <v>139</v>
      </c>
      <c r="C735" s="81" t="str">
        <f>VLOOKUP(G736,'17_1'!$A$85:$G$123,6,0)</f>
        <v>ARCE, ANTONIO JUAN</v>
      </c>
      <c r="D735" s="81"/>
      <c r="E735" s="81"/>
      <c r="F735" s="81"/>
      <c r="G735" s="138" t="s">
        <v>102</v>
      </c>
      <c r="H735" s="111"/>
    </row>
    <row r="736" spans="1:8">
      <c r="A736" s="80"/>
      <c r="B736" s="81" t="s">
        <v>72</v>
      </c>
      <c r="C736" s="81" t="str">
        <f>+'17_1'!$A$75</f>
        <v>Hijuela Gelvez - CUBELLS</v>
      </c>
      <c r="D736" s="81"/>
      <c r="E736" s="81"/>
      <c r="F736" s="81"/>
      <c r="G736" s="138">
        <v>18</v>
      </c>
      <c r="H736" s="111"/>
    </row>
    <row r="737" spans="1:8">
      <c r="A737" s="80"/>
      <c r="B737" s="81"/>
      <c r="C737" s="81"/>
      <c r="D737" s="81"/>
      <c r="E737" s="81"/>
      <c r="F737" s="81"/>
      <c r="G737" s="81"/>
      <c r="H737" s="111"/>
    </row>
    <row r="738" spans="1:8">
      <c r="A738" s="80"/>
      <c r="B738" s="81" t="s">
        <v>140</v>
      </c>
      <c r="C738" s="138">
        <f>VLOOKUP(G736,'17_1'!$A$85:$B$123,2,0)</f>
        <v>1213</v>
      </c>
      <c r="D738" s="81"/>
      <c r="E738" s="139" t="s">
        <v>141</v>
      </c>
      <c r="F738" s="141" t="e">
        <f>DSUM('17_1'!A$85:J$123,'17_1'!$J$85,G735:G736)</f>
        <v>#N/A</v>
      </c>
      <c r="G738" s="81"/>
      <c r="H738" s="111"/>
    </row>
    <row r="739" spans="1:8">
      <c r="A739" s="80"/>
      <c r="B739" s="81" t="s">
        <v>142</v>
      </c>
      <c r="C739" s="205" t="s">
        <v>546</v>
      </c>
      <c r="D739" s="81"/>
      <c r="E739" s="81"/>
      <c r="F739" s="81"/>
      <c r="G739" s="81"/>
      <c r="H739" s="111"/>
    </row>
    <row r="740" spans="1:8">
      <c r="A740" s="80"/>
      <c r="B740" s="81" t="s">
        <v>144</v>
      </c>
      <c r="C740" s="206">
        <f>DSUM('17_1'!$A$85:$H$123,'17_1'!$H$85,G735:G736)</f>
        <v>6.9000000000000006E-2</v>
      </c>
      <c r="D740" s="81"/>
      <c r="E740" s="81"/>
      <c r="F740" s="584"/>
      <c r="G740" s="584"/>
      <c r="H740" s="111"/>
    </row>
    <row r="741" spans="1:8" ht="15.75">
      <c r="A741" s="80"/>
      <c r="B741" s="81"/>
      <c r="C741" s="81" t="s">
        <v>146</v>
      </c>
      <c r="D741" s="145" t="e">
        <f>DMIN('17_1'!A$85:K$123,'17_1'!$K$85,G735:G736)</f>
        <v>#REF!</v>
      </c>
      <c r="E741" s="189" t="e">
        <f>IF(F741=1,"Domingo",IF(F741=2,"Lunes",IF(F741=3,"Martes",IF(F741=4,"Miercoles",IF(F741=5,"Jueves",IF(F741=6,"Viernes",IF(F741=7,"Sábado",0)))))))</f>
        <v>#REF!</v>
      </c>
      <c r="F741" s="190" t="e">
        <f>WEEKDAY(D741)</f>
        <v>#REF!</v>
      </c>
      <c r="G741" s="142"/>
      <c r="H741" s="111"/>
    </row>
    <row r="742" spans="1:8" ht="15.75">
      <c r="A742" s="80"/>
      <c r="B742" s="81"/>
      <c r="C742" s="81" t="s">
        <v>147</v>
      </c>
      <c r="D742" s="145" t="e">
        <f>DMAX('17_1'!A$85:L$123,'17_1'!$L$85,G735:G736)</f>
        <v>#REF!</v>
      </c>
      <c r="E742" s="189" t="e">
        <f>IF(F742=1,"Domingo",IF(F742=2,"Lunes",IF(F742=3,"Martes",IF(F742=4,"Miercoles",IF(F742=5,"Jueves",IF(F742=6,"Viernes",IF(F742=7,"Sábado",0)))))))</f>
        <v>#REF!</v>
      </c>
      <c r="F742" s="190" t="e">
        <f>WEEKDAY(D742)</f>
        <v>#REF!</v>
      </c>
      <c r="G742" s="142"/>
      <c r="H742" s="111"/>
    </row>
    <row r="743" spans="1:8">
      <c r="A743" s="80"/>
      <c r="B743" s="81"/>
      <c r="C743" s="81"/>
      <c r="D743" s="81"/>
      <c r="E743" s="81"/>
      <c r="F743" s="584"/>
      <c r="G743" s="584"/>
      <c r="H743" s="111"/>
    </row>
    <row r="744" spans="1:8">
      <c r="A744" s="80"/>
      <c r="B744" s="146">
        <f>+Mensajes!$B$7</f>
        <v>0</v>
      </c>
      <c r="C744" s="81"/>
      <c r="D744" s="81"/>
      <c r="E744" s="81"/>
      <c r="F744" s="81"/>
      <c r="G744" s="81"/>
      <c r="H744" s="111"/>
    </row>
    <row r="745" spans="1:8">
      <c r="A745" s="80"/>
      <c r="B745" s="146">
        <f>+Mensajes!$B$12</f>
        <v>0</v>
      </c>
      <c r="C745" s="81"/>
      <c r="D745" s="81"/>
      <c r="E745" s="81"/>
      <c r="F745" s="81"/>
      <c r="G745" s="81"/>
      <c r="H745" s="111"/>
    </row>
    <row r="746" spans="1:8">
      <c r="A746" s="80"/>
      <c r="B746" s="146" t="str">
        <f>IF(VLOOKUP(G736,'17_1'!$A$85:$N$123,14,0)=0,"",VLOOKUP(G736,'17_1'!$A$85:$N$123,14,0))</f>
        <v/>
      </c>
      <c r="C746" s="81"/>
      <c r="D746" s="81"/>
      <c r="E746" s="81"/>
      <c r="F746" s="81"/>
      <c r="G746" s="81"/>
      <c r="H746" s="111"/>
    </row>
    <row r="747" spans="1:8">
      <c r="A747" s="140"/>
      <c r="B747" s="188" t="str">
        <f>IF(DSUM('17_1'!$A$85:$Q$123,17,G735:G736)=COUNTIF('17_1'!$A$85:$A$123,G736),"","Regularice su Deuda")</f>
        <v/>
      </c>
      <c r="C747" s="82"/>
      <c r="D747" s="82"/>
      <c r="E747" s="82"/>
      <c r="F747" s="82"/>
      <c r="G747" s="82"/>
      <c r="H747" s="83"/>
    </row>
    <row r="749" spans="1:8">
      <c r="A749" s="108"/>
      <c r="B749" s="109"/>
      <c r="C749" s="109"/>
      <c r="D749" s="109"/>
      <c r="E749" s="109"/>
      <c r="F749" s="109"/>
      <c r="G749" s="109"/>
      <c r="H749" s="110"/>
    </row>
    <row r="750" spans="1:8">
      <c r="A750" s="80"/>
      <c r="B750" s="147" t="s">
        <v>64</v>
      </c>
      <c r="C750" s="81"/>
      <c r="D750" s="81"/>
      <c r="E750" s="81"/>
      <c r="F750" s="81"/>
      <c r="G750" s="81"/>
      <c r="H750" s="111"/>
    </row>
    <row r="751" spans="1:8">
      <c r="A751" s="80"/>
      <c r="B751" s="81"/>
      <c r="C751" s="81"/>
      <c r="D751" s="81"/>
      <c r="E751" s="81"/>
      <c r="F751" s="81"/>
      <c r="G751" s="81"/>
      <c r="H751" s="111"/>
    </row>
    <row r="752" spans="1:8">
      <c r="A752" s="80"/>
      <c r="B752" s="81" t="s">
        <v>139</v>
      </c>
      <c r="C752" s="81" t="str">
        <f>VLOOKUP(G753,'17_1'!$A$85:$G$123,6,0)</f>
        <v>BULGARELLI DE PASCOLO, PAULINA</v>
      </c>
      <c r="D752" s="81"/>
      <c r="E752" s="81"/>
      <c r="F752" s="81"/>
      <c r="G752" s="138" t="s">
        <v>102</v>
      </c>
      <c r="H752" s="111"/>
    </row>
    <row r="753" spans="1:8">
      <c r="A753" s="80"/>
      <c r="B753" s="81" t="s">
        <v>72</v>
      </c>
      <c r="C753" s="81" t="str">
        <f>+'17_1'!$A$75</f>
        <v>Hijuela Gelvez - CUBELLS</v>
      </c>
      <c r="D753" s="81"/>
      <c r="E753" s="81"/>
      <c r="F753" s="81"/>
      <c r="G753" s="138">
        <v>19</v>
      </c>
      <c r="H753" s="111"/>
    </row>
    <row r="754" spans="1:8">
      <c r="A754" s="80"/>
      <c r="B754" s="81"/>
      <c r="C754" s="81"/>
      <c r="D754" s="81"/>
      <c r="E754" s="81"/>
      <c r="F754" s="81"/>
      <c r="G754" s="81"/>
      <c r="H754" s="111"/>
    </row>
    <row r="755" spans="1:8">
      <c r="A755" s="80"/>
      <c r="B755" s="81" t="s">
        <v>140</v>
      </c>
      <c r="C755" s="138">
        <f>VLOOKUP(G753,'17_1'!$A$85:$B$123,2,0)</f>
        <v>1213</v>
      </c>
      <c r="D755" s="81"/>
      <c r="E755" s="139" t="s">
        <v>141</v>
      </c>
      <c r="F755" s="141" t="e">
        <f>DSUM('17_1'!A$85:J$123,'17_1'!$J$85,G752:G753)</f>
        <v>#N/A</v>
      </c>
      <c r="G755" s="81"/>
      <c r="H755" s="111"/>
    </row>
    <row r="756" spans="1:8">
      <c r="A756" s="80"/>
      <c r="B756" s="81" t="s">
        <v>142</v>
      </c>
      <c r="C756" s="205">
        <v>153</v>
      </c>
      <c r="D756" s="81"/>
      <c r="E756" s="81"/>
      <c r="F756" s="81"/>
      <c r="G756" s="81"/>
      <c r="H756" s="111"/>
    </row>
    <row r="757" spans="1:8">
      <c r="A757" s="80"/>
      <c r="B757" s="81" t="s">
        <v>144</v>
      </c>
      <c r="C757" s="206">
        <f>DSUM('17_1'!$A$85:$H$123,'17_1'!$H$85,G752:G753)</f>
        <v>0.11849999999999999</v>
      </c>
      <c r="D757" s="81"/>
      <c r="E757" s="81"/>
      <c r="F757" s="584"/>
      <c r="G757" s="584"/>
      <c r="H757" s="111"/>
    </row>
    <row r="758" spans="1:8" ht="15.75">
      <c r="A758" s="80"/>
      <c r="B758" s="81"/>
      <c r="C758" s="81" t="s">
        <v>146</v>
      </c>
      <c r="D758" s="145" t="e">
        <f>DMIN('17_1'!A$85:K$123,'17_1'!$K$85,G752:G753)</f>
        <v>#REF!</v>
      </c>
      <c r="E758" s="189" t="e">
        <f>IF(F758=1,"Domingo",IF(F758=2,"Lunes",IF(F758=3,"Martes",IF(F758=4,"Miercoles",IF(F758=5,"Jueves",IF(F758=6,"Viernes",IF(F758=7,"Sábado",0)))))))</f>
        <v>#REF!</v>
      </c>
      <c r="F758" s="190" t="e">
        <f>WEEKDAY(D758)</f>
        <v>#REF!</v>
      </c>
      <c r="G758" s="142"/>
      <c r="H758" s="111"/>
    </row>
    <row r="759" spans="1:8" ht="15.75">
      <c r="A759" s="80"/>
      <c r="B759" s="81"/>
      <c r="C759" s="81" t="s">
        <v>147</v>
      </c>
      <c r="D759" s="145" t="e">
        <f>DMAX('17_1'!A$85:L$123,'17_1'!$L$85,G752:G753)</f>
        <v>#REF!</v>
      </c>
      <c r="E759" s="189" t="e">
        <f>IF(F759=1,"Domingo",IF(F759=2,"Lunes",IF(F759=3,"Martes",IF(F759=4,"Miercoles",IF(F759=5,"Jueves",IF(F759=6,"Viernes",IF(F759=7,"Sábado",0)))))))</f>
        <v>#REF!</v>
      </c>
      <c r="F759" s="190" t="e">
        <f>WEEKDAY(D759)</f>
        <v>#REF!</v>
      </c>
      <c r="G759" s="142"/>
      <c r="H759" s="111"/>
    </row>
    <row r="760" spans="1:8">
      <c r="A760" s="80"/>
      <c r="B760" s="81"/>
      <c r="C760" s="81"/>
      <c r="D760" s="81"/>
      <c r="E760" s="81"/>
      <c r="F760" s="584"/>
      <c r="G760" s="584"/>
      <c r="H760" s="111"/>
    </row>
    <row r="761" spans="1:8">
      <c r="A761" s="80"/>
      <c r="B761" s="146">
        <f>+Mensajes!$B$7</f>
        <v>0</v>
      </c>
      <c r="C761" s="81"/>
      <c r="D761" s="81"/>
      <c r="E761" s="81"/>
      <c r="F761" s="81"/>
      <c r="G761" s="81"/>
      <c r="H761" s="111"/>
    </row>
    <row r="762" spans="1:8">
      <c r="A762" s="80"/>
      <c r="B762" s="146">
        <f>+Mensajes!$B$12</f>
        <v>0</v>
      </c>
      <c r="C762" s="81"/>
      <c r="D762" s="81"/>
      <c r="E762" s="81"/>
      <c r="F762" s="81"/>
      <c r="G762" s="81"/>
      <c r="H762" s="111"/>
    </row>
    <row r="763" spans="1:8">
      <c r="A763" s="80"/>
      <c r="B763" s="146" t="str">
        <f>IF(VLOOKUP(G753,'17_1'!$A$85:$N$123,14,0)=0,"",VLOOKUP(G753,'17_1'!$A$85:$N$123,14,0))</f>
        <v/>
      </c>
      <c r="C763" s="81"/>
      <c r="D763" s="81"/>
      <c r="E763" s="81"/>
      <c r="F763" s="81"/>
      <c r="G763" s="81"/>
      <c r="H763" s="111"/>
    </row>
    <row r="764" spans="1:8">
      <c r="A764" s="140"/>
      <c r="B764" s="188" t="str">
        <f>IF(DSUM('17_1'!$A$85:$Q$123,17,G752:G753)=COUNTIF('17_1'!$A$85:$A$123,G753),"","Regularice su Deuda")</f>
        <v/>
      </c>
      <c r="C764" s="82"/>
      <c r="D764" s="82"/>
      <c r="E764" s="82"/>
      <c r="F764" s="82"/>
      <c r="G764" s="82"/>
      <c r="H764" s="83"/>
    </row>
    <row r="766" spans="1:8">
      <c r="A766" s="108"/>
      <c r="B766" s="109"/>
      <c r="C766" s="109"/>
      <c r="D766" s="109"/>
      <c r="E766" s="109"/>
      <c r="F766" s="109"/>
      <c r="G766" s="109"/>
      <c r="H766" s="110"/>
    </row>
    <row r="767" spans="1:8">
      <c r="A767" s="80"/>
      <c r="B767" s="147" t="s">
        <v>64</v>
      </c>
      <c r="C767" s="81"/>
      <c r="D767" s="81"/>
      <c r="E767" s="81"/>
      <c r="F767" s="81"/>
      <c r="G767" s="81"/>
      <c r="H767" s="111"/>
    </row>
    <row r="768" spans="1:8">
      <c r="A768" s="80"/>
      <c r="B768" s="81"/>
      <c r="C768" s="81"/>
      <c r="D768" s="81"/>
      <c r="E768" s="81"/>
      <c r="F768" s="81"/>
      <c r="G768" s="81"/>
      <c r="H768" s="111"/>
    </row>
    <row r="769" spans="1:8">
      <c r="A769" s="80"/>
      <c r="B769" s="81" t="s">
        <v>139</v>
      </c>
      <c r="C769" s="81" t="str">
        <f>VLOOKUP(G770,'17_1'!$A$85:$G$123,6,0)</f>
        <v>DIUMENJO GRIMALT, PEDRO</v>
      </c>
      <c r="D769" s="81"/>
      <c r="E769" s="81"/>
      <c r="F769" s="81"/>
      <c r="G769" s="138" t="s">
        <v>102</v>
      </c>
      <c r="H769" s="111"/>
    </row>
    <row r="770" spans="1:8">
      <c r="A770" s="80"/>
      <c r="B770" s="81" t="s">
        <v>72</v>
      </c>
      <c r="C770" s="81" t="str">
        <f>+'17_1'!$A$75</f>
        <v>Hijuela Gelvez - CUBELLS</v>
      </c>
      <c r="D770" s="81"/>
      <c r="E770" s="81"/>
      <c r="F770" s="81"/>
      <c r="G770" s="138">
        <v>20</v>
      </c>
      <c r="H770" s="111"/>
    </row>
    <row r="771" spans="1:8">
      <c r="A771" s="80"/>
      <c r="B771" s="81"/>
      <c r="C771" s="81"/>
      <c r="D771" s="81"/>
      <c r="E771" s="81"/>
      <c r="F771" s="81"/>
      <c r="G771" s="81"/>
      <c r="H771" s="111"/>
    </row>
    <row r="772" spans="1:8">
      <c r="A772" s="80"/>
      <c r="B772" s="81" t="s">
        <v>140</v>
      </c>
      <c r="C772" s="138">
        <f>VLOOKUP(G770,'17_1'!$A$85:$B$123,2,0)</f>
        <v>1213</v>
      </c>
      <c r="D772" s="81"/>
      <c r="E772" s="139" t="s">
        <v>141</v>
      </c>
      <c r="F772" s="141" t="e">
        <f>DSUM('17_1'!A$85:J$123,'17_1'!$J$85,G769:G770)</f>
        <v>#N/A</v>
      </c>
      <c r="G772" s="81"/>
      <c r="H772" s="111"/>
    </row>
    <row r="773" spans="1:8">
      <c r="A773" s="80"/>
      <c r="B773" s="81" t="s">
        <v>142</v>
      </c>
      <c r="C773" s="205">
        <v>161</v>
      </c>
      <c r="D773" s="81"/>
      <c r="E773" s="81"/>
      <c r="F773" s="81"/>
      <c r="G773" s="81"/>
      <c r="H773" s="111"/>
    </row>
    <row r="774" spans="1:8">
      <c r="A774" s="80"/>
      <c r="B774" s="81" t="s">
        <v>144</v>
      </c>
      <c r="C774" s="206" t="e">
        <f>DSUM('17_1'!$A$85:$H$123,'17_1'!$H$85,G769:G770)</f>
        <v>#N/A</v>
      </c>
      <c r="D774" s="81"/>
      <c r="E774" s="81"/>
      <c r="F774" s="584"/>
      <c r="G774" s="584"/>
      <c r="H774" s="111"/>
    </row>
    <row r="775" spans="1:8" ht="15.75">
      <c r="A775" s="80"/>
      <c r="B775" s="81"/>
      <c r="C775" s="81" t="s">
        <v>146</v>
      </c>
      <c r="D775" s="145" t="e">
        <f>DMIN('17_1'!A$85:K$123,'17_1'!$K$85,G769:G770)</f>
        <v>#REF!</v>
      </c>
      <c r="E775" s="189" t="e">
        <f>IF(F775=1,"Domingo",IF(F775=2,"Lunes",IF(F775=3,"Martes",IF(F775=4,"Miercoles",IF(F775=5,"Jueves",IF(F775=6,"Viernes",IF(F775=7,"Sábado",0)))))))</f>
        <v>#REF!</v>
      </c>
      <c r="F775" s="190" t="e">
        <f>WEEKDAY(D775)</f>
        <v>#REF!</v>
      </c>
      <c r="G775" s="142"/>
      <c r="H775" s="111"/>
    </row>
    <row r="776" spans="1:8" ht="15.75">
      <c r="A776" s="80"/>
      <c r="B776" s="81"/>
      <c r="C776" s="81" t="s">
        <v>147</v>
      </c>
      <c r="D776" s="145" t="e">
        <f>DMAX('17_1'!A$85:L$123,'17_1'!$L$85,G769:G770)</f>
        <v>#REF!</v>
      </c>
      <c r="E776" s="189" t="e">
        <f>IF(F776=1,"Domingo",IF(F776=2,"Lunes",IF(F776=3,"Martes",IF(F776=4,"Miercoles",IF(F776=5,"Jueves",IF(F776=6,"Viernes",IF(F776=7,"Sábado",0)))))))</f>
        <v>#REF!</v>
      </c>
      <c r="F776" s="190" t="e">
        <f>WEEKDAY(D776)</f>
        <v>#REF!</v>
      </c>
      <c r="G776" s="142"/>
      <c r="H776" s="111"/>
    </row>
    <row r="777" spans="1:8">
      <c r="A777" s="80"/>
      <c r="B777" s="81"/>
      <c r="C777" s="81"/>
      <c r="D777" s="81"/>
      <c r="E777" s="81"/>
      <c r="F777" s="584"/>
      <c r="G777" s="584"/>
      <c r="H777" s="111"/>
    </row>
    <row r="778" spans="1:8">
      <c r="A778" s="80"/>
      <c r="B778" s="146">
        <f>+Mensajes!$B$7</f>
        <v>0</v>
      </c>
      <c r="C778" s="81"/>
      <c r="D778" s="81"/>
      <c r="E778" s="81"/>
      <c r="F778" s="81"/>
      <c r="G778" s="81"/>
      <c r="H778" s="111"/>
    </row>
    <row r="779" spans="1:8">
      <c r="A779" s="80"/>
      <c r="B779" s="146">
        <f>+Mensajes!$B$12</f>
        <v>0</v>
      </c>
      <c r="C779" s="81"/>
      <c r="D779" s="81"/>
      <c r="E779" s="81"/>
      <c r="F779" s="81"/>
      <c r="G779" s="81"/>
      <c r="H779" s="111"/>
    </row>
    <row r="780" spans="1:8">
      <c r="A780" s="80"/>
      <c r="B780" s="146" t="str">
        <f>IF(VLOOKUP(G770,'17_1'!$A$85:$N$123,14,0)=0,"",VLOOKUP(G770,'17_1'!$A$85:$N$123,14,0))</f>
        <v/>
      </c>
      <c r="C780" s="81"/>
      <c r="D780" s="81"/>
      <c r="E780" s="81"/>
      <c r="F780" s="81"/>
      <c r="G780" s="81"/>
      <c r="H780" s="111"/>
    </row>
    <row r="781" spans="1:8">
      <c r="A781" s="140"/>
      <c r="B781" s="188" t="e">
        <f>IF(DSUM('17_1'!$A$85:$Q$123,17,G769:G770)=COUNTIF('17_1'!$A$85:$A$123,G770),"","Regularice su Deuda")</f>
        <v>#N/A</v>
      </c>
      <c r="C781" s="82"/>
      <c r="D781" s="82"/>
      <c r="E781" s="82"/>
      <c r="F781" s="82"/>
      <c r="G781" s="82"/>
      <c r="H781" s="83"/>
    </row>
    <row r="783" spans="1:8">
      <c r="A783" s="108"/>
      <c r="B783" s="109"/>
      <c r="C783" s="109"/>
      <c r="D783" s="109"/>
      <c r="E783" s="109"/>
      <c r="F783" s="109"/>
      <c r="G783" s="109"/>
      <c r="H783" s="110"/>
    </row>
    <row r="784" spans="1:8">
      <c r="A784" s="80"/>
      <c r="B784" s="147" t="s">
        <v>64</v>
      </c>
      <c r="C784" s="81"/>
      <c r="D784" s="81"/>
      <c r="E784" s="81"/>
      <c r="F784" s="81"/>
      <c r="G784" s="81"/>
      <c r="H784" s="111"/>
    </row>
    <row r="785" spans="1:8">
      <c r="A785" s="80"/>
      <c r="B785" s="81"/>
      <c r="C785" s="81"/>
      <c r="D785" s="81"/>
      <c r="E785" s="81"/>
      <c r="F785" s="81"/>
      <c r="G785" s="81"/>
      <c r="H785" s="111"/>
    </row>
    <row r="786" spans="1:8">
      <c r="A786" s="80"/>
      <c r="B786" s="81" t="s">
        <v>139</v>
      </c>
      <c r="C786" s="81" t="str">
        <f>VLOOKUP(G787,'17_1'!$A$85:$G$123,6,0)</f>
        <v>VERON, RAMON DIMAS</v>
      </c>
      <c r="D786" s="81"/>
      <c r="E786" s="81"/>
      <c r="F786" s="81"/>
      <c r="G786" s="138" t="s">
        <v>102</v>
      </c>
      <c r="H786" s="111"/>
    </row>
    <row r="787" spans="1:8">
      <c r="A787" s="80"/>
      <c r="B787" s="81" t="s">
        <v>72</v>
      </c>
      <c r="C787" s="81" t="str">
        <f>+'17_1'!$A$75</f>
        <v>Hijuela Gelvez - CUBELLS</v>
      </c>
      <c r="D787" s="81"/>
      <c r="E787" s="81"/>
      <c r="F787" s="81"/>
      <c r="G787" s="138">
        <v>21</v>
      </c>
      <c r="H787" s="111"/>
    </row>
    <row r="788" spans="1:8">
      <c r="A788" s="80"/>
      <c r="B788" s="81"/>
      <c r="C788" s="81"/>
      <c r="D788" s="81"/>
      <c r="E788" s="81"/>
      <c r="F788" s="81"/>
      <c r="G788" s="81"/>
      <c r="H788" s="111"/>
    </row>
    <row r="789" spans="1:8">
      <c r="A789" s="80"/>
      <c r="B789" s="81" t="s">
        <v>140</v>
      </c>
      <c r="C789" s="138">
        <f>VLOOKUP(G787,'17_1'!$A$85:$B$123,2,0)</f>
        <v>1213</v>
      </c>
      <c r="D789" s="81"/>
      <c r="E789" s="139" t="s">
        <v>141</v>
      </c>
      <c r="F789" s="141" t="e">
        <f>DSUM('17_1'!A$85:J$123,'17_1'!$J$85,G786:G787)</f>
        <v>#N/A</v>
      </c>
      <c r="G789" s="81"/>
      <c r="H789" s="111"/>
    </row>
    <row r="790" spans="1:8">
      <c r="A790" s="80"/>
      <c r="B790" s="81" t="s">
        <v>142</v>
      </c>
      <c r="C790" s="205">
        <v>152</v>
      </c>
      <c r="D790" s="81"/>
      <c r="E790" s="81"/>
      <c r="F790" s="81"/>
      <c r="G790" s="81"/>
      <c r="H790" s="111"/>
    </row>
    <row r="791" spans="1:8">
      <c r="A791" s="80"/>
      <c r="B791" s="81" t="s">
        <v>144</v>
      </c>
      <c r="C791" s="206">
        <f>DSUM('17_1'!$A$85:$H$123,'17_1'!$H$85,G786:G787)</f>
        <v>0</v>
      </c>
      <c r="D791" s="81"/>
      <c r="E791" s="81"/>
      <c r="F791" s="584"/>
      <c r="G791" s="584"/>
      <c r="H791" s="111"/>
    </row>
    <row r="792" spans="1:8" ht="15.75">
      <c r="A792" s="80"/>
      <c r="B792" s="81"/>
      <c r="C792" s="81" t="s">
        <v>146</v>
      </c>
      <c r="D792" s="145" t="e">
        <f>DMIN('17_1'!A$85:K$123,'17_1'!$K$85,G786:G787)</f>
        <v>#REF!</v>
      </c>
      <c r="E792" s="189" t="e">
        <f>IF(F792=1,"Domingo",IF(F792=2,"Lunes",IF(F792=3,"Martes",IF(F792=4,"Miercoles",IF(F792=5,"Jueves",IF(F792=6,"Viernes",IF(F792=7,"Sábado",0)))))))</f>
        <v>#REF!</v>
      </c>
      <c r="F792" s="190" t="e">
        <f>WEEKDAY(D792)</f>
        <v>#REF!</v>
      </c>
      <c r="G792" s="142"/>
      <c r="H792" s="111"/>
    </row>
    <row r="793" spans="1:8" ht="15.75">
      <c r="A793" s="80"/>
      <c r="B793" s="81"/>
      <c r="C793" s="81" t="s">
        <v>147</v>
      </c>
      <c r="D793" s="145" t="e">
        <f>DMAX('17_1'!A$85:L$123,'17_1'!$L$85,G786:G787)</f>
        <v>#REF!</v>
      </c>
      <c r="E793" s="189" t="e">
        <f>IF(F793=1,"Domingo",IF(F793=2,"Lunes",IF(F793=3,"Martes",IF(F793=4,"Miercoles",IF(F793=5,"Jueves",IF(F793=6,"Viernes",IF(F793=7,"Sábado",0)))))))</f>
        <v>#REF!</v>
      </c>
      <c r="F793" s="190" t="e">
        <f>WEEKDAY(D793)</f>
        <v>#REF!</v>
      </c>
      <c r="G793" s="142"/>
      <c r="H793" s="111"/>
    </row>
    <row r="794" spans="1:8">
      <c r="A794" s="80"/>
      <c r="B794" s="81"/>
      <c r="C794" s="81"/>
      <c r="D794" s="81"/>
      <c r="E794" s="81"/>
      <c r="F794" s="584"/>
      <c r="G794" s="584"/>
      <c r="H794" s="111"/>
    </row>
    <row r="795" spans="1:8">
      <c r="A795" s="80"/>
      <c r="B795" s="146">
        <f>+Mensajes!$B$7</f>
        <v>0</v>
      </c>
      <c r="C795" s="81"/>
      <c r="D795" s="81"/>
      <c r="E795" s="81"/>
      <c r="F795" s="81"/>
      <c r="G795" s="81"/>
      <c r="H795" s="111"/>
    </row>
    <row r="796" spans="1:8">
      <c r="A796" s="80"/>
      <c r="B796" s="146">
        <f>+Mensajes!$B$12</f>
        <v>0</v>
      </c>
      <c r="C796" s="81"/>
      <c r="D796" s="81"/>
      <c r="E796" s="81"/>
      <c r="F796" s="81"/>
      <c r="G796" s="81"/>
      <c r="H796" s="111"/>
    </row>
    <row r="797" spans="1:8">
      <c r="A797" s="80"/>
      <c r="B797" s="146" t="str">
        <f>IF(VLOOKUP(G787,'17_1'!$A$85:$N$123,14,0)=0,"",VLOOKUP(G787,'17_1'!$A$85:$N$123,14,0))</f>
        <v/>
      </c>
      <c r="C797" s="81"/>
      <c r="D797" s="81"/>
      <c r="E797" s="81"/>
      <c r="F797" s="81"/>
      <c r="G797" s="81"/>
      <c r="H797" s="111"/>
    </row>
    <row r="798" spans="1:8">
      <c r="A798" s="140"/>
      <c r="B798" s="188" t="str">
        <f>IF(DSUM('17_1'!$A$85:$Q$123,17,G786:G787)=COUNTIF('17_1'!$A$85:$A$123,G787),"","Regularice su Deuda")</f>
        <v>Regularice su Deuda</v>
      </c>
      <c r="C798" s="82"/>
      <c r="D798" s="82"/>
      <c r="E798" s="82"/>
      <c r="F798" s="82"/>
      <c r="G798" s="82"/>
      <c r="H798" s="83"/>
    </row>
    <row r="800" spans="1:8">
      <c r="A800" s="108"/>
      <c r="B800" s="109"/>
      <c r="C800" s="109"/>
      <c r="D800" s="109"/>
      <c r="E800" s="109"/>
      <c r="F800" s="109"/>
      <c r="G800" s="109"/>
      <c r="H800" s="110"/>
    </row>
    <row r="801" spans="1:8">
      <c r="A801" s="80"/>
      <c r="B801" s="147" t="s">
        <v>64</v>
      </c>
      <c r="C801" s="81"/>
      <c r="D801" s="81"/>
      <c r="E801" s="81"/>
      <c r="F801" s="81"/>
      <c r="G801" s="81"/>
      <c r="H801" s="111"/>
    </row>
    <row r="802" spans="1:8">
      <c r="A802" s="80"/>
      <c r="B802" s="81"/>
      <c r="C802" s="81"/>
      <c r="D802" s="81"/>
      <c r="E802" s="81"/>
      <c r="F802" s="81"/>
      <c r="G802" s="81"/>
      <c r="H802" s="111"/>
    </row>
    <row r="803" spans="1:8">
      <c r="A803" s="80"/>
      <c r="B803" s="81" t="s">
        <v>139</v>
      </c>
      <c r="C803" s="81" t="str">
        <f>VLOOKUP(G804,'17_1'!$A$85:$G$123,6,0)</f>
        <v>AHUMADA, GREGORIO BERNARDINO</v>
      </c>
      <c r="D803" s="81"/>
      <c r="E803" s="81"/>
      <c r="F803" s="81"/>
      <c r="G803" s="138" t="s">
        <v>102</v>
      </c>
      <c r="H803" s="111"/>
    </row>
    <row r="804" spans="1:8">
      <c r="A804" s="80"/>
      <c r="B804" s="81" t="s">
        <v>72</v>
      </c>
      <c r="C804" s="81" t="str">
        <f>+'17_1'!$A$75</f>
        <v>Hijuela Gelvez - CUBELLS</v>
      </c>
      <c r="D804" s="81"/>
      <c r="E804" s="81"/>
      <c r="F804" s="81"/>
      <c r="G804" s="138">
        <v>22</v>
      </c>
      <c r="H804" s="111"/>
    </row>
    <row r="805" spans="1:8">
      <c r="A805" s="80"/>
      <c r="B805" s="81"/>
      <c r="C805" s="81"/>
      <c r="D805" s="81"/>
      <c r="E805" s="81"/>
      <c r="F805" s="81"/>
      <c r="G805" s="81"/>
      <c r="H805" s="111"/>
    </row>
    <row r="806" spans="1:8">
      <c r="A806" s="80"/>
      <c r="B806" s="81" t="s">
        <v>140</v>
      </c>
      <c r="C806" s="138">
        <f>VLOOKUP(G804,'17_1'!$A$85:$B$123,2,0)</f>
        <v>1213</v>
      </c>
      <c r="D806" s="81"/>
      <c r="E806" s="139" t="s">
        <v>141</v>
      </c>
      <c r="F806" s="141" t="e">
        <f>DSUM('17_1'!A$85:J$123,'17_1'!$J$85,G803:G804)</f>
        <v>#N/A</v>
      </c>
      <c r="G806" s="81"/>
      <c r="H806" s="111"/>
    </row>
    <row r="807" spans="1:8">
      <c r="A807" s="80"/>
      <c r="B807" s="81" t="s">
        <v>142</v>
      </c>
      <c r="C807" s="205">
        <v>162</v>
      </c>
      <c r="D807" s="81"/>
      <c r="E807" s="81"/>
      <c r="F807" s="81"/>
      <c r="G807" s="81"/>
      <c r="H807" s="111"/>
    </row>
    <row r="808" spans="1:8">
      <c r="A808" s="80"/>
      <c r="B808" s="81" t="s">
        <v>144</v>
      </c>
      <c r="C808" s="206">
        <f>DSUM('17_1'!$A$85:$H$123,'17_1'!$H$85,G803:G804)</f>
        <v>1.1927000000000001</v>
      </c>
      <c r="D808" s="81"/>
      <c r="E808" s="81"/>
      <c r="F808" s="584"/>
      <c r="G808" s="584"/>
      <c r="H808" s="111"/>
    </row>
    <row r="809" spans="1:8" ht="15.75">
      <c r="A809" s="80"/>
      <c r="B809" s="81"/>
      <c r="C809" s="81" t="s">
        <v>146</v>
      </c>
      <c r="D809" s="145" t="e">
        <f>DMIN('17_1'!A$85:K$123,'17_1'!$K$85,G803:G804)</f>
        <v>#REF!</v>
      </c>
      <c r="E809" s="189" t="e">
        <f>IF(F809=1,"Domingo",IF(F809=2,"Lunes",IF(F809=3,"Martes",IF(F809=4,"Miercoles",IF(F809=5,"Jueves",IF(F809=6,"Viernes",IF(F809=7,"Sábado",0)))))))</f>
        <v>#REF!</v>
      </c>
      <c r="F809" s="190" t="e">
        <f>WEEKDAY(D809)</f>
        <v>#REF!</v>
      </c>
      <c r="G809" s="142"/>
      <c r="H809" s="111"/>
    </row>
    <row r="810" spans="1:8" ht="15.75">
      <c r="A810" s="80"/>
      <c r="B810" s="81"/>
      <c r="C810" s="81" t="s">
        <v>147</v>
      </c>
      <c r="D810" s="145" t="e">
        <f>DMAX('17_1'!A$85:L$123,'17_1'!$L$85,G803:G804)</f>
        <v>#REF!</v>
      </c>
      <c r="E810" s="189" t="e">
        <f>IF(F810=1,"Domingo",IF(F810=2,"Lunes",IF(F810=3,"Martes",IF(F810=4,"Miercoles",IF(F810=5,"Jueves",IF(F810=6,"Viernes",IF(F810=7,"Sábado",0)))))))</f>
        <v>#REF!</v>
      </c>
      <c r="F810" s="190" t="e">
        <f>WEEKDAY(D810)</f>
        <v>#REF!</v>
      </c>
      <c r="G810" s="142"/>
      <c r="H810" s="111"/>
    </row>
    <row r="811" spans="1:8">
      <c r="A811" s="80"/>
      <c r="B811" s="81"/>
      <c r="C811" s="81"/>
      <c r="D811" s="81"/>
      <c r="E811" s="81"/>
      <c r="F811" s="584"/>
      <c r="G811" s="584"/>
      <c r="H811" s="111"/>
    </row>
    <row r="812" spans="1:8">
      <c r="A812" s="80"/>
      <c r="B812" s="146">
        <f>+Mensajes!$B$7</f>
        <v>0</v>
      </c>
      <c r="C812" s="81"/>
      <c r="D812" s="81"/>
      <c r="E812" s="81"/>
      <c r="F812" s="81"/>
      <c r="G812" s="81"/>
      <c r="H812" s="111"/>
    </row>
    <row r="813" spans="1:8">
      <c r="A813" s="80"/>
      <c r="B813" s="146">
        <f>+Mensajes!$B$12</f>
        <v>0</v>
      </c>
      <c r="C813" s="81"/>
      <c r="D813" s="81"/>
      <c r="E813" s="81"/>
      <c r="F813" s="81"/>
      <c r="G813" s="81"/>
      <c r="H813" s="111"/>
    </row>
    <row r="814" spans="1:8">
      <c r="A814" s="80"/>
      <c r="B814" s="146" t="str">
        <f>IF(VLOOKUP(G804,'17_1'!$A$85:$N$123,14,0)=0,"",VLOOKUP(G804,'17_1'!$A$85:$N$123,14,0))</f>
        <v/>
      </c>
      <c r="C814" s="81"/>
      <c r="D814" s="81"/>
      <c r="E814" s="81"/>
      <c r="F814" s="81"/>
      <c r="G814" s="81"/>
      <c r="H814" s="111"/>
    </row>
    <row r="815" spans="1:8">
      <c r="A815" s="140"/>
      <c r="B815" s="188" t="str">
        <f>IF(DSUM('17_1'!$A$85:$Q$123,17,G803:G804)=COUNTIF('17_1'!$A$85:$A$123,G804),"","Regularice su Deuda")</f>
        <v/>
      </c>
      <c r="C815" s="82"/>
      <c r="D815" s="82"/>
      <c r="E815" s="82"/>
      <c r="F815" s="82"/>
      <c r="G815" s="82"/>
      <c r="H815" s="83"/>
    </row>
    <row r="817" spans="1:8">
      <c r="A817" s="108"/>
      <c r="B817" s="109"/>
      <c r="C817" s="109"/>
      <c r="D817" s="109"/>
      <c r="E817" s="109"/>
      <c r="F817" s="109"/>
      <c r="G817" s="109"/>
      <c r="H817" s="110"/>
    </row>
    <row r="818" spans="1:8">
      <c r="A818" s="80"/>
      <c r="B818" s="147" t="s">
        <v>64</v>
      </c>
      <c r="C818" s="81"/>
      <c r="D818" s="81"/>
      <c r="E818" s="81"/>
      <c r="F818" s="81"/>
      <c r="G818" s="81"/>
      <c r="H818" s="111"/>
    </row>
    <row r="819" spans="1:8">
      <c r="A819" s="80"/>
      <c r="B819" s="81"/>
      <c r="C819" s="81"/>
      <c r="D819" s="81"/>
      <c r="E819" s="81"/>
      <c r="F819" s="81"/>
      <c r="G819" s="81"/>
      <c r="H819" s="111"/>
    </row>
    <row r="820" spans="1:8">
      <c r="A820" s="80"/>
      <c r="B820" s="81" t="s">
        <v>139</v>
      </c>
      <c r="C820" s="81" t="str">
        <f>VLOOKUP(G821,'17_1'!$A$85:$G$123,6,0)</f>
        <v>DE LA LLANA, NICOLAS PASCUAL</v>
      </c>
      <c r="D820" s="81"/>
      <c r="E820" s="81"/>
      <c r="F820" s="81"/>
      <c r="G820" s="138" t="s">
        <v>102</v>
      </c>
      <c r="H820" s="111"/>
    </row>
    <row r="821" spans="1:8">
      <c r="A821" s="80"/>
      <c r="B821" s="81" t="s">
        <v>72</v>
      </c>
      <c r="C821" s="81" t="str">
        <f>+'17_1'!$A$75</f>
        <v>Hijuela Gelvez - CUBELLS</v>
      </c>
      <c r="D821" s="81"/>
      <c r="E821" s="81"/>
      <c r="F821" s="81"/>
      <c r="G821" s="138">
        <v>23</v>
      </c>
      <c r="H821" s="111"/>
    </row>
    <row r="822" spans="1:8">
      <c r="A822" s="80"/>
      <c r="B822" s="81"/>
      <c r="C822" s="81"/>
      <c r="D822" s="81"/>
      <c r="E822" s="81"/>
      <c r="F822" s="81"/>
      <c r="G822" s="81"/>
      <c r="H822" s="111"/>
    </row>
    <row r="823" spans="1:8">
      <c r="A823" s="80"/>
      <c r="B823" s="81" t="s">
        <v>140</v>
      </c>
      <c r="C823" s="138">
        <f>VLOOKUP(G821,'17_1'!$A$85:$B$123,2,0)</f>
        <v>1213</v>
      </c>
      <c r="D823" s="81"/>
      <c r="E823" s="139" t="s">
        <v>141</v>
      </c>
      <c r="F823" s="141" t="e">
        <f>DSUM('17_1'!A$85:J$123,'17_1'!$J$85,G820:G821)</f>
        <v>#N/A</v>
      </c>
      <c r="G823" s="81"/>
      <c r="H823" s="111"/>
    </row>
    <row r="824" spans="1:8">
      <c r="A824" s="80"/>
      <c r="B824" s="81" t="s">
        <v>142</v>
      </c>
      <c r="C824" s="205">
        <v>152</v>
      </c>
      <c r="D824" s="81"/>
      <c r="E824" s="81"/>
      <c r="F824" s="81"/>
      <c r="G824" s="81"/>
      <c r="H824" s="111"/>
    </row>
    <row r="825" spans="1:8">
      <c r="A825" s="80"/>
      <c r="B825" s="81" t="s">
        <v>144</v>
      </c>
      <c r="C825" s="206">
        <f>DSUM('17_1'!$A$85:$H$123,'17_1'!$H$85,G820:G821)</f>
        <v>0</v>
      </c>
      <c r="D825" s="81"/>
      <c r="E825" s="81"/>
      <c r="F825" s="584"/>
      <c r="G825" s="584"/>
      <c r="H825" s="111"/>
    </row>
    <row r="826" spans="1:8" ht="15.75">
      <c r="A826" s="80"/>
      <c r="B826" s="81"/>
      <c r="C826" s="81" t="s">
        <v>146</v>
      </c>
      <c r="D826" s="145" t="e">
        <f>DMIN('17_1'!A$85:K$123,'17_1'!$K$85,G820:G821)</f>
        <v>#REF!</v>
      </c>
      <c r="E826" s="189" t="e">
        <f>IF(F826=1,"Domingo",IF(F826=2,"Lunes",IF(F826=3,"Martes",IF(F826=4,"Miercoles",IF(F826=5,"Jueves",IF(F826=6,"Viernes",IF(F826=7,"Sábado",0)))))))</f>
        <v>#REF!</v>
      </c>
      <c r="F826" s="190" t="e">
        <f>WEEKDAY(D826)</f>
        <v>#REF!</v>
      </c>
      <c r="G826" s="142"/>
      <c r="H826" s="111"/>
    </row>
    <row r="827" spans="1:8" ht="15.75">
      <c r="A827" s="80"/>
      <c r="B827" s="81"/>
      <c r="C827" s="81" t="s">
        <v>147</v>
      </c>
      <c r="D827" s="145" t="e">
        <f>DMAX('17_1'!A$85:L$123,'17_1'!$L$85,G820:G821)</f>
        <v>#REF!</v>
      </c>
      <c r="E827" s="189" t="e">
        <f>IF(F827=1,"Domingo",IF(F827=2,"Lunes",IF(F827=3,"Martes",IF(F827=4,"Miercoles",IF(F827=5,"Jueves",IF(F827=6,"Viernes",IF(F827=7,"Sábado",0)))))))</f>
        <v>#REF!</v>
      </c>
      <c r="F827" s="190" t="e">
        <f>WEEKDAY(D827)</f>
        <v>#REF!</v>
      </c>
      <c r="G827" s="142"/>
      <c r="H827" s="111"/>
    </row>
    <row r="828" spans="1:8">
      <c r="A828" s="80"/>
      <c r="B828" s="81"/>
      <c r="C828" s="81"/>
      <c r="D828" s="81"/>
      <c r="E828" s="81"/>
      <c r="F828" s="584"/>
      <c r="G828" s="584"/>
      <c r="H828" s="111"/>
    </row>
    <row r="829" spans="1:8">
      <c r="A829" s="80"/>
      <c r="B829" s="146">
        <f>+Mensajes!$B$7</f>
        <v>0</v>
      </c>
      <c r="C829" s="81"/>
      <c r="D829" s="81"/>
      <c r="E829" s="81"/>
      <c r="F829" s="81"/>
      <c r="G829" s="81"/>
      <c r="H829" s="111"/>
    </row>
    <row r="830" spans="1:8">
      <c r="A830" s="80"/>
      <c r="B830" s="146">
        <f>+Mensajes!$B$12</f>
        <v>0</v>
      </c>
      <c r="C830" s="81"/>
      <c r="D830" s="81"/>
      <c r="E830" s="81"/>
      <c r="F830" s="81"/>
      <c r="G830" s="81"/>
      <c r="H830" s="111"/>
    </row>
    <row r="831" spans="1:8">
      <c r="A831" s="80"/>
      <c r="B831" s="146" t="str">
        <f>IF(VLOOKUP(G821,'17_1'!$A$85:$N$123,14,0)=0,"",VLOOKUP(G821,'17_1'!$A$85:$N$123,14,0))</f>
        <v/>
      </c>
      <c r="C831" s="81"/>
      <c r="D831" s="81"/>
      <c r="E831" s="81"/>
      <c r="F831" s="81"/>
      <c r="G831" s="81"/>
      <c r="H831" s="111"/>
    </row>
    <row r="832" spans="1:8">
      <c r="A832" s="140"/>
      <c r="B832" s="188" t="str">
        <f>IF(DSUM('17_1'!$A$85:$Q$123,17,G820:G821)=COUNTIF('17_1'!$A$85:$A$123,G821),"","Regularice su Deuda")</f>
        <v>Regularice su Deuda</v>
      </c>
      <c r="C832" s="82"/>
      <c r="D832" s="82"/>
      <c r="E832" s="82"/>
      <c r="F832" s="82"/>
      <c r="G832" s="82"/>
      <c r="H832" s="83"/>
    </row>
    <row r="834" spans="1:8">
      <c r="A834" s="108"/>
      <c r="B834" s="109"/>
      <c r="C834" s="109"/>
      <c r="D834" s="109"/>
      <c r="E834" s="109"/>
      <c r="F834" s="109"/>
      <c r="G834" s="109"/>
      <c r="H834" s="110"/>
    </row>
    <row r="835" spans="1:8">
      <c r="A835" s="80"/>
      <c r="B835" s="147" t="s">
        <v>64</v>
      </c>
      <c r="C835" s="81"/>
      <c r="D835" s="81"/>
      <c r="E835" s="81"/>
      <c r="F835" s="81"/>
      <c r="G835" s="81"/>
      <c r="H835" s="111"/>
    </row>
    <row r="836" spans="1:8">
      <c r="A836" s="80"/>
      <c r="B836" s="81"/>
      <c r="C836" s="81"/>
      <c r="D836" s="81"/>
      <c r="E836" s="81"/>
      <c r="F836" s="81"/>
      <c r="G836" s="81"/>
      <c r="H836" s="111"/>
    </row>
    <row r="837" spans="1:8">
      <c r="A837" s="80"/>
      <c r="B837" s="81" t="s">
        <v>139</v>
      </c>
      <c r="C837" s="81" t="str">
        <f>VLOOKUP(G838,'17_1'!$A$85:$G$123,6,0)</f>
        <v>METLIP, EMILIO</v>
      </c>
      <c r="D837" s="81"/>
      <c r="E837" s="81"/>
      <c r="F837" s="81"/>
      <c r="G837" s="138" t="s">
        <v>102</v>
      </c>
      <c r="H837" s="111"/>
    </row>
    <row r="838" spans="1:8">
      <c r="A838" s="80"/>
      <c r="B838" s="81" t="s">
        <v>72</v>
      </c>
      <c r="C838" s="81" t="str">
        <f>+'17_1'!$A$75</f>
        <v>Hijuela Gelvez - CUBELLS</v>
      </c>
      <c r="D838" s="81"/>
      <c r="E838" s="81"/>
      <c r="F838" s="81"/>
      <c r="G838" s="138">
        <v>24</v>
      </c>
      <c r="H838" s="111"/>
    </row>
    <row r="839" spans="1:8">
      <c r="A839" s="80"/>
      <c r="B839" s="81"/>
      <c r="C839" s="81"/>
      <c r="D839" s="81"/>
      <c r="E839" s="81"/>
      <c r="F839" s="81"/>
      <c r="G839" s="81"/>
      <c r="H839" s="111"/>
    </row>
    <row r="840" spans="1:8">
      <c r="A840" s="80"/>
      <c r="B840" s="81" t="s">
        <v>140</v>
      </c>
      <c r="C840" s="138">
        <f>VLOOKUP(G838,'17_1'!$A$85:$B$123,2,0)</f>
        <v>1213</v>
      </c>
      <c r="D840" s="81"/>
      <c r="E840" s="139" t="s">
        <v>141</v>
      </c>
      <c r="F840" s="141" t="e">
        <f>DSUM('17_1'!A$85:J$123,'17_1'!$J$85,G837:G838)</f>
        <v>#N/A</v>
      </c>
      <c r="G840" s="81"/>
      <c r="H840" s="111"/>
    </row>
    <row r="841" spans="1:8">
      <c r="A841" s="80"/>
      <c r="B841" s="81" t="s">
        <v>142</v>
      </c>
      <c r="C841" s="205">
        <v>162</v>
      </c>
      <c r="D841" s="81"/>
      <c r="E841" s="81"/>
      <c r="F841" s="81"/>
      <c r="G841" s="81"/>
      <c r="H841" s="111"/>
    </row>
    <row r="842" spans="1:8">
      <c r="A842" s="80"/>
      <c r="B842" s="81" t="s">
        <v>144</v>
      </c>
      <c r="C842" s="206">
        <f>DSUM('17_1'!$A$85:$H$123,'17_1'!$H$85,G837:G838)</f>
        <v>0.46439999999999998</v>
      </c>
      <c r="D842" s="81"/>
      <c r="E842" s="81"/>
      <c r="F842" s="584"/>
      <c r="G842" s="584"/>
      <c r="H842" s="111"/>
    </row>
    <row r="843" spans="1:8" ht="15.75">
      <c r="A843" s="80"/>
      <c r="B843" s="81"/>
      <c r="C843" s="81" t="s">
        <v>146</v>
      </c>
      <c r="D843" s="145" t="e">
        <f>DMIN('17_1'!A$85:K$123,'17_1'!$K$85,G837:G838)</f>
        <v>#REF!</v>
      </c>
      <c r="E843" s="189" t="e">
        <f>IF(F843=1,"Domingo",IF(F843=2,"Lunes",IF(F843=3,"Martes",IF(F843=4,"Miercoles",IF(F843=5,"Jueves",IF(F843=6,"Viernes",IF(F843=7,"Sábado",0)))))))</f>
        <v>#REF!</v>
      </c>
      <c r="F843" s="190" t="e">
        <f>WEEKDAY(D843)</f>
        <v>#REF!</v>
      </c>
      <c r="G843" s="142"/>
      <c r="H843" s="111"/>
    </row>
    <row r="844" spans="1:8" ht="15.75">
      <c r="A844" s="80"/>
      <c r="B844" s="81"/>
      <c r="C844" s="81" t="s">
        <v>147</v>
      </c>
      <c r="D844" s="145" t="e">
        <f>DMAX('17_1'!A$85:L$123,'17_1'!$L$85,G837:G838)</f>
        <v>#REF!</v>
      </c>
      <c r="E844" s="189" t="e">
        <f>IF(F844=1,"Domingo",IF(F844=2,"Lunes",IF(F844=3,"Martes",IF(F844=4,"Miercoles",IF(F844=5,"Jueves",IF(F844=6,"Viernes",IF(F844=7,"Sábado",0)))))))</f>
        <v>#REF!</v>
      </c>
      <c r="F844" s="190" t="e">
        <f>WEEKDAY(D844)</f>
        <v>#REF!</v>
      </c>
      <c r="G844" s="142"/>
      <c r="H844" s="111"/>
    </row>
    <row r="845" spans="1:8">
      <c r="A845" s="80"/>
      <c r="B845" s="81"/>
      <c r="C845" s="81"/>
      <c r="D845" s="81"/>
      <c r="E845" s="81"/>
      <c r="F845" s="584"/>
      <c r="G845" s="584"/>
      <c r="H845" s="111"/>
    </row>
    <row r="846" spans="1:8">
      <c r="A846" s="80"/>
      <c r="B846" s="146">
        <f>+Mensajes!$B$7</f>
        <v>0</v>
      </c>
      <c r="C846" s="81"/>
      <c r="D846" s="81"/>
      <c r="E846" s="81"/>
      <c r="F846" s="81"/>
      <c r="G846" s="81"/>
      <c r="H846" s="111"/>
    </row>
    <row r="847" spans="1:8">
      <c r="A847" s="80"/>
      <c r="B847" s="146">
        <f>+Mensajes!$B$12</f>
        <v>0</v>
      </c>
      <c r="C847" s="81"/>
      <c r="D847" s="81"/>
      <c r="E847" s="81"/>
      <c r="F847" s="81"/>
      <c r="G847" s="81"/>
      <c r="H847" s="111"/>
    </row>
    <row r="848" spans="1:8">
      <c r="A848" s="80"/>
      <c r="B848" s="146" t="str">
        <f>IF(VLOOKUP(G838,'17_1'!$A$85:$N$123,14,0)=0,"",VLOOKUP(G838,'17_1'!$A$85:$N$123,14,0))</f>
        <v/>
      </c>
      <c r="C848" s="81"/>
      <c r="D848" s="81"/>
      <c r="E848" s="81"/>
      <c r="F848" s="81"/>
      <c r="G848" s="81"/>
      <c r="H848" s="111"/>
    </row>
    <row r="849" spans="1:8">
      <c r="A849" s="140"/>
      <c r="B849" s="188" t="str">
        <f>IF(DSUM('17_1'!$A$85:$Q$123,17,G837:G838)=COUNTIF('17_1'!$A$85:$A$123,G838),"","Regularice su Deuda")</f>
        <v/>
      </c>
      <c r="C849" s="82"/>
      <c r="D849" s="82"/>
      <c r="E849" s="82"/>
      <c r="F849" s="82"/>
      <c r="G849" s="82"/>
      <c r="H849" s="83"/>
    </row>
    <row r="851" spans="1:8">
      <c r="A851" s="108"/>
      <c r="B851" s="109"/>
      <c r="C851" s="109"/>
      <c r="D851" s="109"/>
      <c r="E851" s="109"/>
      <c r="F851" s="109"/>
      <c r="G851" s="109"/>
      <c r="H851" s="110"/>
    </row>
    <row r="852" spans="1:8">
      <c r="A852" s="80"/>
      <c r="B852" s="147" t="s">
        <v>64</v>
      </c>
      <c r="C852" s="81"/>
      <c r="D852" s="81"/>
      <c r="E852" s="81"/>
      <c r="F852" s="81"/>
      <c r="G852" s="81"/>
      <c r="H852" s="111"/>
    </row>
    <row r="853" spans="1:8">
      <c r="A853" s="80"/>
      <c r="B853" s="81"/>
      <c r="C853" s="81"/>
      <c r="D853" s="81"/>
      <c r="E853" s="81"/>
      <c r="F853" s="81"/>
      <c r="G853" s="81"/>
      <c r="H853" s="111"/>
    </row>
    <row r="854" spans="1:8">
      <c r="A854" s="80"/>
      <c r="B854" s="81" t="s">
        <v>139</v>
      </c>
      <c r="C854" s="81" t="str">
        <f>VLOOKUP(G855,'17_1'!$A$141:$G$158,6,0)</f>
        <v>BLANCHARD, REYNALDO</v>
      </c>
      <c r="D854" s="81"/>
      <c r="E854" s="81"/>
      <c r="F854" s="81"/>
      <c r="G854" s="138" t="s">
        <v>102</v>
      </c>
      <c r="H854" s="111"/>
    </row>
    <row r="855" spans="1:8">
      <c r="A855" s="80"/>
      <c r="B855" s="81" t="s">
        <v>72</v>
      </c>
      <c r="C855" s="81" t="str">
        <f>+'17_1'!$A$128</f>
        <v>Hijuela Gelvez - Díaz</v>
      </c>
      <c r="D855" s="81"/>
      <c r="E855" s="81"/>
      <c r="F855" s="81"/>
      <c r="G855" s="138">
        <v>1</v>
      </c>
      <c r="H855" s="111"/>
    </row>
    <row r="856" spans="1:8">
      <c r="A856" s="80"/>
      <c r="B856" s="81"/>
      <c r="C856" s="81"/>
      <c r="D856" s="81"/>
      <c r="E856" s="81"/>
      <c r="F856" s="81"/>
      <c r="G856" s="81"/>
      <c r="H856" s="111"/>
    </row>
    <row r="857" spans="1:8">
      <c r="A857" s="80"/>
      <c r="B857" s="81" t="s">
        <v>140</v>
      </c>
      <c r="C857" s="138">
        <f>VLOOKUP(G855,'17_1'!$A$141:$B$158,2,0)</f>
        <v>1213</v>
      </c>
      <c r="D857" s="81"/>
      <c r="E857" s="139" t="s">
        <v>141</v>
      </c>
      <c r="F857" s="141" t="e">
        <f>DSUM('17_1'!A$141:J$158,'17_1'!$J$141,G854:G855)</f>
        <v>#N/A</v>
      </c>
      <c r="G857" s="81"/>
      <c r="H857" s="111"/>
    </row>
    <row r="858" spans="1:8">
      <c r="A858" s="80"/>
      <c r="B858" s="81" t="s">
        <v>142</v>
      </c>
      <c r="C858" s="205">
        <v>291</v>
      </c>
      <c r="D858" s="81"/>
      <c r="E858" s="81"/>
      <c r="F858" s="81"/>
      <c r="G858" s="81"/>
      <c r="H858" s="111"/>
    </row>
    <row r="859" spans="1:8">
      <c r="A859" s="80"/>
      <c r="B859" s="81" t="s">
        <v>144</v>
      </c>
      <c r="C859" s="206">
        <f>DSUM('17_1'!$A$141:$H$158,'17_1'!$H$141,G854:G855)</f>
        <v>0.44359999999999999</v>
      </c>
      <c r="D859" s="81"/>
      <c r="E859" s="81"/>
      <c r="F859" s="584"/>
      <c r="G859" s="584"/>
      <c r="H859" s="111"/>
    </row>
    <row r="860" spans="1:8" ht="15.75">
      <c r="A860" s="80"/>
      <c r="B860" s="81"/>
      <c r="C860" s="81" t="s">
        <v>146</v>
      </c>
      <c r="D860" s="145" t="e">
        <f>DMIN('17_1'!A$141:K$158,'17_1'!$K$141,G854:G855)</f>
        <v>#REF!</v>
      </c>
      <c r="E860" s="189" t="e">
        <f>IF(F860=1,"Domingo",IF(F860=2,"Lunes",IF(F860=3,"Martes",IF(F860=4,"Miercoles",IF(F860=5,"Jueves",IF(F860=6,"Viernes",IF(F860=7,"Sábado",0)))))))</f>
        <v>#REF!</v>
      </c>
      <c r="F860" s="190" t="e">
        <f>WEEKDAY(D860)</f>
        <v>#REF!</v>
      </c>
      <c r="G860" s="142"/>
      <c r="H860" s="111"/>
    </row>
    <row r="861" spans="1:8" ht="15.75">
      <c r="A861" s="80"/>
      <c r="B861" s="81"/>
      <c r="C861" s="81" t="s">
        <v>147</v>
      </c>
      <c r="D861" s="145" t="e">
        <f>DMAX('17_1'!A$141:L$158,'17_1'!$L$141,G854:G855)</f>
        <v>#REF!</v>
      </c>
      <c r="E861" s="189" t="e">
        <f>IF(F861=1,"Domingo",IF(F861=2,"Lunes",IF(F861=3,"Martes",IF(F861=4,"Miercoles",IF(F861=5,"Jueves",IF(F861=6,"Viernes",IF(F861=7,"Sábado",0)))))))</f>
        <v>#REF!</v>
      </c>
      <c r="F861" s="190" t="e">
        <f>WEEKDAY(D861)</f>
        <v>#REF!</v>
      </c>
      <c r="G861" s="142"/>
      <c r="H861" s="111"/>
    </row>
    <row r="862" spans="1:8">
      <c r="A862" s="80"/>
      <c r="B862" s="81"/>
      <c r="C862" s="81"/>
      <c r="D862" s="81"/>
      <c r="E862" s="81"/>
      <c r="F862" s="584"/>
      <c r="G862" s="584"/>
      <c r="H862" s="111"/>
    </row>
    <row r="863" spans="1:8">
      <c r="A863" s="80"/>
      <c r="B863" s="146">
        <f>+Mensajes!$B$7</f>
        <v>0</v>
      </c>
      <c r="C863" s="81"/>
      <c r="D863" s="81"/>
      <c r="E863" s="81"/>
      <c r="F863" s="81"/>
      <c r="G863" s="81"/>
      <c r="H863" s="111"/>
    </row>
    <row r="864" spans="1:8">
      <c r="A864" s="80"/>
      <c r="B864" s="146">
        <f>+Mensajes!$B$12</f>
        <v>0</v>
      </c>
      <c r="C864" s="81"/>
      <c r="D864" s="81"/>
      <c r="E864" s="81"/>
      <c r="F864" s="81"/>
      <c r="G864" s="81"/>
      <c r="H864" s="111"/>
    </row>
    <row r="865" spans="1:8">
      <c r="A865" s="80"/>
      <c r="B865" s="146" t="str">
        <f>IF(VLOOKUP(G855,'17_1'!$A$141:$N$158,14,0)=0,"",VLOOKUP(G855,'17_1'!$A$141:$N$158,14,0))</f>
        <v/>
      </c>
      <c r="C865" s="81"/>
      <c r="D865" s="81"/>
      <c r="E865" s="81"/>
      <c r="F865" s="81"/>
      <c r="G865" s="81"/>
      <c r="H865" s="111"/>
    </row>
    <row r="866" spans="1:8">
      <c r="A866" s="140"/>
      <c r="B866" s="188" t="str">
        <f>IF(DSUM('17_1'!$A$141:$Q$158,17,G854:G855)=COUNTIF('17_1'!$A$141:$A$158,G855),"","Regularice su Deuda")</f>
        <v/>
      </c>
      <c r="C866" s="82"/>
      <c r="D866" s="82"/>
      <c r="E866" s="82"/>
      <c r="F866" s="82"/>
      <c r="G866" s="82"/>
      <c r="H866" s="83"/>
    </row>
    <row r="868" spans="1:8">
      <c r="A868" s="108"/>
      <c r="B868" s="109"/>
      <c r="C868" s="109"/>
      <c r="D868" s="109"/>
      <c r="E868" s="109"/>
      <c r="F868" s="109"/>
      <c r="G868" s="109"/>
      <c r="H868" s="110"/>
    </row>
    <row r="869" spans="1:8">
      <c r="A869" s="80"/>
      <c r="B869" s="147" t="s">
        <v>64</v>
      </c>
      <c r="C869" s="81"/>
      <c r="D869" s="81"/>
      <c r="E869" s="81"/>
      <c r="F869" s="81"/>
      <c r="G869" s="81"/>
      <c r="H869" s="111"/>
    </row>
    <row r="870" spans="1:8">
      <c r="A870" s="80"/>
      <c r="B870" s="81"/>
      <c r="C870" s="81"/>
      <c r="D870" s="81"/>
      <c r="E870" s="81"/>
      <c r="F870" s="81"/>
      <c r="G870" s="81"/>
      <c r="H870" s="111"/>
    </row>
    <row r="871" spans="1:8">
      <c r="A871" s="80"/>
      <c r="B871" s="81" t="s">
        <v>139</v>
      </c>
      <c r="C871" s="81" t="str">
        <f>VLOOKUP(G872,'17_1'!$A$141:$G$158,6,0)</f>
        <v>YANZON, ELEODORO Y YANZON, ADELAIDA L. DE</v>
      </c>
      <c r="D871" s="81"/>
      <c r="E871" s="81"/>
      <c r="F871" s="81"/>
      <c r="G871" s="138" t="s">
        <v>102</v>
      </c>
      <c r="H871" s="111"/>
    </row>
    <row r="872" spans="1:8">
      <c r="A872" s="80"/>
      <c r="B872" s="81" t="s">
        <v>72</v>
      </c>
      <c r="C872" s="81" t="str">
        <f>+'17_1'!$A$128</f>
        <v>Hijuela Gelvez - Díaz</v>
      </c>
      <c r="D872" s="81"/>
      <c r="E872" s="81"/>
      <c r="F872" s="81"/>
      <c r="G872" s="138">
        <v>2</v>
      </c>
      <c r="H872" s="111"/>
    </row>
    <row r="873" spans="1:8">
      <c r="A873" s="80"/>
      <c r="B873" s="81"/>
      <c r="C873" s="81"/>
      <c r="D873" s="81"/>
      <c r="E873" s="81"/>
      <c r="F873" s="81"/>
      <c r="G873" s="81"/>
      <c r="H873" s="111"/>
    </row>
    <row r="874" spans="1:8">
      <c r="A874" s="80"/>
      <c r="B874" s="81" t="s">
        <v>140</v>
      </c>
      <c r="C874" s="138">
        <f>VLOOKUP(G872,'17_1'!$A$141:$B$158,2,0)</f>
        <v>1213</v>
      </c>
      <c r="D874" s="81"/>
      <c r="E874" s="139" t="s">
        <v>141</v>
      </c>
      <c r="F874" s="141" t="e">
        <f>DSUM('17_1'!A$141:J$158,'17_1'!$J$141,G871:G872)</f>
        <v>#N/A</v>
      </c>
      <c r="G874" s="81"/>
      <c r="H874" s="111"/>
    </row>
    <row r="875" spans="1:8">
      <c r="A875" s="80"/>
      <c r="B875" s="81" t="s">
        <v>142</v>
      </c>
      <c r="C875" s="205">
        <v>301</v>
      </c>
      <c r="D875" s="81"/>
      <c r="E875" s="81"/>
      <c r="F875" s="81"/>
      <c r="G875" s="81"/>
      <c r="H875" s="111"/>
    </row>
    <row r="876" spans="1:8">
      <c r="A876" s="80"/>
      <c r="B876" s="81" t="s">
        <v>144</v>
      </c>
      <c r="C876" s="206">
        <f>DSUM('17_1'!$A$141:$H$158,'17_1'!$H$141,G871:G872)</f>
        <v>3.1314000000000002</v>
      </c>
      <c r="D876" s="81"/>
      <c r="E876" s="81"/>
      <c r="F876" s="584"/>
      <c r="G876" s="584"/>
      <c r="H876" s="111"/>
    </row>
    <row r="877" spans="1:8" ht="15.75">
      <c r="A877" s="80"/>
      <c r="B877" s="81"/>
      <c r="C877" s="81" t="s">
        <v>146</v>
      </c>
      <c r="D877" s="145" t="e">
        <f>DMIN('17_1'!A$141:K$158,'17_1'!$K$141,G871:G872)</f>
        <v>#REF!</v>
      </c>
      <c r="E877" s="189" t="e">
        <f>IF(F877=1,"Domingo",IF(F877=2,"Lunes",IF(F877=3,"Martes",IF(F877=4,"Miercoles",IF(F877=5,"Jueves",IF(F877=6,"Viernes",IF(F877=7,"Sábado",0)))))))</f>
        <v>#REF!</v>
      </c>
      <c r="F877" s="190" t="e">
        <f>WEEKDAY(D877)</f>
        <v>#REF!</v>
      </c>
      <c r="G877" s="142"/>
      <c r="H877" s="111"/>
    </row>
    <row r="878" spans="1:8" ht="15.75">
      <c r="A878" s="80"/>
      <c r="B878" s="81"/>
      <c r="C878" s="81" t="s">
        <v>147</v>
      </c>
      <c r="D878" s="145" t="e">
        <f>DMAX('17_1'!A$141:L$158,'17_1'!$L$141,G871:G872)</f>
        <v>#REF!</v>
      </c>
      <c r="E878" s="189" t="e">
        <f>IF(F878=1,"Domingo",IF(F878=2,"Lunes",IF(F878=3,"Martes",IF(F878=4,"Miercoles",IF(F878=5,"Jueves",IF(F878=6,"Viernes",IF(F878=7,"Sábado",0)))))))</f>
        <v>#REF!</v>
      </c>
      <c r="F878" s="190" t="e">
        <f>WEEKDAY(D878)</f>
        <v>#REF!</v>
      </c>
      <c r="G878" s="142"/>
      <c r="H878" s="111"/>
    </row>
    <row r="879" spans="1:8">
      <c r="A879" s="80"/>
      <c r="B879" s="81"/>
      <c r="C879" s="81"/>
      <c r="D879" s="81"/>
      <c r="E879" s="81"/>
      <c r="F879" s="584"/>
      <c r="G879" s="584"/>
      <c r="H879" s="111"/>
    </row>
    <row r="880" spans="1:8">
      <c r="A880" s="80"/>
      <c r="B880" s="146">
        <f>+Mensajes!$B$7</f>
        <v>0</v>
      </c>
      <c r="C880" s="81"/>
      <c r="D880" s="81"/>
      <c r="E880" s="81"/>
      <c r="F880" s="81"/>
      <c r="G880" s="81"/>
      <c r="H880" s="111"/>
    </row>
    <row r="881" spans="1:8">
      <c r="A881" s="80"/>
      <c r="B881" s="146">
        <f>+Mensajes!$B$12</f>
        <v>0</v>
      </c>
      <c r="C881" s="81"/>
      <c r="D881" s="81"/>
      <c r="E881" s="81"/>
      <c r="F881" s="81"/>
      <c r="G881" s="81"/>
      <c r="H881" s="111"/>
    </row>
    <row r="882" spans="1:8">
      <c r="A882" s="80"/>
      <c r="B882" s="146" t="str">
        <f>IF(VLOOKUP(G872,'17_1'!$A$141:$N$158,14,0)=0,"",VLOOKUP(G872,'17_1'!$A$141:$N$158,14,0))</f>
        <v/>
      </c>
      <c r="C882" s="81"/>
      <c r="D882" s="81"/>
      <c r="E882" s="81"/>
      <c r="F882" s="81"/>
      <c r="G882" s="81"/>
      <c r="H882" s="111"/>
    </row>
    <row r="883" spans="1:8">
      <c r="A883" s="140"/>
      <c r="B883" s="188" t="str">
        <f>IF(DSUM('17_1'!$A$141:$Q$158,17,G871:G872)=COUNTIF('17_1'!$A$141:$A$158,G872),"","Regularice su Deuda")</f>
        <v/>
      </c>
      <c r="C883" s="82"/>
      <c r="D883" s="82"/>
      <c r="E883" s="82"/>
      <c r="F883" s="82"/>
      <c r="G883" s="82"/>
      <c r="H883" s="83"/>
    </row>
    <row r="885" spans="1:8">
      <c r="A885" s="108"/>
      <c r="B885" s="109"/>
      <c r="C885" s="109"/>
      <c r="D885" s="109"/>
      <c r="E885" s="109"/>
      <c r="F885" s="109"/>
      <c r="G885" s="109"/>
      <c r="H885" s="110"/>
    </row>
    <row r="886" spans="1:8">
      <c r="A886" s="80"/>
      <c r="B886" s="147" t="s">
        <v>64</v>
      </c>
      <c r="C886" s="81"/>
      <c r="D886" s="81"/>
      <c r="E886" s="81"/>
      <c r="F886" s="81"/>
      <c r="G886" s="81"/>
      <c r="H886" s="111"/>
    </row>
    <row r="887" spans="1:8">
      <c r="A887" s="80"/>
      <c r="B887" s="81"/>
      <c r="C887" s="81"/>
      <c r="D887" s="81"/>
      <c r="E887" s="81"/>
      <c r="F887" s="81"/>
      <c r="G887" s="81"/>
      <c r="H887" s="111"/>
    </row>
    <row r="888" spans="1:8">
      <c r="A888" s="80"/>
      <c r="B888" s="81" t="s">
        <v>139</v>
      </c>
      <c r="C888" s="81" t="str">
        <f>VLOOKUP(G889,'17_1'!$A$141:$G$158,6,0)</f>
        <v>MARTI, BERNARDO</v>
      </c>
      <c r="D888" s="81"/>
      <c r="E888" s="81"/>
      <c r="F888" s="81"/>
      <c r="G888" s="138" t="s">
        <v>102</v>
      </c>
      <c r="H888" s="111"/>
    </row>
    <row r="889" spans="1:8">
      <c r="A889" s="80"/>
      <c r="B889" s="81" t="s">
        <v>72</v>
      </c>
      <c r="C889" s="81" t="str">
        <f>+'17_1'!$A$128</f>
        <v>Hijuela Gelvez - Díaz</v>
      </c>
      <c r="D889" s="81"/>
      <c r="E889" s="81"/>
      <c r="F889" s="81"/>
      <c r="G889" s="138">
        <v>3</v>
      </c>
      <c r="H889" s="111"/>
    </row>
    <row r="890" spans="1:8">
      <c r="A890" s="80"/>
      <c r="B890" s="81"/>
      <c r="C890" s="81"/>
      <c r="D890" s="81"/>
      <c r="E890" s="81"/>
      <c r="F890" s="81"/>
      <c r="G890" s="81"/>
      <c r="H890" s="111"/>
    </row>
    <row r="891" spans="1:8">
      <c r="A891" s="80"/>
      <c r="B891" s="81" t="s">
        <v>140</v>
      </c>
      <c r="C891" s="138">
        <f>VLOOKUP(G889,'17_1'!$A$141:$B$158,2,0)</f>
        <v>1213</v>
      </c>
      <c r="D891" s="81"/>
      <c r="E891" s="139" t="s">
        <v>141</v>
      </c>
      <c r="F891" s="141" t="e">
        <f>DSUM('17_1'!A$141:J$158,'17_1'!$J$141,G888:G889)</f>
        <v>#N/A</v>
      </c>
      <c r="G891" s="81"/>
      <c r="H891" s="111"/>
    </row>
    <row r="892" spans="1:8">
      <c r="A892" s="80"/>
      <c r="B892" s="81" t="s">
        <v>142</v>
      </c>
      <c r="C892" s="205">
        <v>336</v>
      </c>
      <c r="D892" s="81"/>
      <c r="E892" s="81"/>
      <c r="F892" s="81"/>
      <c r="G892" s="81"/>
      <c r="H892" s="111"/>
    </row>
    <row r="893" spans="1:8">
      <c r="A893" s="80"/>
      <c r="B893" s="81" t="s">
        <v>144</v>
      </c>
      <c r="C893" s="206">
        <f>DSUM('17_1'!$A$141:$H$158,'17_1'!$H$141,G888:G889)</f>
        <v>4.0974000000000004</v>
      </c>
      <c r="D893" s="81"/>
      <c r="E893" s="81"/>
      <c r="F893" s="584"/>
      <c r="G893" s="584"/>
      <c r="H893" s="111"/>
    </row>
    <row r="894" spans="1:8" ht="15.75">
      <c r="A894" s="80"/>
      <c r="B894" s="81"/>
      <c r="C894" s="81" t="s">
        <v>146</v>
      </c>
      <c r="D894" s="145" t="e">
        <f>DMIN('17_1'!A$141:K$158,'17_1'!$K$141,G888:G889)</f>
        <v>#REF!</v>
      </c>
      <c r="E894" s="189" t="e">
        <f>IF(F894=1,"Domingo",IF(F894=2,"Lunes",IF(F894=3,"Martes",IF(F894=4,"Miercoles",IF(F894=5,"Jueves",IF(F894=6,"Viernes",IF(F894=7,"Sábado",0)))))))</f>
        <v>#REF!</v>
      </c>
      <c r="F894" s="190" t="e">
        <f>WEEKDAY(D894)</f>
        <v>#REF!</v>
      </c>
      <c r="G894" s="142"/>
      <c r="H894" s="111"/>
    </row>
    <row r="895" spans="1:8" ht="15.75">
      <c r="A895" s="80"/>
      <c r="B895" s="81"/>
      <c r="C895" s="81" t="s">
        <v>147</v>
      </c>
      <c r="D895" s="145" t="e">
        <f>DMAX('17_1'!A$141:L$158,'17_1'!$L$141,G888:G889)</f>
        <v>#REF!</v>
      </c>
      <c r="E895" s="189" t="e">
        <f>IF(F895=1,"Domingo",IF(F895=2,"Lunes",IF(F895=3,"Martes",IF(F895=4,"Miercoles",IF(F895=5,"Jueves",IF(F895=6,"Viernes",IF(F895=7,"Sábado",0)))))))</f>
        <v>#REF!</v>
      </c>
      <c r="F895" s="190" t="e">
        <f>WEEKDAY(D895)</f>
        <v>#REF!</v>
      </c>
      <c r="G895" s="142"/>
      <c r="H895" s="111"/>
    </row>
    <row r="896" spans="1:8">
      <c r="A896" s="80"/>
      <c r="B896" s="81"/>
      <c r="C896" s="81"/>
      <c r="D896" s="81"/>
      <c r="E896" s="81"/>
      <c r="F896" s="584"/>
      <c r="G896" s="584"/>
      <c r="H896" s="111"/>
    </row>
    <row r="897" spans="1:8">
      <c r="A897" s="80"/>
      <c r="B897" s="146">
        <f>+Mensajes!$B$7</f>
        <v>0</v>
      </c>
      <c r="C897" s="81"/>
      <c r="D897" s="81"/>
      <c r="E897" s="81"/>
      <c r="F897" s="81"/>
      <c r="G897" s="81"/>
      <c r="H897" s="111"/>
    </row>
    <row r="898" spans="1:8">
      <c r="A898" s="80"/>
      <c r="B898" s="146">
        <f>+Mensajes!$B$12</f>
        <v>0</v>
      </c>
      <c r="C898" s="81"/>
      <c r="D898" s="81"/>
      <c r="E898" s="81"/>
      <c r="F898" s="81"/>
      <c r="G898" s="81"/>
      <c r="H898" s="111"/>
    </row>
    <row r="899" spans="1:8">
      <c r="A899" s="80"/>
      <c r="B899" s="146" t="str">
        <f>IF(VLOOKUP(G889,'17_1'!$A$141:$N$158,14,0)=0,"",VLOOKUP(G889,'17_1'!$A$141:$N$158,14,0))</f>
        <v/>
      </c>
      <c r="C899" s="81"/>
      <c r="D899" s="81"/>
      <c r="E899" s="81"/>
      <c r="F899" s="81"/>
      <c r="G899" s="81"/>
      <c r="H899" s="111"/>
    </row>
    <row r="900" spans="1:8">
      <c r="A900" s="140"/>
      <c r="B900" s="188" t="str">
        <f>IF(DSUM('17_1'!$A$141:$Q$158,17,G888:G889)=COUNTIF('17_1'!$A$141:$A$158,G889),"","Regularice su Deuda")</f>
        <v/>
      </c>
      <c r="C900" s="82"/>
      <c r="D900" s="82"/>
      <c r="E900" s="82"/>
      <c r="F900" s="82"/>
      <c r="G900" s="82"/>
      <c r="H900" s="83"/>
    </row>
    <row r="902" spans="1:8">
      <c r="A902" s="108"/>
      <c r="B902" s="109"/>
      <c r="C902" s="109"/>
      <c r="D902" s="109"/>
      <c r="E902" s="109"/>
      <c r="F902" s="109"/>
      <c r="G902" s="109"/>
      <c r="H902" s="110"/>
    </row>
    <row r="903" spans="1:8">
      <c r="A903" s="80"/>
      <c r="B903" s="147" t="s">
        <v>64</v>
      </c>
      <c r="C903" s="81"/>
      <c r="D903" s="81"/>
      <c r="E903" s="81"/>
      <c r="F903" s="81"/>
      <c r="G903" s="81"/>
      <c r="H903" s="111"/>
    </row>
    <row r="904" spans="1:8">
      <c r="A904" s="80"/>
      <c r="B904" s="81"/>
      <c r="C904" s="81"/>
      <c r="D904" s="81"/>
      <c r="E904" s="81"/>
      <c r="F904" s="81"/>
      <c r="G904" s="81"/>
      <c r="H904" s="111"/>
    </row>
    <row r="905" spans="1:8">
      <c r="A905" s="80"/>
      <c r="B905" s="81" t="s">
        <v>139</v>
      </c>
      <c r="C905" s="81" t="str">
        <f>VLOOKUP(G906,'17_1'!$A$141:$G$158,6,0)</f>
        <v>MANVIELLI, EDUARDO</v>
      </c>
      <c r="D905" s="81"/>
      <c r="E905" s="81"/>
      <c r="F905" s="81"/>
      <c r="G905" s="138" t="s">
        <v>102</v>
      </c>
      <c r="H905" s="111"/>
    </row>
    <row r="906" spans="1:8">
      <c r="A906" s="80"/>
      <c r="B906" s="81" t="s">
        <v>72</v>
      </c>
      <c r="C906" s="81" t="str">
        <f>+'17_1'!$A$128</f>
        <v>Hijuela Gelvez - Díaz</v>
      </c>
      <c r="D906" s="81"/>
      <c r="E906" s="81"/>
      <c r="F906" s="81"/>
      <c r="G906" s="138">
        <v>4</v>
      </c>
      <c r="H906" s="111"/>
    </row>
    <row r="907" spans="1:8">
      <c r="A907" s="80"/>
      <c r="B907" s="81"/>
      <c r="C907" s="81"/>
      <c r="D907" s="81"/>
      <c r="E907" s="81"/>
      <c r="F907" s="81"/>
      <c r="G907" s="81"/>
      <c r="H907" s="111"/>
    </row>
    <row r="908" spans="1:8">
      <c r="A908" s="80"/>
      <c r="B908" s="81" t="s">
        <v>140</v>
      </c>
      <c r="C908" s="138">
        <f>VLOOKUP(G906,'17_1'!$A$141:$B$158,2,0)</f>
        <v>1213</v>
      </c>
      <c r="D908" s="81"/>
      <c r="E908" s="139" t="s">
        <v>141</v>
      </c>
      <c r="F908" s="141" t="e">
        <f>DSUM('17_1'!A$141:J$158,'17_1'!$J$141,G905:G906)</f>
        <v>#N/A</v>
      </c>
      <c r="G908" s="81"/>
      <c r="H908" s="111"/>
    </row>
    <row r="909" spans="1:8">
      <c r="A909" s="80"/>
      <c r="B909" s="81" t="s">
        <v>142</v>
      </c>
      <c r="C909" s="205">
        <v>61</v>
      </c>
      <c r="D909" s="81"/>
      <c r="E909" s="81"/>
      <c r="F909" s="81"/>
      <c r="G909" s="81"/>
      <c r="H909" s="111"/>
    </row>
    <row r="910" spans="1:8">
      <c r="A910" s="80"/>
      <c r="B910" s="81" t="s">
        <v>144</v>
      </c>
      <c r="C910" s="206" t="e">
        <f>DSUM('17_1'!$A$141:$H$158,'17_1'!$H$141,G905:G906)</f>
        <v>#N/A</v>
      </c>
      <c r="D910" s="81"/>
      <c r="E910" s="81"/>
      <c r="F910" s="584"/>
      <c r="G910" s="584"/>
      <c r="H910" s="111"/>
    </row>
    <row r="911" spans="1:8" ht="15.75">
      <c r="A911" s="80"/>
      <c r="B911" s="81"/>
      <c r="C911" s="81" t="s">
        <v>146</v>
      </c>
      <c r="D911" s="145" t="e">
        <f>DMIN('17_1'!A$141:K$158,'17_1'!$K$141,G905:G906)</f>
        <v>#REF!</v>
      </c>
      <c r="E911" s="189" t="e">
        <f>IF(F911=1,"Domingo",IF(F911=2,"Lunes",IF(F911=3,"Martes",IF(F911=4,"Miercoles",IF(F911=5,"Jueves",IF(F911=6,"Viernes",IF(F911=7,"Sábado",0)))))))</f>
        <v>#REF!</v>
      </c>
      <c r="F911" s="190" t="e">
        <f>WEEKDAY(D911)</f>
        <v>#REF!</v>
      </c>
      <c r="G911" s="142"/>
      <c r="H911" s="111"/>
    </row>
    <row r="912" spans="1:8" ht="15.75">
      <c r="A912" s="80"/>
      <c r="B912" s="81"/>
      <c r="C912" s="81" t="s">
        <v>147</v>
      </c>
      <c r="D912" s="145" t="e">
        <f>DMAX('17_1'!A$141:L$158,'17_1'!$L$141,G905:G906)</f>
        <v>#REF!</v>
      </c>
      <c r="E912" s="189" t="e">
        <f>IF(F912=1,"Domingo",IF(F912=2,"Lunes",IF(F912=3,"Martes",IF(F912=4,"Miercoles",IF(F912=5,"Jueves",IF(F912=6,"Viernes",IF(F912=7,"Sábado",0)))))))</f>
        <v>#REF!</v>
      </c>
      <c r="F912" s="190" t="e">
        <f>WEEKDAY(D912)</f>
        <v>#REF!</v>
      </c>
      <c r="G912" s="142"/>
      <c r="H912" s="111"/>
    </row>
    <row r="913" spans="1:8">
      <c r="A913" s="80"/>
      <c r="B913" s="81"/>
      <c r="C913" s="81"/>
      <c r="D913" s="81"/>
      <c r="E913" s="81"/>
      <c r="F913" s="584"/>
      <c r="G913" s="584"/>
      <c r="H913" s="111"/>
    </row>
    <row r="914" spans="1:8">
      <c r="A914" s="80"/>
      <c r="B914" s="146">
        <f>+Mensajes!$B$7</f>
        <v>0</v>
      </c>
      <c r="C914" s="81"/>
      <c r="D914" s="81"/>
      <c r="E914" s="81"/>
      <c r="F914" s="81"/>
      <c r="G914" s="81"/>
      <c r="H914" s="111"/>
    </row>
    <row r="915" spans="1:8">
      <c r="A915" s="80"/>
      <c r="B915" s="146">
        <f>+Mensajes!$B$12</f>
        <v>0</v>
      </c>
      <c r="C915" s="81"/>
      <c r="D915" s="81"/>
      <c r="E915" s="81"/>
      <c r="F915" s="81"/>
      <c r="G915" s="81"/>
      <c r="H915" s="111"/>
    </row>
    <row r="916" spans="1:8">
      <c r="A916" s="80"/>
      <c r="B916" s="146" t="str">
        <f>IF(VLOOKUP(G906,'17_1'!$A$141:$N$158,14,0)=0,"",VLOOKUP(G906,'17_1'!$A$141:$N$158,14,0))</f>
        <v/>
      </c>
      <c r="C916" s="81"/>
      <c r="D916" s="81"/>
      <c r="E916" s="81"/>
      <c r="F916" s="81"/>
      <c r="G916" s="81"/>
      <c r="H916" s="111"/>
    </row>
    <row r="917" spans="1:8">
      <c r="A917" s="140"/>
      <c r="B917" s="188" t="e">
        <f>IF(DSUM('17_1'!$A$141:$Q$158,17,G905:G906)=COUNTIF('17_1'!$A$141:$A$158,G906),"","Regularice su Deuda")</f>
        <v>#N/A</v>
      </c>
      <c r="C917" s="82"/>
      <c r="D917" s="82"/>
      <c r="E917" s="82"/>
      <c r="F917" s="82"/>
      <c r="G917" s="82"/>
      <c r="H917" s="83"/>
    </row>
    <row r="919" spans="1:8">
      <c r="A919" s="108"/>
      <c r="B919" s="109"/>
      <c r="C919" s="109"/>
      <c r="D919" s="109"/>
      <c r="E919" s="109"/>
      <c r="F919" s="109"/>
      <c r="G919" s="109"/>
      <c r="H919" s="110"/>
    </row>
    <row r="920" spans="1:8">
      <c r="A920" s="80"/>
      <c r="B920" s="147" t="s">
        <v>64</v>
      </c>
      <c r="C920" s="81"/>
      <c r="D920" s="81"/>
      <c r="E920" s="81"/>
      <c r="F920" s="81"/>
      <c r="G920" s="81"/>
      <c r="H920" s="111"/>
    </row>
    <row r="921" spans="1:8">
      <c r="A921" s="80"/>
      <c r="B921" s="81"/>
      <c r="C921" s="81"/>
      <c r="D921" s="81"/>
      <c r="E921" s="81"/>
      <c r="F921" s="81"/>
      <c r="G921" s="81"/>
      <c r="H921" s="111"/>
    </row>
    <row r="922" spans="1:8">
      <c r="A922" s="80"/>
      <c r="B922" s="81" t="s">
        <v>139</v>
      </c>
      <c r="C922" s="81" t="str">
        <f>VLOOKUP(G923,'17_1'!$A$141:$G$158,6,0)</f>
        <v>MORALES, NICASIO SEGUNDO</v>
      </c>
      <c r="D922" s="81"/>
      <c r="E922" s="81"/>
      <c r="F922" s="81"/>
      <c r="G922" s="138" t="s">
        <v>102</v>
      </c>
      <c r="H922" s="111"/>
    </row>
    <row r="923" spans="1:8">
      <c r="A923" s="80"/>
      <c r="B923" s="81" t="s">
        <v>72</v>
      </c>
      <c r="C923" s="81" t="str">
        <f>+'17_1'!$A$128</f>
        <v>Hijuela Gelvez - Díaz</v>
      </c>
      <c r="D923" s="81"/>
      <c r="E923" s="81"/>
      <c r="F923" s="81"/>
      <c r="G923" s="138">
        <v>5</v>
      </c>
      <c r="H923" s="111"/>
    </row>
    <row r="924" spans="1:8">
      <c r="A924" s="80"/>
      <c r="B924" s="81"/>
      <c r="C924" s="81"/>
      <c r="D924" s="81"/>
      <c r="E924" s="81"/>
      <c r="F924" s="81"/>
      <c r="G924" s="81"/>
      <c r="H924" s="111"/>
    </row>
    <row r="925" spans="1:8">
      <c r="A925" s="80"/>
      <c r="B925" s="81" t="s">
        <v>140</v>
      </c>
      <c r="C925" s="138">
        <f>VLOOKUP(G923,'17_1'!$A$141:$B$158,2,0)</f>
        <v>1213</v>
      </c>
      <c r="D925" s="81"/>
      <c r="E925" s="139" t="s">
        <v>141</v>
      </c>
      <c r="F925" s="141" t="e">
        <f>DSUM('17_1'!A$141:J$158,'17_1'!$J$141,G922:G923)</f>
        <v>#N/A</v>
      </c>
      <c r="G925" s="81"/>
      <c r="H925" s="111"/>
    </row>
    <row r="926" spans="1:8">
      <c r="A926" s="80"/>
      <c r="B926" s="81" t="s">
        <v>142</v>
      </c>
      <c r="C926" s="205">
        <v>190</v>
      </c>
      <c r="D926" s="81"/>
      <c r="E926" s="81"/>
      <c r="F926" s="81"/>
      <c r="G926" s="81"/>
      <c r="H926" s="111"/>
    </row>
    <row r="927" spans="1:8">
      <c r="A927" s="80"/>
      <c r="B927" s="81" t="s">
        <v>144</v>
      </c>
      <c r="C927" s="206">
        <f>DSUM('17_1'!$A$141:$H$158,'17_1'!$H$141,G922:G923)</f>
        <v>1.8263</v>
      </c>
      <c r="D927" s="81"/>
      <c r="E927" s="81"/>
      <c r="F927" s="584"/>
      <c r="G927" s="584"/>
      <c r="H927" s="111"/>
    </row>
    <row r="928" spans="1:8" ht="15.75">
      <c r="A928" s="80"/>
      <c r="B928" s="81"/>
      <c r="C928" s="81" t="s">
        <v>146</v>
      </c>
      <c r="D928" s="145" t="e">
        <f>DMIN('17_1'!A$141:K$158,'17_1'!$K$141,G922:G923)</f>
        <v>#REF!</v>
      </c>
      <c r="E928" s="189" t="e">
        <f>IF(F928=1,"Domingo",IF(F928=2,"Lunes",IF(F928=3,"Martes",IF(F928=4,"Miercoles",IF(F928=5,"Jueves",IF(F928=6,"Viernes",IF(F928=7,"Sábado",0)))))))</f>
        <v>#REF!</v>
      </c>
      <c r="F928" s="190" t="e">
        <f>WEEKDAY(D928)</f>
        <v>#REF!</v>
      </c>
      <c r="G928" s="142"/>
      <c r="H928" s="111"/>
    </row>
    <row r="929" spans="1:8" ht="15.75">
      <c r="A929" s="80"/>
      <c r="B929" s="81"/>
      <c r="C929" s="81" t="s">
        <v>147</v>
      </c>
      <c r="D929" s="145" t="e">
        <f>DMAX('17_1'!A$141:L$158,'17_1'!$L$141,G922:G923)</f>
        <v>#REF!</v>
      </c>
      <c r="E929" s="189" t="e">
        <f>IF(F929=1,"Domingo",IF(F929=2,"Lunes",IF(F929=3,"Martes",IF(F929=4,"Miercoles",IF(F929=5,"Jueves",IF(F929=6,"Viernes",IF(F929=7,"Sábado",0)))))))</f>
        <v>#REF!</v>
      </c>
      <c r="F929" s="190" t="e">
        <f>WEEKDAY(D929)</f>
        <v>#REF!</v>
      </c>
      <c r="G929" s="142"/>
      <c r="H929" s="111"/>
    </row>
    <row r="930" spans="1:8">
      <c r="A930" s="80"/>
      <c r="B930" s="81"/>
      <c r="C930" s="81"/>
      <c r="D930" s="81"/>
      <c r="E930" s="81"/>
      <c r="F930" s="584"/>
      <c r="G930" s="584"/>
      <c r="H930" s="111"/>
    </row>
    <row r="931" spans="1:8">
      <c r="A931" s="80"/>
      <c r="B931" s="146">
        <f>+Mensajes!$B$7</f>
        <v>0</v>
      </c>
      <c r="C931" s="81"/>
      <c r="D931" s="81"/>
      <c r="E931" s="81"/>
      <c r="F931" s="81"/>
      <c r="G931" s="81"/>
      <c r="H931" s="111"/>
    </row>
    <row r="932" spans="1:8">
      <c r="A932" s="80"/>
      <c r="B932" s="146">
        <f>+Mensajes!$B$12</f>
        <v>0</v>
      </c>
      <c r="C932" s="81"/>
      <c r="D932" s="81"/>
      <c r="E932" s="81"/>
      <c r="F932" s="81"/>
      <c r="G932" s="81"/>
      <c r="H932" s="111"/>
    </row>
    <row r="933" spans="1:8">
      <c r="A933" s="80"/>
      <c r="B933" s="146" t="str">
        <f>IF(VLOOKUP(G923,'17_1'!$A$141:$N$158,14,0)=0,"",VLOOKUP(G923,'17_1'!$A$141:$N$158,14,0))</f>
        <v/>
      </c>
      <c r="C933" s="81"/>
      <c r="D933" s="81"/>
      <c r="E933" s="81"/>
      <c r="F933" s="81"/>
      <c r="G933" s="81"/>
      <c r="H933" s="111"/>
    </row>
    <row r="934" spans="1:8">
      <c r="A934" s="140"/>
      <c r="B934" s="188" t="str">
        <f>IF(DSUM('17_1'!$A$141:$Q$158,17,G922:G923)=COUNTIF('17_1'!$A$141:$A$158,G923),"","Regularice su Deuda")</f>
        <v/>
      </c>
      <c r="C934" s="82"/>
      <c r="D934" s="82"/>
      <c r="E934" s="82"/>
      <c r="F934" s="82"/>
      <c r="G934" s="82"/>
      <c r="H934" s="83"/>
    </row>
    <row r="936" spans="1:8">
      <c r="A936" s="108"/>
      <c r="B936" s="109"/>
      <c r="C936" s="109"/>
      <c r="D936" s="109"/>
      <c r="E936" s="109"/>
      <c r="F936" s="109"/>
      <c r="G936" s="109"/>
      <c r="H936" s="110"/>
    </row>
    <row r="937" spans="1:8">
      <c r="A937" s="80"/>
      <c r="B937" s="147" t="s">
        <v>64</v>
      </c>
      <c r="C937" s="81"/>
      <c r="D937" s="81"/>
      <c r="E937" s="81"/>
      <c r="F937" s="81"/>
      <c r="G937" s="81"/>
      <c r="H937" s="111"/>
    </row>
    <row r="938" spans="1:8">
      <c r="A938" s="80"/>
      <c r="B938" s="81"/>
      <c r="C938" s="81"/>
      <c r="D938" s="81"/>
      <c r="E938" s="81"/>
      <c r="F938" s="81"/>
      <c r="G938" s="81"/>
      <c r="H938" s="111"/>
    </row>
    <row r="939" spans="1:8">
      <c r="A939" s="80"/>
      <c r="B939" s="81" t="s">
        <v>139</v>
      </c>
      <c r="C939" s="81" t="str">
        <f>VLOOKUP(G940,'17_1'!$A$141:$G$158,6,0)</f>
        <v>ROSSI VDA. DE DURI, JULIA</v>
      </c>
      <c r="D939" s="81"/>
      <c r="E939" s="81"/>
      <c r="F939" s="81"/>
      <c r="G939" s="138" t="s">
        <v>102</v>
      </c>
      <c r="H939" s="111"/>
    </row>
    <row r="940" spans="1:8">
      <c r="A940" s="80"/>
      <c r="B940" s="81" t="s">
        <v>72</v>
      </c>
      <c r="C940" s="81" t="str">
        <f>+'17_1'!$A$128</f>
        <v>Hijuela Gelvez - Díaz</v>
      </c>
      <c r="D940" s="81"/>
      <c r="E940" s="81"/>
      <c r="F940" s="81"/>
      <c r="G940" s="138">
        <v>6</v>
      </c>
      <c r="H940" s="111"/>
    </row>
    <row r="941" spans="1:8">
      <c r="A941" s="80"/>
      <c r="B941" s="81"/>
      <c r="C941" s="81"/>
      <c r="D941" s="81"/>
      <c r="E941" s="81"/>
      <c r="F941" s="81"/>
      <c r="G941" s="81"/>
      <c r="H941" s="111"/>
    </row>
    <row r="942" spans="1:8">
      <c r="A942" s="80"/>
      <c r="B942" s="81" t="s">
        <v>140</v>
      </c>
      <c r="C942" s="138">
        <f>VLOOKUP(G940,'17_1'!$A$141:$B$158,2,0)</f>
        <v>1213</v>
      </c>
      <c r="D942" s="81"/>
      <c r="E942" s="139" t="s">
        <v>141</v>
      </c>
      <c r="F942" s="141" t="e">
        <f>DSUM('17_1'!A$141:J$158,'17_1'!$J$141,G939:G940)</f>
        <v>#N/A</v>
      </c>
      <c r="G942" s="81"/>
      <c r="H942" s="111"/>
    </row>
    <row r="943" spans="1:8">
      <c r="A943" s="80"/>
      <c r="B943" s="81" t="s">
        <v>142</v>
      </c>
      <c r="C943" s="205" t="s">
        <v>547</v>
      </c>
      <c r="D943" s="81"/>
      <c r="E943" s="81"/>
      <c r="F943" s="81"/>
      <c r="G943" s="81"/>
      <c r="H943" s="111"/>
    </row>
    <row r="944" spans="1:8">
      <c r="A944" s="80"/>
      <c r="B944" s="81" t="s">
        <v>144</v>
      </c>
      <c r="C944" s="206">
        <f>DSUM('17_1'!$A$141:$H$158,'17_1'!$H$141,G939:G940)</f>
        <v>0</v>
      </c>
      <c r="D944" s="81"/>
      <c r="E944" s="81"/>
      <c r="F944" s="584"/>
      <c r="G944" s="584"/>
      <c r="H944" s="111"/>
    </row>
    <row r="945" spans="1:8" ht="15.75">
      <c r="A945" s="80"/>
      <c r="B945" s="81"/>
      <c r="C945" s="81" t="s">
        <v>146</v>
      </c>
      <c r="D945" s="145" t="e">
        <f>DMIN('17_1'!A$141:K$158,'17_1'!$K$141,G939:G940)</f>
        <v>#REF!</v>
      </c>
      <c r="E945" s="189" t="e">
        <f>IF(F945=1,"Domingo",IF(F945=2,"Lunes",IF(F945=3,"Martes",IF(F945=4,"Miercoles",IF(F945=5,"Jueves",IF(F945=6,"Viernes",IF(F945=7,"Sábado",0)))))))</f>
        <v>#REF!</v>
      </c>
      <c r="F945" s="190" t="e">
        <f>WEEKDAY(D945)</f>
        <v>#REF!</v>
      </c>
      <c r="G945" s="142"/>
      <c r="H945" s="111"/>
    </row>
    <row r="946" spans="1:8" ht="15.75">
      <c r="A946" s="80"/>
      <c r="B946" s="81"/>
      <c r="C946" s="81" t="s">
        <v>147</v>
      </c>
      <c r="D946" s="145" t="e">
        <f>DMAX('17_1'!A$141:L$158,'17_1'!$L$141,G939:G940)</f>
        <v>#REF!</v>
      </c>
      <c r="E946" s="189" t="e">
        <f>IF(F946=1,"Domingo",IF(F946=2,"Lunes",IF(F946=3,"Martes",IF(F946=4,"Miercoles",IF(F946=5,"Jueves",IF(F946=6,"Viernes",IF(F946=7,"Sábado",0)))))))</f>
        <v>#REF!</v>
      </c>
      <c r="F946" s="190" t="e">
        <f>WEEKDAY(D946)</f>
        <v>#REF!</v>
      </c>
      <c r="G946" s="142"/>
      <c r="H946" s="111"/>
    </row>
    <row r="947" spans="1:8">
      <c r="A947" s="80"/>
      <c r="B947" s="81"/>
      <c r="C947" s="81"/>
      <c r="D947" s="81"/>
      <c r="E947" s="81"/>
      <c r="F947" s="584"/>
      <c r="G947" s="584"/>
      <c r="H947" s="111"/>
    </row>
    <row r="948" spans="1:8">
      <c r="A948" s="80"/>
      <c r="B948" s="146">
        <f>+Mensajes!$B$7</f>
        <v>0</v>
      </c>
      <c r="C948" s="81"/>
      <c r="D948" s="81"/>
      <c r="E948" s="81"/>
      <c r="F948" s="81"/>
      <c r="G948" s="81"/>
      <c r="H948" s="111"/>
    </row>
    <row r="949" spans="1:8">
      <c r="A949" s="80"/>
      <c r="B949" s="146">
        <f>+Mensajes!$B$12</f>
        <v>0</v>
      </c>
      <c r="C949" s="81"/>
      <c r="D949" s="81"/>
      <c r="E949" s="81"/>
      <c r="F949" s="81"/>
      <c r="G949" s="81"/>
      <c r="H949" s="111"/>
    </row>
    <row r="950" spans="1:8">
      <c r="A950" s="80"/>
      <c r="B950" s="146" t="str">
        <f>IF(VLOOKUP(G940,'17_1'!$A$141:$N$158,14,0)=0,"",VLOOKUP(G940,'17_1'!$A$141:$N$158,14,0))</f>
        <v/>
      </c>
      <c r="C950" s="81"/>
      <c r="D950" s="81"/>
      <c r="E950" s="81"/>
      <c r="F950" s="81"/>
      <c r="G950" s="81"/>
      <c r="H950" s="111"/>
    </row>
    <row r="951" spans="1:8">
      <c r="A951" s="140"/>
      <c r="B951" s="188" t="str">
        <f>IF(DSUM('17_1'!$A$141:$Q$158,17,G939:G940)=COUNTIF('17_1'!$A$141:$A$158,G940),"","Regularice su Deuda")</f>
        <v>Regularice su Deuda</v>
      </c>
      <c r="C951" s="82"/>
      <c r="D951" s="82"/>
      <c r="E951" s="82"/>
      <c r="F951" s="82"/>
      <c r="G951" s="82"/>
      <c r="H951" s="83"/>
    </row>
    <row r="953" spans="1:8">
      <c r="A953" s="108"/>
      <c r="B953" s="109"/>
      <c r="C953" s="109"/>
      <c r="D953" s="109"/>
      <c r="E953" s="109"/>
      <c r="F953" s="109"/>
      <c r="G953" s="109"/>
      <c r="H953" s="110"/>
    </row>
    <row r="954" spans="1:8">
      <c r="A954" s="80"/>
      <c r="B954" s="147" t="s">
        <v>64</v>
      </c>
      <c r="C954" s="81"/>
      <c r="D954" s="81"/>
      <c r="E954" s="81"/>
      <c r="F954" s="81"/>
      <c r="G954" s="81"/>
      <c r="H954" s="111"/>
    </row>
    <row r="955" spans="1:8">
      <c r="A955" s="80"/>
      <c r="B955" s="81"/>
      <c r="C955" s="81"/>
      <c r="D955" s="81"/>
      <c r="E955" s="81"/>
      <c r="F955" s="81"/>
      <c r="G955" s="81"/>
      <c r="H955" s="111"/>
    </row>
    <row r="956" spans="1:8">
      <c r="A956" s="80"/>
      <c r="B956" s="81" t="s">
        <v>139</v>
      </c>
      <c r="C956" s="81" t="str">
        <f>VLOOKUP(G957,'17_1'!$A$141:$G$158,6,0)</f>
        <v>MALDONADO, FRANCISCO</v>
      </c>
      <c r="D956" s="81"/>
      <c r="E956" s="81"/>
      <c r="F956" s="81"/>
      <c r="G956" s="138" t="s">
        <v>102</v>
      </c>
      <c r="H956" s="111"/>
    </row>
    <row r="957" spans="1:8">
      <c r="A957" s="80"/>
      <c r="B957" s="81" t="s">
        <v>72</v>
      </c>
      <c r="C957" s="81" t="str">
        <f>+'17_1'!$A$128</f>
        <v>Hijuela Gelvez - Díaz</v>
      </c>
      <c r="D957" s="81"/>
      <c r="E957" s="81"/>
      <c r="F957" s="81"/>
      <c r="G957" s="138">
        <v>7</v>
      </c>
      <c r="H957" s="111"/>
    </row>
    <row r="958" spans="1:8">
      <c r="A958" s="80"/>
      <c r="B958" s="81"/>
      <c r="C958" s="81"/>
      <c r="D958" s="81"/>
      <c r="E958" s="81"/>
      <c r="F958" s="81"/>
      <c r="G958" s="81"/>
      <c r="H958" s="111"/>
    </row>
    <row r="959" spans="1:8">
      <c r="A959" s="80"/>
      <c r="B959" s="81" t="s">
        <v>140</v>
      </c>
      <c r="C959" s="138">
        <f>VLOOKUP(G957,'17_1'!$A$141:$B$158,2,0)</f>
        <v>1213</v>
      </c>
      <c r="D959" s="81"/>
      <c r="E959" s="139" t="s">
        <v>141</v>
      </c>
      <c r="F959" s="141" t="e">
        <f>DSUM('17_1'!A$141:J$158,'17_1'!$J$141,G956:G957)</f>
        <v>#N/A</v>
      </c>
      <c r="G959" s="81"/>
      <c r="H959" s="111"/>
    </row>
    <row r="960" spans="1:8">
      <c r="A960" s="80"/>
      <c r="B960" s="81" t="s">
        <v>142</v>
      </c>
      <c r="C960" s="205">
        <v>202</v>
      </c>
      <c r="D960" s="81"/>
      <c r="E960" s="81"/>
      <c r="F960" s="81"/>
      <c r="G960" s="81"/>
      <c r="H960" s="111"/>
    </row>
    <row r="961" spans="1:8">
      <c r="A961" s="80"/>
      <c r="B961" s="81" t="s">
        <v>144</v>
      </c>
      <c r="C961" s="206">
        <f>DSUM('17_1'!$A$141:$H$158,'17_1'!$H$141,G956:G957)</f>
        <v>0</v>
      </c>
      <c r="D961" s="81"/>
      <c r="E961" s="81"/>
      <c r="F961" s="584"/>
      <c r="G961" s="584"/>
      <c r="H961" s="111"/>
    </row>
    <row r="962" spans="1:8" ht="15.75">
      <c r="A962" s="80"/>
      <c r="B962" s="81"/>
      <c r="C962" s="81" t="s">
        <v>146</v>
      </c>
      <c r="D962" s="145" t="e">
        <f>DMIN('17_1'!A$141:K$158,'17_1'!$K$141,G956:G957)</f>
        <v>#REF!</v>
      </c>
      <c r="E962" s="189" t="e">
        <f>IF(F962=1,"Domingo",IF(F962=2,"Lunes",IF(F962=3,"Martes",IF(F962=4,"Miercoles",IF(F962=5,"Jueves",IF(F962=6,"Viernes",IF(F962=7,"Sábado",0)))))))</f>
        <v>#REF!</v>
      </c>
      <c r="F962" s="190" t="e">
        <f>WEEKDAY(D962)</f>
        <v>#REF!</v>
      </c>
      <c r="G962" s="142"/>
      <c r="H962" s="111"/>
    </row>
    <row r="963" spans="1:8" ht="15.75">
      <c r="A963" s="80"/>
      <c r="B963" s="81"/>
      <c r="C963" s="81" t="s">
        <v>147</v>
      </c>
      <c r="D963" s="145" t="e">
        <f>DMAX('17_1'!A$141:L$158,'17_1'!$L$141,G956:G957)</f>
        <v>#REF!</v>
      </c>
      <c r="E963" s="189" t="e">
        <f>IF(F963=1,"Domingo",IF(F963=2,"Lunes",IF(F963=3,"Martes",IF(F963=4,"Miercoles",IF(F963=5,"Jueves",IF(F963=6,"Viernes",IF(F963=7,"Sábado",0)))))))</f>
        <v>#REF!</v>
      </c>
      <c r="F963" s="190" t="e">
        <f>WEEKDAY(D963)</f>
        <v>#REF!</v>
      </c>
      <c r="G963" s="142"/>
      <c r="H963" s="111"/>
    </row>
    <row r="964" spans="1:8">
      <c r="A964" s="80"/>
      <c r="B964" s="81"/>
      <c r="C964" s="81"/>
      <c r="D964" s="81"/>
      <c r="E964" s="81"/>
      <c r="F964" s="584"/>
      <c r="G964" s="584"/>
      <c r="H964" s="111"/>
    </row>
    <row r="965" spans="1:8">
      <c r="A965" s="80"/>
      <c r="B965" s="146">
        <f>+Mensajes!$B$7</f>
        <v>0</v>
      </c>
      <c r="C965" s="81"/>
      <c r="D965" s="81"/>
      <c r="E965" s="81"/>
      <c r="F965" s="81"/>
      <c r="G965" s="81"/>
      <c r="H965" s="111"/>
    </row>
    <row r="966" spans="1:8">
      <c r="A966" s="80"/>
      <c r="B966" s="146">
        <f>+Mensajes!$B$12</f>
        <v>0</v>
      </c>
      <c r="C966" s="81"/>
      <c r="D966" s="81"/>
      <c r="E966" s="81"/>
      <c r="F966" s="81"/>
      <c r="G966" s="81"/>
      <c r="H966" s="111"/>
    </row>
    <row r="967" spans="1:8">
      <c r="A967" s="80"/>
      <c r="B967" s="146" t="str">
        <f>IF(VLOOKUP(G957,'17_1'!$A$141:$N$158,14,0)=0,"",VLOOKUP(G957,'17_1'!$A$141:$N$158,14,0))</f>
        <v/>
      </c>
      <c r="C967" s="81"/>
      <c r="D967" s="81"/>
      <c r="E967" s="81"/>
      <c r="F967" s="81"/>
      <c r="G967" s="81"/>
      <c r="H967" s="111"/>
    </row>
    <row r="968" spans="1:8">
      <c r="A968" s="140"/>
      <c r="B968" s="188" t="str">
        <f>IF(DSUM('17_1'!$A$141:$Q$158,17,G956:G957)=COUNTIF('17_1'!$A$141:$A$158,G957),"","Regularice su Deuda")</f>
        <v>Regularice su Deuda</v>
      </c>
      <c r="C968" s="82"/>
      <c r="D968" s="82"/>
      <c r="E968" s="82"/>
      <c r="F968" s="82"/>
      <c r="G968" s="82"/>
      <c r="H968" s="83"/>
    </row>
    <row r="970" spans="1:8">
      <c r="A970" s="108"/>
      <c r="B970" s="109"/>
      <c r="C970" s="109"/>
      <c r="D970" s="109"/>
      <c r="E970" s="109"/>
      <c r="F970" s="109"/>
      <c r="G970" s="109"/>
      <c r="H970" s="110"/>
    </row>
    <row r="971" spans="1:8">
      <c r="A971" s="80"/>
      <c r="B971" s="147" t="s">
        <v>64</v>
      </c>
      <c r="C971" s="81"/>
      <c r="D971" s="81"/>
      <c r="E971" s="81"/>
      <c r="F971" s="81"/>
      <c r="G971" s="81"/>
      <c r="H971" s="111"/>
    </row>
    <row r="972" spans="1:8">
      <c r="A972" s="80"/>
      <c r="B972" s="81"/>
      <c r="C972" s="81"/>
      <c r="D972" s="81"/>
      <c r="E972" s="81"/>
      <c r="F972" s="81"/>
      <c r="G972" s="81"/>
      <c r="H972" s="111"/>
    </row>
    <row r="973" spans="1:8">
      <c r="A973" s="80"/>
      <c r="B973" s="81" t="s">
        <v>139</v>
      </c>
      <c r="C973" s="81" t="str">
        <f>VLOOKUP(G974,'17_1'!$A$141:$G$158,6,0)</f>
        <v>PIZARRO, RAFAEL FLORINDO</v>
      </c>
      <c r="D973" s="81"/>
      <c r="E973" s="81"/>
      <c r="F973" s="81"/>
      <c r="G973" s="138" t="s">
        <v>102</v>
      </c>
      <c r="H973" s="111"/>
    </row>
    <row r="974" spans="1:8">
      <c r="A974" s="80"/>
      <c r="B974" s="81" t="s">
        <v>72</v>
      </c>
      <c r="C974" s="81" t="str">
        <f>+'17_1'!$A$128</f>
        <v>Hijuela Gelvez - Díaz</v>
      </c>
      <c r="D974" s="81"/>
      <c r="E974" s="81"/>
      <c r="F974" s="81"/>
      <c r="G974" s="138">
        <v>8</v>
      </c>
      <c r="H974" s="111"/>
    </row>
    <row r="975" spans="1:8">
      <c r="A975" s="80"/>
      <c r="B975" s="81"/>
      <c r="C975" s="81"/>
      <c r="D975" s="81"/>
      <c r="E975" s="81"/>
      <c r="F975" s="81"/>
      <c r="G975" s="81"/>
      <c r="H975" s="111"/>
    </row>
    <row r="976" spans="1:8">
      <c r="A976" s="80"/>
      <c r="B976" s="81" t="s">
        <v>140</v>
      </c>
      <c r="C976" s="138">
        <f>VLOOKUP(G974,'17_1'!$A$141:$B$158,2,0)</f>
        <v>1213</v>
      </c>
      <c r="D976" s="81"/>
      <c r="E976" s="139" t="s">
        <v>141</v>
      </c>
      <c r="F976" s="141" t="e">
        <f>DSUM('17_1'!A$141:J$158,'17_1'!$J$141,G973:G974)</f>
        <v>#N/A</v>
      </c>
      <c r="G976" s="81"/>
      <c r="H976" s="111"/>
    </row>
    <row r="977" spans="1:8">
      <c r="A977" s="80"/>
      <c r="B977" s="81" t="s">
        <v>142</v>
      </c>
      <c r="C977" s="205">
        <v>206</v>
      </c>
      <c r="D977" s="81"/>
      <c r="E977" s="81"/>
      <c r="F977" s="81"/>
      <c r="G977" s="81"/>
      <c r="H977" s="111"/>
    </row>
    <row r="978" spans="1:8">
      <c r="A978" s="80"/>
      <c r="B978" s="81" t="s">
        <v>144</v>
      </c>
      <c r="C978" s="206">
        <f>DSUM('17_1'!$A$141:$H$158,'17_1'!$H$141,G973:G974)</f>
        <v>7.1521999999999997</v>
      </c>
      <c r="D978" s="81"/>
      <c r="E978" s="81"/>
      <c r="F978" s="584"/>
      <c r="G978" s="584"/>
      <c r="H978" s="111"/>
    </row>
    <row r="979" spans="1:8" ht="15.75">
      <c r="A979" s="80"/>
      <c r="B979" s="81"/>
      <c r="C979" s="81" t="s">
        <v>146</v>
      </c>
      <c r="D979" s="145" t="e">
        <f>DMIN('17_1'!A$141:K$158,'17_1'!$K$141,G973:G974)</f>
        <v>#REF!</v>
      </c>
      <c r="E979" s="189" t="e">
        <f>IF(F979=1,"Domingo",IF(F979=2,"Lunes",IF(F979=3,"Martes",IF(F979=4,"Miercoles",IF(F979=5,"Jueves",IF(F979=6,"Viernes",IF(F979=7,"Sábado",0)))))))</f>
        <v>#REF!</v>
      </c>
      <c r="F979" s="190" t="e">
        <f>WEEKDAY(D979)</f>
        <v>#REF!</v>
      </c>
      <c r="G979" s="142"/>
      <c r="H979" s="111"/>
    </row>
    <row r="980" spans="1:8" ht="15.75">
      <c r="A980" s="80"/>
      <c r="B980" s="81"/>
      <c r="C980" s="81" t="s">
        <v>147</v>
      </c>
      <c r="D980" s="145" t="e">
        <f>DMAX('17_1'!A$141:L$158,'17_1'!$L$141,G973:G974)</f>
        <v>#REF!</v>
      </c>
      <c r="E980" s="189" t="e">
        <f>IF(F980=1,"Domingo",IF(F980=2,"Lunes",IF(F980=3,"Martes",IF(F980=4,"Miercoles",IF(F980=5,"Jueves",IF(F980=6,"Viernes",IF(F980=7,"Sábado",0)))))))</f>
        <v>#REF!</v>
      </c>
      <c r="F980" s="190" t="e">
        <f>WEEKDAY(D980)</f>
        <v>#REF!</v>
      </c>
      <c r="G980" s="142"/>
      <c r="H980" s="111"/>
    </row>
    <row r="981" spans="1:8">
      <c r="A981" s="80"/>
      <c r="B981" s="81"/>
      <c r="C981" s="81"/>
      <c r="D981" s="81"/>
      <c r="E981" s="81"/>
      <c r="F981" s="584"/>
      <c r="G981" s="584"/>
      <c r="H981" s="111"/>
    </row>
    <row r="982" spans="1:8">
      <c r="A982" s="80"/>
      <c r="B982" s="146">
        <f>+Mensajes!$B$7</f>
        <v>0</v>
      </c>
      <c r="C982" s="81"/>
      <c r="D982" s="81"/>
      <c r="E982" s="81"/>
      <c r="F982" s="81"/>
      <c r="G982" s="81"/>
      <c r="H982" s="111"/>
    </row>
    <row r="983" spans="1:8">
      <c r="A983" s="80"/>
      <c r="B983" s="146">
        <f>+Mensajes!$B$12</f>
        <v>0</v>
      </c>
      <c r="C983" s="81"/>
      <c r="D983" s="81"/>
      <c r="E983" s="81"/>
      <c r="F983" s="81"/>
      <c r="G983" s="81"/>
      <c r="H983" s="111"/>
    </row>
    <row r="984" spans="1:8">
      <c r="A984" s="80"/>
      <c r="B984" s="146" t="str">
        <f>IF(VLOOKUP(G974,'17_1'!$A$141:$N$158,14,0)=0,"",VLOOKUP(G974,'17_1'!$A$141:$N$158,14,0))</f>
        <v/>
      </c>
      <c r="C984" s="81"/>
      <c r="D984" s="81"/>
      <c r="E984" s="81"/>
      <c r="F984" s="81"/>
      <c r="G984" s="81"/>
      <c r="H984" s="111"/>
    </row>
    <row r="985" spans="1:8">
      <c r="A985" s="140"/>
      <c r="B985" s="188" t="str">
        <f>IF(DSUM('17_1'!$A$141:$Q$158,17,G973:G974)=COUNTIF('17_1'!$A$141:$A$158,G974),"","Regularice su Deuda")</f>
        <v/>
      </c>
      <c r="C985" s="82"/>
      <c r="D985" s="82"/>
      <c r="E985" s="82"/>
      <c r="F985" s="82"/>
      <c r="G985" s="82"/>
      <c r="H985" s="83"/>
    </row>
    <row r="987" spans="1:8">
      <c r="A987" s="108"/>
      <c r="B987" s="109"/>
      <c r="C987" s="109"/>
      <c r="D987" s="109"/>
      <c r="E987" s="109"/>
      <c r="F987" s="109"/>
      <c r="G987" s="109"/>
      <c r="H987" s="110"/>
    </row>
    <row r="988" spans="1:8">
      <c r="A988" s="80"/>
      <c r="B988" s="147" t="s">
        <v>64</v>
      </c>
      <c r="C988" s="81"/>
      <c r="D988" s="81"/>
      <c r="E988" s="81"/>
      <c r="F988" s="81"/>
      <c r="G988" s="81"/>
      <c r="H988" s="111"/>
    </row>
    <row r="989" spans="1:8">
      <c r="A989" s="80"/>
      <c r="B989" s="81"/>
      <c r="C989" s="81"/>
      <c r="D989" s="81"/>
      <c r="E989" s="81"/>
      <c r="F989" s="81"/>
      <c r="G989" s="81"/>
      <c r="H989" s="111"/>
    </row>
    <row r="990" spans="1:8">
      <c r="A990" s="80"/>
      <c r="B990" s="81" t="s">
        <v>139</v>
      </c>
      <c r="C990" s="81" t="str">
        <f>VLOOKUP(G991,'17_1'!$A$141:$G$158,6,0)</f>
        <v>GONZALEZ, ERCILIA Y GONZALEZ, JUAN BAUTISTA</v>
      </c>
      <c r="D990" s="81"/>
      <c r="E990" s="81"/>
      <c r="F990" s="81"/>
      <c r="G990" s="138" t="s">
        <v>102</v>
      </c>
      <c r="H990" s="111"/>
    </row>
    <row r="991" spans="1:8">
      <c r="A991" s="80"/>
      <c r="B991" s="81" t="s">
        <v>72</v>
      </c>
      <c r="C991" s="81" t="str">
        <f>+'17_1'!$A$128</f>
        <v>Hijuela Gelvez - Díaz</v>
      </c>
      <c r="D991" s="81"/>
      <c r="E991" s="81"/>
      <c r="F991" s="81"/>
      <c r="G991" s="138">
        <v>9</v>
      </c>
      <c r="H991" s="111"/>
    </row>
    <row r="992" spans="1:8">
      <c r="A992" s="80"/>
      <c r="B992" s="81"/>
      <c r="C992" s="81"/>
      <c r="D992" s="81"/>
      <c r="E992" s="81"/>
      <c r="F992" s="81"/>
      <c r="G992" s="81"/>
      <c r="H992" s="111"/>
    </row>
    <row r="993" spans="1:8">
      <c r="A993" s="80"/>
      <c r="B993" s="81" t="s">
        <v>140</v>
      </c>
      <c r="C993" s="138">
        <f>VLOOKUP(G991,'17_1'!$A$141:$B$158,2,0)</f>
        <v>1213</v>
      </c>
      <c r="D993" s="81"/>
      <c r="E993" s="139" t="s">
        <v>141</v>
      </c>
      <c r="F993" s="141" t="e">
        <f>DSUM('17_1'!A$141:J$158,'17_1'!$J$141,G990:G991)</f>
        <v>#N/A</v>
      </c>
      <c r="G993" s="81"/>
      <c r="H993" s="111"/>
    </row>
    <row r="994" spans="1:8">
      <c r="A994" s="80"/>
      <c r="B994" s="81" t="s">
        <v>142</v>
      </c>
      <c r="C994" s="205">
        <v>66</v>
      </c>
      <c r="D994" s="81"/>
      <c r="E994" s="81"/>
      <c r="F994" s="81"/>
      <c r="G994" s="81"/>
      <c r="H994" s="111"/>
    </row>
    <row r="995" spans="1:8">
      <c r="A995" s="80"/>
      <c r="B995" s="81" t="s">
        <v>144</v>
      </c>
      <c r="C995" s="206" t="e">
        <f>DSUM('17_1'!$A$141:$H$158,'17_1'!$H$141,G990:G991)</f>
        <v>#N/A</v>
      </c>
      <c r="D995" s="81"/>
      <c r="E995" s="81"/>
      <c r="F995" s="584"/>
      <c r="G995" s="584"/>
      <c r="H995" s="111"/>
    </row>
    <row r="996" spans="1:8" ht="15.75">
      <c r="A996" s="80"/>
      <c r="B996" s="81"/>
      <c r="C996" s="81" t="s">
        <v>146</v>
      </c>
      <c r="D996" s="145" t="e">
        <f>DMIN('17_1'!A$141:K$158,'17_1'!$K$141,G990:G991)</f>
        <v>#REF!</v>
      </c>
      <c r="E996" s="189" t="e">
        <f>IF(F996=1,"Domingo",IF(F996=2,"Lunes",IF(F996=3,"Martes",IF(F996=4,"Miercoles",IF(F996=5,"Jueves",IF(F996=6,"Viernes",IF(F996=7,"Sábado",0)))))))</f>
        <v>#REF!</v>
      </c>
      <c r="F996" s="190" t="e">
        <f>WEEKDAY(D996)</f>
        <v>#REF!</v>
      </c>
      <c r="G996" s="142"/>
      <c r="H996" s="111"/>
    </row>
    <row r="997" spans="1:8" ht="15.75">
      <c r="A997" s="80"/>
      <c r="B997" s="81"/>
      <c r="C997" s="81" t="s">
        <v>147</v>
      </c>
      <c r="D997" s="145" t="e">
        <f>DMAX('17_1'!A$141:L$158,'17_1'!$L$141,G990:G991)</f>
        <v>#REF!</v>
      </c>
      <c r="E997" s="189" t="e">
        <f>IF(F997=1,"Domingo",IF(F997=2,"Lunes",IF(F997=3,"Martes",IF(F997=4,"Miercoles",IF(F997=5,"Jueves",IF(F997=6,"Viernes",IF(F997=7,"Sábado",0)))))))</f>
        <v>#REF!</v>
      </c>
      <c r="F997" s="190" t="e">
        <f>WEEKDAY(D997)</f>
        <v>#REF!</v>
      </c>
      <c r="G997" s="142"/>
      <c r="H997" s="111"/>
    </row>
    <row r="998" spans="1:8">
      <c r="A998" s="80"/>
      <c r="B998" s="81"/>
      <c r="C998" s="81"/>
      <c r="D998" s="81"/>
      <c r="E998" s="81"/>
      <c r="F998" s="584"/>
      <c r="G998" s="584"/>
      <c r="H998" s="111"/>
    </row>
    <row r="999" spans="1:8">
      <c r="A999" s="80"/>
      <c r="B999" s="146">
        <f>+Mensajes!$B$7</f>
        <v>0</v>
      </c>
      <c r="C999" s="81"/>
      <c r="D999" s="81"/>
      <c r="E999" s="81"/>
      <c r="F999" s="81"/>
      <c r="G999" s="81"/>
      <c r="H999" s="111"/>
    </row>
    <row r="1000" spans="1:8">
      <c r="A1000" s="80"/>
      <c r="B1000" s="146">
        <f>+Mensajes!$B$12</f>
        <v>0</v>
      </c>
      <c r="C1000" s="81"/>
      <c r="D1000" s="81"/>
      <c r="E1000" s="81"/>
      <c r="F1000" s="81"/>
      <c r="G1000" s="81"/>
      <c r="H1000" s="111"/>
    </row>
    <row r="1001" spans="1:8">
      <c r="A1001" s="80"/>
      <c r="B1001" s="146" t="str">
        <f>IF(VLOOKUP(G991,'17_1'!$A$141:$N$158,14,0)=0,"",VLOOKUP(G991,'17_1'!$A$141:$N$158,14,0))</f>
        <v/>
      </c>
      <c r="C1001" s="81"/>
      <c r="D1001" s="81"/>
      <c r="E1001" s="81"/>
      <c r="F1001" s="81"/>
      <c r="G1001" s="81"/>
      <c r="H1001" s="111"/>
    </row>
    <row r="1002" spans="1:8">
      <c r="A1002" s="140"/>
      <c r="B1002" s="188" t="e">
        <f>IF(DSUM('17_1'!$A$141:$Q$158,17,G990:G991)=COUNTIF('17_1'!$A$141:$A$158,G991),"","Regularice su Deuda")</f>
        <v>#N/A</v>
      </c>
      <c r="C1002" s="82"/>
      <c r="D1002" s="82"/>
      <c r="E1002" s="82"/>
      <c r="F1002" s="82"/>
      <c r="G1002" s="82"/>
      <c r="H1002" s="83"/>
    </row>
    <row r="1004" spans="1:8">
      <c r="A1004" s="108"/>
      <c r="B1004" s="109"/>
      <c r="C1004" s="109"/>
      <c r="D1004" s="109"/>
      <c r="E1004" s="109"/>
      <c r="F1004" s="109"/>
      <c r="G1004" s="109"/>
      <c r="H1004" s="110"/>
    </row>
    <row r="1005" spans="1:8">
      <c r="A1005" s="80"/>
      <c r="B1005" s="147" t="s">
        <v>64</v>
      </c>
      <c r="C1005" s="81"/>
      <c r="D1005" s="81"/>
      <c r="E1005" s="81"/>
      <c r="F1005" s="81"/>
      <c r="G1005" s="81"/>
      <c r="H1005" s="111"/>
    </row>
    <row r="1006" spans="1:8">
      <c r="A1006" s="80"/>
      <c r="B1006" s="81"/>
      <c r="C1006" s="81"/>
      <c r="D1006" s="81"/>
      <c r="E1006" s="81"/>
      <c r="F1006" s="81"/>
      <c r="G1006" s="81"/>
      <c r="H1006" s="111"/>
    </row>
    <row r="1007" spans="1:8">
      <c r="A1007" s="80"/>
      <c r="B1007" s="81" t="s">
        <v>139</v>
      </c>
      <c r="C1007" s="81" t="str">
        <f>VLOOKUP(G1008,'17_1'!$A$141:$G$158,6,0)</f>
        <v>DIAZ, AGUSTIN NOLBERTO</v>
      </c>
      <c r="D1007" s="81"/>
      <c r="E1007" s="81"/>
      <c r="F1007" s="81"/>
      <c r="G1007" s="138" t="s">
        <v>102</v>
      </c>
      <c r="H1007" s="111"/>
    </row>
    <row r="1008" spans="1:8">
      <c r="A1008" s="80"/>
      <c r="B1008" s="81" t="s">
        <v>72</v>
      </c>
      <c r="C1008" s="81" t="str">
        <f>+'17_1'!$A$128</f>
        <v>Hijuela Gelvez - Díaz</v>
      </c>
      <c r="D1008" s="81"/>
      <c r="E1008" s="81"/>
      <c r="F1008" s="81"/>
      <c r="G1008" s="138">
        <v>10</v>
      </c>
      <c r="H1008" s="111"/>
    </row>
    <row r="1009" spans="1:8">
      <c r="A1009" s="80"/>
      <c r="B1009" s="81"/>
      <c r="C1009" s="81"/>
      <c r="D1009" s="81"/>
      <c r="E1009" s="81"/>
      <c r="F1009" s="81"/>
      <c r="G1009" s="81"/>
      <c r="H1009" s="111"/>
    </row>
    <row r="1010" spans="1:8">
      <c r="A1010" s="80"/>
      <c r="B1010" s="81" t="s">
        <v>140</v>
      </c>
      <c r="C1010" s="138">
        <f>VLOOKUP(G1008,'17_1'!$A$141:$B$158,2,0)</f>
        <v>1213</v>
      </c>
      <c r="D1010" s="81"/>
      <c r="E1010" s="139" t="s">
        <v>141</v>
      </c>
      <c r="F1010" s="141" t="e">
        <f>DSUM('17_1'!A$141:J$158,'17_1'!$J$141,G1007:G1008)</f>
        <v>#N/A</v>
      </c>
      <c r="G1010" s="81"/>
      <c r="H1010" s="111"/>
    </row>
    <row r="1011" spans="1:8">
      <c r="A1011" s="80"/>
      <c r="B1011" s="81" t="s">
        <v>142</v>
      </c>
      <c r="C1011" s="205" t="s">
        <v>548</v>
      </c>
      <c r="D1011" s="81"/>
      <c r="E1011" s="81"/>
      <c r="F1011" s="81"/>
      <c r="G1011" s="81"/>
      <c r="H1011" s="111"/>
    </row>
    <row r="1012" spans="1:8">
      <c r="A1012" s="80"/>
      <c r="B1012" s="81" t="s">
        <v>144</v>
      </c>
      <c r="C1012" s="206">
        <f>DSUM('17_1'!$A$141:$H$158,'17_1'!$H$141,G1007:G1008)</f>
        <v>0</v>
      </c>
      <c r="D1012" s="81"/>
      <c r="E1012" s="81"/>
      <c r="F1012" s="584"/>
      <c r="G1012" s="584"/>
      <c r="H1012" s="111"/>
    </row>
    <row r="1013" spans="1:8" ht="15.75">
      <c r="A1013" s="80"/>
      <c r="B1013" s="81"/>
      <c r="C1013" s="81" t="s">
        <v>146</v>
      </c>
      <c r="D1013" s="145" t="e">
        <f>DMIN('17_1'!A$141:K$158,'17_1'!$K$141,G1007:G1008)</f>
        <v>#REF!</v>
      </c>
      <c r="E1013" s="189" t="e">
        <f>IF(F1013=1,"Domingo",IF(F1013=2,"Lunes",IF(F1013=3,"Martes",IF(F1013=4,"Miercoles",IF(F1013=5,"Jueves",IF(F1013=6,"Viernes",IF(F1013=7,"Sábado",0)))))))</f>
        <v>#REF!</v>
      </c>
      <c r="F1013" s="190" t="e">
        <f>WEEKDAY(D1013)</f>
        <v>#REF!</v>
      </c>
      <c r="G1013" s="142"/>
      <c r="H1013" s="111"/>
    </row>
    <row r="1014" spans="1:8" ht="15.75">
      <c r="A1014" s="80"/>
      <c r="B1014" s="81"/>
      <c r="C1014" s="81" t="s">
        <v>147</v>
      </c>
      <c r="D1014" s="145" t="e">
        <f>DMAX('17_1'!A$141:L$158,'17_1'!$L$141,G1007:G1008)</f>
        <v>#REF!</v>
      </c>
      <c r="E1014" s="189" t="e">
        <f>IF(F1014=1,"Domingo",IF(F1014=2,"Lunes",IF(F1014=3,"Martes",IF(F1014=4,"Miercoles",IF(F1014=5,"Jueves",IF(F1014=6,"Viernes",IF(F1014=7,"Sábado",0)))))))</f>
        <v>#REF!</v>
      </c>
      <c r="F1014" s="190" t="e">
        <f>WEEKDAY(D1014)</f>
        <v>#REF!</v>
      </c>
      <c r="G1014" s="142"/>
      <c r="H1014" s="111"/>
    </row>
    <row r="1015" spans="1:8">
      <c r="A1015" s="80"/>
      <c r="B1015" s="81"/>
      <c r="C1015" s="81"/>
      <c r="D1015" s="81"/>
      <c r="E1015" s="81"/>
      <c r="F1015" s="584"/>
      <c r="G1015" s="584"/>
      <c r="H1015" s="111"/>
    </row>
    <row r="1016" spans="1:8">
      <c r="A1016" s="80"/>
      <c r="B1016" s="146">
        <f>+Mensajes!$B$7</f>
        <v>0</v>
      </c>
      <c r="C1016" s="81"/>
      <c r="D1016" s="81"/>
      <c r="E1016" s="81"/>
      <c r="F1016" s="81"/>
      <c r="G1016" s="81"/>
      <c r="H1016" s="111"/>
    </row>
    <row r="1017" spans="1:8">
      <c r="A1017" s="80"/>
      <c r="B1017" s="146">
        <f>+Mensajes!$B$12</f>
        <v>0</v>
      </c>
      <c r="C1017" s="81"/>
      <c r="D1017" s="81"/>
      <c r="E1017" s="81"/>
      <c r="F1017" s="81"/>
      <c r="G1017" s="81"/>
      <c r="H1017" s="111"/>
    </row>
    <row r="1018" spans="1:8">
      <c r="A1018" s="80"/>
      <c r="B1018" s="146" t="str">
        <f>IF(VLOOKUP(G1008,'17_1'!$A$141:$N$158,14,0)=0,"",VLOOKUP(G1008,'17_1'!$A$141:$N$158,14,0))</f>
        <v/>
      </c>
      <c r="C1018" s="81"/>
      <c r="D1018" s="81"/>
      <c r="E1018" s="81"/>
      <c r="F1018" s="81"/>
      <c r="G1018" s="81"/>
      <c r="H1018" s="111"/>
    </row>
    <row r="1019" spans="1:8">
      <c r="A1019" s="140"/>
      <c r="B1019" s="188" t="str">
        <f>IF(DSUM('17_1'!$A$141:$Q$158,17,G1007:G1008)=COUNTIF('17_1'!$A$141:$A$158,G1008),"","Regularice su Deuda")</f>
        <v>Regularice su Deuda</v>
      </c>
      <c r="C1019" s="82"/>
      <c r="D1019" s="82"/>
      <c r="E1019" s="82"/>
      <c r="F1019" s="82"/>
      <c r="G1019" s="82"/>
      <c r="H1019" s="83"/>
    </row>
    <row r="1021" spans="1:8">
      <c r="A1021" s="108"/>
      <c r="B1021" s="109"/>
      <c r="C1021" s="109"/>
      <c r="D1021" s="109"/>
      <c r="E1021" s="109"/>
      <c r="F1021" s="109"/>
      <c r="G1021" s="109"/>
      <c r="H1021" s="110"/>
    </row>
    <row r="1022" spans="1:8">
      <c r="A1022" s="80"/>
      <c r="B1022" s="147" t="s">
        <v>64</v>
      </c>
      <c r="C1022" s="81"/>
      <c r="D1022" s="81"/>
      <c r="E1022" s="81"/>
      <c r="F1022" s="81"/>
      <c r="G1022" s="81"/>
      <c r="H1022" s="111"/>
    </row>
    <row r="1023" spans="1:8">
      <c r="A1023" s="80"/>
      <c r="B1023" s="81"/>
      <c r="C1023" s="81"/>
      <c r="D1023" s="81"/>
      <c r="E1023" s="81"/>
      <c r="F1023" s="81"/>
      <c r="G1023" s="81"/>
      <c r="H1023" s="111"/>
    </row>
    <row r="1024" spans="1:8">
      <c r="A1024" s="80"/>
      <c r="B1024" s="81" t="s">
        <v>139</v>
      </c>
      <c r="C1024" s="81" t="str">
        <f>VLOOKUP(G1025,'17_1'!$A$141:$G$158,6,0)</f>
        <v>DIAZ HERRERA, HERIBERTO; DIAZ HERRERA, ISABEL; DIAZ HERRERA, CESAR; DIA</v>
      </c>
      <c r="D1024" s="81"/>
      <c r="E1024" s="81"/>
      <c r="F1024" s="81"/>
      <c r="G1024" s="138" t="s">
        <v>102</v>
      </c>
      <c r="H1024" s="111"/>
    </row>
    <row r="1025" spans="1:8">
      <c r="A1025" s="80"/>
      <c r="B1025" s="81" t="s">
        <v>72</v>
      </c>
      <c r="C1025" s="81" t="str">
        <f>+'17_1'!$A$128</f>
        <v>Hijuela Gelvez - Díaz</v>
      </c>
      <c r="D1025" s="81"/>
      <c r="E1025" s="81"/>
      <c r="F1025" s="81"/>
      <c r="G1025" s="138">
        <v>11</v>
      </c>
      <c r="H1025" s="111"/>
    </row>
    <row r="1026" spans="1:8">
      <c r="A1026" s="80"/>
      <c r="B1026" s="81"/>
      <c r="C1026" s="81"/>
      <c r="D1026" s="81"/>
      <c r="E1026" s="81"/>
      <c r="F1026" s="81"/>
      <c r="G1026" s="81"/>
      <c r="H1026" s="111"/>
    </row>
    <row r="1027" spans="1:8">
      <c r="A1027" s="80"/>
      <c r="B1027" s="81" t="s">
        <v>140</v>
      </c>
      <c r="C1027" s="138">
        <f>VLOOKUP(G1025,'17_1'!$A$141:$B$158,2,0)</f>
        <v>1213</v>
      </c>
      <c r="D1027" s="81"/>
      <c r="E1027" s="139" t="s">
        <v>141</v>
      </c>
      <c r="F1027" s="141" t="e">
        <f>DSUM('17_1'!A$141:J$158,'17_1'!$J$141,G1024:G1025)</f>
        <v>#N/A</v>
      </c>
      <c r="G1027" s="81"/>
      <c r="H1027" s="111"/>
    </row>
    <row r="1028" spans="1:8">
      <c r="A1028" s="80"/>
      <c r="B1028" s="81" t="s">
        <v>142</v>
      </c>
      <c r="C1028" s="205">
        <v>168</v>
      </c>
      <c r="D1028" s="81"/>
      <c r="E1028" s="81"/>
      <c r="F1028" s="81"/>
      <c r="G1028" s="81"/>
      <c r="H1028" s="111"/>
    </row>
    <row r="1029" spans="1:8">
      <c r="A1029" s="80"/>
      <c r="B1029" s="81" t="s">
        <v>144</v>
      </c>
      <c r="C1029" s="206" t="e">
        <f>DSUM('17_1'!$A$141:$H$158,'17_1'!$H$141,G1024:G1025)</f>
        <v>#N/A</v>
      </c>
      <c r="D1029" s="81"/>
      <c r="E1029" s="81"/>
      <c r="F1029" s="584"/>
      <c r="G1029" s="584"/>
      <c r="H1029" s="111"/>
    </row>
    <row r="1030" spans="1:8" ht="15.75">
      <c r="A1030" s="80"/>
      <c r="B1030" s="81"/>
      <c r="C1030" s="81" t="s">
        <v>146</v>
      </c>
      <c r="D1030" s="145" t="e">
        <f>DMIN('17_1'!A$141:K$158,'17_1'!$K$141,G1024:G1025)</f>
        <v>#REF!</v>
      </c>
      <c r="E1030" s="189" t="e">
        <f>IF(F1030=1,"Domingo",IF(F1030=2,"Lunes",IF(F1030=3,"Martes",IF(F1030=4,"Miercoles",IF(F1030=5,"Jueves",IF(F1030=6,"Viernes",IF(F1030=7,"Sábado",0)))))))</f>
        <v>#REF!</v>
      </c>
      <c r="F1030" s="190" t="e">
        <f>WEEKDAY(D1030)</f>
        <v>#REF!</v>
      </c>
      <c r="G1030" s="142"/>
      <c r="H1030" s="111"/>
    </row>
    <row r="1031" spans="1:8" ht="15.75">
      <c r="A1031" s="80"/>
      <c r="B1031" s="81"/>
      <c r="C1031" s="81" t="s">
        <v>147</v>
      </c>
      <c r="D1031" s="145" t="e">
        <f>DMAX('17_1'!A$141:L$158,'17_1'!$L$141,G1024:G1025)</f>
        <v>#REF!</v>
      </c>
      <c r="E1031" s="189" t="e">
        <f>IF(F1031=1,"Domingo",IF(F1031=2,"Lunes",IF(F1031=3,"Martes",IF(F1031=4,"Miercoles",IF(F1031=5,"Jueves",IF(F1031=6,"Viernes",IF(F1031=7,"Sábado",0)))))))</f>
        <v>#REF!</v>
      </c>
      <c r="F1031" s="190" t="e">
        <f>WEEKDAY(D1031)</f>
        <v>#REF!</v>
      </c>
      <c r="G1031" s="142"/>
      <c r="H1031" s="111"/>
    </row>
    <row r="1032" spans="1:8">
      <c r="A1032" s="80"/>
      <c r="B1032" s="81"/>
      <c r="C1032" s="81"/>
      <c r="D1032" s="81"/>
      <c r="E1032" s="81"/>
      <c r="F1032" s="584"/>
      <c r="G1032" s="584"/>
      <c r="H1032" s="111"/>
    </row>
    <row r="1033" spans="1:8">
      <c r="A1033" s="80"/>
      <c r="B1033" s="146">
        <f>+Mensajes!$B$7</f>
        <v>0</v>
      </c>
      <c r="C1033" s="81"/>
      <c r="D1033" s="81"/>
      <c r="E1033" s="81"/>
      <c r="F1033" s="81"/>
      <c r="G1033" s="81"/>
      <c r="H1033" s="111"/>
    </row>
    <row r="1034" spans="1:8">
      <c r="A1034" s="80"/>
      <c r="B1034" s="146">
        <f>+Mensajes!$B$12</f>
        <v>0</v>
      </c>
      <c r="C1034" s="81"/>
      <c r="D1034" s="81"/>
      <c r="E1034" s="81"/>
      <c r="F1034" s="81"/>
      <c r="G1034" s="81"/>
      <c r="H1034" s="111"/>
    </row>
    <row r="1035" spans="1:8">
      <c r="A1035" s="80"/>
      <c r="B1035" s="146" t="str">
        <f>IF(VLOOKUP(G1025,'17_1'!$A$141:$N$158,14,0)=0,"",VLOOKUP(G1025,'17_1'!$A$141:$N$158,14,0))</f>
        <v/>
      </c>
      <c r="C1035" s="81"/>
      <c r="D1035" s="81"/>
      <c r="E1035" s="81"/>
      <c r="F1035" s="81"/>
      <c r="G1035" s="81"/>
      <c r="H1035" s="111"/>
    </row>
    <row r="1036" spans="1:8">
      <c r="A1036" s="140"/>
      <c r="B1036" s="188" t="e">
        <f>IF(DSUM('17_1'!$A$141:$Q$158,17,G1024:G1025)=COUNTIF('17_1'!$A$141:$A$158,G1025),"","Regularice su Deuda")</f>
        <v>#N/A</v>
      </c>
      <c r="C1036" s="82"/>
      <c r="D1036" s="82"/>
      <c r="E1036" s="82"/>
      <c r="F1036" s="82"/>
      <c r="G1036" s="82"/>
      <c r="H1036" s="83"/>
    </row>
    <row r="1038" spans="1:8">
      <c r="A1038" s="108"/>
      <c r="B1038" s="109"/>
      <c r="C1038" s="109"/>
      <c r="D1038" s="109"/>
      <c r="E1038" s="109"/>
      <c r="F1038" s="109"/>
      <c r="G1038" s="109"/>
      <c r="H1038" s="110"/>
    </row>
    <row r="1039" spans="1:8">
      <c r="A1039" s="80"/>
      <c r="B1039" s="147" t="s">
        <v>64</v>
      </c>
      <c r="C1039" s="81"/>
      <c r="D1039" s="81"/>
      <c r="E1039" s="81"/>
      <c r="F1039" s="81"/>
      <c r="G1039" s="81"/>
      <c r="H1039" s="111"/>
    </row>
    <row r="1040" spans="1:8">
      <c r="A1040" s="80"/>
      <c r="B1040" s="81"/>
      <c r="C1040" s="81"/>
      <c r="D1040" s="81"/>
      <c r="E1040" s="81"/>
      <c r="F1040" s="81"/>
      <c r="G1040" s="81"/>
      <c r="H1040" s="111"/>
    </row>
    <row r="1041" spans="1:8">
      <c r="A1041" s="80"/>
      <c r="B1041" s="81" t="s">
        <v>139</v>
      </c>
      <c r="C1041" s="81" t="str">
        <f>VLOOKUP(G1042,'17_1'!$A$141:$G$158,6,0)</f>
        <v>DIAZ HERRERA, NICOLASA</v>
      </c>
      <c r="D1041" s="81"/>
      <c r="E1041" s="81"/>
      <c r="F1041" s="81"/>
      <c r="G1041" s="138" t="s">
        <v>102</v>
      </c>
      <c r="H1041" s="111"/>
    </row>
    <row r="1042" spans="1:8">
      <c r="A1042" s="80"/>
      <c r="B1042" s="81" t="s">
        <v>72</v>
      </c>
      <c r="C1042" s="81" t="str">
        <f>+'17_1'!$A$128</f>
        <v>Hijuela Gelvez - Díaz</v>
      </c>
      <c r="D1042" s="81"/>
      <c r="E1042" s="81"/>
      <c r="F1042" s="81"/>
      <c r="G1042" s="138">
        <v>12</v>
      </c>
      <c r="H1042" s="111"/>
    </row>
    <row r="1043" spans="1:8">
      <c r="A1043" s="80"/>
      <c r="B1043" s="81"/>
      <c r="C1043" s="81"/>
      <c r="D1043" s="81"/>
      <c r="E1043" s="81"/>
      <c r="F1043" s="81"/>
      <c r="G1043" s="81"/>
      <c r="H1043" s="111"/>
    </row>
    <row r="1044" spans="1:8">
      <c r="A1044" s="80"/>
      <c r="B1044" s="81" t="s">
        <v>140</v>
      </c>
      <c r="C1044" s="138">
        <f>VLOOKUP(G1042,'17_1'!$A$141:$B$158,2,0)</f>
        <v>1213</v>
      </c>
      <c r="D1044" s="81"/>
      <c r="E1044" s="139" t="s">
        <v>141</v>
      </c>
      <c r="F1044" s="141" t="e">
        <f>DSUM('17_1'!A$141:J$158,'17_1'!$J$141,G1041:G1042)</f>
        <v>#N/A</v>
      </c>
      <c r="G1044" s="81"/>
      <c r="H1044" s="111"/>
    </row>
    <row r="1045" spans="1:8">
      <c r="A1045" s="80"/>
      <c r="B1045" s="81" t="s">
        <v>142</v>
      </c>
      <c r="C1045" s="205" t="s">
        <v>548</v>
      </c>
      <c r="D1045" s="81"/>
      <c r="E1045" s="81"/>
      <c r="F1045" s="81"/>
      <c r="G1045" s="81"/>
      <c r="H1045" s="111"/>
    </row>
    <row r="1046" spans="1:8">
      <c r="A1046" s="80"/>
      <c r="B1046" s="81" t="s">
        <v>144</v>
      </c>
      <c r="C1046" s="206" t="e">
        <f>DSUM('17_1'!$A$141:$H$158,'17_1'!$H$141,G1041:G1042)</f>
        <v>#N/A</v>
      </c>
      <c r="D1046" s="81"/>
      <c r="E1046" s="81"/>
      <c r="F1046" s="584"/>
      <c r="G1046" s="584"/>
      <c r="H1046" s="111"/>
    </row>
    <row r="1047" spans="1:8" ht="15.75">
      <c r="A1047" s="80"/>
      <c r="B1047" s="81"/>
      <c r="C1047" s="81" t="s">
        <v>146</v>
      </c>
      <c r="D1047" s="145" t="e">
        <f>DMIN('17_1'!A$141:K$158,'17_1'!$K$141,G1041:G1042)</f>
        <v>#REF!</v>
      </c>
      <c r="E1047" s="189" t="e">
        <f>IF(F1047=1,"Domingo",IF(F1047=2,"Lunes",IF(F1047=3,"Martes",IF(F1047=4,"Miercoles",IF(F1047=5,"Jueves",IF(F1047=6,"Viernes",IF(F1047=7,"Sábado",0)))))))</f>
        <v>#REF!</v>
      </c>
      <c r="F1047" s="190" t="e">
        <f>WEEKDAY(D1047)</f>
        <v>#REF!</v>
      </c>
      <c r="G1047" s="142"/>
      <c r="H1047" s="111"/>
    </row>
    <row r="1048" spans="1:8" ht="15.75">
      <c r="A1048" s="80"/>
      <c r="B1048" s="81"/>
      <c r="C1048" s="81" t="s">
        <v>147</v>
      </c>
      <c r="D1048" s="145" t="e">
        <f>DMAX('17_1'!A$141:L$158,'17_1'!$L$141,G1041:G1042)</f>
        <v>#REF!</v>
      </c>
      <c r="E1048" s="189" t="e">
        <f>IF(F1048=1,"Domingo",IF(F1048=2,"Lunes",IF(F1048=3,"Martes",IF(F1048=4,"Miercoles",IF(F1048=5,"Jueves",IF(F1048=6,"Viernes",IF(F1048=7,"Sábado",0)))))))</f>
        <v>#REF!</v>
      </c>
      <c r="F1048" s="190" t="e">
        <f>WEEKDAY(D1048)</f>
        <v>#REF!</v>
      </c>
      <c r="G1048" s="142"/>
      <c r="H1048" s="111"/>
    </row>
    <row r="1049" spans="1:8">
      <c r="A1049" s="80"/>
      <c r="B1049" s="81"/>
      <c r="C1049" s="81"/>
      <c r="D1049" s="81"/>
      <c r="E1049" s="81"/>
      <c r="F1049" s="584"/>
      <c r="G1049" s="584"/>
      <c r="H1049" s="111"/>
    </row>
    <row r="1050" spans="1:8">
      <c r="A1050" s="80"/>
      <c r="B1050" s="146">
        <f>+Mensajes!$B$7</f>
        <v>0</v>
      </c>
      <c r="C1050" s="81"/>
      <c r="D1050" s="81"/>
      <c r="E1050" s="81"/>
      <c r="F1050" s="81"/>
      <c r="G1050" s="81"/>
      <c r="H1050" s="111"/>
    </row>
    <row r="1051" spans="1:8">
      <c r="A1051" s="80"/>
      <c r="B1051" s="146">
        <f>+Mensajes!$B$12</f>
        <v>0</v>
      </c>
      <c r="C1051" s="81"/>
      <c r="D1051" s="81"/>
      <c r="E1051" s="81"/>
      <c r="F1051" s="81"/>
      <c r="G1051" s="81"/>
      <c r="H1051" s="111"/>
    </row>
    <row r="1052" spans="1:8">
      <c r="A1052" s="80"/>
      <c r="B1052" s="146" t="str">
        <f>IF(VLOOKUP(G1042,'17_1'!$A$141:$N$158,14,0)=0,"",VLOOKUP(G1042,'17_1'!$A$141:$N$158,14,0))</f>
        <v/>
      </c>
      <c r="C1052" s="81"/>
      <c r="D1052" s="81"/>
      <c r="E1052" s="81"/>
      <c r="F1052" s="81"/>
      <c r="G1052" s="81"/>
      <c r="H1052" s="111"/>
    </row>
    <row r="1053" spans="1:8">
      <c r="A1053" s="140"/>
      <c r="B1053" s="188" t="e">
        <f>IF(DSUM('17_1'!$A$141:$Q$158,17,G1041:G1042)=COUNTIF('17_1'!$A$141:$A$158,G1042),"","Regularice su Deuda")</f>
        <v>#N/A</v>
      </c>
      <c r="C1053" s="82"/>
      <c r="D1053" s="82"/>
      <c r="E1053" s="82"/>
      <c r="F1053" s="82"/>
      <c r="G1053" s="82"/>
      <c r="H1053" s="83"/>
    </row>
    <row r="1055" spans="1:8">
      <c r="A1055" s="108"/>
      <c r="B1055" s="109"/>
      <c r="C1055" s="109"/>
      <c r="D1055" s="109"/>
      <c r="E1055" s="109"/>
      <c r="F1055" s="109"/>
      <c r="G1055" s="109"/>
      <c r="H1055" s="110"/>
    </row>
    <row r="1056" spans="1:8">
      <c r="A1056" s="80"/>
      <c r="B1056" s="147" t="s">
        <v>64</v>
      </c>
      <c r="C1056" s="81"/>
      <c r="D1056" s="81"/>
      <c r="E1056" s="81"/>
      <c r="F1056" s="81"/>
      <c r="G1056" s="81"/>
      <c r="H1056" s="111"/>
    </row>
    <row r="1057" spans="1:8">
      <c r="A1057" s="80"/>
      <c r="B1057" s="81"/>
      <c r="C1057" s="81"/>
      <c r="D1057" s="81"/>
      <c r="E1057" s="81"/>
      <c r="F1057" s="81"/>
      <c r="G1057" s="81"/>
      <c r="H1057" s="111"/>
    </row>
    <row r="1058" spans="1:8">
      <c r="A1058" s="80"/>
      <c r="B1058" s="81" t="s">
        <v>139</v>
      </c>
      <c r="C1058" s="81" t="str">
        <f>VLOOKUP(G1059,'17_1'!$A$141:$G$158,6,0)</f>
        <v>DIAZ, FRANCISCO-SUCESORES</v>
      </c>
      <c r="D1058" s="81"/>
      <c r="E1058" s="81"/>
      <c r="F1058" s="81"/>
      <c r="G1058" s="138" t="s">
        <v>102</v>
      </c>
      <c r="H1058" s="111"/>
    </row>
    <row r="1059" spans="1:8">
      <c r="A1059" s="80"/>
      <c r="B1059" s="81" t="s">
        <v>72</v>
      </c>
      <c r="C1059" s="81" t="str">
        <f>+'17_1'!$A$128</f>
        <v>Hijuela Gelvez - Díaz</v>
      </c>
      <c r="D1059" s="81"/>
      <c r="E1059" s="81"/>
      <c r="F1059" s="81"/>
      <c r="G1059" s="138">
        <v>13</v>
      </c>
      <c r="H1059" s="111"/>
    </row>
    <row r="1060" spans="1:8">
      <c r="A1060" s="80"/>
      <c r="B1060" s="81"/>
      <c r="C1060" s="81"/>
      <c r="D1060" s="81"/>
      <c r="E1060" s="81"/>
      <c r="F1060" s="81"/>
      <c r="G1060" s="81"/>
      <c r="H1060" s="111"/>
    </row>
    <row r="1061" spans="1:8">
      <c r="A1061" s="80"/>
      <c r="B1061" s="81" t="s">
        <v>140</v>
      </c>
      <c r="C1061" s="138">
        <f>VLOOKUP(G1059,'17_1'!$A$141:$B$158,2,0)</f>
        <v>1213</v>
      </c>
      <c r="D1061" s="81"/>
      <c r="E1061" s="139" t="s">
        <v>141</v>
      </c>
      <c r="F1061" s="141" t="e">
        <f>DSUM('17_1'!A$141:J$158,'17_1'!$J$141,G1058:G1059)</f>
        <v>#N/A</v>
      </c>
      <c r="G1061" s="81"/>
      <c r="H1061" s="111"/>
    </row>
    <row r="1062" spans="1:8">
      <c r="A1062" s="80"/>
      <c r="B1062" s="81" t="s">
        <v>142</v>
      </c>
      <c r="C1062" s="205">
        <v>168</v>
      </c>
      <c r="D1062" s="81"/>
      <c r="E1062" s="81"/>
      <c r="F1062" s="81"/>
      <c r="G1062" s="81"/>
      <c r="H1062" s="111"/>
    </row>
    <row r="1063" spans="1:8">
      <c r="A1063" s="80"/>
      <c r="B1063" s="81" t="s">
        <v>144</v>
      </c>
      <c r="C1063" s="206" t="e">
        <f>DSUM('17_1'!$A$141:$H$158,'17_1'!$H$141,G1058:G1059)</f>
        <v>#N/A</v>
      </c>
      <c r="D1063" s="81"/>
      <c r="E1063" s="81"/>
      <c r="F1063" s="584"/>
      <c r="G1063" s="584"/>
      <c r="H1063" s="111"/>
    </row>
    <row r="1064" spans="1:8" ht="15.75">
      <c r="A1064" s="80"/>
      <c r="B1064" s="81"/>
      <c r="C1064" s="81" t="s">
        <v>146</v>
      </c>
      <c r="D1064" s="145" t="e">
        <f>DMIN('17_1'!A$141:K$158,'17_1'!$K$141,G1058:G1059)</f>
        <v>#REF!</v>
      </c>
      <c r="E1064" s="189" t="e">
        <f>IF(F1064=1,"Domingo",IF(F1064=2,"Lunes",IF(F1064=3,"Martes",IF(F1064=4,"Miercoles",IF(F1064=5,"Jueves",IF(F1064=6,"Viernes",IF(F1064=7,"Sábado",0)))))))</f>
        <v>#REF!</v>
      </c>
      <c r="F1064" s="190" t="e">
        <f>WEEKDAY(D1064)</f>
        <v>#REF!</v>
      </c>
      <c r="G1064" s="142"/>
      <c r="H1064" s="111"/>
    </row>
    <row r="1065" spans="1:8" ht="15.75">
      <c r="A1065" s="80"/>
      <c r="B1065" s="81"/>
      <c r="C1065" s="81" t="s">
        <v>147</v>
      </c>
      <c r="D1065" s="145" t="e">
        <f>DMAX('17_1'!A$141:L$158,'17_1'!$L$141,G1058:G1059)</f>
        <v>#REF!</v>
      </c>
      <c r="E1065" s="189" t="e">
        <f>IF(F1065=1,"Domingo",IF(F1065=2,"Lunes",IF(F1065=3,"Martes",IF(F1065=4,"Miercoles",IF(F1065=5,"Jueves",IF(F1065=6,"Viernes",IF(F1065=7,"Sábado",0)))))))</f>
        <v>#REF!</v>
      </c>
      <c r="F1065" s="190" t="e">
        <f>WEEKDAY(D1065)</f>
        <v>#REF!</v>
      </c>
      <c r="G1065" s="142"/>
      <c r="H1065" s="111"/>
    </row>
    <row r="1066" spans="1:8">
      <c r="A1066" s="80"/>
      <c r="B1066" s="81"/>
      <c r="C1066" s="81"/>
      <c r="D1066" s="81"/>
      <c r="E1066" s="81"/>
      <c r="F1066" s="584"/>
      <c r="G1066" s="584"/>
      <c r="H1066" s="111"/>
    </row>
    <row r="1067" spans="1:8">
      <c r="A1067" s="80"/>
      <c r="B1067" s="146">
        <f>+Mensajes!$B$7</f>
        <v>0</v>
      </c>
      <c r="C1067" s="81"/>
      <c r="D1067" s="81"/>
      <c r="E1067" s="81"/>
      <c r="F1067" s="81"/>
      <c r="G1067" s="81"/>
      <c r="H1067" s="111"/>
    </row>
    <row r="1068" spans="1:8">
      <c r="A1068" s="80"/>
      <c r="B1068" s="146">
        <f>+Mensajes!$B$12</f>
        <v>0</v>
      </c>
      <c r="C1068" s="81"/>
      <c r="D1068" s="81"/>
      <c r="E1068" s="81"/>
      <c r="F1068" s="81"/>
      <c r="G1068" s="81"/>
      <c r="H1068" s="111"/>
    </row>
    <row r="1069" spans="1:8">
      <c r="A1069" s="80"/>
      <c r="B1069" s="146" t="str">
        <f>IF(VLOOKUP(G1059,'17_1'!$A$141:$N$158,14,0)=0,"",VLOOKUP(G1059,'17_1'!$A$141:$N$158,14,0))</f>
        <v/>
      </c>
      <c r="C1069" s="81"/>
      <c r="D1069" s="81"/>
      <c r="E1069" s="81"/>
      <c r="F1069" s="81"/>
      <c r="G1069" s="81"/>
      <c r="H1069" s="111"/>
    </row>
    <row r="1070" spans="1:8">
      <c r="A1070" s="140"/>
      <c r="B1070" s="188" t="e">
        <f>IF(DSUM('17_1'!$A$141:$Q$158,17,G1058:G1059)=COUNTIF('17_1'!$A$141:$A$158,G1059),"","Regularice su Deuda")</f>
        <v>#N/A</v>
      </c>
      <c r="C1070" s="82"/>
      <c r="D1070" s="82"/>
      <c r="E1070" s="82"/>
      <c r="F1070" s="82"/>
      <c r="G1070" s="82"/>
      <c r="H1070" s="83"/>
    </row>
    <row r="1072" spans="1:8">
      <c r="A1072" s="108"/>
      <c r="B1072" s="109"/>
      <c r="C1072" s="109"/>
      <c r="D1072" s="109"/>
      <c r="E1072" s="109"/>
      <c r="F1072" s="109"/>
      <c r="G1072" s="109"/>
      <c r="H1072" s="110"/>
    </row>
    <row r="1073" spans="1:8">
      <c r="A1073" s="80"/>
      <c r="B1073" s="147" t="s">
        <v>64</v>
      </c>
      <c r="C1073" s="81"/>
      <c r="D1073" s="81"/>
      <c r="E1073" s="81"/>
      <c r="F1073" s="81"/>
      <c r="G1073" s="81"/>
      <c r="H1073" s="111"/>
    </row>
    <row r="1074" spans="1:8">
      <c r="A1074" s="80"/>
      <c r="B1074" s="81"/>
      <c r="C1074" s="81"/>
      <c r="D1074" s="81"/>
      <c r="E1074" s="81"/>
      <c r="F1074" s="81"/>
      <c r="G1074" s="81"/>
      <c r="H1074" s="111"/>
    </row>
    <row r="1075" spans="1:8">
      <c r="A1075" s="80"/>
      <c r="B1075" s="81" t="s">
        <v>139</v>
      </c>
      <c r="C1075" s="81" t="str">
        <f>VLOOKUP(G1076,'17_1'!$A$177:$G$184,6,0)</f>
        <v>CICHINELLI, RAFAEL ALBINO</v>
      </c>
      <c r="D1075" s="81"/>
      <c r="E1075" s="81"/>
      <c r="F1075" s="81"/>
      <c r="G1075" s="138" t="s">
        <v>102</v>
      </c>
      <c r="H1075" s="111"/>
    </row>
    <row r="1076" spans="1:8">
      <c r="A1076" s="80"/>
      <c r="B1076" s="81" t="s">
        <v>72</v>
      </c>
      <c r="C1076" s="81" t="str">
        <f>+'17_1'!$A$164</f>
        <v>Hijuela Gelvez - Artero</v>
      </c>
      <c r="D1076" s="81"/>
      <c r="E1076" s="81"/>
      <c r="F1076" s="81"/>
      <c r="G1076" s="138">
        <v>1</v>
      </c>
      <c r="H1076" s="111"/>
    </row>
    <row r="1077" spans="1:8">
      <c r="A1077" s="80"/>
      <c r="B1077" s="81"/>
      <c r="C1077" s="81"/>
      <c r="D1077" s="81"/>
      <c r="E1077" s="81"/>
      <c r="F1077" s="81"/>
      <c r="G1077" s="81"/>
      <c r="H1077" s="111"/>
    </row>
    <row r="1078" spans="1:8">
      <c r="A1078" s="80"/>
      <c r="B1078" s="81" t="s">
        <v>140</v>
      </c>
      <c r="C1078" s="138">
        <f>VLOOKUP(G1076,'17_1'!$A$177:$B$184,2,0)</f>
        <v>1213</v>
      </c>
      <c r="D1078" s="81"/>
      <c r="E1078" s="139" t="s">
        <v>141</v>
      </c>
      <c r="F1078" s="141" t="e">
        <f>DSUM('17_1'!A$177:J$184,'17_1'!$J$177,G1075:G1076)</f>
        <v>#N/A</v>
      </c>
      <c r="G1078" s="81"/>
      <c r="H1078" s="111"/>
    </row>
    <row r="1079" spans="1:8">
      <c r="A1079" s="80"/>
      <c r="B1079" s="81" t="s">
        <v>142</v>
      </c>
      <c r="C1079" s="205">
        <v>19</v>
      </c>
      <c r="D1079" s="81"/>
      <c r="E1079" s="81"/>
      <c r="F1079" s="81"/>
      <c r="G1079" s="81"/>
      <c r="H1079" s="111"/>
    </row>
    <row r="1080" spans="1:8">
      <c r="A1080" s="80"/>
      <c r="B1080" s="81" t="s">
        <v>144</v>
      </c>
      <c r="C1080" s="206">
        <f>DSUM('17_1'!$A$177:$H$184,'17_1'!$H$177,G1075:G1076)</f>
        <v>3.8839000000000001</v>
      </c>
      <c r="D1080" s="81"/>
      <c r="E1080" s="81"/>
      <c r="F1080" s="584"/>
      <c r="G1080" s="584"/>
      <c r="H1080" s="111"/>
    </row>
    <row r="1081" spans="1:8" ht="15.75">
      <c r="A1081" s="80"/>
      <c r="B1081" s="81"/>
      <c r="C1081" s="81" t="s">
        <v>146</v>
      </c>
      <c r="D1081" s="145" t="e">
        <f>DMIN('17_1'!A$177:K$184,'17_1'!$K$177,G1075:G1076)</f>
        <v>#REF!</v>
      </c>
      <c r="E1081" s="189" t="e">
        <f>IF(F1081=1,"Domingo",IF(F1081=2,"Lunes",IF(F1081=3,"Martes",IF(F1081=4,"Miercoles",IF(F1081=5,"Jueves",IF(F1081=6,"Viernes",IF(F1081=7,"Sábado",0)))))))</f>
        <v>#REF!</v>
      </c>
      <c r="F1081" s="190" t="e">
        <f>WEEKDAY(D1081)</f>
        <v>#REF!</v>
      </c>
      <c r="G1081" s="142"/>
      <c r="H1081" s="111"/>
    </row>
    <row r="1082" spans="1:8" ht="15.75">
      <c r="A1082" s="80"/>
      <c r="B1082" s="81"/>
      <c r="C1082" s="81" t="s">
        <v>147</v>
      </c>
      <c r="D1082" s="145" t="e">
        <f>DMAX('17_1'!A$177:L$184,'17_1'!$L$177,G1075:G1076)</f>
        <v>#REF!</v>
      </c>
      <c r="E1082" s="189" t="e">
        <f>IF(F1082=1,"Domingo",IF(F1082=2,"Lunes",IF(F1082=3,"Martes",IF(F1082=4,"Miercoles",IF(F1082=5,"Jueves",IF(F1082=6,"Viernes",IF(F1082=7,"Sábado",0)))))))</f>
        <v>#REF!</v>
      </c>
      <c r="F1082" s="190" t="e">
        <f>WEEKDAY(D1082)</f>
        <v>#REF!</v>
      </c>
      <c r="G1082" s="142"/>
      <c r="H1082" s="111"/>
    </row>
    <row r="1083" spans="1:8">
      <c r="A1083" s="80"/>
      <c r="B1083" s="81"/>
      <c r="C1083" s="81"/>
      <c r="D1083" s="81"/>
      <c r="E1083" s="81"/>
      <c r="F1083" s="584"/>
      <c r="G1083" s="584"/>
      <c r="H1083" s="111"/>
    </row>
    <row r="1084" spans="1:8">
      <c r="A1084" s="80"/>
      <c r="B1084" s="146">
        <f>+Mensajes!$B$7</f>
        <v>0</v>
      </c>
      <c r="C1084" s="81"/>
      <c r="D1084" s="81"/>
      <c r="E1084" s="81"/>
      <c r="F1084" s="81"/>
      <c r="G1084" s="81"/>
      <c r="H1084" s="111"/>
    </row>
    <row r="1085" spans="1:8">
      <c r="A1085" s="80"/>
      <c r="B1085" s="146">
        <f>+Mensajes!$B$12</f>
        <v>0</v>
      </c>
      <c r="C1085" s="81"/>
      <c r="D1085" s="81"/>
      <c r="E1085" s="81"/>
      <c r="F1085" s="81"/>
      <c r="G1085" s="81"/>
      <c r="H1085" s="111"/>
    </row>
    <row r="1086" spans="1:8">
      <c r="A1086" s="80"/>
      <c r="B1086" s="146" t="str">
        <f>IF(VLOOKUP(G1076,'17_1'!$A$177:$N$184,14,0)=0,"",VLOOKUP(G1076,'17_1'!$A$177:$N$184,14,0))</f>
        <v/>
      </c>
      <c r="C1086" s="81"/>
      <c r="D1086" s="81"/>
      <c r="E1086" s="81"/>
      <c r="F1086" s="81"/>
      <c r="G1086" s="81"/>
      <c r="H1086" s="111"/>
    </row>
    <row r="1087" spans="1:8">
      <c r="A1087" s="140"/>
      <c r="B1087" s="188" t="str">
        <f>IF(DSUM('17_1'!$A$177:$Q$184,17,G1075:G1076)=COUNTIF('17_1'!$A$177:$A$184,G1076),"","Regularice su Deuda")</f>
        <v/>
      </c>
      <c r="C1087" s="82"/>
      <c r="D1087" s="82"/>
      <c r="E1087" s="82"/>
      <c r="F1087" s="82"/>
      <c r="G1087" s="82"/>
      <c r="H1087" s="83"/>
    </row>
    <row r="1089" spans="1:8">
      <c r="A1089" s="108"/>
      <c r="B1089" s="109"/>
      <c r="C1089" s="109"/>
      <c r="D1089" s="109"/>
      <c r="E1089" s="109"/>
      <c r="F1089" s="109"/>
      <c r="G1089" s="109"/>
      <c r="H1089" s="110"/>
    </row>
    <row r="1090" spans="1:8">
      <c r="A1090" s="80"/>
      <c r="B1090" s="147" t="s">
        <v>64</v>
      </c>
      <c r="C1090" s="81"/>
      <c r="D1090" s="81"/>
      <c r="E1090" s="81"/>
      <c r="F1090" s="81"/>
      <c r="G1090" s="81"/>
      <c r="H1090" s="111"/>
    </row>
    <row r="1091" spans="1:8">
      <c r="A1091" s="80"/>
      <c r="B1091" s="81"/>
      <c r="C1091" s="81"/>
      <c r="D1091" s="81"/>
      <c r="E1091" s="81"/>
      <c r="F1091" s="81"/>
      <c r="G1091" s="81"/>
      <c r="H1091" s="111"/>
    </row>
    <row r="1092" spans="1:8">
      <c r="A1092" s="80"/>
      <c r="B1092" s="81" t="s">
        <v>139</v>
      </c>
      <c r="C1092" s="81" t="str">
        <f>VLOOKUP(G1093,'17_1'!$A$177:$G$184,6,0)</f>
        <v>PECETTI, JOSE</v>
      </c>
      <c r="D1092" s="81"/>
      <c r="E1092" s="81"/>
      <c r="F1092" s="81"/>
      <c r="G1092" s="138" t="s">
        <v>102</v>
      </c>
      <c r="H1092" s="111"/>
    </row>
    <row r="1093" spans="1:8">
      <c r="A1093" s="80"/>
      <c r="B1093" s="81" t="s">
        <v>72</v>
      </c>
      <c r="C1093" s="81" t="str">
        <f>+'17_1'!$A$164</f>
        <v>Hijuela Gelvez - Artero</v>
      </c>
      <c r="D1093" s="81"/>
      <c r="E1093" s="81"/>
      <c r="F1093" s="81"/>
      <c r="G1093" s="138">
        <v>2</v>
      </c>
      <c r="H1093" s="111"/>
    </row>
    <row r="1094" spans="1:8">
      <c r="A1094" s="80"/>
      <c r="B1094" s="81"/>
      <c r="C1094" s="81"/>
      <c r="D1094" s="81"/>
      <c r="E1094" s="81"/>
      <c r="F1094" s="81"/>
      <c r="G1094" s="81"/>
      <c r="H1094" s="111"/>
    </row>
    <row r="1095" spans="1:8">
      <c r="A1095" s="80"/>
      <c r="B1095" s="81" t="s">
        <v>140</v>
      </c>
      <c r="C1095" s="138">
        <f>VLOOKUP(G1093,'17_1'!$A$177:$B$184,2,0)</f>
        <v>1213</v>
      </c>
      <c r="D1095" s="81"/>
      <c r="E1095" s="139" t="s">
        <v>141</v>
      </c>
      <c r="F1095" s="141" t="e">
        <f>DSUM('17_1'!A$177:J$184,'17_1'!$J$177,G1092:G1093)</f>
        <v>#N/A</v>
      </c>
      <c r="G1095" s="81"/>
      <c r="H1095" s="111"/>
    </row>
    <row r="1096" spans="1:8">
      <c r="A1096" s="80"/>
      <c r="B1096" s="81" t="s">
        <v>142</v>
      </c>
      <c r="C1096" s="205">
        <v>233</v>
      </c>
      <c r="D1096" s="81"/>
      <c r="E1096" s="81"/>
      <c r="F1096" s="81"/>
      <c r="G1096" s="81"/>
      <c r="H1096" s="111"/>
    </row>
    <row r="1097" spans="1:8">
      <c r="A1097" s="80"/>
      <c r="B1097" s="81" t="s">
        <v>144</v>
      </c>
      <c r="C1097" s="206">
        <f>DSUM('17_1'!$A$177:$H$184,'17_1'!$H$177,G1092:G1093)</f>
        <v>0.16980000000000001</v>
      </c>
      <c r="D1097" s="81"/>
      <c r="E1097" s="81"/>
      <c r="F1097" s="584"/>
      <c r="G1097" s="584"/>
      <c r="H1097" s="111"/>
    </row>
    <row r="1098" spans="1:8" ht="15.75">
      <c r="A1098" s="80"/>
      <c r="B1098" s="81"/>
      <c r="C1098" s="81" t="s">
        <v>146</v>
      </c>
      <c r="D1098" s="145" t="e">
        <f>DMIN('17_1'!A$177:K$184,'17_1'!$K$177,G1092:G1093)</f>
        <v>#REF!</v>
      </c>
      <c r="E1098" s="189" t="e">
        <f>IF(F1098=1,"Domingo",IF(F1098=2,"Lunes",IF(F1098=3,"Martes",IF(F1098=4,"Miercoles",IF(F1098=5,"Jueves",IF(F1098=6,"Viernes",IF(F1098=7,"Sábado",0)))))))</f>
        <v>#REF!</v>
      </c>
      <c r="F1098" s="190" t="e">
        <f>WEEKDAY(D1098)</f>
        <v>#REF!</v>
      </c>
      <c r="G1098" s="142"/>
      <c r="H1098" s="111"/>
    </row>
    <row r="1099" spans="1:8" ht="15.75">
      <c r="A1099" s="80"/>
      <c r="B1099" s="81"/>
      <c r="C1099" s="81" t="s">
        <v>147</v>
      </c>
      <c r="D1099" s="145" t="e">
        <f>DMAX('17_1'!A$177:L$184,'17_1'!$L$177,G1092:G1093)</f>
        <v>#REF!</v>
      </c>
      <c r="E1099" s="189" t="e">
        <f>IF(F1099=1,"Domingo",IF(F1099=2,"Lunes",IF(F1099=3,"Martes",IF(F1099=4,"Miercoles",IF(F1099=5,"Jueves",IF(F1099=6,"Viernes",IF(F1099=7,"Sábado",0)))))))</f>
        <v>#REF!</v>
      </c>
      <c r="F1099" s="190" t="e">
        <f>WEEKDAY(D1099)</f>
        <v>#REF!</v>
      </c>
      <c r="G1099" s="142"/>
      <c r="H1099" s="111"/>
    </row>
    <row r="1100" spans="1:8">
      <c r="A1100" s="80"/>
      <c r="B1100" s="81"/>
      <c r="C1100" s="81"/>
      <c r="D1100" s="81"/>
      <c r="E1100" s="81"/>
      <c r="F1100" s="584"/>
      <c r="G1100" s="584"/>
      <c r="H1100" s="111"/>
    </row>
    <row r="1101" spans="1:8">
      <c r="A1101" s="80"/>
      <c r="B1101" s="146">
        <f>+Mensajes!$B$7</f>
        <v>0</v>
      </c>
      <c r="C1101" s="81"/>
      <c r="D1101" s="81"/>
      <c r="E1101" s="81"/>
      <c r="F1101" s="81"/>
      <c r="G1101" s="81"/>
      <c r="H1101" s="111"/>
    </row>
    <row r="1102" spans="1:8">
      <c r="A1102" s="80"/>
      <c r="B1102" s="146">
        <f>+Mensajes!$B$12</f>
        <v>0</v>
      </c>
      <c r="C1102" s="81"/>
      <c r="D1102" s="81"/>
      <c r="E1102" s="81"/>
      <c r="F1102" s="81"/>
      <c r="G1102" s="81"/>
      <c r="H1102" s="111"/>
    </row>
    <row r="1103" spans="1:8">
      <c r="A1103" s="80"/>
      <c r="B1103" s="146" t="str">
        <f>IF(VLOOKUP(G1093,'17_1'!$A$177:$N$184,14,0)=0,"",VLOOKUP(G1093,'17_1'!$A$177:$N$184,14,0))</f>
        <v/>
      </c>
      <c r="C1103" s="81"/>
      <c r="D1103" s="81"/>
      <c r="E1103" s="81"/>
      <c r="F1103" s="81"/>
      <c r="G1103" s="81"/>
      <c r="H1103" s="111"/>
    </row>
    <row r="1104" spans="1:8">
      <c r="A1104" s="140"/>
      <c r="B1104" s="188" t="str">
        <f>IF(DSUM('17_1'!$A$177:$Q$184,17,G1092:G1093)=COUNTIF('17_1'!$A$177:$A$184,G1093),"","Regularice su Deuda")</f>
        <v/>
      </c>
      <c r="C1104" s="82"/>
      <c r="D1104" s="82"/>
      <c r="E1104" s="82"/>
      <c r="F1104" s="82"/>
      <c r="G1104" s="82"/>
      <c r="H1104" s="83"/>
    </row>
    <row r="1106" spans="1:8">
      <c r="A1106" s="108"/>
      <c r="B1106" s="109"/>
      <c r="C1106" s="109"/>
      <c r="D1106" s="109"/>
      <c r="E1106" s="109"/>
      <c r="F1106" s="109"/>
      <c r="G1106" s="109"/>
      <c r="H1106" s="110"/>
    </row>
    <row r="1107" spans="1:8">
      <c r="A1107" s="80"/>
      <c r="B1107" s="147" t="s">
        <v>64</v>
      </c>
      <c r="C1107" s="81"/>
      <c r="D1107" s="81"/>
      <c r="E1107" s="81"/>
      <c r="F1107" s="81"/>
      <c r="G1107" s="81"/>
      <c r="H1107" s="111"/>
    </row>
    <row r="1108" spans="1:8">
      <c r="A1108" s="80"/>
      <c r="B1108" s="81"/>
      <c r="C1108" s="81"/>
      <c r="D1108" s="81"/>
      <c r="E1108" s="81"/>
      <c r="F1108" s="81"/>
      <c r="G1108" s="81"/>
      <c r="H1108" s="111"/>
    </row>
    <row r="1109" spans="1:8">
      <c r="A1109" s="80"/>
      <c r="B1109" s="81" t="s">
        <v>139</v>
      </c>
      <c r="C1109" s="81" t="str">
        <f>VLOOKUP(G1110,'17_1'!$A$177:$G$184,6,0)</f>
        <v>PESCETTI, JOSE</v>
      </c>
      <c r="D1109" s="81"/>
      <c r="E1109" s="81"/>
      <c r="F1109" s="81"/>
      <c r="G1109" s="138" t="s">
        <v>102</v>
      </c>
      <c r="H1109" s="111"/>
    </row>
    <row r="1110" spans="1:8">
      <c r="A1110" s="80"/>
      <c r="B1110" s="81" t="s">
        <v>72</v>
      </c>
      <c r="C1110" s="81" t="str">
        <f>+'17_1'!$A$164</f>
        <v>Hijuela Gelvez - Artero</v>
      </c>
      <c r="D1110" s="81"/>
      <c r="E1110" s="81"/>
      <c r="F1110" s="81"/>
      <c r="G1110" s="138">
        <v>3</v>
      </c>
      <c r="H1110" s="111"/>
    </row>
    <row r="1111" spans="1:8">
      <c r="A1111" s="80"/>
      <c r="B1111" s="81"/>
      <c r="C1111" s="81"/>
      <c r="D1111" s="81"/>
      <c r="E1111" s="81"/>
      <c r="F1111" s="81"/>
      <c r="G1111" s="81"/>
      <c r="H1111" s="111"/>
    </row>
    <row r="1112" spans="1:8">
      <c r="A1112" s="80"/>
      <c r="B1112" s="81" t="s">
        <v>140</v>
      </c>
      <c r="C1112" s="138">
        <f>VLOOKUP(G1110,'17_1'!$A$177:$B$184,2,0)</f>
        <v>1213</v>
      </c>
      <c r="D1112" s="81"/>
      <c r="E1112" s="139" t="s">
        <v>141</v>
      </c>
      <c r="F1112" s="141" t="e">
        <f>DSUM('17_1'!A$177:J$184,'17_1'!$J$177,G1109:G1110)</f>
        <v>#N/A</v>
      </c>
      <c r="G1112" s="81"/>
      <c r="H1112" s="111"/>
    </row>
    <row r="1113" spans="1:8">
      <c r="A1113" s="80"/>
      <c r="B1113" s="81" t="s">
        <v>142</v>
      </c>
      <c r="C1113" s="205">
        <v>331</v>
      </c>
      <c r="D1113" s="81"/>
      <c r="E1113" s="81"/>
      <c r="F1113" s="81"/>
      <c r="G1113" s="81"/>
      <c r="H1113" s="111"/>
    </row>
    <row r="1114" spans="1:8">
      <c r="A1114" s="80"/>
      <c r="B1114" s="81" t="s">
        <v>144</v>
      </c>
      <c r="C1114" s="206">
        <f>DSUM('17_1'!$A$177:$H$184,'17_1'!$H$177,G1109:G1110)</f>
        <v>1.7969999999999999</v>
      </c>
      <c r="D1114" s="81"/>
      <c r="E1114" s="81"/>
      <c r="F1114" s="584"/>
      <c r="G1114" s="584"/>
      <c r="H1114" s="111"/>
    </row>
    <row r="1115" spans="1:8" ht="15.75">
      <c r="A1115" s="80"/>
      <c r="B1115" s="81"/>
      <c r="C1115" s="81" t="s">
        <v>146</v>
      </c>
      <c r="D1115" s="145" t="e">
        <f>DMIN('17_1'!A$177:K$184,'17_1'!$K$177,G1109:G1110)</f>
        <v>#REF!</v>
      </c>
      <c r="E1115" s="189" t="e">
        <f>IF(F1115=1,"Domingo",IF(F1115=2,"Lunes",IF(F1115=3,"Martes",IF(F1115=4,"Miercoles",IF(F1115=5,"Jueves",IF(F1115=6,"Viernes",IF(F1115=7,"Sábado",0)))))))</f>
        <v>#REF!</v>
      </c>
      <c r="F1115" s="190" t="e">
        <f>WEEKDAY(D1115)</f>
        <v>#REF!</v>
      </c>
      <c r="G1115" s="142"/>
      <c r="H1115" s="111"/>
    </row>
    <row r="1116" spans="1:8" ht="15.75">
      <c r="A1116" s="80"/>
      <c r="B1116" s="81"/>
      <c r="C1116" s="81" t="s">
        <v>147</v>
      </c>
      <c r="D1116" s="145" t="e">
        <f>DMAX('17_1'!A$177:L$184,'17_1'!$L$177,G1109:G1110)</f>
        <v>#REF!</v>
      </c>
      <c r="E1116" s="189" t="e">
        <f>IF(F1116=1,"Domingo",IF(F1116=2,"Lunes",IF(F1116=3,"Martes",IF(F1116=4,"Miercoles",IF(F1116=5,"Jueves",IF(F1116=6,"Viernes",IF(F1116=7,"Sábado",0)))))))</f>
        <v>#REF!</v>
      </c>
      <c r="F1116" s="190" t="e">
        <f>WEEKDAY(D1116)</f>
        <v>#REF!</v>
      </c>
      <c r="G1116" s="142"/>
      <c r="H1116" s="111"/>
    </row>
    <row r="1117" spans="1:8">
      <c r="A1117" s="80"/>
      <c r="B1117" s="81"/>
      <c r="C1117" s="81"/>
      <c r="D1117" s="81"/>
      <c r="E1117" s="81"/>
      <c r="F1117" s="584"/>
      <c r="G1117" s="584"/>
      <c r="H1117" s="111"/>
    </row>
    <row r="1118" spans="1:8">
      <c r="A1118" s="80"/>
      <c r="B1118" s="146">
        <f>+Mensajes!$B$7</f>
        <v>0</v>
      </c>
      <c r="C1118" s="81"/>
      <c r="D1118" s="81"/>
      <c r="E1118" s="81"/>
      <c r="F1118" s="81"/>
      <c r="G1118" s="81"/>
      <c r="H1118" s="111"/>
    </row>
    <row r="1119" spans="1:8">
      <c r="A1119" s="80"/>
      <c r="B1119" s="146">
        <f>+Mensajes!$B$12</f>
        <v>0</v>
      </c>
      <c r="C1119" s="81"/>
      <c r="D1119" s="81"/>
      <c r="E1119" s="81"/>
      <c r="F1119" s="81"/>
      <c r="G1119" s="81"/>
      <c r="H1119" s="111"/>
    </row>
    <row r="1120" spans="1:8">
      <c r="A1120" s="80"/>
      <c r="B1120" s="146" t="str">
        <f>IF(VLOOKUP(G1110,'17_1'!$A$177:$N$184,14,0)=0,"",VLOOKUP(G1110,'17_1'!$A$177:$N$184,14,0))</f>
        <v/>
      </c>
      <c r="C1120" s="81"/>
      <c r="D1120" s="81"/>
      <c r="E1120" s="81"/>
      <c r="F1120" s="81"/>
      <c r="G1120" s="81"/>
      <c r="H1120" s="111"/>
    </row>
    <row r="1121" spans="1:8">
      <c r="A1121" s="140"/>
      <c r="B1121" s="188" t="str">
        <f>IF(DSUM('17_1'!$A$177:$Q$184,17,G1109:G1110)=COUNTIF('17_1'!$A$177:$A$184,G1110),"","Regularice su Deuda")</f>
        <v/>
      </c>
      <c r="C1121" s="82"/>
      <c r="D1121" s="82"/>
      <c r="E1121" s="82"/>
      <c r="F1121" s="82"/>
      <c r="G1121" s="82"/>
      <c r="H1121" s="83"/>
    </row>
    <row r="1123" spans="1:8">
      <c r="A1123" s="108"/>
      <c r="B1123" s="109"/>
      <c r="C1123" s="109"/>
      <c r="D1123" s="109"/>
      <c r="E1123" s="109"/>
      <c r="F1123" s="109"/>
      <c r="G1123" s="109"/>
      <c r="H1123" s="110"/>
    </row>
    <row r="1124" spans="1:8">
      <c r="A1124" s="80"/>
      <c r="B1124" s="147" t="s">
        <v>64</v>
      </c>
      <c r="C1124" s="81"/>
      <c r="D1124" s="81"/>
      <c r="E1124" s="81"/>
      <c r="F1124" s="81"/>
      <c r="G1124" s="81"/>
      <c r="H1124" s="111"/>
    </row>
    <row r="1125" spans="1:8">
      <c r="A1125" s="80"/>
      <c r="B1125" s="81"/>
      <c r="C1125" s="81"/>
      <c r="D1125" s="81"/>
      <c r="E1125" s="81"/>
      <c r="F1125" s="81"/>
      <c r="G1125" s="81"/>
      <c r="H1125" s="111"/>
    </row>
    <row r="1126" spans="1:8">
      <c r="A1126" s="80"/>
      <c r="B1126" s="81" t="s">
        <v>139</v>
      </c>
      <c r="C1126" s="81" t="str">
        <f>VLOOKUP(G1127,'17_1'!$A$177:$G$184,6,0)</f>
        <v>GARCIA, LUIS</v>
      </c>
      <c r="D1126" s="81"/>
      <c r="E1126" s="81"/>
      <c r="F1126" s="81"/>
      <c r="G1126" s="138" t="s">
        <v>102</v>
      </c>
      <c r="H1126" s="111"/>
    </row>
    <row r="1127" spans="1:8">
      <c r="A1127" s="80"/>
      <c r="B1127" s="81" t="s">
        <v>72</v>
      </c>
      <c r="C1127" s="81" t="str">
        <f>+'17_1'!$A$164</f>
        <v>Hijuela Gelvez - Artero</v>
      </c>
      <c r="D1127" s="81"/>
      <c r="E1127" s="81"/>
      <c r="F1127" s="81"/>
      <c r="G1127" s="138">
        <v>4</v>
      </c>
      <c r="H1127" s="111"/>
    </row>
    <row r="1128" spans="1:8">
      <c r="A1128" s="80"/>
      <c r="B1128" s="81"/>
      <c r="C1128" s="81"/>
      <c r="D1128" s="81"/>
      <c r="E1128" s="81"/>
      <c r="F1128" s="81"/>
      <c r="G1128" s="81"/>
      <c r="H1128" s="111"/>
    </row>
    <row r="1129" spans="1:8">
      <c r="A1129" s="80"/>
      <c r="B1129" s="81" t="s">
        <v>140</v>
      </c>
      <c r="C1129" s="138">
        <f>VLOOKUP(G1127,'17_1'!$A$177:$B$184,2,0)</f>
        <v>1213</v>
      </c>
      <c r="D1129" s="81"/>
      <c r="E1129" s="139" t="s">
        <v>141</v>
      </c>
      <c r="F1129" s="141" t="e">
        <f>DSUM('17_1'!A$177:J$184,'17_1'!$J$177,G1126:G1127)</f>
        <v>#N/A</v>
      </c>
      <c r="G1129" s="81"/>
      <c r="H1129" s="111"/>
    </row>
    <row r="1130" spans="1:8">
      <c r="A1130" s="80"/>
      <c r="B1130" s="81" t="s">
        <v>142</v>
      </c>
      <c r="C1130" s="205">
        <v>321</v>
      </c>
      <c r="D1130" s="81"/>
      <c r="E1130" s="81"/>
      <c r="F1130" s="81"/>
      <c r="G1130" s="81"/>
      <c r="H1130" s="111"/>
    </row>
    <row r="1131" spans="1:8">
      <c r="A1131" s="80"/>
      <c r="B1131" s="81" t="s">
        <v>144</v>
      </c>
      <c r="C1131" s="206">
        <f>DSUM('17_1'!$A$177:$H$184,'17_1'!$H$177,G1126:G1127)</f>
        <v>0</v>
      </c>
      <c r="D1131" s="81"/>
      <c r="E1131" s="81"/>
      <c r="F1131" s="584"/>
      <c r="G1131" s="584"/>
      <c r="H1131" s="111"/>
    </row>
    <row r="1132" spans="1:8" ht="15.75">
      <c r="A1132" s="80"/>
      <c r="B1132" s="81"/>
      <c r="C1132" s="81" t="s">
        <v>146</v>
      </c>
      <c r="D1132" s="145" t="e">
        <f>DMIN('17_1'!A$177:K$184,'17_1'!$K$177,G1126:G1127)</f>
        <v>#REF!</v>
      </c>
      <c r="E1132" s="189" t="e">
        <f>IF(F1132=1,"Domingo",IF(F1132=2,"Lunes",IF(F1132=3,"Martes",IF(F1132=4,"Miercoles",IF(F1132=5,"Jueves",IF(F1132=6,"Viernes",IF(F1132=7,"Sábado",0)))))))</f>
        <v>#REF!</v>
      </c>
      <c r="F1132" s="190" t="e">
        <f>WEEKDAY(D1132)</f>
        <v>#REF!</v>
      </c>
      <c r="G1132" s="142"/>
      <c r="H1132" s="111"/>
    </row>
    <row r="1133" spans="1:8" ht="15.75">
      <c r="A1133" s="80"/>
      <c r="B1133" s="81"/>
      <c r="C1133" s="81" t="s">
        <v>147</v>
      </c>
      <c r="D1133" s="145" t="e">
        <f>DMAX('17_1'!A$177:L$184,'17_1'!$L$177,G1126:G1127)</f>
        <v>#REF!</v>
      </c>
      <c r="E1133" s="189" t="e">
        <f>IF(F1133=1,"Domingo",IF(F1133=2,"Lunes",IF(F1133=3,"Martes",IF(F1133=4,"Miercoles",IF(F1133=5,"Jueves",IF(F1133=6,"Viernes",IF(F1133=7,"Sábado",0)))))))</f>
        <v>#REF!</v>
      </c>
      <c r="F1133" s="190" t="e">
        <f>WEEKDAY(D1133)</f>
        <v>#REF!</v>
      </c>
      <c r="G1133" s="142"/>
      <c r="H1133" s="111"/>
    </row>
    <row r="1134" spans="1:8">
      <c r="A1134" s="80"/>
      <c r="B1134" s="81"/>
      <c r="C1134" s="81"/>
      <c r="D1134" s="81"/>
      <c r="E1134" s="81"/>
      <c r="F1134" s="584"/>
      <c r="G1134" s="584"/>
      <c r="H1134" s="111"/>
    </row>
    <row r="1135" spans="1:8">
      <c r="A1135" s="80"/>
      <c r="B1135" s="146">
        <f>+Mensajes!$B$7</f>
        <v>0</v>
      </c>
      <c r="C1135" s="81"/>
      <c r="D1135" s="81"/>
      <c r="E1135" s="81"/>
      <c r="F1135" s="81"/>
      <c r="G1135" s="81"/>
      <c r="H1135" s="111"/>
    </row>
    <row r="1136" spans="1:8">
      <c r="A1136" s="80"/>
      <c r="B1136" s="146">
        <f>+Mensajes!$B$12</f>
        <v>0</v>
      </c>
      <c r="C1136" s="81"/>
      <c r="D1136" s="81"/>
      <c r="E1136" s="81"/>
      <c r="F1136" s="81"/>
      <c r="G1136" s="81"/>
      <c r="H1136" s="111"/>
    </row>
    <row r="1137" spans="1:8">
      <c r="A1137" s="80"/>
      <c r="B1137" s="146" t="str">
        <f>IF(VLOOKUP(G1127,'17_1'!$A$177:$N$184,14,0)=0,"",VLOOKUP(G1127,'17_1'!$A$177:$N$184,14,0))</f>
        <v/>
      </c>
      <c r="C1137" s="81"/>
      <c r="D1137" s="81"/>
      <c r="E1137" s="81"/>
      <c r="F1137" s="81"/>
      <c r="G1137" s="81"/>
      <c r="H1137" s="111"/>
    </row>
    <row r="1138" spans="1:8">
      <c r="A1138" s="140"/>
      <c r="B1138" s="188" t="str">
        <f>IF(DSUM('17_1'!$A$177:$Q$184,17,G1126:G1127)=COUNTIF('17_1'!$A$177:$A$184,G1127),"","Regularice su Deuda")</f>
        <v>Regularice su Deuda</v>
      </c>
      <c r="C1138" s="82"/>
      <c r="D1138" s="82"/>
      <c r="E1138" s="82"/>
      <c r="F1138" s="82"/>
      <c r="G1138" s="82"/>
      <c r="H1138" s="83"/>
    </row>
    <row r="1140" spans="1:8">
      <c r="A1140" s="108"/>
      <c r="B1140" s="109"/>
      <c r="C1140" s="109"/>
      <c r="D1140" s="109"/>
      <c r="E1140" s="109"/>
      <c r="F1140" s="109"/>
      <c r="G1140" s="109"/>
      <c r="H1140" s="110"/>
    </row>
    <row r="1141" spans="1:8">
      <c r="A1141" s="80"/>
      <c r="B1141" s="147" t="s">
        <v>64</v>
      </c>
      <c r="C1141" s="81"/>
      <c r="D1141" s="81"/>
      <c r="E1141" s="81"/>
      <c r="F1141" s="81"/>
      <c r="G1141" s="81"/>
      <c r="H1141" s="111"/>
    </row>
    <row r="1142" spans="1:8">
      <c r="A1142" s="80"/>
      <c r="B1142" s="81"/>
      <c r="C1142" s="81"/>
      <c r="D1142" s="81"/>
      <c r="E1142" s="81"/>
      <c r="F1142" s="81"/>
      <c r="G1142" s="81"/>
      <c r="H1142" s="111"/>
    </row>
    <row r="1143" spans="1:8">
      <c r="A1143" s="80"/>
      <c r="B1143" s="81" t="s">
        <v>139</v>
      </c>
      <c r="C1143" s="81" t="str">
        <f>VLOOKUP(G1144,'17_1'!$A$177:$G$184,6,0)</f>
        <v>BARELLO, MARCELO</v>
      </c>
      <c r="D1143" s="81"/>
      <c r="E1143" s="81"/>
      <c r="F1143" s="81"/>
      <c r="G1143" s="138" t="s">
        <v>102</v>
      </c>
      <c r="H1143" s="111"/>
    </row>
    <row r="1144" spans="1:8">
      <c r="A1144" s="80"/>
      <c r="B1144" s="81" t="s">
        <v>72</v>
      </c>
      <c r="C1144" s="81" t="str">
        <f>+'17_1'!$A$164</f>
        <v>Hijuela Gelvez - Artero</v>
      </c>
      <c r="D1144" s="81"/>
      <c r="E1144" s="81"/>
      <c r="F1144" s="81"/>
      <c r="G1144" s="138">
        <v>5</v>
      </c>
      <c r="H1144" s="111"/>
    </row>
    <row r="1145" spans="1:8">
      <c r="A1145" s="80"/>
      <c r="B1145" s="81"/>
      <c r="C1145" s="81"/>
      <c r="D1145" s="81"/>
      <c r="E1145" s="81"/>
      <c r="F1145" s="81"/>
      <c r="G1145" s="81"/>
      <c r="H1145" s="111"/>
    </row>
    <row r="1146" spans="1:8">
      <c r="A1146" s="80"/>
      <c r="B1146" s="81" t="s">
        <v>140</v>
      </c>
      <c r="C1146" s="138">
        <f>VLOOKUP(G1144,'17_1'!$A$177:$B$184,2,0)</f>
        <v>1213</v>
      </c>
      <c r="D1146" s="81"/>
      <c r="E1146" s="139" t="s">
        <v>141</v>
      </c>
      <c r="F1146" s="141" t="e">
        <f>DSUM('17_1'!A$177:J$184,'17_1'!$J$177,G1143:G1144)</f>
        <v>#N/A</v>
      </c>
      <c r="G1146" s="81"/>
      <c r="H1146" s="111"/>
    </row>
    <row r="1147" spans="1:8">
      <c r="A1147" s="80"/>
      <c r="B1147" s="81" t="s">
        <v>142</v>
      </c>
      <c r="C1147" s="205">
        <v>320</v>
      </c>
      <c r="D1147" s="81"/>
      <c r="E1147" s="81"/>
      <c r="F1147" s="81"/>
      <c r="G1147" s="81"/>
      <c r="H1147" s="111"/>
    </row>
    <row r="1148" spans="1:8">
      <c r="A1148" s="80"/>
      <c r="B1148" s="81" t="s">
        <v>144</v>
      </c>
      <c r="C1148" s="206">
        <f>DSUM('17_1'!$A$177:$H$184,'17_1'!$H$177,G1143:G1144)</f>
        <v>4.9919000000000002</v>
      </c>
      <c r="D1148" s="81"/>
      <c r="E1148" s="81"/>
      <c r="F1148" s="584"/>
      <c r="G1148" s="584"/>
      <c r="H1148" s="111"/>
    </row>
    <row r="1149" spans="1:8" ht="15.75">
      <c r="A1149" s="80"/>
      <c r="B1149" s="81"/>
      <c r="C1149" s="81" t="s">
        <v>146</v>
      </c>
      <c r="D1149" s="145" t="e">
        <f>DMIN('17_1'!A$177:K$184,'17_1'!$K$177,G1143:G1144)</f>
        <v>#REF!</v>
      </c>
      <c r="E1149" s="189" t="e">
        <f>IF(F1149=1,"Domingo",IF(F1149=2,"Lunes",IF(F1149=3,"Martes",IF(F1149=4,"Miercoles",IF(F1149=5,"Jueves",IF(F1149=6,"Viernes",IF(F1149=7,"Sábado",0)))))))</f>
        <v>#REF!</v>
      </c>
      <c r="F1149" s="190" t="e">
        <f>WEEKDAY(D1149)</f>
        <v>#REF!</v>
      </c>
      <c r="G1149" s="142"/>
      <c r="H1149" s="111"/>
    </row>
    <row r="1150" spans="1:8" ht="15.75">
      <c r="A1150" s="80"/>
      <c r="B1150" s="81"/>
      <c r="C1150" s="81" t="s">
        <v>147</v>
      </c>
      <c r="D1150" s="145" t="e">
        <f>DMAX('17_1'!A$177:L$184,'17_1'!$L$177,G1143:G1144)</f>
        <v>#REF!</v>
      </c>
      <c r="E1150" s="189" t="e">
        <f>IF(F1150=1,"Domingo",IF(F1150=2,"Lunes",IF(F1150=3,"Martes",IF(F1150=4,"Miercoles",IF(F1150=5,"Jueves",IF(F1150=6,"Viernes",IF(F1150=7,"Sábado",0)))))))</f>
        <v>#REF!</v>
      </c>
      <c r="F1150" s="190" t="e">
        <f>WEEKDAY(D1150)</f>
        <v>#REF!</v>
      </c>
      <c r="G1150" s="142"/>
      <c r="H1150" s="111"/>
    </row>
    <row r="1151" spans="1:8">
      <c r="A1151" s="80"/>
      <c r="B1151" s="81"/>
      <c r="C1151" s="81"/>
      <c r="D1151" s="81"/>
      <c r="E1151" s="81"/>
      <c r="F1151" s="584"/>
      <c r="G1151" s="584"/>
      <c r="H1151" s="111"/>
    </row>
    <row r="1152" spans="1:8">
      <c r="A1152" s="80"/>
      <c r="B1152" s="146">
        <f>+Mensajes!$B$7</f>
        <v>0</v>
      </c>
      <c r="C1152" s="81"/>
      <c r="D1152" s="81"/>
      <c r="E1152" s="81"/>
      <c r="F1152" s="81"/>
      <c r="G1152" s="81"/>
      <c r="H1152" s="111"/>
    </row>
    <row r="1153" spans="1:8">
      <c r="A1153" s="80"/>
      <c r="B1153" s="146">
        <f>+Mensajes!$B$12</f>
        <v>0</v>
      </c>
      <c r="C1153" s="81"/>
      <c r="D1153" s="81"/>
      <c r="E1153" s="81"/>
      <c r="F1153" s="81"/>
      <c r="G1153" s="81"/>
      <c r="H1153" s="111"/>
    </row>
    <row r="1154" spans="1:8">
      <c r="A1154" s="80"/>
      <c r="B1154" s="146" t="str">
        <f>IF(VLOOKUP(G1144,'17_1'!$A$177:$N$184,14,0)=0,"",VLOOKUP(G1144,'17_1'!$A$177:$N$184,14,0))</f>
        <v/>
      </c>
      <c r="C1154" s="81"/>
      <c r="D1154" s="81"/>
      <c r="E1154" s="81"/>
      <c r="F1154" s="81"/>
      <c r="G1154" s="81"/>
      <c r="H1154" s="111"/>
    </row>
    <row r="1155" spans="1:8">
      <c r="A1155" s="140"/>
      <c r="B1155" s="188" t="str">
        <f>IF(DSUM('17_1'!$A$177:$Q$184,17,G1143:G1144)=COUNTIF('17_1'!$A$177:$A$184,G1144),"","Regularice su Deuda")</f>
        <v/>
      </c>
      <c r="C1155" s="82"/>
      <c r="D1155" s="82"/>
      <c r="E1155" s="82"/>
      <c r="F1155" s="82"/>
      <c r="G1155" s="82"/>
      <c r="H1155" s="83"/>
    </row>
    <row r="1157" spans="1:8">
      <c r="A1157" s="108"/>
      <c r="B1157" s="109"/>
      <c r="C1157" s="109"/>
      <c r="D1157" s="109"/>
      <c r="E1157" s="109"/>
      <c r="F1157" s="109"/>
      <c r="G1157" s="109"/>
      <c r="H1157" s="110"/>
    </row>
    <row r="1158" spans="1:8">
      <c r="A1158" s="80"/>
      <c r="B1158" s="147" t="s">
        <v>64</v>
      </c>
      <c r="C1158" s="81"/>
      <c r="D1158" s="81"/>
      <c r="E1158" s="81"/>
      <c r="F1158" s="81"/>
      <c r="G1158" s="81"/>
      <c r="H1158" s="111"/>
    </row>
    <row r="1159" spans="1:8">
      <c r="A1159" s="80"/>
      <c r="B1159" s="81"/>
      <c r="C1159" s="81"/>
      <c r="D1159" s="81"/>
      <c r="E1159" s="81"/>
      <c r="F1159" s="81"/>
      <c r="G1159" s="81"/>
      <c r="H1159" s="111"/>
    </row>
    <row r="1160" spans="1:8">
      <c r="A1160" s="80"/>
      <c r="B1160" s="81" t="s">
        <v>139</v>
      </c>
      <c r="C1160" s="81" t="str">
        <f>VLOOKUP(G1161,'17_1'!$A$177:$G$184,6,0)</f>
        <v>BLANCHARD MONTES DE ROSSI, HILDA</v>
      </c>
      <c r="D1160" s="81"/>
      <c r="E1160" s="81"/>
      <c r="F1160" s="81"/>
      <c r="G1160" s="138" t="s">
        <v>102</v>
      </c>
      <c r="H1160" s="111"/>
    </row>
    <row r="1161" spans="1:8">
      <c r="A1161" s="80"/>
      <c r="B1161" s="81" t="s">
        <v>72</v>
      </c>
      <c r="C1161" s="81" t="str">
        <f>+'17_1'!$A$164</f>
        <v>Hijuela Gelvez - Artero</v>
      </c>
      <c r="D1161" s="81"/>
      <c r="E1161" s="81"/>
      <c r="F1161" s="81"/>
      <c r="G1161" s="138">
        <v>6</v>
      </c>
      <c r="H1161" s="111"/>
    </row>
    <row r="1162" spans="1:8">
      <c r="A1162" s="80"/>
      <c r="B1162" s="81"/>
      <c r="C1162" s="81"/>
      <c r="D1162" s="81"/>
      <c r="E1162" s="81"/>
      <c r="F1162" s="81"/>
      <c r="G1162" s="81"/>
      <c r="H1162" s="111"/>
    </row>
    <row r="1163" spans="1:8">
      <c r="A1163" s="80"/>
      <c r="B1163" s="81" t="s">
        <v>140</v>
      </c>
      <c r="C1163" s="138">
        <f>VLOOKUP(G1161,'17_1'!$A$177:$B$184,2,0)</f>
        <v>1213</v>
      </c>
      <c r="D1163" s="81"/>
      <c r="E1163" s="139" t="s">
        <v>141</v>
      </c>
      <c r="F1163" s="141" t="e">
        <f>DSUM('17_1'!A$177:J$184,'17_1'!$J$177,G1160:G1161)</f>
        <v>#N/A</v>
      </c>
      <c r="G1163" s="81"/>
      <c r="H1163" s="111"/>
    </row>
    <row r="1164" spans="1:8">
      <c r="A1164" s="80"/>
      <c r="B1164" s="81" t="s">
        <v>142</v>
      </c>
      <c r="C1164" s="205">
        <v>321</v>
      </c>
      <c r="D1164" s="81"/>
      <c r="E1164" s="81"/>
      <c r="F1164" s="81"/>
      <c r="G1164" s="81"/>
      <c r="H1164" s="111"/>
    </row>
    <row r="1165" spans="1:8">
      <c r="A1165" s="80"/>
      <c r="B1165" s="81" t="s">
        <v>144</v>
      </c>
      <c r="C1165" s="206">
        <f>DSUM('17_1'!$A$177:$H$184,'17_1'!$H$177,G1160:G1161)</f>
        <v>1.5629</v>
      </c>
      <c r="D1165" s="81"/>
      <c r="E1165" s="81"/>
      <c r="F1165" s="584"/>
      <c r="G1165" s="584"/>
      <c r="H1165" s="111"/>
    </row>
    <row r="1166" spans="1:8" ht="15.75">
      <c r="A1166" s="80"/>
      <c r="B1166" s="81"/>
      <c r="C1166" s="81" t="s">
        <v>146</v>
      </c>
      <c r="D1166" s="145" t="e">
        <f>DMIN('17_1'!A$177:K$184,'17_1'!$K$177,G1160:G1161)</f>
        <v>#REF!</v>
      </c>
      <c r="E1166" s="189" t="e">
        <f>IF(F1166=1,"Domingo",IF(F1166=2,"Lunes",IF(F1166=3,"Martes",IF(F1166=4,"Miercoles",IF(F1166=5,"Jueves",IF(F1166=6,"Viernes",IF(F1166=7,"Sábado",0)))))))</f>
        <v>#REF!</v>
      </c>
      <c r="F1166" s="190" t="e">
        <f>WEEKDAY(D1166)</f>
        <v>#REF!</v>
      </c>
      <c r="G1166" s="142"/>
      <c r="H1166" s="111"/>
    </row>
    <row r="1167" spans="1:8" ht="15.75">
      <c r="A1167" s="80"/>
      <c r="B1167" s="81"/>
      <c r="C1167" s="81" t="s">
        <v>147</v>
      </c>
      <c r="D1167" s="145" t="e">
        <f>DMAX('17_1'!A$177:L$184,'17_1'!$L$177,G1160:G1161)</f>
        <v>#REF!</v>
      </c>
      <c r="E1167" s="189" t="e">
        <f>IF(F1167=1,"Domingo",IF(F1167=2,"Lunes",IF(F1167=3,"Martes",IF(F1167=4,"Miercoles",IF(F1167=5,"Jueves",IF(F1167=6,"Viernes",IF(F1167=7,"Sábado",0)))))))</f>
        <v>#REF!</v>
      </c>
      <c r="F1167" s="190" t="e">
        <f>WEEKDAY(D1167)</f>
        <v>#REF!</v>
      </c>
      <c r="G1167" s="142"/>
      <c r="H1167" s="111"/>
    </row>
    <row r="1168" spans="1:8">
      <c r="A1168" s="80"/>
      <c r="B1168" s="81"/>
      <c r="C1168" s="81"/>
      <c r="D1168" s="81"/>
      <c r="E1168" s="81"/>
      <c r="F1168" s="584"/>
      <c r="G1168" s="584"/>
      <c r="H1168" s="111"/>
    </row>
    <row r="1169" spans="1:8">
      <c r="A1169" s="80"/>
      <c r="B1169" s="146">
        <f>+Mensajes!$B$7</f>
        <v>0</v>
      </c>
      <c r="C1169" s="81"/>
      <c r="D1169" s="81"/>
      <c r="E1169" s="81"/>
      <c r="F1169" s="81"/>
      <c r="G1169" s="81"/>
      <c r="H1169" s="111"/>
    </row>
    <row r="1170" spans="1:8">
      <c r="A1170" s="80"/>
      <c r="B1170" s="146">
        <f>+Mensajes!$B$12</f>
        <v>0</v>
      </c>
      <c r="C1170" s="81"/>
      <c r="D1170" s="81"/>
      <c r="E1170" s="81"/>
      <c r="F1170" s="81"/>
      <c r="G1170" s="81"/>
      <c r="H1170" s="111"/>
    </row>
    <row r="1171" spans="1:8">
      <c r="A1171" s="80"/>
      <c r="B1171" s="146" t="str">
        <f>IF(VLOOKUP(G1161,'17_1'!$A$177:$N$184,14,0)=0,"",VLOOKUP(G1161,'17_1'!$A$177:$N$184,14,0))</f>
        <v/>
      </c>
      <c r="C1171" s="81"/>
      <c r="D1171" s="81"/>
      <c r="E1171" s="81"/>
      <c r="F1171" s="81"/>
      <c r="G1171" s="81"/>
      <c r="H1171" s="111"/>
    </row>
    <row r="1172" spans="1:8">
      <c r="A1172" s="140"/>
      <c r="B1172" s="188" t="str">
        <f>IF(DSUM('17_1'!$A$177:$Q$184,17,G1160:G1161)=COUNTIF('17_1'!$A$177:$A$184,G1161),"","Regularice su Deuda")</f>
        <v/>
      </c>
      <c r="C1172" s="82"/>
      <c r="D1172" s="82"/>
      <c r="E1172" s="82"/>
      <c r="F1172" s="82"/>
      <c r="G1172" s="82"/>
      <c r="H1172" s="83"/>
    </row>
    <row r="1174" spans="1:8">
      <c r="A1174" s="108"/>
      <c r="B1174" s="109"/>
      <c r="C1174" s="109"/>
      <c r="D1174" s="109"/>
      <c r="E1174" s="109"/>
      <c r="F1174" s="109"/>
      <c r="G1174" s="109"/>
      <c r="H1174" s="110"/>
    </row>
    <row r="1175" spans="1:8">
      <c r="A1175" s="80"/>
      <c r="B1175" s="147" t="s">
        <v>64</v>
      </c>
      <c r="C1175" s="81"/>
      <c r="D1175" s="81"/>
      <c r="E1175" s="81"/>
      <c r="F1175" s="81"/>
      <c r="G1175" s="81"/>
      <c r="H1175" s="111"/>
    </row>
    <row r="1176" spans="1:8">
      <c r="A1176" s="80"/>
      <c r="B1176" s="81"/>
      <c r="C1176" s="81"/>
      <c r="D1176" s="81"/>
      <c r="E1176" s="81"/>
      <c r="F1176" s="81"/>
      <c r="G1176" s="81"/>
      <c r="H1176" s="111"/>
    </row>
    <row r="1177" spans="1:8">
      <c r="A1177" s="80"/>
      <c r="B1177" s="81" t="s">
        <v>139</v>
      </c>
      <c r="C1177" s="81" t="str">
        <f>VLOOKUP(G1178,'17_1'!$A$177:$G$184,6,0)</f>
        <v>ROJAS, HECTOR ALFREDO</v>
      </c>
      <c r="D1177" s="81"/>
      <c r="E1177" s="81"/>
      <c r="F1177" s="81"/>
      <c r="G1177" s="138" t="s">
        <v>102</v>
      </c>
      <c r="H1177" s="111"/>
    </row>
    <row r="1178" spans="1:8">
      <c r="A1178" s="80"/>
      <c r="B1178" s="81" t="s">
        <v>72</v>
      </c>
      <c r="C1178" s="81" t="str">
        <f>+'17_1'!$A$164</f>
        <v>Hijuela Gelvez - Artero</v>
      </c>
      <c r="D1178" s="81"/>
      <c r="E1178" s="81"/>
      <c r="F1178" s="81"/>
      <c r="G1178" s="138">
        <v>7</v>
      </c>
      <c r="H1178" s="111"/>
    </row>
    <row r="1179" spans="1:8">
      <c r="A1179" s="80"/>
      <c r="B1179" s="81"/>
      <c r="C1179" s="81"/>
      <c r="D1179" s="81"/>
      <c r="E1179" s="81"/>
      <c r="F1179" s="81"/>
      <c r="G1179" s="81"/>
      <c r="H1179" s="111"/>
    </row>
    <row r="1180" spans="1:8">
      <c r="A1180" s="80"/>
      <c r="B1180" s="81" t="s">
        <v>140</v>
      </c>
      <c r="C1180" s="138">
        <f>VLOOKUP(G1178,'17_1'!$A$177:$B$184,2,0)</f>
        <v>1213</v>
      </c>
      <c r="D1180" s="81"/>
      <c r="E1180" s="139" t="s">
        <v>141</v>
      </c>
      <c r="F1180" s="141" t="e">
        <f>DSUM('17_1'!A$177:J$184,'17_1'!$J$177,G1177:G1178)</f>
        <v>#N/A</v>
      </c>
      <c r="G1180" s="81"/>
      <c r="H1180" s="111"/>
    </row>
    <row r="1181" spans="1:8">
      <c r="A1181" s="80"/>
      <c r="B1181" s="81" t="s">
        <v>142</v>
      </c>
      <c r="C1181" s="205">
        <v>320</v>
      </c>
      <c r="D1181" s="81"/>
      <c r="E1181" s="81"/>
      <c r="F1181" s="81"/>
      <c r="G1181" s="81"/>
      <c r="H1181" s="111"/>
    </row>
    <row r="1182" spans="1:8">
      <c r="A1182" s="80"/>
      <c r="B1182" s="81" t="s">
        <v>144</v>
      </c>
      <c r="C1182" s="206">
        <f>DSUM('17_1'!$A$177:$H$184,'17_1'!$H$177,G1177:G1178)</f>
        <v>0</v>
      </c>
      <c r="D1182" s="81"/>
      <c r="E1182" s="81"/>
      <c r="F1182" s="584"/>
      <c r="G1182" s="584"/>
      <c r="H1182" s="111"/>
    </row>
    <row r="1183" spans="1:8" ht="15.75">
      <c r="A1183" s="80"/>
      <c r="B1183" s="81"/>
      <c r="C1183" s="81" t="s">
        <v>146</v>
      </c>
      <c r="D1183" s="145" t="e">
        <f>DMIN('17_1'!A$177:K$184,'17_1'!$K$177,G1177:G1178)</f>
        <v>#REF!</v>
      </c>
      <c r="E1183" s="189" t="e">
        <f>IF(F1183=1,"Domingo",IF(F1183=2,"Lunes",IF(F1183=3,"Martes",IF(F1183=4,"Miercoles",IF(F1183=5,"Jueves",IF(F1183=6,"Viernes",IF(F1183=7,"Sábado",0)))))))</f>
        <v>#REF!</v>
      </c>
      <c r="F1183" s="190" t="e">
        <f>WEEKDAY(D1183)</f>
        <v>#REF!</v>
      </c>
      <c r="G1183" s="142"/>
      <c r="H1183" s="111"/>
    </row>
    <row r="1184" spans="1:8" ht="15.75">
      <c r="A1184" s="80"/>
      <c r="B1184" s="81"/>
      <c r="C1184" s="81" t="s">
        <v>147</v>
      </c>
      <c r="D1184" s="145" t="e">
        <f>DMAX('17_1'!A$177:L$184,'17_1'!$L$177,G1177:G1178)</f>
        <v>#REF!</v>
      </c>
      <c r="E1184" s="189" t="e">
        <f>IF(F1184=1,"Domingo",IF(F1184=2,"Lunes",IF(F1184=3,"Martes",IF(F1184=4,"Miercoles",IF(F1184=5,"Jueves",IF(F1184=6,"Viernes",IF(F1184=7,"Sábado",0)))))))</f>
        <v>#REF!</v>
      </c>
      <c r="F1184" s="190" t="e">
        <f>WEEKDAY(D1184)</f>
        <v>#REF!</v>
      </c>
      <c r="G1184" s="142"/>
      <c r="H1184" s="111"/>
    </row>
    <row r="1185" spans="1:8">
      <c r="A1185" s="80"/>
      <c r="B1185" s="81"/>
      <c r="C1185" s="81"/>
      <c r="D1185" s="81"/>
      <c r="E1185" s="81"/>
      <c r="F1185" s="584"/>
      <c r="G1185" s="584"/>
      <c r="H1185" s="111"/>
    </row>
    <row r="1186" spans="1:8">
      <c r="A1186" s="80"/>
      <c r="B1186" s="146">
        <f>+Mensajes!$B$7</f>
        <v>0</v>
      </c>
      <c r="C1186" s="81"/>
      <c r="D1186" s="81"/>
      <c r="E1186" s="81"/>
      <c r="F1186" s="81"/>
      <c r="G1186" s="81"/>
      <c r="H1186" s="111"/>
    </row>
    <row r="1187" spans="1:8">
      <c r="A1187" s="80"/>
      <c r="B1187" s="146">
        <f>+Mensajes!$B$12</f>
        <v>0</v>
      </c>
      <c r="C1187" s="81"/>
      <c r="D1187" s="81"/>
      <c r="E1187" s="81"/>
      <c r="F1187" s="81"/>
      <c r="G1187" s="81"/>
      <c r="H1187" s="111"/>
    </row>
    <row r="1188" spans="1:8">
      <c r="A1188" s="80"/>
      <c r="B1188" s="146" t="str">
        <f>IF(VLOOKUP(G1178,'17_1'!$A$177:$N$184,14,0)=0,"",VLOOKUP(G1178,'17_1'!$A$177:$N$184,14,0))</f>
        <v/>
      </c>
      <c r="C1188" s="81"/>
      <c r="D1188" s="81"/>
      <c r="E1188" s="81"/>
      <c r="F1188" s="81"/>
      <c r="G1188" s="81"/>
      <c r="H1188" s="111"/>
    </row>
    <row r="1189" spans="1:8">
      <c r="A1189" s="140"/>
      <c r="B1189" s="188" t="str">
        <f>IF(DSUM('17_1'!$A$177:$Q$184,17,G1177:G1178)=COUNTIF('17_1'!$A$177:$A$184,G1178),"","Regularice su Deuda")</f>
        <v>Regularice su Deuda</v>
      </c>
      <c r="C1189" s="82"/>
      <c r="D1189" s="82"/>
      <c r="E1189" s="82"/>
      <c r="F1189" s="82"/>
      <c r="G1189" s="82"/>
      <c r="H1189" s="83"/>
    </row>
    <row r="1191" spans="1:8">
      <c r="A1191" s="108"/>
      <c r="B1191" s="109"/>
      <c r="C1191" s="109"/>
      <c r="D1191" s="109"/>
      <c r="E1191" s="109"/>
      <c r="F1191" s="109"/>
      <c r="G1191" s="109"/>
      <c r="H1191" s="110"/>
    </row>
    <row r="1192" spans="1:8">
      <c r="A1192" s="80"/>
      <c r="B1192" s="147" t="s">
        <v>64</v>
      </c>
      <c r="C1192" s="81"/>
      <c r="D1192" s="81"/>
      <c r="E1192" s="81"/>
      <c r="F1192" s="81"/>
      <c r="G1192" s="81"/>
      <c r="H1192" s="111"/>
    </row>
    <row r="1193" spans="1:8">
      <c r="A1193" s="80"/>
      <c r="B1193" s="81"/>
      <c r="C1193" s="81"/>
      <c r="D1193" s="81"/>
      <c r="E1193" s="81"/>
      <c r="F1193" s="81"/>
      <c r="G1193" s="81"/>
      <c r="H1193" s="111"/>
    </row>
    <row r="1194" spans="1:8">
      <c r="A1194" s="80"/>
      <c r="B1194" s="81" t="s">
        <v>139</v>
      </c>
      <c r="C1194" s="81" t="str">
        <f>VLOOKUP(G1195,'17_1'!$A$203:$G$238,6,0)</f>
        <v>OJEDA, DANIEL WALDINO Y OJEDA, JUAN RUFINO</v>
      </c>
      <c r="D1194" s="81"/>
      <c r="E1194" s="81"/>
      <c r="F1194" s="81"/>
      <c r="G1194" s="138" t="s">
        <v>102</v>
      </c>
      <c r="H1194" s="111"/>
    </row>
    <row r="1195" spans="1:8">
      <c r="A1195" s="80"/>
      <c r="B1195" s="81" t="s">
        <v>72</v>
      </c>
      <c r="C1195" s="81" t="str">
        <f>+'17_1'!$A$191</f>
        <v>Hijuela Gelvez - Cabrera</v>
      </c>
      <c r="D1195" s="81"/>
      <c r="E1195" s="81"/>
      <c r="F1195" s="81"/>
      <c r="G1195" s="138">
        <v>1</v>
      </c>
      <c r="H1195" s="111"/>
    </row>
    <row r="1196" spans="1:8">
      <c r="A1196" s="80"/>
      <c r="B1196" s="81"/>
      <c r="C1196" s="81"/>
      <c r="D1196" s="81"/>
      <c r="E1196" s="81"/>
      <c r="F1196" s="81"/>
      <c r="G1196" s="81"/>
      <c r="H1196" s="111"/>
    </row>
    <row r="1197" spans="1:8">
      <c r="A1197" s="80"/>
      <c r="B1197" s="81" t="s">
        <v>140</v>
      </c>
      <c r="C1197" s="138">
        <f>VLOOKUP(G1195,'17_1'!$A$203:$B$238,2,0)</f>
        <v>1213</v>
      </c>
      <c r="D1197" s="81"/>
      <c r="E1197" s="139" t="s">
        <v>141</v>
      </c>
      <c r="F1197" s="141" t="e">
        <f>DSUM('17_1'!A$203:J$238,'17_1'!$J$203,G1194:G1195)</f>
        <v>#N/A</v>
      </c>
      <c r="G1197" s="81"/>
      <c r="H1197" s="111"/>
    </row>
    <row r="1198" spans="1:8">
      <c r="A1198" s="80"/>
      <c r="B1198" s="81" t="s">
        <v>142</v>
      </c>
      <c r="C1198" s="205">
        <v>241</v>
      </c>
      <c r="D1198" s="81"/>
      <c r="E1198" s="81"/>
      <c r="F1198" s="81"/>
      <c r="G1198" s="81"/>
      <c r="H1198" s="111"/>
    </row>
    <row r="1199" spans="1:8">
      <c r="A1199" s="80"/>
      <c r="B1199" s="81" t="s">
        <v>144</v>
      </c>
      <c r="C1199" s="206">
        <f>DSUM('17_1'!$A$203:$H$238,'17_1'!$H$203,G1194:G1195)</f>
        <v>5.4781999999999993</v>
      </c>
      <c r="D1199" s="81"/>
      <c r="E1199" s="81"/>
      <c r="F1199" s="584"/>
      <c r="G1199" s="584"/>
      <c r="H1199" s="111"/>
    </row>
    <row r="1200" spans="1:8" ht="15.75">
      <c r="A1200" s="80"/>
      <c r="B1200" s="81"/>
      <c r="C1200" s="81" t="s">
        <v>146</v>
      </c>
      <c r="D1200" s="145" t="e">
        <f>DMIN('17_1'!A$203:K$238,'17_1'!$K$203,G1194:G1195)</f>
        <v>#REF!</v>
      </c>
      <c r="E1200" s="189" t="e">
        <f>IF(F1200=1,"Domingo",IF(F1200=2,"Lunes",IF(F1200=3,"Martes",IF(F1200=4,"Miercoles",IF(F1200=5,"Jueves",IF(F1200=6,"Viernes",IF(F1200=7,"Sábado",0)))))))</f>
        <v>#REF!</v>
      </c>
      <c r="F1200" s="190" t="e">
        <f>WEEKDAY(D1200)</f>
        <v>#REF!</v>
      </c>
      <c r="G1200" s="142"/>
      <c r="H1200" s="111"/>
    </row>
    <row r="1201" spans="1:8" ht="15.75">
      <c r="A1201" s="80"/>
      <c r="B1201" s="81"/>
      <c r="C1201" s="81" t="s">
        <v>147</v>
      </c>
      <c r="D1201" s="145" t="e">
        <f>DMAX('17_1'!A$203:L$238,'17_1'!$L$203,G1194:G1195)</f>
        <v>#REF!</v>
      </c>
      <c r="E1201" s="189" t="e">
        <f>IF(F1201=1,"Domingo",IF(F1201=2,"Lunes",IF(F1201=3,"Martes",IF(F1201=4,"Miercoles",IF(F1201=5,"Jueves",IF(F1201=6,"Viernes",IF(F1201=7,"Sábado",0)))))))</f>
        <v>#REF!</v>
      </c>
      <c r="F1201" s="190" t="e">
        <f>WEEKDAY(D1201)</f>
        <v>#REF!</v>
      </c>
      <c r="G1201" s="142"/>
      <c r="H1201" s="111"/>
    </row>
    <row r="1202" spans="1:8">
      <c r="A1202" s="80"/>
      <c r="B1202" s="81"/>
      <c r="C1202" s="81"/>
      <c r="D1202" s="81"/>
      <c r="E1202" s="81"/>
      <c r="F1202" s="584"/>
      <c r="G1202" s="584"/>
      <c r="H1202" s="111"/>
    </row>
    <row r="1203" spans="1:8">
      <c r="A1203" s="80"/>
      <c r="B1203" s="146">
        <f>+Mensajes!$B$7</f>
        <v>0</v>
      </c>
      <c r="C1203" s="81"/>
      <c r="D1203" s="81"/>
      <c r="E1203" s="81"/>
      <c r="F1203" s="81"/>
      <c r="G1203" s="81"/>
      <c r="H1203" s="111"/>
    </row>
    <row r="1204" spans="1:8">
      <c r="A1204" s="80"/>
      <c r="B1204" s="146">
        <f>+Mensajes!$B$12</f>
        <v>0</v>
      </c>
      <c r="C1204" s="81"/>
      <c r="D1204" s="81"/>
      <c r="E1204" s="81"/>
      <c r="F1204" s="81"/>
      <c r="G1204" s="81"/>
      <c r="H1204" s="111"/>
    </row>
    <row r="1205" spans="1:8">
      <c r="A1205" s="80"/>
      <c r="B1205" s="146" t="str">
        <f>IF(VLOOKUP(G1195,'17_1'!$A$203:$N$238,14,0)=0,"",VLOOKUP(G1195,'17_1'!$A$203:$N$238,14,0))</f>
        <v/>
      </c>
      <c r="C1205" s="81"/>
      <c r="D1205" s="81"/>
      <c r="E1205" s="81"/>
      <c r="F1205" s="81"/>
      <c r="G1205" s="81"/>
      <c r="H1205" s="111"/>
    </row>
    <row r="1206" spans="1:8">
      <c r="A1206" s="140"/>
      <c r="B1206" s="188" t="str">
        <f>IF(DSUM('17_1'!$A$203:$Q$238,17,G1194:G1195)=COUNTIF('17_1'!$A$203:$A$238,G1195),"","Regularice su Deuda")</f>
        <v/>
      </c>
      <c r="C1206" s="82"/>
      <c r="D1206" s="82"/>
      <c r="E1206" s="82"/>
      <c r="F1206" s="82"/>
      <c r="G1206" s="82"/>
      <c r="H1206" s="83"/>
    </row>
    <row r="1208" spans="1:8">
      <c r="A1208" s="108"/>
      <c r="B1208" s="109"/>
      <c r="C1208" s="109"/>
      <c r="D1208" s="109"/>
      <c r="E1208" s="109"/>
      <c r="F1208" s="109"/>
      <c r="G1208" s="109"/>
      <c r="H1208" s="110"/>
    </row>
    <row r="1209" spans="1:8">
      <c r="A1209" s="80"/>
      <c r="B1209" s="147" t="s">
        <v>64</v>
      </c>
      <c r="C1209" s="81"/>
      <c r="D1209" s="81"/>
      <c r="E1209" s="81"/>
      <c r="F1209" s="81"/>
      <c r="G1209" s="81"/>
      <c r="H1209" s="111"/>
    </row>
    <row r="1210" spans="1:8">
      <c r="A1210" s="80"/>
      <c r="B1210" s="81"/>
      <c r="C1210" s="81"/>
      <c r="D1210" s="81"/>
      <c r="E1210" s="81"/>
      <c r="F1210" s="81"/>
      <c r="G1210" s="81"/>
      <c r="H1210" s="111"/>
    </row>
    <row r="1211" spans="1:8">
      <c r="A1211" s="80"/>
      <c r="B1211" s="81" t="s">
        <v>139</v>
      </c>
      <c r="C1211" s="81" t="str">
        <f>VLOOKUP(G1212,'17_1'!$A$203:$G$238,6,0)</f>
        <v>UNION VECINAL EL PARAISO DE LA COSTA</v>
      </c>
      <c r="D1211" s="81"/>
      <c r="E1211" s="81"/>
      <c r="F1211" s="81"/>
      <c r="G1211" s="138" t="s">
        <v>102</v>
      </c>
      <c r="H1211" s="111"/>
    </row>
    <row r="1212" spans="1:8">
      <c r="A1212" s="80"/>
      <c r="B1212" s="81" t="s">
        <v>72</v>
      </c>
      <c r="C1212" s="81" t="str">
        <f>+'17_1'!$A$191</f>
        <v>Hijuela Gelvez - Cabrera</v>
      </c>
      <c r="D1212" s="81"/>
      <c r="E1212" s="81"/>
      <c r="F1212" s="81"/>
      <c r="G1212" s="138">
        <v>2</v>
      </c>
      <c r="H1212" s="111"/>
    </row>
    <row r="1213" spans="1:8">
      <c r="A1213" s="80"/>
      <c r="B1213" s="81"/>
      <c r="C1213" s="81"/>
      <c r="D1213" s="81"/>
      <c r="E1213" s="81"/>
      <c r="F1213" s="81"/>
      <c r="G1213" s="81"/>
      <c r="H1213" s="111"/>
    </row>
    <row r="1214" spans="1:8">
      <c r="A1214" s="80"/>
      <c r="B1214" s="81" t="s">
        <v>140</v>
      </c>
      <c r="C1214" s="138">
        <f>VLOOKUP(G1212,'17_1'!$A$203:$B$238,2,0)</f>
        <v>1213</v>
      </c>
      <c r="D1214" s="81"/>
      <c r="E1214" s="139" t="s">
        <v>141</v>
      </c>
      <c r="F1214" s="141" t="e">
        <f>DSUM('17_1'!A$203:J$238,'17_1'!$J$203,G1211:G1212)</f>
        <v>#N/A</v>
      </c>
      <c r="G1214" s="81"/>
      <c r="H1214" s="111"/>
    </row>
    <row r="1215" spans="1:8">
      <c r="A1215" s="80"/>
      <c r="B1215" s="81" t="s">
        <v>142</v>
      </c>
      <c r="C1215" s="205">
        <v>253</v>
      </c>
      <c r="D1215" s="81"/>
      <c r="E1215" s="81"/>
      <c r="F1215" s="81"/>
      <c r="G1215" s="81"/>
      <c r="H1215" s="111"/>
    </row>
    <row r="1216" spans="1:8">
      <c r="A1216" s="80"/>
      <c r="B1216" s="81" t="s">
        <v>144</v>
      </c>
      <c r="C1216" s="206">
        <f>DSUM('17_1'!$A$203:$H$238,'17_1'!$H$203,G1211:G1212)</f>
        <v>0</v>
      </c>
      <c r="D1216" s="81"/>
      <c r="E1216" s="81"/>
      <c r="F1216" s="584"/>
      <c r="G1216" s="584"/>
      <c r="H1216" s="111"/>
    </row>
    <row r="1217" spans="1:8" ht="15.75">
      <c r="A1217" s="80"/>
      <c r="B1217" s="81"/>
      <c r="C1217" s="81" t="s">
        <v>146</v>
      </c>
      <c r="D1217" s="145" t="e">
        <f>DMIN('17_1'!A$203:K$238,'17_1'!$K$203,G1211:G1212)</f>
        <v>#REF!</v>
      </c>
      <c r="E1217" s="189" t="e">
        <f>IF(F1217=1,"Domingo",IF(F1217=2,"Lunes",IF(F1217=3,"Martes",IF(F1217=4,"Miercoles",IF(F1217=5,"Jueves",IF(F1217=6,"Viernes",IF(F1217=7,"Sábado",0)))))))</f>
        <v>#REF!</v>
      </c>
      <c r="F1217" s="190" t="e">
        <f>WEEKDAY(D1217)</f>
        <v>#REF!</v>
      </c>
      <c r="G1217" s="142"/>
      <c r="H1217" s="111"/>
    </row>
    <row r="1218" spans="1:8" ht="15.75">
      <c r="A1218" s="80"/>
      <c r="B1218" s="81"/>
      <c r="C1218" s="81" t="s">
        <v>147</v>
      </c>
      <c r="D1218" s="145" t="e">
        <f>DMAX('17_1'!A$203:L$238,'17_1'!$L$203,G1211:G1212)</f>
        <v>#REF!</v>
      </c>
      <c r="E1218" s="189" t="e">
        <f>IF(F1218=1,"Domingo",IF(F1218=2,"Lunes",IF(F1218=3,"Martes",IF(F1218=4,"Miercoles",IF(F1218=5,"Jueves",IF(F1218=6,"Viernes",IF(F1218=7,"Sábado",0)))))))</f>
        <v>#REF!</v>
      </c>
      <c r="F1218" s="190" t="e">
        <f>WEEKDAY(D1218)</f>
        <v>#REF!</v>
      </c>
      <c r="G1218" s="142"/>
      <c r="H1218" s="111"/>
    </row>
    <row r="1219" spans="1:8">
      <c r="A1219" s="80"/>
      <c r="B1219" s="81"/>
      <c r="C1219" s="81"/>
      <c r="D1219" s="81"/>
      <c r="E1219" s="81"/>
      <c r="F1219" s="584"/>
      <c r="G1219" s="584"/>
      <c r="H1219" s="111"/>
    </row>
    <row r="1220" spans="1:8">
      <c r="A1220" s="80"/>
      <c r="B1220" s="146">
        <f>+Mensajes!$B$7</f>
        <v>0</v>
      </c>
      <c r="C1220" s="81"/>
      <c r="D1220" s="81"/>
      <c r="E1220" s="81"/>
      <c r="F1220" s="81"/>
      <c r="G1220" s="81"/>
      <c r="H1220" s="111"/>
    </row>
    <row r="1221" spans="1:8">
      <c r="A1221" s="80"/>
      <c r="B1221" s="146">
        <f>+Mensajes!$B$12</f>
        <v>0</v>
      </c>
      <c r="C1221" s="81"/>
      <c r="D1221" s="81"/>
      <c r="E1221" s="81"/>
      <c r="F1221" s="81"/>
      <c r="G1221" s="81"/>
      <c r="H1221" s="111"/>
    </row>
    <row r="1222" spans="1:8">
      <c r="A1222" s="80"/>
      <c r="B1222" s="146" t="str">
        <f>IF(VLOOKUP(G1212,'17_1'!$A$203:$N$238,14,0)=0,"",VLOOKUP(G1212,'17_1'!$A$203:$N$238,14,0))</f>
        <v/>
      </c>
      <c r="C1222" s="81"/>
      <c r="D1222" s="81"/>
      <c r="E1222" s="81"/>
      <c r="F1222" s="81"/>
      <c r="G1222" s="81"/>
      <c r="H1222" s="111"/>
    </row>
    <row r="1223" spans="1:8">
      <c r="A1223" s="140"/>
      <c r="B1223" s="188" t="str">
        <f>IF(DSUM('17_1'!$A$203:$Q$238,17,G1211:G1212)=COUNTIF('17_1'!$A$203:$A$238,G1212),"","Regularice su Deuda")</f>
        <v>Regularice su Deuda</v>
      </c>
      <c r="C1223" s="82"/>
      <c r="D1223" s="82"/>
      <c r="E1223" s="82"/>
      <c r="F1223" s="82"/>
      <c r="G1223" s="82"/>
      <c r="H1223" s="83"/>
    </row>
    <row r="1225" spans="1:8">
      <c r="A1225" s="108"/>
      <c r="B1225" s="109"/>
      <c r="C1225" s="109"/>
      <c r="D1225" s="109"/>
      <c r="E1225" s="109"/>
      <c r="F1225" s="109"/>
      <c r="G1225" s="109"/>
      <c r="H1225" s="110"/>
    </row>
    <row r="1226" spans="1:8">
      <c r="A1226" s="80"/>
      <c r="B1226" s="147" t="s">
        <v>64</v>
      </c>
      <c r="C1226" s="81"/>
      <c r="D1226" s="81"/>
      <c r="E1226" s="81"/>
      <c r="F1226" s="81"/>
      <c r="G1226" s="81"/>
      <c r="H1226" s="111"/>
    </row>
    <row r="1227" spans="1:8">
      <c r="A1227" s="80"/>
      <c r="B1227" s="81"/>
      <c r="C1227" s="81"/>
      <c r="D1227" s="81"/>
      <c r="E1227" s="81"/>
      <c r="F1227" s="81"/>
      <c r="G1227" s="81"/>
      <c r="H1227" s="111"/>
    </row>
    <row r="1228" spans="1:8">
      <c r="A1228" s="80"/>
      <c r="B1228" s="81" t="s">
        <v>139</v>
      </c>
      <c r="C1228" s="81" t="str">
        <f>VLOOKUP(G1229,'17_1'!$A$203:$G$238,6,0)</f>
        <v>SIMON, EDUARDO DANIEL Y RUAY, PATRICIA SUSANA</v>
      </c>
      <c r="D1228" s="81"/>
      <c r="E1228" s="81"/>
      <c r="F1228" s="81"/>
      <c r="G1228" s="138" t="s">
        <v>102</v>
      </c>
      <c r="H1228" s="111"/>
    </row>
    <row r="1229" spans="1:8">
      <c r="A1229" s="80"/>
      <c r="B1229" s="81" t="s">
        <v>72</v>
      </c>
      <c r="C1229" s="81" t="str">
        <f>+'17_1'!$A$191</f>
        <v>Hijuela Gelvez - Cabrera</v>
      </c>
      <c r="D1229" s="81"/>
      <c r="E1229" s="81"/>
      <c r="F1229" s="81"/>
      <c r="G1229" s="138">
        <v>3</v>
      </c>
      <c r="H1229" s="111"/>
    </row>
    <row r="1230" spans="1:8">
      <c r="A1230" s="80"/>
      <c r="B1230" s="81"/>
      <c r="C1230" s="81"/>
      <c r="D1230" s="81"/>
      <c r="E1230" s="81"/>
      <c r="F1230" s="81"/>
      <c r="G1230" s="81"/>
      <c r="H1230" s="111"/>
    </row>
    <row r="1231" spans="1:8">
      <c r="A1231" s="80"/>
      <c r="B1231" s="81" t="s">
        <v>140</v>
      </c>
      <c r="C1231" s="138">
        <f>VLOOKUP(G1229,'17_1'!$A$203:$B$238,2,0)</f>
        <v>1213</v>
      </c>
      <c r="D1231" s="81"/>
      <c r="E1231" s="139" t="s">
        <v>141</v>
      </c>
      <c r="F1231" s="141" t="e">
        <f>DSUM('17_1'!A$203:J$238,'17_1'!$J$203,G1228:G1229)</f>
        <v>#N/A</v>
      </c>
      <c r="G1231" s="81"/>
      <c r="H1231" s="111"/>
    </row>
    <row r="1232" spans="1:8">
      <c r="A1232" s="80"/>
      <c r="B1232" s="81" t="s">
        <v>142</v>
      </c>
      <c r="C1232" s="205">
        <v>242</v>
      </c>
      <c r="D1232" s="81"/>
      <c r="E1232" s="81"/>
      <c r="F1232" s="81"/>
      <c r="G1232" s="81"/>
      <c r="H1232" s="111"/>
    </row>
    <row r="1233" spans="1:8">
      <c r="A1233" s="80"/>
      <c r="B1233" s="81" t="s">
        <v>144</v>
      </c>
      <c r="C1233" s="206" t="e">
        <f>DSUM('17_1'!$A$203:$H$238,'17_1'!$H$203,G1228:G1229)</f>
        <v>#N/A</v>
      </c>
      <c r="D1233" s="81"/>
      <c r="E1233" s="81"/>
      <c r="F1233" s="584"/>
      <c r="G1233" s="584"/>
      <c r="H1233" s="111"/>
    </row>
    <row r="1234" spans="1:8" ht="15.75">
      <c r="A1234" s="80"/>
      <c r="B1234" s="81"/>
      <c r="C1234" s="81" t="s">
        <v>146</v>
      </c>
      <c r="D1234" s="145" t="e">
        <f>DMIN('17_1'!A$203:K$238,'17_1'!$K$203,G1228:G1229)</f>
        <v>#REF!</v>
      </c>
      <c r="E1234" s="189" t="e">
        <f>IF(F1234=1,"Domingo",IF(F1234=2,"Lunes",IF(F1234=3,"Martes",IF(F1234=4,"Miercoles",IF(F1234=5,"Jueves",IF(F1234=6,"Viernes",IF(F1234=7,"Sábado",0)))))))</f>
        <v>#REF!</v>
      </c>
      <c r="F1234" s="190" t="e">
        <f>WEEKDAY(D1234)</f>
        <v>#REF!</v>
      </c>
      <c r="G1234" s="142"/>
      <c r="H1234" s="111"/>
    </row>
    <row r="1235" spans="1:8" ht="15.75">
      <c r="A1235" s="80"/>
      <c r="B1235" s="81"/>
      <c r="C1235" s="81" t="s">
        <v>147</v>
      </c>
      <c r="D1235" s="145" t="e">
        <f>DMAX('17_1'!A$203:L$238,'17_1'!$L$203,G1228:G1229)</f>
        <v>#REF!</v>
      </c>
      <c r="E1235" s="189" t="e">
        <f>IF(F1235=1,"Domingo",IF(F1235=2,"Lunes",IF(F1235=3,"Martes",IF(F1235=4,"Miercoles",IF(F1235=5,"Jueves",IF(F1235=6,"Viernes",IF(F1235=7,"Sábado",0)))))))</f>
        <v>#REF!</v>
      </c>
      <c r="F1235" s="190" t="e">
        <f>WEEKDAY(D1235)</f>
        <v>#REF!</v>
      </c>
      <c r="G1235" s="142"/>
      <c r="H1235" s="111"/>
    </row>
    <row r="1236" spans="1:8">
      <c r="A1236" s="80"/>
      <c r="B1236" s="81"/>
      <c r="C1236" s="81"/>
      <c r="D1236" s="81"/>
      <c r="E1236" s="81"/>
      <c r="F1236" s="584"/>
      <c r="G1236" s="584"/>
      <c r="H1236" s="111"/>
    </row>
    <row r="1237" spans="1:8">
      <c r="A1237" s="80"/>
      <c r="B1237" s="146">
        <f>+Mensajes!$B$7</f>
        <v>0</v>
      </c>
      <c r="C1237" s="81"/>
      <c r="D1237" s="81"/>
      <c r="E1237" s="81"/>
      <c r="F1237" s="81"/>
      <c r="G1237" s="81"/>
      <c r="H1237" s="111"/>
    </row>
    <row r="1238" spans="1:8">
      <c r="A1238" s="80"/>
      <c r="B1238" s="146">
        <f>+Mensajes!$B$12</f>
        <v>0</v>
      </c>
      <c r="C1238" s="81"/>
      <c r="D1238" s="81"/>
      <c r="E1238" s="81"/>
      <c r="F1238" s="81"/>
      <c r="G1238" s="81"/>
      <c r="H1238" s="111"/>
    </row>
    <row r="1239" spans="1:8">
      <c r="A1239" s="80"/>
      <c r="B1239" s="146" t="str">
        <f>IF(VLOOKUP(G1229,'17_1'!$A$203:$N$238,14,0)=0,"",VLOOKUP(G1229,'17_1'!$A$203:$N$238,14,0))</f>
        <v/>
      </c>
      <c r="C1239" s="81"/>
      <c r="D1239" s="81"/>
      <c r="E1239" s="81"/>
      <c r="F1239" s="81"/>
      <c r="G1239" s="81"/>
      <c r="H1239" s="111"/>
    </row>
    <row r="1240" spans="1:8">
      <c r="A1240" s="140"/>
      <c r="B1240" s="188" t="e">
        <f>IF(DSUM('17_1'!$A$203:$Q$238,17,G1228:G1229)=COUNTIF('17_1'!$A$203:$A$238,G1229),"","Regularice su Deuda")</f>
        <v>#N/A</v>
      </c>
      <c r="C1240" s="82"/>
      <c r="D1240" s="82"/>
      <c r="E1240" s="82"/>
      <c r="F1240" s="82"/>
      <c r="G1240" s="82"/>
      <c r="H1240" s="83"/>
    </row>
    <row r="1242" spans="1:8">
      <c r="A1242" s="108"/>
      <c r="B1242" s="109"/>
      <c r="C1242" s="109"/>
      <c r="D1242" s="109"/>
      <c r="E1242" s="109"/>
      <c r="F1242" s="109"/>
      <c r="G1242" s="109"/>
      <c r="H1242" s="110"/>
    </row>
    <row r="1243" spans="1:8">
      <c r="A1243" s="80"/>
      <c r="B1243" s="147" t="s">
        <v>64</v>
      </c>
      <c r="C1243" s="81"/>
      <c r="D1243" s="81"/>
      <c r="E1243" s="81"/>
      <c r="F1243" s="81"/>
      <c r="G1243" s="81"/>
      <c r="H1243" s="111"/>
    </row>
    <row r="1244" spans="1:8">
      <c r="A1244" s="80"/>
      <c r="B1244" s="81"/>
      <c r="C1244" s="81"/>
      <c r="D1244" s="81"/>
      <c r="E1244" s="81"/>
      <c r="F1244" s="81"/>
      <c r="G1244" s="81"/>
      <c r="H1244" s="111"/>
    </row>
    <row r="1245" spans="1:8">
      <c r="A1245" s="80"/>
      <c r="B1245" s="81" t="s">
        <v>139</v>
      </c>
      <c r="C1245" s="81" t="str">
        <f>VLOOKUP(G1246,'17_1'!$A$203:$G$238,6,0)</f>
        <v>ALANIZ, WALTER RUBEN</v>
      </c>
      <c r="D1245" s="81"/>
      <c r="E1245" s="81"/>
      <c r="F1245" s="81"/>
      <c r="G1245" s="138" t="s">
        <v>102</v>
      </c>
      <c r="H1245" s="111"/>
    </row>
    <row r="1246" spans="1:8">
      <c r="A1246" s="80"/>
      <c r="B1246" s="81" t="s">
        <v>72</v>
      </c>
      <c r="C1246" s="81" t="str">
        <f>+'17_1'!$A$191</f>
        <v>Hijuela Gelvez - Cabrera</v>
      </c>
      <c r="D1246" s="81"/>
      <c r="E1246" s="81"/>
      <c r="F1246" s="81"/>
      <c r="G1246" s="138">
        <v>4</v>
      </c>
      <c r="H1246" s="111"/>
    </row>
    <row r="1247" spans="1:8">
      <c r="A1247" s="80"/>
      <c r="B1247" s="81"/>
      <c r="C1247" s="81"/>
      <c r="D1247" s="81"/>
      <c r="E1247" s="81"/>
      <c r="F1247" s="81"/>
      <c r="G1247" s="81"/>
      <c r="H1247" s="111"/>
    </row>
    <row r="1248" spans="1:8">
      <c r="A1248" s="80"/>
      <c r="B1248" s="81" t="s">
        <v>140</v>
      </c>
      <c r="C1248" s="138">
        <f>VLOOKUP(G1246,'17_1'!$A$203:$B$238,2,0)</f>
        <v>1213</v>
      </c>
      <c r="D1248" s="81"/>
      <c r="E1248" s="139" t="s">
        <v>141</v>
      </c>
      <c r="F1248" s="141" t="e">
        <f>DSUM('17_1'!A$203:J$238,'17_1'!$J$203,G1245:G1246)</f>
        <v>#N/A</v>
      </c>
      <c r="G1248" s="81"/>
      <c r="H1248" s="111"/>
    </row>
    <row r="1249" spans="1:8">
      <c r="A1249" s="80"/>
      <c r="B1249" s="81" t="s">
        <v>142</v>
      </c>
      <c r="C1249" s="205">
        <v>245</v>
      </c>
      <c r="D1249" s="81"/>
      <c r="E1249" s="81"/>
      <c r="F1249" s="81"/>
      <c r="G1249" s="81"/>
      <c r="H1249" s="111"/>
    </row>
    <row r="1250" spans="1:8">
      <c r="A1250" s="80"/>
      <c r="B1250" s="81" t="s">
        <v>144</v>
      </c>
      <c r="C1250" s="206">
        <f>DSUM('17_1'!$A$203:$H$238,'17_1'!$H$203,G1245:G1246)</f>
        <v>0</v>
      </c>
      <c r="D1250" s="81"/>
      <c r="E1250" s="81"/>
      <c r="F1250" s="584"/>
      <c r="G1250" s="584"/>
      <c r="H1250" s="111"/>
    </row>
    <row r="1251" spans="1:8" ht="15.75">
      <c r="A1251" s="80"/>
      <c r="B1251" s="81"/>
      <c r="C1251" s="81" t="s">
        <v>146</v>
      </c>
      <c r="D1251" s="145" t="e">
        <f>DMIN('17_1'!A$203:K$238,'17_1'!$K$203,G1245:G1246)</f>
        <v>#REF!</v>
      </c>
      <c r="E1251" s="189" t="e">
        <f>IF(F1251=1,"Domingo",IF(F1251=2,"Lunes",IF(F1251=3,"Martes",IF(F1251=4,"Miercoles",IF(F1251=5,"Jueves",IF(F1251=6,"Viernes",IF(F1251=7,"Sábado",0)))))))</f>
        <v>#REF!</v>
      </c>
      <c r="F1251" s="190" t="e">
        <f>WEEKDAY(D1251)</f>
        <v>#REF!</v>
      </c>
      <c r="G1251" s="142"/>
      <c r="H1251" s="111"/>
    </row>
    <row r="1252" spans="1:8" ht="15.75">
      <c r="A1252" s="80"/>
      <c r="B1252" s="81"/>
      <c r="C1252" s="81" t="s">
        <v>147</v>
      </c>
      <c r="D1252" s="145" t="e">
        <f>DMAX('17_1'!A$203:L$238,'17_1'!$L$203,G1245:G1246)</f>
        <v>#REF!</v>
      </c>
      <c r="E1252" s="189" t="e">
        <f>IF(F1252=1,"Domingo",IF(F1252=2,"Lunes",IF(F1252=3,"Martes",IF(F1252=4,"Miercoles",IF(F1252=5,"Jueves",IF(F1252=6,"Viernes",IF(F1252=7,"Sábado",0)))))))</f>
        <v>#REF!</v>
      </c>
      <c r="F1252" s="190" t="e">
        <f>WEEKDAY(D1252)</f>
        <v>#REF!</v>
      </c>
      <c r="G1252" s="142"/>
      <c r="H1252" s="111"/>
    </row>
    <row r="1253" spans="1:8">
      <c r="A1253" s="80"/>
      <c r="B1253" s="81"/>
      <c r="C1253" s="81"/>
      <c r="D1253" s="81"/>
      <c r="E1253" s="81"/>
      <c r="F1253" s="584"/>
      <c r="G1253" s="584"/>
      <c r="H1253" s="111"/>
    </row>
    <row r="1254" spans="1:8">
      <c r="A1254" s="80"/>
      <c r="B1254" s="146">
        <f>+Mensajes!$B$7</f>
        <v>0</v>
      </c>
      <c r="C1254" s="81"/>
      <c r="D1254" s="81"/>
      <c r="E1254" s="81"/>
      <c r="F1254" s="81"/>
      <c r="G1254" s="81"/>
      <c r="H1254" s="111"/>
    </row>
    <row r="1255" spans="1:8">
      <c r="A1255" s="80"/>
      <c r="B1255" s="146">
        <f>+Mensajes!$B$12</f>
        <v>0</v>
      </c>
      <c r="C1255" s="81"/>
      <c r="D1255" s="81"/>
      <c r="E1255" s="81"/>
      <c r="F1255" s="81"/>
      <c r="G1255" s="81"/>
      <c r="H1255" s="111"/>
    </row>
    <row r="1256" spans="1:8">
      <c r="A1256" s="80"/>
      <c r="B1256" s="146" t="str">
        <f>IF(VLOOKUP(G1246,'17_1'!$A$203:$N$238,14,0)=0,"",VLOOKUP(G1246,'17_1'!$A$203:$N$238,14,0))</f>
        <v/>
      </c>
      <c r="C1256" s="81"/>
      <c r="D1256" s="81"/>
      <c r="E1256" s="81"/>
      <c r="F1256" s="81"/>
      <c r="G1256" s="81"/>
      <c r="H1256" s="111"/>
    </row>
    <row r="1257" spans="1:8">
      <c r="A1257" s="140"/>
      <c r="B1257" s="188" t="str">
        <f>IF(DSUM('17_1'!$A$203:$Q$238,17,G1245:G1246)=COUNTIF('17_1'!$A$203:$A$238,G1246),"","Regularice su Deuda")</f>
        <v>Regularice su Deuda</v>
      </c>
      <c r="C1257" s="82"/>
      <c r="D1257" s="82"/>
      <c r="E1257" s="82"/>
      <c r="F1257" s="82"/>
      <c r="G1257" s="82"/>
      <c r="H1257" s="83"/>
    </row>
    <row r="1259" spans="1:8">
      <c r="A1259" s="108"/>
      <c r="B1259" s="109"/>
      <c r="C1259" s="109"/>
      <c r="D1259" s="109"/>
      <c r="E1259" s="109"/>
      <c r="F1259" s="109"/>
      <c r="G1259" s="109"/>
      <c r="H1259" s="110"/>
    </row>
    <row r="1260" spans="1:8">
      <c r="A1260" s="80"/>
      <c r="B1260" s="147" t="s">
        <v>64</v>
      </c>
      <c r="C1260" s="81"/>
      <c r="D1260" s="81"/>
      <c r="E1260" s="81"/>
      <c r="F1260" s="81"/>
      <c r="G1260" s="81"/>
      <c r="H1260" s="111"/>
    </row>
    <row r="1261" spans="1:8">
      <c r="A1261" s="80"/>
      <c r="B1261" s="81"/>
      <c r="C1261" s="81"/>
      <c r="D1261" s="81"/>
      <c r="E1261" s="81"/>
      <c r="F1261" s="81"/>
      <c r="G1261" s="81"/>
      <c r="H1261" s="111"/>
    </row>
    <row r="1262" spans="1:8">
      <c r="A1262" s="80"/>
      <c r="B1262" s="81" t="s">
        <v>139</v>
      </c>
      <c r="C1262" s="81" t="str">
        <f>VLOOKUP(G1263,'17_1'!$A$203:$G$238,6,0)</f>
        <v>LORENZO, PABLO DANIEL</v>
      </c>
      <c r="D1262" s="81"/>
      <c r="E1262" s="81"/>
      <c r="F1262" s="81"/>
      <c r="G1262" s="138" t="s">
        <v>102</v>
      </c>
      <c r="H1262" s="111"/>
    </row>
    <row r="1263" spans="1:8">
      <c r="A1263" s="80"/>
      <c r="B1263" s="81" t="s">
        <v>72</v>
      </c>
      <c r="C1263" s="81" t="str">
        <f>+'17_1'!$A$191</f>
        <v>Hijuela Gelvez - Cabrera</v>
      </c>
      <c r="D1263" s="81"/>
      <c r="E1263" s="81"/>
      <c r="F1263" s="81"/>
      <c r="G1263" s="138">
        <v>5</v>
      </c>
      <c r="H1263" s="111"/>
    </row>
    <row r="1264" spans="1:8">
      <c r="A1264" s="80"/>
      <c r="B1264" s="81"/>
      <c r="C1264" s="81"/>
      <c r="D1264" s="81"/>
      <c r="E1264" s="81"/>
      <c r="F1264" s="81"/>
      <c r="G1264" s="81"/>
      <c r="H1264" s="111"/>
    </row>
    <row r="1265" spans="1:8">
      <c r="A1265" s="80"/>
      <c r="B1265" s="81" t="s">
        <v>140</v>
      </c>
      <c r="C1265" s="138">
        <f>VLOOKUP(G1263,'17_1'!$A$203:$B$238,2,0)</f>
        <v>1213</v>
      </c>
      <c r="D1265" s="81"/>
      <c r="E1265" s="139" t="s">
        <v>141</v>
      </c>
      <c r="F1265" s="141" t="e">
        <f>DSUM('17_1'!A$203:J$238,'17_1'!$J$203,G1262:G1263)</f>
        <v>#N/A</v>
      </c>
      <c r="G1265" s="81"/>
      <c r="H1265" s="111"/>
    </row>
    <row r="1266" spans="1:8">
      <c r="A1266" s="80"/>
      <c r="B1266" s="81" t="s">
        <v>142</v>
      </c>
      <c r="C1266" s="205">
        <v>272</v>
      </c>
      <c r="D1266" s="81"/>
      <c r="E1266" s="81"/>
      <c r="F1266" s="81"/>
      <c r="G1266" s="81"/>
      <c r="H1266" s="111"/>
    </row>
    <row r="1267" spans="1:8">
      <c r="A1267" s="80"/>
      <c r="B1267" s="81" t="s">
        <v>144</v>
      </c>
      <c r="C1267" s="206">
        <f>DSUM('17_1'!$A$203:$H$238,'17_1'!$H$203,G1262:G1263)</f>
        <v>0</v>
      </c>
      <c r="D1267" s="81"/>
      <c r="E1267" s="81"/>
      <c r="F1267" s="584"/>
      <c r="G1267" s="584"/>
      <c r="H1267" s="111"/>
    </row>
    <row r="1268" spans="1:8" ht="15.75">
      <c r="A1268" s="80"/>
      <c r="B1268" s="81"/>
      <c r="C1268" s="81" t="s">
        <v>146</v>
      </c>
      <c r="D1268" s="145" t="e">
        <f>DMIN('17_1'!A$203:K$238,'17_1'!$K$203,G1262:G1263)</f>
        <v>#REF!</v>
      </c>
      <c r="E1268" s="189" t="e">
        <f>IF(F1268=1,"Domingo",IF(F1268=2,"Lunes",IF(F1268=3,"Martes",IF(F1268=4,"Miercoles",IF(F1268=5,"Jueves",IF(F1268=6,"Viernes",IF(F1268=7,"Sábado",0)))))))</f>
        <v>#REF!</v>
      </c>
      <c r="F1268" s="190" t="e">
        <f>WEEKDAY(D1268)</f>
        <v>#REF!</v>
      </c>
      <c r="G1268" s="142"/>
      <c r="H1268" s="111"/>
    </row>
    <row r="1269" spans="1:8" ht="15.75">
      <c r="A1269" s="80"/>
      <c r="B1269" s="81"/>
      <c r="C1269" s="81" t="s">
        <v>147</v>
      </c>
      <c r="D1269" s="145" t="e">
        <f>DMAX('17_1'!A$203:L$238,'17_1'!$L$203,G1262:G1263)</f>
        <v>#REF!</v>
      </c>
      <c r="E1269" s="189" t="e">
        <f>IF(F1269=1,"Domingo",IF(F1269=2,"Lunes",IF(F1269=3,"Martes",IF(F1269=4,"Miercoles",IF(F1269=5,"Jueves",IF(F1269=6,"Viernes",IF(F1269=7,"Sábado",0)))))))</f>
        <v>#REF!</v>
      </c>
      <c r="F1269" s="190" t="e">
        <f>WEEKDAY(D1269)</f>
        <v>#REF!</v>
      </c>
      <c r="G1269" s="142"/>
      <c r="H1269" s="111"/>
    </row>
    <row r="1270" spans="1:8">
      <c r="A1270" s="80"/>
      <c r="B1270" s="81"/>
      <c r="C1270" s="81"/>
      <c r="D1270" s="81"/>
      <c r="E1270" s="81"/>
      <c r="F1270" s="584"/>
      <c r="G1270" s="584"/>
      <c r="H1270" s="111"/>
    </row>
    <row r="1271" spans="1:8">
      <c r="A1271" s="80"/>
      <c r="B1271" s="146">
        <f>+Mensajes!$B$7</f>
        <v>0</v>
      </c>
      <c r="C1271" s="81"/>
      <c r="D1271" s="81"/>
      <c r="E1271" s="81"/>
      <c r="F1271" s="81"/>
      <c r="G1271" s="81"/>
      <c r="H1271" s="111"/>
    </row>
    <row r="1272" spans="1:8">
      <c r="A1272" s="80"/>
      <c r="B1272" s="146">
        <f>+Mensajes!$B$12</f>
        <v>0</v>
      </c>
      <c r="C1272" s="81"/>
      <c r="D1272" s="81"/>
      <c r="E1272" s="81"/>
      <c r="F1272" s="81"/>
      <c r="G1272" s="81"/>
      <c r="H1272" s="111"/>
    </row>
    <row r="1273" spans="1:8">
      <c r="A1273" s="80"/>
      <c r="B1273" s="146" t="str">
        <f>IF(VLOOKUP(G1263,'17_1'!$A$203:$N$238,14,0)=0,"",VLOOKUP(G1263,'17_1'!$A$203:$N$238,14,0))</f>
        <v/>
      </c>
      <c r="C1273" s="81"/>
      <c r="D1273" s="81"/>
      <c r="E1273" s="81"/>
      <c r="F1273" s="81"/>
      <c r="G1273" s="81"/>
      <c r="H1273" s="111"/>
    </row>
    <row r="1274" spans="1:8">
      <c r="A1274" s="140"/>
      <c r="B1274" s="188" t="str">
        <f>IF(DSUM('17_1'!$A$203:$Q$238,17,G1262:G1263)=COUNTIF('17_1'!$A$203:$A$238,G1263),"","Regularice su Deuda")</f>
        <v>Regularice su Deuda</v>
      </c>
      <c r="C1274" s="82"/>
      <c r="D1274" s="82"/>
      <c r="E1274" s="82"/>
      <c r="F1274" s="82"/>
      <c r="G1274" s="82"/>
      <c r="H1274" s="83"/>
    </row>
    <row r="1276" spans="1:8">
      <c r="A1276" s="108"/>
      <c r="B1276" s="109"/>
      <c r="C1276" s="109"/>
      <c r="D1276" s="109"/>
      <c r="E1276" s="109"/>
      <c r="F1276" s="109"/>
      <c r="G1276" s="109"/>
      <c r="H1276" s="110"/>
    </row>
    <row r="1277" spans="1:8">
      <c r="A1277" s="80"/>
      <c r="B1277" s="147" t="s">
        <v>64</v>
      </c>
      <c r="C1277" s="81"/>
      <c r="D1277" s="81"/>
      <c r="E1277" s="81"/>
      <c r="F1277" s="81"/>
      <c r="G1277" s="81"/>
      <c r="H1277" s="111"/>
    </row>
    <row r="1278" spans="1:8">
      <c r="A1278" s="80"/>
      <c r="B1278" s="81"/>
      <c r="C1278" s="81"/>
      <c r="D1278" s="81"/>
      <c r="E1278" s="81"/>
      <c r="F1278" s="81"/>
      <c r="G1278" s="81"/>
      <c r="H1278" s="111"/>
    </row>
    <row r="1279" spans="1:8">
      <c r="A1279" s="80"/>
      <c r="B1279" s="81" t="s">
        <v>139</v>
      </c>
      <c r="C1279" s="81" t="str">
        <f>VLOOKUP(G1280,'17_1'!$A$203:$G$238,6,0)</f>
        <v>ALANIZ, OMAR ERNESTO</v>
      </c>
      <c r="D1279" s="81"/>
      <c r="E1279" s="81"/>
      <c r="F1279" s="81"/>
      <c r="G1279" s="138" t="s">
        <v>102</v>
      </c>
      <c r="H1279" s="111"/>
    </row>
    <row r="1280" spans="1:8">
      <c r="A1280" s="80"/>
      <c r="B1280" s="81" t="s">
        <v>72</v>
      </c>
      <c r="C1280" s="81" t="str">
        <f>+'17_1'!$A$191</f>
        <v>Hijuela Gelvez - Cabrera</v>
      </c>
      <c r="D1280" s="81"/>
      <c r="E1280" s="81"/>
      <c r="F1280" s="81"/>
      <c r="G1280" s="138">
        <v>6</v>
      </c>
      <c r="H1280" s="111"/>
    </row>
    <row r="1281" spans="1:8">
      <c r="A1281" s="80"/>
      <c r="B1281" s="81"/>
      <c r="C1281" s="81"/>
      <c r="D1281" s="81"/>
      <c r="E1281" s="81"/>
      <c r="F1281" s="81"/>
      <c r="G1281" s="81"/>
      <c r="H1281" s="111"/>
    </row>
    <row r="1282" spans="1:8">
      <c r="A1282" s="80"/>
      <c r="B1282" s="81" t="s">
        <v>140</v>
      </c>
      <c r="C1282" s="138">
        <f>VLOOKUP(G1280,'17_1'!$A$203:$B$238,2,0)</f>
        <v>1213</v>
      </c>
      <c r="D1282" s="81"/>
      <c r="E1282" s="139" t="s">
        <v>141</v>
      </c>
      <c r="F1282" s="141" t="e">
        <f>DSUM('17_1'!A$203:J$238,'17_1'!$J$203,G1279:G1280)</f>
        <v>#N/A</v>
      </c>
      <c r="G1282" s="81"/>
      <c r="H1282" s="111"/>
    </row>
    <row r="1283" spans="1:8">
      <c r="A1283" s="80"/>
      <c r="B1283" s="81" t="s">
        <v>142</v>
      </c>
      <c r="C1283" s="205">
        <v>116</v>
      </c>
      <c r="D1283" s="81"/>
      <c r="E1283" s="81"/>
      <c r="F1283" s="81"/>
      <c r="G1283" s="81"/>
      <c r="H1283" s="111"/>
    </row>
    <row r="1284" spans="1:8">
      <c r="A1284" s="80"/>
      <c r="B1284" s="81" t="s">
        <v>144</v>
      </c>
      <c r="C1284" s="206">
        <f>DSUM('17_1'!$A$203:$H$238,'17_1'!$H$203,G1279:G1280)</f>
        <v>1.3748</v>
      </c>
      <c r="D1284" s="81"/>
      <c r="E1284" s="81"/>
      <c r="F1284" s="584"/>
      <c r="G1284" s="584"/>
      <c r="H1284" s="111"/>
    </row>
    <row r="1285" spans="1:8" ht="15.75">
      <c r="A1285" s="80"/>
      <c r="B1285" s="81"/>
      <c r="C1285" s="81" t="s">
        <v>146</v>
      </c>
      <c r="D1285" s="145" t="e">
        <f>DMIN('17_1'!A$203:K$238,'17_1'!$K$203,G1279:G1280)</f>
        <v>#REF!</v>
      </c>
      <c r="E1285" s="189" t="e">
        <f>IF(F1285=1,"Domingo",IF(F1285=2,"Lunes",IF(F1285=3,"Martes",IF(F1285=4,"Miercoles",IF(F1285=5,"Jueves",IF(F1285=6,"Viernes",IF(F1285=7,"Sábado",0)))))))</f>
        <v>#REF!</v>
      </c>
      <c r="F1285" s="190" t="e">
        <f>WEEKDAY(D1285)</f>
        <v>#REF!</v>
      </c>
      <c r="G1285" s="142"/>
      <c r="H1285" s="111"/>
    </row>
    <row r="1286" spans="1:8" ht="15.75">
      <c r="A1286" s="80"/>
      <c r="B1286" s="81"/>
      <c r="C1286" s="81" t="s">
        <v>147</v>
      </c>
      <c r="D1286" s="145" t="e">
        <f>DMAX('17_1'!A$203:L$238,'17_1'!$L$203,G1279:G1280)</f>
        <v>#REF!</v>
      </c>
      <c r="E1286" s="189" t="e">
        <f>IF(F1286=1,"Domingo",IF(F1286=2,"Lunes",IF(F1286=3,"Martes",IF(F1286=4,"Miercoles",IF(F1286=5,"Jueves",IF(F1286=6,"Viernes",IF(F1286=7,"Sábado",0)))))))</f>
        <v>#REF!</v>
      </c>
      <c r="F1286" s="190" t="e">
        <f>WEEKDAY(D1286)</f>
        <v>#REF!</v>
      </c>
      <c r="G1286" s="142"/>
      <c r="H1286" s="111"/>
    </row>
    <row r="1287" spans="1:8">
      <c r="A1287" s="80"/>
      <c r="B1287" s="81"/>
      <c r="C1287" s="81"/>
      <c r="D1287" s="81"/>
      <c r="E1287" s="81"/>
      <c r="F1287" s="584"/>
      <c r="G1287" s="584"/>
      <c r="H1287" s="111"/>
    </row>
    <row r="1288" spans="1:8">
      <c r="A1288" s="80"/>
      <c r="B1288" s="146">
        <f>+Mensajes!$B$7</f>
        <v>0</v>
      </c>
      <c r="C1288" s="81"/>
      <c r="D1288" s="81"/>
      <c r="E1288" s="81"/>
      <c r="F1288" s="81"/>
      <c r="G1288" s="81"/>
      <c r="H1288" s="111"/>
    </row>
    <row r="1289" spans="1:8">
      <c r="A1289" s="80"/>
      <c r="B1289" s="146">
        <f>+Mensajes!$B$12</f>
        <v>0</v>
      </c>
      <c r="C1289" s="81"/>
      <c r="D1289" s="81"/>
      <c r="E1289" s="81"/>
      <c r="F1289" s="81"/>
      <c r="G1289" s="81"/>
      <c r="H1289" s="111"/>
    </row>
    <row r="1290" spans="1:8">
      <c r="A1290" s="80"/>
      <c r="B1290" s="146" t="str">
        <f>IF(VLOOKUP(G1280,'17_1'!$A$203:$N$238,14,0)=0,"",VLOOKUP(G1280,'17_1'!$A$203:$N$238,14,0))</f>
        <v/>
      </c>
      <c r="C1290" s="81"/>
      <c r="D1290" s="81"/>
      <c r="E1290" s="81"/>
      <c r="F1290" s="81"/>
      <c r="G1290" s="81"/>
      <c r="H1290" s="111"/>
    </row>
    <row r="1291" spans="1:8">
      <c r="A1291" s="140"/>
      <c r="B1291" s="188" t="str">
        <f>IF(DSUM('17_1'!$A$203:$Q$238,17,G1279:G1280)=COUNTIF('17_1'!$A$203:$A$238,G1280),"","Regularice su Deuda")</f>
        <v/>
      </c>
      <c r="C1291" s="82"/>
      <c r="D1291" s="82"/>
      <c r="E1291" s="82"/>
      <c r="F1291" s="82"/>
      <c r="G1291" s="82"/>
      <c r="H1291" s="83"/>
    </row>
    <row r="1293" spans="1:8">
      <c r="A1293" s="108"/>
      <c r="B1293" s="109"/>
      <c r="C1293" s="109"/>
      <c r="D1293" s="109"/>
      <c r="E1293" s="109"/>
      <c r="F1293" s="109"/>
      <c r="G1293" s="109"/>
      <c r="H1293" s="110"/>
    </row>
    <row r="1294" spans="1:8">
      <c r="A1294" s="80"/>
      <c r="B1294" s="147" t="s">
        <v>64</v>
      </c>
      <c r="C1294" s="81"/>
      <c r="D1294" s="81"/>
      <c r="E1294" s="81"/>
      <c r="F1294" s="81"/>
      <c r="G1294" s="81"/>
      <c r="H1294" s="111"/>
    </row>
    <row r="1295" spans="1:8">
      <c r="A1295" s="80"/>
      <c r="B1295" s="81"/>
      <c r="C1295" s="81"/>
      <c r="D1295" s="81"/>
      <c r="E1295" s="81"/>
      <c r="F1295" s="81"/>
      <c r="G1295" s="81"/>
      <c r="H1295" s="111"/>
    </row>
    <row r="1296" spans="1:8">
      <c r="A1296" s="80"/>
      <c r="B1296" s="81" t="s">
        <v>139</v>
      </c>
      <c r="C1296" s="81" t="str">
        <f>VLOOKUP(G1297,'17_1'!$A$203:$G$238,6,0)</f>
        <v>SANTAMARINA, JOSE ALBERTO</v>
      </c>
      <c r="D1296" s="81"/>
      <c r="E1296" s="81"/>
      <c r="F1296" s="81"/>
      <c r="G1296" s="138" t="s">
        <v>102</v>
      </c>
      <c r="H1296" s="111"/>
    </row>
    <row r="1297" spans="1:8">
      <c r="A1297" s="80"/>
      <c r="B1297" s="81" t="s">
        <v>72</v>
      </c>
      <c r="C1297" s="81" t="str">
        <f>+'17_1'!$A$191</f>
        <v>Hijuela Gelvez - Cabrera</v>
      </c>
      <c r="D1297" s="81"/>
      <c r="E1297" s="81"/>
      <c r="F1297" s="81"/>
      <c r="G1297" s="138">
        <v>7</v>
      </c>
      <c r="H1297" s="111"/>
    </row>
    <row r="1298" spans="1:8">
      <c r="A1298" s="80"/>
      <c r="B1298" s="81"/>
      <c r="C1298" s="81"/>
      <c r="D1298" s="81"/>
      <c r="E1298" s="81"/>
      <c r="F1298" s="81"/>
      <c r="G1298" s="81"/>
      <c r="H1298" s="111"/>
    </row>
    <row r="1299" spans="1:8">
      <c r="A1299" s="80"/>
      <c r="B1299" s="81" t="s">
        <v>140</v>
      </c>
      <c r="C1299" s="138">
        <f>VLOOKUP(G1297,'17_1'!$A$203:$B$238,2,0)</f>
        <v>1213</v>
      </c>
      <c r="D1299" s="81"/>
      <c r="E1299" s="139" t="s">
        <v>141</v>
      </c>
      <c r="F1299" s="141" t="e">
        <f>DSUM('17_1'!A$203:J$238,'17_1'!$J$203,G1296:G1297)</f>
        <v>#N/A</v>
      </c>
      <c r="G1299" s="81"/>
      <c r="H1299" s="111"/>
    </row>
    <row r="1300" spans="1:8">
      <c r="A1300" s="80"/>
      <c r="B1300" s="81" t="s">
        <v>142</v>
      </c>
      <c r="C1300" s="205">
        <v>117</v>
      </c>
      <c r="D1300" s="81"/>
      <c r="E1300" s="81"/>
      <c r="F1300" s="81"/>
      <c r="G1300" s="81"/>
      <c r="H1300" s="111"/>
    </row>
    <row r="1301" spans="1:8">
      <c r="A1301" s="80"/>
      <c r="B1301" s="81" t="s">
        <v>144</v>
      </c>
      <c r="C1301" s="206">
        <f>DSUM('17_1'!$A$203:$H$238,'17_1'!$H$203,G1296:G1297)</f>
        <v>3.1474000000000002</v>
      </c>
      <c r="D1301" s="81"/>
      <c r="E1301" s="81"/>
      <c r="F1301" s="584"/>
      <c r="G1301" s="584"/>
      <c r="H1301" s="111"/>
    </row>
    <row r="1302" spans="1:8" ht="15.75">
      <c r="A1302" s="80"/>
      <c r="B1302" s="81"/>
      <c r="C1302" s="81" t="s">
        <v>146</v>
      </c>
      <c r="D1302" s="145" t="e">
        <f>DMIN('17_1'!A$203:K$238,'17_1'!$K$203,G1296:G1297)</f>
        <v>#REF!</v>
      </c>
      <c r="E1302" s="189" t="e">
        <f>IF(F1302=1,"Domingo",IF(F1302=2,"Lunes",IF(F1302=3,"Martes",IF(F1302=4,"Miercoles",IF(F1302=5,"Jueves",IF(F1302=6,"Viernes",IF(F1302=7,"Sábado",0)))))))</f>
        <v>#REF!</v>
      </c>
      <c r="F1302" s="190" t="e">
        <f>WEEKDAY(D1302)</f>
        <v>#REF!</v>
      </c>
      <c r="G1302" s="142"/>
      <c r="H1302" s="111"/>
    </row>
    <row r="1303" spans="1:8" ht="15.75">
      <c r="A1303" s="80"/>
      <c r="B1303" s="81"/>
      <c r="C1303" s="81" t="s">
        <v>147</v>
      </c>
      <c r="D1303" s="145" t="e">
        <f>DMAX('17_1'!A$203:L$238,'17_1'!$L$203,G1296:G1297)</f>
        <v>#REF!</v>
      </c>
      <c r="E1303" s="189" t="e">
        <f>IF(F1303=1,"Domingo",IF(F1303=2,"Lunes",IF(F1303=3,"Martes",IF(F1303=4,"Miercoles",IF(F1303=5,"Jueves",IF(F1303=6,"Viernes",IF(F1303=7,"Sábado",0)))))))</f>
        <v>#REF!</v>
      </c>
      <c r="F1303" s="190" t="e">
        <f>WEEKDAY(D1303)</f>
        <v>#REF!</v>
      </c>
      <c r="G1303" s="142"/>
      <c r="H1303" s="111"/>
    </row>
    <row r="1304" spans="1:8">
      <c r="A1304" s="80"/>
      <c r="B1304" s="81"/>
      <c r="C1304" s="81"/>
      <c r="D1304" s="81"/>
      <c r="E1304" s="81"/>
      <c r="F1304" s="584"/>
      <c r="G1304" s="584"/>
      <c r="H1304" s="111"/>
    </row>
    <row r="1305" spans="1:8">
      <c r="A1305" s="80"/>
      <c r="B1305" s="146">
        <f>+Mensajes!$B$7</f>
        <v>0</v>
      </c>
      <c r="C1305" s="81"/>
      <c r="D1305" s="81"/>
      <c r="E1305" s="81"/>
      <c r="F1305" s="81"/>
      <c r="G1305" s="81"/>
      <c r="H1305" s="111"/>
    </row>
    <row r="1306" spans="1:8">
      <c r="A1306" s="80"/>
      <c r="B1306" s="146">
        <f>+Mensajes!$B$12</f>
        <v>0</v>
      </c>
      <c r="C1306" s="81"/>
      <c r="D1306" s="81"/>
      <c r="E1306" s="81"/>
      <c r="F1306" s="81"/>
      <c r="G1306" s="81"/>
      <c r="H1306" s="111"/>
    </row>
    <row r="1307" spans="1:8">
      <c r="A1307" s="80"/>
      <c r="B1307" s="146" t="str">
        <f>IF(VLOOKUP(G1297,'17_1'!$A$203:$N$238,14,0)=0,"",VLOOKUP(G1297,'17_1'!$A$203:$N$238,14,0))</f>
        <v/>
      </c>
      <c r="C1307" s="81"/>
      <c r="D1307" s="81"/>
      <c r="E1307" s="81"/>
      <c r="F1307" s="81"/>
      <c r="G1307" s="81"/>
      <c r="H1307" s="111"/>
    </row>
    <row r="1308" spans="1:8">
      <c r="A1308" s="140"/>
      <c r="B1308" s="188" t="str">
        <f>IF(DSUM('17_1'!$A$203:$Q$238,17,G1296:G1297)=COUNTIF('17_1'!$A$203:$A$238,G1297),"","Regularice su Deuda")</f>
        <v/>
      </c>
      <c r="C1308" s="82"/>
      <c r="D1308" s="82"/>
      <c r="E1308" s="82"/>
      <c r="F1308" s="82"/>
      <c r="G1308" s="82"/>
      <c r="H1308" s="83"/>
    </row>
    <row r="1310" spans="1:8">
      <c r="A1310" s="108"/>
      <c r="B1310" s="109"/>
      <c r="C1310" s="109"/>
      <c r="D1310" s="109"/>
      <c r="E1310" s="109"/>
      <c r="F1310" s="109"/>
      <c r="G1310" s="109"/>
      <c r="H1310" s="110"/>
    </row>
    <row r="1311" spans="1:8">
      <c r="A1311" s="80"/>
      <c r="B1311" s="147" t="s">
        <v>64</v>
      </c>
      <c r="C1311" s="81"/>
      <c r="D1311" s="81"/>
      <c r="E1311" s="81"/>
      <c r="F1311" s="81"/>
      <c r="G1311" s="81"/>
      <c r="H1311" s="111"/>
    </row>
    <row r="1312" spans="1:8">
      <c r="A1312" s="80"/>
      <c r="B1312" s="81"/>
      <c r="C1312" s="81"/>
      <c r="D1312" s="81"/>
      <c r="E1312" s="81"/>
      <c r="F1312" s="81"/>
      <c r="G1312" s="81"/>
      <c r="H1312" s="111"/>
    </row>
    <row r="1313" spans="1:8">
      <c r="A1313" s="80"/>
      <c r="B1313" s="81" t="s">
        <v>139</v>
      </c>
      <c r="C1313" s="81" t="str">
        <f>VLOOKUP(G1314,'17_1'!$A$203:$G$238,6,0)</f>
        <v>HERAS, PABLO Y HERAS, GUILLERMO</v>
      </c>
      <c r="D1313" s="81"/>
      <c r="E1313" s="81"/>
      <c r="F1313" s="81"/>
      <c r="G1313" s="138" t="s">
        <v>102</v>
      </c>
      <c r="H1313" s="111"/>
    </row>
    <row r="1314" spans="1:8">
      <c r="A1314" s="80"/>
      <c r="B1314" s="81" t="s">
        <v>72</v>
      </c>
      <c r="C1314" s="81" t="str">
        <f>+'17_1'!$A$191</f>
        <v>Hijuela Gelvez - Cabrera</v>
      </c>
      <c r="D1314" s="81"/>
      <c r="E1314" s="81"/>
      <c r="F1314" s="81"/>
      <c r="G1314" s="138">
        <v>8</v>
      </c>
      <c r="H1314" s="111"/>
    </row>
    <row r="1315" spans="1:8">
      <c r="A1315" s="80"/>
      <c r="B1315" s="81"/>
      <c r="C1315" s="81"/>
      <c r="D1315" s="81"/>
      <c r="E1315" s="81"/>
      <c r="F1315" s="81"/>
      <c r="G1315" s="81"/>
      <c r="H1315" s="111"/>
    </row>
    <row r="1316" spans="1:8">
      <c r="A1316" s="80"/>
      <c r="B1316" s="81" t="s">
        <v>140</v>
      </c>
      <c r="C1316" s="138">
        <f>VLOOKUP(G1314,'17_1'!$A$203:$B$238,2,0)</f>
        <v>1213</v>
      </c>
      <c r="D1316" s="81"/>
      <c r="E1316" s="139" t="s">
        <v>141</v>
      </c>
      <c r="F1316" s="141" t="e">
        <f>DSUM('17_1'!A$203:J$238,'17_1'!$J$203,G1313:G1314)</f>
        <v>#N/A</v>
      </c>
      <c r="G1316" s="81"/>
      <c r="H1316" s="111"/>
    </row>
    <row r="1317" spans="1:8">
      <c r="A1317" s="80"/>
      <c r="B1317" s="81" t="s">
        <v>142</v>
      </c>
      <c r="C1317" s="205">
        <v>118</v>
      </c>
      <c r="D1317" s="81"/>
      <c r="E1317" s="81"/>
      <c r="F1317" s="81"/>
      <c r="G1317" s="81"/>
      <c r="H1317" s="111"/>
    </row>
    <row r="1318" spans="1:8">
      <c r="A1318" s="80"/>
      <c r="B1318" s="81" t="s">
        <v>144</v>
      </c>
      <c r="C1318" s="206">
        <f>DSUM('17_1'!$A$203:$H$238,'17_1'!$H$203,G1313:G1314)</f>
        <v>6.4078999999999997</v>
      </c>
      <c r="D1318" s="81"/>
      <c r="E1318" s="81"/>
      <c r="F1318" s="584"/>
      <c r="G1318" s="584"/>
      <c r="H1318" s="111"/>
    </row>
    <row r="1319" spans="1:8" ht="15.75">
      <c r="A1319" s="80"/>
      <c r="B1319" s="81"/>
      <c r="C1319" s="81" t="s">
        <v>146</v>
      </c>
      <c r="D1319" s="145" t="e">
        <f>DMIN('17_1'!A$203:K$238,'17_1'!$K$203,G1313:G1314)</f>
        <v>#REF!</v>
      </c>
      <c r="E1319" s="189" t="e">
        <f>IF(F1319=1,"Domingo",IF(F1319=2,"Lunes",IF(F1319=3,"Martes",IF(F1319=4,"Miercoles",IF(F1319=5,"Jueves",IF(F1319=6,"Viernes",IF(F1319=7,"Sábado",0)))))))</f>
        <v>#REF!</v>
      </c>
      <c r="F1319" s="190" t="e">
        <f>WEEKDAY(D1319)</f>
        <v>#REF!</v>
      </c>
      <c r="G1319" s="142"/>
      <c r="H1319" s="111"/>
    </row>
    <row r="1320" spans="1:8" ht="15.75">
      <c r="A1320" s="80"/>
      <c r="B1320" s="81"/>
      <c r="C1320" s="81" t="s">
        <v>147</v>
      </c>
      <c r="D1320" s="145" t="e">
        <f>DMAX('17_1'!A$203:L$238,'17_1'!$L$203,G1313:G1314)</f>
        <v>#REF!</v>
      </c>
      <c r="E1320" s="189" t="e">
        <f>IF(F1320=1,"Domingo",IF(F1320=2,"Lunes",IF(F1320=3,"Martes",IF(F1320=4,"Miercoles",IF(F1320=5,"Jueves",IF(F1320=6,"Viernes",IF(F1320=7,"Sábado",0)))))))</f>
        <v>#REF!</v>
      </c>
      <c r="F1320" s="190" t="e">
        <f>WEEKDAY(D1320)</f>
        <v>#REF!</v>
      </c>
      <c r="G1320" s="142"/>
      <c r="H1320" s="111"/>
    </row>
    <row r="1321" spans="1:8">
      <c r="A1321" s="80"/>
      <c r="B1321" s="81"/>
      <c r="C1321" s="81"/>
      <c r="D1321" s="81"/>
      <c r="E1321" s="81"/>
      <c r="F1321" s="584"/>
      <c r="G1321" s="584"/>
      <c r="H1321" s="111"/>
    </row>
    <row r="1322" spans="1:8">
      <c r="A1322" s="80"/>
      <c r="B1322" s="146">
        <f>+Mensajes!$B$7</f>
        <v>0</v>
      </c>
      <c r="C1322" s="81"/>
      <c r="D1322" s="81"/>
      <c r="E1322" s="81"/>
      <c r="F1322" s="81"/>
      <c r="G1322" s="81"/>
      <c r="H1322" s="111"/>
    </row>
    <row r="1323" spans="1:8">
      <c r="A1323" s="80"/>
      <c r="B1323" s="146">
        <f>+Mensajes!$B$12</f>
        <v>0</v>
      </c>
      <c r="C1323" s="81"/>
      <c r="D1323" s="81"/>
      <c r="E1323" s="81"/>
      <c r="F1323" s="81"/>
      <c r="G1323" s="81"/>
      <c r="H1323" s="111"/>
    </row>
    <row r="1324" spans="1:8">
      <c r="A1324" s="80"/>
      <c r="B1324" s="146" t="str">
        <f>IF(VLOOKUP(G1314,'17_1'!$A$203:$N$238,14,0)=0,"",VLOOKUP(G1314,'17_1'!$A$203:$N$238,14,0))</f>
        <v/>
      </c>
      <c r="C1324" s="81"/>
      <c r="D1324" s="81"/>
      <c r="E1324" s="81"/>
      <c r="F1324" s="81"/>
      <c r="G1324" s="81"/>
      <c r="H1324" s="111"/>
    </row>
    <row r="1325" spans="1:8">
      <c r="A1325" s="140"/>
      <c r="B1325" s="188" t="str">
        <f>IF(DSUM('17_1'!$A$203:$Q$238,17,G1313:G1314)=COUNTIF('17_1'!$A$203:$A$238,G1314),"","Regularice su Deuda")</f>
        <v/>
      </c>
      <c r="C1325" s="82"/>
      <c r="D1325" s="82"/>
      <c r="E1325" s="82"/>
      <c r="F1325" s="82"/>
      <c r="G1325" s="82"/>
      <c r="H1325" s="83"/>
    </row>
    <row r="1327" spans="1:8">
      <c r="A1327" s="108"/>
      <c r="B1327" s="109"/>
      <c r="C1327" s="109"/>
      <c r="D1327" s="109"/>
      <c r="E1327" s="109"/>
      <c r="F1327" s="109"/>
      <c r="G1327" s="109"/>
      <c r="H1327" s="110"/>
    </row>
    <row r="1328" spans="1:8">
      <c r="A1328" s="80"/>
      <c r="B1328" s="147" t="s">
        <v>64</v>
      </c>
      <c r="C1328" s="81"/>
      <c r="D1328" s="81"/>
      <c r="E1328" s="81"/>
      <c r="F1328" s="81"/>
      <c r="G1328" s="81"/>
      <c r="H1328" s="111"/>
    </row>
    <row r="1329" spans="1:8">
      <c r="A1329" s="80"/>
      <c r="B1329" s="81"/>
      <c r="C1329" s="81"/>
      <c r="D1329" s="81"/>
      <c r="E1329" s="81"/>
      <c r="F1329" s="81"/>
      <c r="G1329" s="81"/>
      <c r="H1329" s="111"/>
    </row>
    <row r="1330" spans="1:8">
      <c r="A1330" s="80"/>
      <c r="B1330" s="81" t="s">
        <v>139</v>
      </c>
      <c r="C1330" s="81" t="str">
        <f>VLOOKUP(G1331,'17_1'!$A$203:$G$238,6,0)</f>
        <v>SABATINI DE RODRIGUEZ, ELENA</v>
      </c>
      <c r="D1330" s="81"/>
      <c r="E1330" s="81"/>
      <c r="F1330" s="81"/>
      <c r="G1330" s="138" t="s">
        <v>102</v>
      </c>
      <c r="H1330" s="111"/>
    </row>
    <row r="1331" spans="1:8">
      <c r="A1331" s="80"/>
      <c r="B1331" s="81" t="s">
        <v>72</v>
      </c>
      <c r="C1331" s="81" t="str">
        <f>+'17_1'!$A$191</f>
        <v>Hijuela Gelvez - Cabrera</v>
      </c>
      <c r="D1331" s="81"/>
      <c r="E1331" s="81"/>
      <c r="F1331" s="81"/>
      <c r="G1331" s="138">
        <v>9</v>
      </c>
      <c r="H1331" s="111"/>
    </row>
    <row r="1332" spans="1:8">
      <c r="A1332" s="80"/>
      <c r="B1332" s="81"/>
      <c r="C1332" s="81"/>
      <c r="D1332" s="81"/>
      <c r="E1332" s="81"/>
      <c r="F1332" s="81"/>
      <c r="G1332" s="81"/>
      <c r="H1332" s="111"/>
    </row>
    <row r="1333" spans="1:8">
      <c r="A1333" s="80"/>
      <c r="B1333" s="81" t="s">
        <v>140</v>
      </c>
      <c r="C1333" s="138">
        <f>VLOOKUP(G1331,'17_1'!$A$203:$B$238,2,0)</f>
        <v>1213</v>
      </c>
      <c r="D1333" s="81"/>
      <c r="E1333" s="139" t="s">
        <v>141</v>
      </c>
      <c r="F1333" s="141" t="e">
        <f>DSUM('17_1'!A$203:J$238,'17_1'!$J$203,G1330:G1331)</f>
        <v>#N/A</v>
      </c>
      <c r="G1333" s="81"/>
      <c r="H1333" s="111"/>
    </row>
    <row r="1334" spans="1:8">
      <c r="A1334" s="80"/>
      <c r="B1334" s="81" t="s">
        <v>142</v>
      </c>
      <c r="C1334" s="205">
        <v>239</v>
      </c>
      <c r="D1334" s="81"/>
      <c r="E1334" s="81"/>
      <c r="F1334" s="81"/>
      <c r="G1334" s="81"/>
      <c r="H1334" s="111"/>
    </row>
    <row r="1335" spans="1:8">
      <c r="A1335" s="80"/>
      <c r="B1335" s="81" t="s">
        <v>144</v>
      </c>
      <c r="C1335" s="206">
        <f>DSUM('17_1'!$A$203:$H$238,'17_1'!$H$203,G1330:G1331)</f>
        <v>0</v>
      </c>
      <c r="D1335" s="81"/>
      <c r="E1335" s="81"/>
      <c r="F1335" s="584"/>
      <c r="G1335" s="584"/>
      <c r="H1335" s="111"/>
    </row>
    <row r="1336" spans="1:8" ht="15.75">
      <c r="A1336" s="80"/>
      <c r="B1336" s="81"/>
      <c r="C1336" s="81" t="s">
        <v>146</v>
      </c>
      <c r="D1336" s="145" t="e">
        <f>DMIN('17_1'!A$203:K$238,'17_1'!$K$203,G1330:G1331)</f>
        <v>#REF!</v>
      </c>
      <c r="E1336" s="189" t="e">
        <f>IF(F1336=1,"Domingo",IF(F1336=2,"Lunes",IF(F1336=3,"Martes",IF(F1336=4,"Miercoles",IF(F1336=5,"Jueves",IF(F1336=6,"Viernes",IF(F1336=7,"Sábado",0)))))))</f>
        <v>#REF!</v>
      </c>
      <c r="F1336" s="190" t="e">
        <f>WEEKDAY(D1336)</f>
        <v>#REF!</v>
      </c>
      <c r="G1336" s="142"/>
      <c r="H1336" s="111"/>
    </row>
    <row r="1337" spans="1:8" ht="15.75">
      <c r="A1337" s="80"/>
      <c r="B1337" s="81"/>
      <c r="C1337" s="81" t="s">
        <v>147</v>
      </c>
      <c r="D1337" s="145" t="e">
        <f>DMAX('17_1'!A$203:L$238,'17_1'!$L$203,G1330:G1331)</f>
        <v>#REF!</v>
      </c>
      <c r="E1337" s="189" t="e">
        <f>IF(F1337=1,"Domingo",IF(F1337=2,"Lunes",IF(F1337=3,"Martes",IF(F1337=4,"Miercoles",IF(F1337=5,"Jueves",IF(F1337=6,"Viernes",IF(F1337=7,"Sábado",0)))))))</f>
        <v>#REF!</v>
      </c>
      <c r="F1337" s="190" t="e">
        <f>WEEKDAY(D1337)</f>
        <v>#REF!</v>
      </c>
      <c r="G1337" s="142"/>
      <c r="H1337" s="111"/>
    </row>
    <row r="1338" spans="1:8">
      <c r="A1338" s="80"/>
      <c r="B1338" s="81"/>
      <c r="C1338" s="81"/>
      <c r="D1338" s="81"/>
      <c r="E1338" s="81"/>
      <c r="F1338" s="584"/>
      <c r="G1338" s="584"/>
      <c r="H1338" s="111"/>
    </row>
    <row r="1339" spans="1:8">
      <c r="A1339" s="80"/>
      <c r="B1339" s="146">
        <f>+Mensajes!$B$7</f>
        <v>0</v>
      </c>
      <c r="C1339" s="81"/>
      <c r="D1339" s="81"/>
      <c r="E1339" s="81"/>
      <c r="F1339" s="81"/>
      <c r="G1339" s="81"/>
      <c r="H1339" s="111"/>
    </row>
    <row r="1340" spans="1:8">
      <c r="A1340" s="80"/>
      <c r="B1340" s="146">
        <f>+Mensajes!$B$12</f>
        <v>0</v>
      </c>
      <c r="C1340" s="81"/>
      <c r="D1340" s="81"/>
      <c r="E1340" s="81"/>
      <c r="F1340" s="81"/>
      <c r="G1340" s="81"/>
      <c r="H1340" s="111"/>
    </row>
    <row r="1341" spans="1:8">
      <c r="A1341" s="80"/>
      <c r="B1341" s="146" t="str">
        <f>IF(VLOOKUP(G1331,'17_1'!$A$203:$N$238,14,0)=0,"",VLOOKUP(G1331,'17_1'!$A$203:$N$238,14,0))</f>
        <v/>
      </c>
      <c r="C1341" s="81"/>
      <c r="D1341" s="81"/>
      <c r="E1341" s="81"/>
      <c r="F1341" s="81"/>
      <c r="G1341" s="81"/>
      <c r="H1341" s="111"/>
    </row>
    <row r="1342" spans="1:8">
      <c r="A1342" s="140"/>
      <c r="B1342" s="188" t="str">
        <f>IF(DSUM('17_1'!$A$203:$Q$238,17,G1330:G1331)=COUNTIF('17_1'!$A$203:$A$238,G1331),"","Regularice su Deuda")</f>
        <v>Regularice su Deuda</v>
      </c>
      <c r="C1342" s="82"/>
      <c r="D1342" s="82"/>
      <c r="E1342" s="82"/>
      <c r="F1342" s="82"/>
      <c r="G1342" s="82"/>
      <c r="H1342" s="83"/>
    </row>
    <row r="1344" spans="1:8">
      <c r="A1344" s="108"/>
      <c r="B1344" s="109"/>
      <c r="C1344" s="109"/>
      <c r="D1344" s="109"/>
      <c r="E1344" s="109"/>
      <c r="F1344" s="109"/>
      <c r="G1344" s="109"/>
      <c r="H1344" s="110"/>
    </row>
    <row r="1345" spans="1:8">
      <c r="A1345" s="80"/>
      <c r="B1345" s="147" t="s">
        <v>64</v>
      </c>
      <c r="C1345" s="81"/>
      <c r="D1345" s="81"/>
      <c r="E1345" s="81"/>
      <c r="F1345" s="81"/>
      <c r="G1345" s="81"/>
      <c r="H1345" s="111"/>
    </row>
    <row r="1346" spans="1:8">
      <c r="A1346" s="80"/>
      <c r="B1346" s="81"/>
      <c r="C1346" s="81"/>
      <c r="D1346" s="81"/>
      <c r="E1346" s="81"/>
      <c r="F1346" s="81"/>
      <c r="G1346" s="81"/>
      <c r="H1346" s="111"/>
    </row>
    <row r="1347" spans="1:8">
      <c r="A1347" s="80"/>
      <c r="B1347" s="81" t="s">
        <v>139</v>
      </c>
      <c r="C1347" s="81" t="str">
        <f>VLOOKUP(G1348,'17_1'!$A$203:$G$238,6,0)</f>
        <v>HERAS, GUILLERMO Y HERAS, PABLO</v>
      </c>
      <c r="D1347" s="81"/>
      <c r="E1347" s="81"/>
      <c r="F1347" s="81"/>
      <c r="G1347" s="138" t="s">
        <v>102</v>
      </c>
      <c r="H1347" s="111"/>
    </row>
    <row r="1348" spans="1:8">
      <c r="A1348" s="80"/>
      <c r="B1348" s="81" t="s">
        <v>72</v>
      </c>
      <c r="C1348" s="81" t="str">
        <f>+'17_1'!$A$191</f>
        <v>Hijuela Gelvez - Cabrera</v>
      </c>
      <c r="D1348" s="81"/>
      <c r="E1348" s="81"/>
      <c r="F1348" s="81"/>
      <c r="G1348" s="138">
        <v>10</v>
      </c>
      <c r="H1348" s="111"/>
    </row>
    <row r="1349" spans="1:8">
      <c r="A1349" s="80"/>
      <c r="B1349" s="81"/>
      <c r="C1349" s="81"/>
      <c r="D1349" s="81"/>
      <c r="E1349" s="81"/>
      <c r="F1349" s="81"/>
      <c r="G1349" s="81"/>
      <c r="H1349" s="111"/>
    </row>
    <row r="1350" spans="1:8">
      <c r="A1350" s="80"/>
      <c r="B1350" s="81" t="s">
        <v>140</v>
      </c>
      <c r="C1350" s="138">
        <f>VLOOKUP(G1348,'17_1'!$A$203:$B$238,2,0)</f>
        <v>1213</v>
      </c>
      <c r="D1350" s="81"/>
      <c r="E1350" s="139" t="s">
        <v>141</v>
      </c>
      <c r="F1350" s="141" t="e">
        <f>DSUM('17_1'!A$203:J$238,'17_1'!$J$203,G1347:G1348)</f>
        <v>#N/A</v>
      </c>
      <c r="G1350" s="81"/>
      <c r="H1350" s="111"/>
    </row>
    <row r="1351" spans="1:8">
      <c r="A1351" s="80"/>
      <c r="B1351" s="81" t="s">
        <v>142</v>
      </c>
      <c r="C1351" s="205">
        <v>284</v>
      </c>
      <c r="D1351" s="81"/>
      <c r="E1351" s="81"/>
      <c r="F1351" s="81"/>
      <c r="G1351" s="81"/>
      <c r="H1351" s="111"/>
    </row>
    <row r="1352" spans="1:8">
      <c r="A1352" s="80"/>
      <c r="B1352" s="81" t="s">
        <v>144</v>
      </c>
      <c r="C1352" s="206">
        <f>DSUM('17_1'!$A$203:$H$238,'17_1'!$H$203,G1347:G1348)</f>
        <v>6.8400000000000002E-2</v>
      </c>
      <c r="D1352" s="81"/>
      <c r="E1352" s="81"/>
      <c r="F1352" s="584"/>
      <c r="G1352" s="584"/>
      <c r="H1352" s="111"/>
    </row>
    <row r="1353" spans="1:8" ht="15.75">
      <c r="A1353" s="80"/>
      <c r="B1353" s="81"/>
      <c r="C1353" s="81" t="s">
        <v>146</v>
      </c>
      <c r="D1353" s="145" t="e">
        <f>DMIN('17_1'!A$203:K$238,'17_1'!$K$203,G1347:G1348)</f>
        <v>#REF!</v>
      </c>
      <c r="E1353" s="189" t="e">
        <f>IF(F1353=1,"Domingo",IF(F1353=2,"Lunes",IF(F1353=3,"Martes",IF(F1353=4,"Miercoles",IF(F1353=5,"Jueves",IF(F1353=6,"Viernes",IF(F1353=7,"Sábado",0)))))))</f>
        <v>#REF!</v>
      </c>
      <c r="F1353" s="190" t="e">
        <f>WEEKDAY(D1353)</f>
        <v>#REF!</v>
      </c>
      <c r="G1353" s="142"/>
      <c r="H1353" s="111"/>
    </row>
    <row r="1354" spans="1:8" ht="15.75">
      <c r="A1354" s="80"/>
      <c r="B1354" s="81"/>
      <c r="C1354" s="81" t="s">
        <v>147</v>
      </c>
      <c r="D1354" s="145" t="e">
        <f>DMAX('17_1'!A$203:L$238,'17_1'!$L$203,G1347:G1348)</f>
        <v>#REF!</v>
      </c>
      <c r="E1354" s="189" t="e">
        <f>IF(F1354=1,"Domingo",IF(F1354=2,"Lunes",IF(F1354=3,"Martes",IF(F1354=4,"Miercoles",IF(F1354=5,"Jueves",IF(F1354=6,"Viernes",IF(F1354=7,"Sábado",0)))))))</f>
        <v>#REF!</v>
      </c>
      <c r="F1354" s="190" t="e">
        <f>WEEKDAY(D1354)</f>
        <v>#REF!</v>
      </c>
      <c r="G1354" s="142"/>
      <c r="H1354" s="111"/>
    </row>
    <row r="1355" spans="1:8">
      <c r="A1355" s="80"/>
      <c r="B1355" s="81"/>
      <c r="C1355" s="81"/>
      <c r="D1355" s="81"/>
      <c r="E1355" s="81"/>
      <c r="F1355" s="584"/>
      <c r="G1355" s="584"/>
      <c r="H1355" s="111"/>
    </row>
    <row r="1356" spans="1:8">
      <c r="A1356" s="80"/>
      <c r="B1356" s="146">
        <f>+Mensajes!$B$7</f>
        <v>0</v>
      </c>
      <c r="C1356" s="81"/>
      <c r="D1356" s="81"/>
      <c r="E1356" s="81"/>
      <c r="F1356" s="81"/>
      <c r="G1356" s="81"/>
      <c r="H1356" s="111"/>
    </row>
    <row r="1357" spans="1:8">
      <c r="A1357" s="80"/>
      <c r="B1357" s="146">
        <f>+Mensajes!$B$12</f>
        <v>0</v>
      </c>
      <c r="C1357" s="81"/>
      <c r="D1357" s="81"/>
      <c r="E1357" s="81"/>
      <c r="F1357" s="81"/>
      <c r="G1357" s="81"/>
      <c r="H1357" s="111"/>
    </row>
    <row r="1358" spans="1:8">
      <c r="A1358" s="80"/>
      <c r="B1358" s="146" t="str">
        <f>IF(VLOOKUP(G1348,'17_1'!$A$203:$N$238,14,0)=0,"",VLOOKUP(G1348,'17_1'!$A$203:$N$238,14,0))</f>
        <v/>
      </c>
      <c r="C1358" s="81"/>
      <c r="D1358" s="81"/>
      <c r="E1358" s="81"/>
      <c r="F1358" s="81"/>
      <c r="G1358" s="81"/>
      <c r="H1358" s="111"/>
    </row>
    <row r="1359" spans="1:8">
      <c r="A1359" s="140"/>
      <c r="B1359" s="188" t="str">
        <f>IF(DSUM('17_1'!$A$203:$Q$238,17,G1347:G1348)=COUNTIF('17_1'!$A$203:$A$238,G1348),"","Regularice su Deuda")</f>
        <v/>
      </c>
      <c r="C1359" s="82"/>
      <c r="D1359" s="82"/>
      <c r="E1359" s="82"/>
      <c r="F1359" s="82"/>
      <c r="G1359" s="82"/>
      <c r="H1359" s="83"/>
    </row>
    <row r="1361" spans="1:8">
      <c r="A1361" s="108"/>
      <c r="B1361" s="109"/>
      <c r="C1361" s="109"/>
      <c r="D1361" s="109"/>
      <c r="E1361" s="109"/>
      <c r="F1361" s="109"/>
      <c r="G1361" s="109"/>
      <c r="H1361" s="110"/>
    </row>
    <row r="1362" spans="1:8">
      <c r="A1362" s="80"/>
      <c r="B1362" s="147" t="s">
        <v>64</v>
      </c>
      <c r="C1362" s="81"/>
      <c r="D1362" s="81"/>
      <c r="E1362" s="81"/>
      <c r="F1362" s="81"/>
      <c r="G1362" s="81"/>
      <c r="H1362" s="111"/>
    </row>
    <row r="1363" spans="1:8">
      <c r="A1363" s="80"/>
      <c r="B1363" s="81"/>
      <c r="C1363" s="81"/>
      <c r="D1363" s="81"/>
      <c r="E1363" s="81"/>
      <c r="F1363" s="81"/>
      <c r="G1363" s="81"/>
      <c r="H1363" s="111"/>
    </row>
    <row r="1364" spans="1:8">
      <c r="A1364" s="80"/>
      <c r="B1364" s="81" t="s">
        <v>139</v>
      </c>
      <c r="C1364" s="81" t="str">
        <f>VLOOKUP(G1365,'17_1'!$A$203:$G$238,6,0)</f>
        <v>SABATINI DE RODRIGUEZ, ELENA; DALLOSTA DE RIVERO, MARIA ROSA; DALLOSTA</v>
      </c>
      <c r="D1364" s="81"/>
      <c r="E1364" s="81"/>
      <c r="F1364" s="81"/>
      <c r="G1364" s="138" t="s">
        <v>102</v>
      </c>
      <c r="H1364" s="111"/>
    </row>
    <row r="1365" spans="1:8">
      <c r="A1365" s="80"/>
      <c r="B1365" s="81" t="s">
        <v>72</v>
      </c>
      <c r="C1365" s="81" t="str">
        <f>+'17_1'!$A$191</f>
        <v>Hijuela Gelvez - Cabrera</v>
      </c>
      <c r="D1365" s="81"/>
      <c r="E1365" s="81"/>
      <c r="F1365" s="81"/>
      <c r="G1365" s="138">
        <v>11</v>
      </c>
      <c r="H1365" s="111"/>
    </row>
    <row r="1366" spans="1:8">
      <c r="A1366" s="80"/>
      <c r="B1366" s="81"/>
      <c r="C1366" s="81"/>
      <c r="D1366" s="81"/>
      <c r="E1366" s="81"/>
      <c r="F1366" s="81"/>
      <c r="G1366" s="81"/>
      <c r="H1366" s="111"/>
    </row>
    <row r="1367" spans="1:8">
      <c r="A1367" s="80"/>
      <c r="B1367" s="81" t="s">
        <v>140</v>
      </c>
      <c r="C1367" s="138">
        <f>VLOOKUP(G1365,'17_1'!$A$203:$B$238,2,0)</f>
        <v>1213</v>
      </c>
      <c r="D1367" s="81"/>
      <c r="E1367" s="139" t="s">
        <v>141</v>
      </c>
      <c r="F1367" s="141" t="e">
        <f>DSUM('17_1'!A$203:J$238,'17_1'!$J$203,G1364:G1365)</f>
        <v>#N/A</v>
      </c>
      <c r="G1367" s="81"/>
      <c r="H1367" s="111"/>
    </row>
    <row r="1368" spans="1:8">
      <c r="A1368" s="80"/>
      <c r="B1368" s="81" t="s">
        <v>142</v>
      </c>
      <c r="C1368" s="205" t="s">
        <v>549</v>
      </c>
      <c r="D1368" s="81"/>
      <c r="E1368" s="81"/>
      <c r="F1368" s="81"/>
      <c r="G1368" s="81"/>
      <c r="H1368" s="111"/>
    </row>
    <row r="1369" spans="1:8">
      <c r="A1369" s="80"/>
      <c r="B1369" s="81" t="s">
        <v>144</v>
      </c>
      <c r="C1369" s="206">
        <f>DSUM('17_1'!$A$203:$H$238,'17_1'!$H$203,G1364:G1365)</f>
        <v>0.3286</v>
      </c>
      <c r="D1369" s="81"/>
      <c r="E1369" s="81"/>
      <c r="F1369" s="584"/>
      <c r="G1369" s="584"/>
      <c r="H1369" s="111"/>
    </row>
    <row r="1370" spans="1:8" ht="15.75">
      <c r="A1370" s="80"/>
      <c r="B1370" s="81"/>
      <c r="C1370" s="81" t="s">
        <v>146</v>
      </c>
      <c r="D1370" s="145" t="e">
        <f>DMIN('17_1'!A$203:K$238,'17_1'!$K$203,G1364:G1365)</f>
        <v>#REF!</v>
      </c>
      <c r="E1370" s="189" t="e">
        <f>IF(F1370=1,"Domingo",IF(F1370=2,"Lunes",IF(F1370=3,"Martes",IF(F1370=4,"Miercoles",IF(F1370=5,"Jueves",IF(F1370=6,"Viernes",IF(F1370=7,"Sábado",0)))))))</f>
        <v>#REF!</v>
      </c>
      <c r="F1370" s="190" t="e">
        <f>WEEKDAY(D1370)</f>
        <v>#REF!</v>
      </c>
      <c r="G1370" s="142"/>
      <c r="H1370" s="111"/>
    </row>
    <row r="1371" spans="1:8" ht="15.75">
      <c r="A1371" s="80"/>
      <c r="B1371" s="81"/>
      <c r="C1371" s="81" t="s">
        <v>147</v>
      </c>
      <c r="D1371" s="145" t="e">
        <f>DMAX('17_1'!A$203:L$238,'17_1'!$L$203,G1364:G1365)</f>
        <v>#REF!</v>
      </c>
      <c r="E1371" s="189" t="e">
        <f>IF(F1371=1,"Domingo",IF(F1371=2,"Lunes",IF(F1371=3,"Martes",IF(F1371=4,"Miercoles",IF(F1371=5,"Jueves",IF(F1371=6,"Viernes",IF(F1371=7,"Sábado",0)))))))</f>
        <v>#REF!</v>
      </c>
      <c r="F1371" s="190" t="e">
        <f>WEEKDAY(D1371)</f>
        <v>#REF!</v>
      </c>
      <c r="G1371" s="142"/>
      <c r="H1371" s="111"/>
    </row>
    <row r="1372" spans="1:8">
      <c r="A1372" s="80"/>
      <c r="B1372" s="81"/>
      <c r="C1372" s="81"/>
      <c r="D1372" s="81"/>
      <c r="E1372" s="81"/>
      <c r="F1372" s="584"/>
      <c r="G1372" s="584"/>
      <c r="H1372" s="111"/>
    </row>
    <row r="1373" spans="1:8">
      <c r="A1373" s="80"/>
      <c r="B1373" s="146">
        <f>+Mensajes!$B$7</f>
        <v>0</v>
      </c>
      <c r="C1373" s="81"/>
      <c r="D1373" s="81"/>
      <c r="E1373" s="81"/>
      <c r="F1373" s="81"/>
      <c r="G1373" s="81"/>
      <c r="H1373" s="111"/>
    </row>
    <row r="1374" spans="1:8">
      <c r="A1374" s="80"/>
      <c r="B1374" s="146">
        <f>+Mensajes!$B$12</f>
        <v>0</v>
      </c>
      <c r="C1374" s="81"/>
      <c r="D1374" s="81"/>
      <c r="E1374" s="81"/>
      <c r="F1374" s="81"/>
      <c r="G1374" s="81"/>
      <c r="H1374" s="111"/>
    </row>
    <row r="1375" spans="1:8">
      <c r="A1375" s="80"/>
      <c r="B1375" s="146" t="str">
        <f>IF(VLOOKUP(G1365,'17_1'!$A$203:$N$238,14,0)=0,"",VLOOKUP(G1365,'17_1'!$A$203:$N$238,14,0))</f>
        <v/>
      </c>
      <c r="C1375" s="81"/>
      <c r="D1375" s="81"/>
      <c r="E1375" s="81"/>
      <c r="F1375" s="81"/>
      <c r="G1375" s="81"/>
      <c r="H1375" s="111"/>
    </row>
    <row r="1376" spans="1:8">
      <c r="A1376" s="140"/>
      <c r="B1376" s="188" t="str">
        <f>IF(DSUM('17_1'!$A$203:$Q$238,17,G1364:G1365)=COUNTIF('17_1'!$A$203:$A$238,G1365),"","Regularice su Deuda")</f>
        <v/>
      </c>
      <c r="C1376" s="82"/>
      <c r="D1376" s="82"/>
      <c r="E1376" s="82"/>
      <c r="F1376" s="82"/>
      <c r="G1376" s="82"/>
      <c r="H1376" s="83"/>
    </row>
    <row r="1378" spans="1:8">
      <c r="A1378" s="108"/>
      <c r="B1378" s="109"/>
      <c r="C1378" s="109"/>
      <c r="D1378" s="109"/>
      <c r="E1378" s="109"/>
      <c r="F1378" s="109"/>
      <c r="G1378" s="109"/>
      <c r="H1378" s="110"/>
    </row>
    <row r="1379" spans="1:8">
      <c r="A1379" s="80"/>
      <c r="B1379" s="147" t="s">
        <v>64</v>
      </c>
      <c r="C1379" s="81"/>
      <c r="D1379" s="81"/>
      <c r="E1379" s="81"/>
      <c r="F1379" s="81"/>
      <c r="G1379" s="81"/>
      <c r="H1379" s="111"/>
    </row>
    <row r="1380" spans="1:8">
      <c r="A1380" s="80"/>
      <c r="B1380" s="81"/>
      <c r="C1380" s="81"/>
      <c r="D1380" s="81"/>
      <c r="E1380" s="81"/>
      <c r="F1380" s="81"/>
      <c r="G1380" s="81"/>
      <c r="H1380" s="111"/>
    </row>
    <row r="1381" spans="1:8">
      <c r="A1381" s="80"/>
      <c r="B1381" s="81" t="s">
        <v>139</v>
      </c>
      <c r="C1381" s="81" t="str">
        <f>VLOOKUP(G1382,'17_1'!$A$203:$G$238,6,0)</f>
        <v>MANRESA, CRISTOBAL HUGO</v>
      </c>
      <c r="D1381" s="81"/>
      <c r="E1381" s="81"/>
      <c r="F1381" s="81"/>
      <c r="G1381" s="138" t="s">
        <v>102</v>
      </c>
      <c r="H1381" s="111"/>
    </row>
    <row r="1382" spans="1:8">
      <c r="A1382" s="80"/>
      <c r="B1382" s="81" t="s">
        <v>72</v>
      </c>
      <c r="C1382" s="81" t="str">
        <f>+'17_1'!$A$191</f>
        <v>Hijuela Gelvez - Cabrera</v>
      </c>
      <c r="D1382" s="81"/>
      <c r="E1382" s="81"/>
      <c r="F1382" s="81"/>
      <c r="G1382" s="138">
        <v>12</v>
      </c>
      <c r="H1382" s="111"/>
    </row>
    <row r="1383" spans="1:8">
      <c r="A1383" s="80"/>
      <c r="B1383" s="81"/>
      <c r="C1383" s="81"/>
      <c r="D1383" s="81"/>
      <c r="E1383" s="81"/>
      <c r="F1383" s="81"/>
      <c r="G1383" s="81"/>
      <c r="H1383" s="111"/>
    </row>
    <row r="1384" spans="1:8">
      <c r="A1384" s="80"/>
      <c r="B1384" s="81" t="s">
        <v>140</v>
      </c>
      <c r="C1384" s="138">
        <f>VLOOKUP(G1382,'17_1'!$A$203:$B$238,2,0)</f>
        <v>1213</v>
      </c>
      <c r="D1384" s="81"/>
      <c r="E1384" s="139" t="s">
        <v>141</v>
      </c>
      <c r="F1384" s="141" t="e">
        <f>DSUM('17_1'!A$203:J$238,'17_1'!$J$203,G1381:G1382)</f>
        <v>#N/A</v>
      </c>
      <c r="G1384" s="81"/>
      <c r="H1384" s="111"/>
    </row>
    <row r="1385" spans="1:8">
      <c r="A1385" s="80"/>
      <c r="B1385" s="81" t="s">
        <v>142</v>
      </c>
      <c r="C1385" s="205">
        <v>271</v>
      </c>
      <c r="D1385" s="81"/>
      <c r="E1385" s="81"/>
      <c r="F1385" s="81"/>
      <c r="G1385" s="81"/>
      <c r="H1385" s="111"/>
    </row>
    <row r="1386" spans="1:8">
      <c r="A1386" s="80"/>
      <c r="B1386" s="81" t="s">
        <v>144</v>
      </c>
      <c r="C1386" s="206" t="e">
        <f>DSUM('17_1'!$A$203:$H$238,'17_1'!$H$203,G1381:G1382)</f>
        <v>#N/A</v>
      </c>
      <c r="D1386" s="81"/>
      <c r="E1386" s="81"/>
      <c r="F1386" s="584"/>
      <c r="G1386" s="584"/>
      <c r="H1386" s="111"/>
    </row>
    <row r="1387" spans="1:8" ht="15.75">
      <c r="A1387" s="80"/>
      <c r="B1387" s="81"/>
      <c r="C1387" s="81" t="s">
        <v>146</v>
      </c>
      <c r="D1387" s="145" t="e">
        <f>DMIN('17_1'!A$203:K$238,'17_1'!$K$203,G1381:G1382)</f>
        <v>#REF!</v>
      </c>
      <c r="E1387" s="189" t="e">
        <f>IF(F1387=1,"Domingo",IF(F1387=2,"Lunes",IF(F1387=3,"Martes",IF(F1387=4,"Miercoles",IF(F1387=5,"Jueves",IF(F1387=6,"Viernes",IF(F1387=7,"Sábado",0)))))))</f>
        <v>#REF!</v>
      </c>
      <c r="F1387" s="190" t="e">
        <f>WEEKDAY(D1387)</f>
        <v>#REF!</v>
      </c>
      <c r="G1387" s="142"/>
      <c r="H1387" s="111"/>
    </row>
    <row r="1388" spans="1:8" ht="15.75">
      <c r="A1388" s="80"/>
      <c r="B1388" s="81"/>
      <c r="C1388" s="81" t="s">
        <v>147</v>
      </c>
      <c r="D1388" s="145" t="e">
        <f>DMAX('17_1'!A$203:L$238,'17_1'!$L$203,G1381:G1382)</f>
        <v>#REF!</v>
      </c>
      <c r="E1388" s="189" t="e">
        <f>IF(F1388=1,"Domingo",IF(F1388=2,"Lunes",IF(F1388=3,"Martes",IF(F1388=4,"Miercoles",IF(F1388=5,"Jueves",IF(F1388=6,"Viernes",IF(F1388=7,"Sábado",0)))))))</f>
        <v>#REF!</v>
      </c>
      <c r="F1388" s="190" t="e">
        <f>WEEKDAY(D1388)</f>
        <v>#REF!</v>
      </c>
      <c r="G1388" s="142"/>
      <c r="H1388" s="111"/>
    </row>
    <row r="1389" spans="1:8">
      <c r="A1389" s="80"/>
      <c r="B1389" s="81"/>
      <c r="C1389" s="81"/>
      <c r="D1389" s="81"/>
      <c r="E1389" s="81"/>
      <c r="F1389" s="584"/>
      <c r="G1389" s="584"/>
      <c r="H1389" s="111"/>
    </row>
    <row r="1390" spans="1:8">
      <c r="A1390" s="80"/>
      <c r="B1390" s="146">
        <f>+Mensajes!$B$7</f>
        <v>0</v>
      </c>
      <c r="C1390" s="81"/>
      <c r="D1390" s="81"/>
      <c r="E1390" s="81"/>
      <c r="F1390" s="81"/>
      <c r="G1390" s="81"/>
      <c r="H1390" s="111"/>
    </row>
    <row r="1391" spans="1:8">
      <c r="A1391" s="80"/>
      <c r="B1391" s="146">
        <f>+Mensajes!$B$12</f>
        <v>0</v>
      </c>
      <c r="C1391" s="81"/>
      <c r="D1391" s="81"/>
      <c r="E1391" s="81"/>
      <c r="F1391" s="81"/>
      <c r="G1391" s="81"/>
      <c r="H1391" s="111"/>
    </row>
    <row r="1392" spans="1:8">
      <c r="A1392" s="80"/>
      <c r="B1392" s="146" t="str">
        <f>IF(VLOOKUP(G1382,'17_1'!$A$203:$N$238,14,0)=0,"",VLOOKUP(G1382,'17_1'!$A$203:$N$238,14,0))</f>
        <v/>
      </c>
      <c r="C1392" s="81"/>
      <c r="D1392" s="81"/>
      <c r="E1392" s="81"/>
      <c r="F1392" s="81"/>
      <c r="G1392" s="81"/>
      <c r="H1392" s="111"/>
    </row>
    <row r="1393" spans="1:8">
      <c r="A1393" s="140"/>
      <c r="B1393" s="188" t="e">
        <f>IF(DSUM('17_1'!$A$203:$Q$238,17,G1381:G1382)=COUNTIF('17_1'!$A$203:$A$238,G1382),"","Regularice su Deuda")</f>
        <v>#N/A</v>
      </c>
      <c r="C1393" s="82"/>
      <c r="D1393" s="82"/>
      <c r="E1393" s="82"/>
      <c r="F1393" s="82"/>
      <c r="G1393" s="82"/>
      <c r="H1393" s="83"/>
    </row>
    <row r="1395" spans="1:8">
      <c r="A1395" s="108"/>
      <c r="B1395" s="109"/>
      <c r="C1395" s="109"/>
      <c r="D1395" s="109"/>
      <c r="E1395" s="109"/>
      <c r="F1395" s="109"/>
      <c r="G1395" s="109"/>
      <c r="H1395" s="110"/>
    </row>
    <row r="1396" spans="1:8">
      <c r="A1396" s="80"/>
      <c r="B1396" s="147" t="s">
        <v>64</v>
      </c>
      <c r="C1396" s="81"/>
      <c r="D1396" s="81"/>
      <c r="E1396" s="81"/>
      <c r="F1396" s="81"/>
      <c r="G1396" s="81"/>
      <c r="H1396" s="111"/>
    </row>
    <row r="1397" spans="1:8">
      <c r="A1397" s="80"/>
      <c r="B1397" s="81"/>
      <c r="C1397" s="81"/>
      <c r="D1397" s="81"/>
      <c r="E1397" s="81"/>
      <c r="F1397" s="81"/>
      <c r="G1397" s="81"/>
      <c r="H1397" s="111"/>
    </row>
    <row r="1398" spans="1:8">
      <c r="A1398" s="80"/>
      <c r="B1398" s="81" t="s">
        <v>139</v>
      </c>
      <c r="C1398" s="81" t="str">
        <f>VLOOKUP(G1399,'17_1'!$A$203:$G$238,6,0)</f>
        <v>GOMEZ, MARIA ISABEL Y GOMEZ, JULIA ESTER</v>
      </c>
      <c r="D1398" s="81"/>
      <c r="E1398" s="81"/>
      <c r="F1398" s="81"/>
      <c r="G1398" s="138" t="s">
        <v>102</v>
      </c>
      <c r="H1398" s="111"/>
    </row>
    <row r="1399" spans="1:8">
      <c r="A1399" s="80"/>
      <c r="B1399" s="81" t="s">
        <v>72</v>
      </c>
      <c r="C1399" s="81" t="str">
        <f>+'17_1'!$A$191</f>
        <v>Hijuela Gelvez - Cabrera</v>
      </c>
      <c r="D1399" s="81"/>
      <c r="E1399" s="81"/>
      <c r="F1399" s="81"/>
      <c r="G1399" s="138">
        <v>13</v>
      </c>
      <c r="H1399" s="111"/>
    </row>
    <row r="1400" spans="1:8">
      <c r="A1400" s="80"/>
      <c r="B1400" s="81"/>
      <c r="C1400" s="81"/>
      <c r="D1400" s="81"/>
      <c r="E1400" s="81"/>
      <c r="F1400" s="81"/>
      <c r="G1400" s="81"/>
      <c r="H1400" s="111"/>
    </row>
    <row r="1401" spans="1:8">
      <c r="A1401" s="80"/>
      <c r="B1401" s="81" t="s">
        <v>140</v>
      </c>
      <c r="C1401" s="138">
        <f>VLOOKUP(G1399,'17_1'!$A$203:$B$238,2,0)</f>
        <v>1213</v>
      </c>
      <c r="D1401" s="81"/>
      <c r="E1401" s="139" t="s">
        <v>141</v>
      </c>
      <c r="F1401" s="141" t="e">
        <f>DSUM('17_1'!A$203:J$238,'17_1'!$J$203,G1398:G1399)</f>
        <v>#N/A</v>
      </c>
      <c r="G1401" s="81"/>
      <c r="H1401" s="111"/>
    </row>
    <row r="1402" spans="1:8">
      <c r="A1402" s="80"/>
      <c r="B1402" s="81" t="s">
        <v>142</v>
      </c>
      <c r="C1402" s="205">
        <v>13</v>
      </c>
      <c r="D1402" s="81"/>
      <c r="E1402" s="81"/>
      <c r="F1402" s="81"/>
      <c r="G1402" s="81"/>
      <c r="H1402" s="111"/>
    </row>
    <row r="1403" spans="1:8">
      <c r="A1403" s="80"/>
      <c r="B1403" s="81" t="s">
        <v>144</v>
      </c>
      <c r="C1403" s="206">
        <f>DSUM('17_1'!$A$203:$H$238,'17_1'!$H$203,G1398:G1399)</f>
        <v>7.6840000000000002</v>
      </c>
      <c r="D1403" s="81"/>
      <c r="E1403" s="81"/>
      <c r="F1403" s="584"/>
      <c r="G1403" s="584"/>
      <c r="H1403" s="111"/>
    </row>
    <row r="1404" spans="1:8" ht="15.75">
      <c r="A1404" s="80"/>
      <c r="B1404" s="81"/>
      <c r="C1404" s="81" t="s">
        <v>146</v>
      </c>
      <c r="D1404" s="145" t="e">
        <f>DMIN('17_1'!A$203:K$238,'17_1'!$K$203,G1398:G1399)</f>
        <v>#REF!</v>
      </c>
      <c r="E1404" s="189" t="e">
        <f>IF(F1404=1,"Domingo",IF(F1404=2,"Lunes",IF(F1404=3,"Martes",IF(F1404=4,"Miercoles",IF(F1404=5,"Jueves",IF(F1404=6,"Viernes",IF(F1404=7,"Sábado",0)))))))</f>
        <v>#REF!</v>
      </c>
      <c r="F1404" s="190" t="e">
        <f>WEEKDAY(D1404)</f>
        <v>#REF!</v>
      </c>
      <c r="G1404" s="142"/>
      <c r="H1404" s="111"/>
    </row>
    <row r="1405" spans="1:8" ht="15.75">
      <c r="A1405" s="80"/>
      <c r="B1405" s="81"/>
      <c r="C1405" s="81" t="s">
        <v>147</v>
      </c>
      <c r="D1405" s="145" t="e">
        <f>DMAX('17_1'!A$203:L$238,'17_1'!$L$203,G1398:G1399)</f>
        <v>#REF!</v>
      </c>
      <c r="E1405" s="189" t="e">
        <f>IF(F1405=1,"Domingo",IF(F1405=2,"Lunes",IF(F1405=3,"Martes",IF(F1405=4,"Miercoles",IF(F1405=5,"Jueves",IF(F1405=6,"Viernes",IF(F1405=7,"Sábado",0)))))))</f>
        <v>#REF!</v>
      </c>
      <c r="F1405" s="190" t="e">
        <f>WEEKDAY(D1405)</f>
        <v>#REF!</v>
      </c>
      <c r="G1405" s="142"/>
      <c r="H1405" s="111"/>
    </row>
    <row r="1406" spans="1:8">
      <c r="A1406" s="80"/>
      <c r="B1406" s="81"/>
      <c r="C1406" s="81"/>
      <c r="D1406" s="81"/>
      <c r="E1406" s="81"/>
      <c r="F1406" s="584"/>
      <c r="G1406" s="584"/>
      <c r="H1406" s="111"/>
    </row>
    <row r="1407" spans="1:8">
      <c r="A1407" s="80"/>
      <c r="B1407" s="146">
        <f>+Mensajes!$B$7</f>
        <v>0</v>
      </c>
      <c r="C1407" s="81"/>
      <c r="D1407" s="81"/>
      <c r="E1407" s="81"/>
      <c r="F1407" s="81"/>
      <c r="G1407" s="81"/>
      <c r="H1407" s="111"/>
    </row>
    <row r="1408" spans="1:8">
      <c r="A1408" s="80"/>
      <c r="B1408" s="146">
        <f>+Mensajes!$B$12</f>
        <v>0</v>
      </c>
      <c r="C1408" s="81"/>
      <c r="D1408" s="81"/>
      <c r="E1408" s="81"/>
      <c r="F1408" s="81"/>
      <c r="G1408" s="81"/>
      <c r="H1408" s="111"/>
    </row>
    <row r="1409" spans="1:8">
      <c r="A1409" s="80"/>
      <c r="B1409" s="146" t="str">
        <f>IF(VLOOKUP(G1399,'17_1'!$A$203:$N$238,14,0)=0,"",VLOOKUP(G1399,'17_1'!$A$203:$N$238,14,0))</f>
        <v/>
      </c>
      <c r="C1409" s="81"/>
      <c r="D1409" s="81"/>
      <c r="E1409" s="81"/>
      <c r="F1409" s="81"/>
      <c r="G1409" s="81"/>
      <c r="H1409" s="111"/>
    </row>
    <row r="1410" spans="1:8">
      <c r="A1410" s="140"/>
      <c r="B1410" s="188" t="str">
        <f>IF(DSUM('17_1'!$A$203:$Q$238,17,G1398:G1399)=COUNTIF('17_1'!$A$203:$A$238,G1399),"","Regularice su Deuda")</f>
        <v/>
      </c>
      <c r="C1410" s="82"/>
      <c r="D1410" s="82"/>
      <c r="E1410" s="82"/>
      <c r="F1410" s="82"/>
      <c r="G1410" s="82"/>
      <c r="H1410" s="83"/>
    </row>
    <row r="1412" spans="1:8">
      <c r="A1412" s="108"/>
      <c r="B1412" s="109"/>
      <c r="C1412" s="109"/>
      <c r="D1412" s="109"/>
      <c r="E1412" s="109"/>
      <c r="F1412" s="109"/>
      <c r="G1412" s="109"/>
      <c r="H1412" s="110"/>
    </row>
    <row r="1413" spans="1:8">
      <c r="A1413" s="80"/>
      <c r="B1413" s="147" t="s">
        <v>64</v>
      </c>
      <c r="C1413" s="81"/>
      <c r="D1413" s="81"/>
      <c r="E1413" s="81"/>
      <c r="F1413" s="81"/>
      <c r="G1413" s="81"/>
      <c r="H1413" s="111"/>
    </row>
    <row r="1414" spans="1:8">
      <c r="A1414" s="80"/>
      <c r="B1414" s="81"/>
      <c r="C1414" s="81"/>
      <c r="D1414" s="81"/>
      <c r="E1414" s="81"/>
      <c r="F1414" s="81"/>
      <c r="G1414" s="81"/>
      <c r="H1414" s="111"/>
    </row>
    <row r="1415" spans="1:8">
      <c r="A1415" s="80"/>
      <c r="B1415" s="81" t="s">
        <v>139</v>
      </c>
      <c r="C1415" s="81" t="str">
        <f>VLOOKUP(G1416,'17_1'!$A$203:$G$238,6,0)</f>
        <v>DALESIO, ORLANDO ITALO</v>
      </c>
      <c r="D1415" s="81"/>
      <c r="E1415" s="81"/>
      <c r="F1415" s="81"/>
      <c r="G1415" s="138" t="s">
        <v>102</v>
      </c>
      <c r="H1415" s="111"/>
    </row>
    <row r="1416" spans="1:8">
      <c r="A1416" s="80"/>
      <c r="B1416" s="81" t="s">
        <v>72</v>
      </c>
      <c r="C1416" s="81" t="str">
        <f>+'17_1'!$A$191</f>
        <v>Hijuela Gelvez - Cabrera</v>
      </c>
      <c r="D1416" s="81"/>
      <c r="E1416" s="81"/>
      <c r="F1416" s="81"/>
      <c r="G1416" s="138">
        <v>14</v>
      </c>
      <c r="H1416" s="111"/>
    </row>
    <row r="1417" spans="1:8">
      <c r="A1417" s="80"/>
      <c r="B1417" s="81"/>
      <c r="C1417" s="81"/>
      <c r="D1417" s="81"/>
      <c r="E1417" s="81"/>
      <c r="F1417" s="81"/>
      <c r="G1417" s="81"/>
      <c r="H1417" s="111"/>
    </row>
    <row r="1418" spans="1:8">
      <c r="A1418" s="80"/>
      <c r="B1418" s="81" t="s">
        <v>140</v>
      </c>
      <c r="C1418" s="138">
        <f>VLOOKUP(G1416,'17_1'!$A$203:$B$238,2,0)</f>
        <v>1213</v>
      </c>
      <c r="D1418" s="81"/>
      <c r="E1418" s="139" t="s">
        <v>141</v>
      </c>
      <c r="F1418" s="141" t="e">
        <f>DSUM('17_1'!A$203:J$238,'17_1'!$J$203,G1415:G1416)</f>
        <v>#N/A</v>
      </c>
      <c r="G1418" s="81"/>
      <c r="H1418" s="111"/>
    </row>
    <row r="1419" spans="1:8">
      <c r="A1419" s="80"/>
      <c r="B1419" s="81" t="s">
        <v>142</v>
      </c>
      <c r="C1419" s="205">
        <v>131</v>
      </c>
      <c r="D1419" s="81"/>
      <c r="E1419" s="81"/>
      <c r="F1419" s="81"/>
      <c r="G1419" s="81"/>
      <c r="H1419" s="111"/>
    </row>
    <row r="1420" spans="1:8">
      <c r="A1420" s="80"/>
      <c r="B1420" s="81" t="s">
        <v>144</v>
      </c>
      <c r="C1420" s="206">
        <f>DSUM('17_1'!$A$203:$H$238,'17_1'!$H$203,G1415:G1416)</f>
        <v>0</v>
      </c>
      <c r="D1420" s="81"/>
      <c r="E1420" s="81"/>
      <c r="F1420" s="584"/>
      <c r="G1420" s="584"/>
      <c r="H1420" s="111"/>
    </row>
    <row r="1421" spans="1:8" ht="15.75">
      <c r="A1421" s="80"/>
      <c r="B1421" s="81"/>
      <c r="C1421" s="81" t="s">
        <v>146</v>
      </c>
      <c r="D1421" s="145" t="e">
        <f>DMIN('17_1'!A$203:K$238,'17_1'!$K$203,G1415:G1416)</f>
        <v>#REF!</v>
      </c>
      <c r="E1421" s="189" t="e">
        <f>IF(F1421=1,"Domingo",IF(F1421=2,"Lunes",IF(F1421=3,"Martes",IF(F1421=4,"Miercoles",IF(F1421=5,"Jueves",IF(F1421=6,"Viernes",IF(F1421=7,"Sábado",0)))))))</f>
        <v>#REF!</v>
      </c>
      <c r="F1421" s="190" t="e">
        <f>WEEKDAY(D1421)</f>
        <v>#REF!</v>
      </c>
      <c r="G1421" s="142"/>
      <c r="H1421" s="111"/>
    </row>
    <row r="1422" spans="1:8" ht="15.75">
      <c r="A1422" s="80"/>
      <c r="B1422" s="81"/>
      <c r="C1422" s="81" t="s">
        <v>147</v>
      </c>
      <c r="D1422" s="145" t="e">
        <f>DMAX('17_1'!A$203:L$238,'17_1'!$L$203,G1415:G1416)</f>
        <v>#REF!</v>
      </c>
      <c r="E1422" s="189" t="e">
        <f>IF(F1422=1,"Domingo",IF(F1422=2,"Lunes",IF(F1422=3,"Martes",IF(F1422=4,"Miercoles",IF(F1422=5,"Jueves",IF(F1422=6,"Viernes",IF(F1422=7,"Sábado",0)))))))</f>
        <v>#REF!</v>
      </c>
      <c r="F1422" s="190" t="e">
        <f>WEEKDAY(D1422)</f>
        <v>#REF!</v>
      </c>
      <c r="G1422" s="142"/>
      <c r="H1422" s="111"/>
    </row>
    <row r="1423" spans="1:8">
      <c r="A1423" s="80"/>
      <c r="B1423" s="81"/>
      <c r="C1423" s="81"/>
      <c r="D1423" s="81"/>
      <c r="E1423" s="81"/>
      <c r="F1423" s="584"/>
      <c r="G1423" s="584"/>
      <c r="H1423" s="111"/>
    </row>
    <row r="1424" spans="1:8">
      <c r="A1424" s="80"/>
      <c r="B1424" s="146">
        <f>+Mensajes!$B$7</f>
        <v>0</v>
      </c>
      <c r="C1424" s="81"/>
      <c r="D1424" s="81"/>
      <c r="E1424" s="81"/>
      <c r="F1424" s="81"/>
      <c r="G1424" s="81"/>
      <c r="H1424" s="111"/>
    </row>
    <row r="1425" spans="1:8">
      <c r="A1425" s="80"/>
      <c r="B1425" s="146">
        <f>+Mensajes!$B$12</f>
        <v>0</v>
      </c>
      <c r="C1425" s="81"/>
      <c r="D1425" s="81"/>
      <c r="E1425" s="81"/>
      <c r="F1425" s="81"/>
      <c r="G1425" s="81"/>
      <c r="H1425" s="111"/>
    </row>
    <row r="1426" spans="1:8">
      <c r="A1426" s="80"/>
      <c r="B1426" s="146" t="str">
        <f>IF(VLOOKUP(G1416,'17_1'!$A$203:$N$238,14,0)=0,"",VLOOKUP(G1416,'17_1'!$A$203:$N$238,14,0))</f>
        <v/>
      </c>
      <c r="C1426" s="81"/>
      <c r="D1426" s="81"/>
      <c r="E1426" s="81"/>
      <c r="F1426" s="81"/>
      <c r="G1426" s="81"/>
      <c r="H1426" s="111"/>
    </row>
    <row r="1427" spans="1:8">
      <c r="A1427" s="140"/>
      <c r="B1427" s="188" t="str">
        <f>IF(DSUM('17_1'!$A$203:$Q$238,17,G1415:G1416)=COUNTIF('17_1'!$A$203:$A$238,G1416),"","Regularice su Deuda")</f>
        <v>Regularice su Deuda</v>
      </c>
      <c r="C1427" s="82"/>
      <c r="D1427" s="82"/>
      <c r="E1427" s="82"/>
      <c r="F1427" s="82"/>
      <c r="G1427" s="82"/>
      <c r="H1427" s="83"/>
    </row>
    <row r="1429" spans="1:8">
      <c r="A1429" s="108"/>
      <c r="B1429" s="109"/>
      <c r="C1429" s="109"/>
      <c r="D1429" s="109"/>
      <c r="E1429" s="109"/>
      <c r="F1429" s="109"/>
      <c r="G1429" s="109"/>
      <c r="H1429" s="110"/>
    </row>
    <row r="1430" spans="1:8">
      <c r="A1430" s="80"/>
      <c r="B1430" s="147" t="s">
        <v>64</v>
      </c>
      <c r="C1430" s="81"/>
      <c r="D1430" s="81"/>
      <c r="E1430" s="81"/>
      <c r="F1430" s="81"/>
      <c r="G1430" s="81"/>
      <c r="H1430" s="111"/>
    </row>
    <row r="1431" spans="1:8">
      <c r="A1431" s="80"/>
      <c r="B1431" s="81"/>
      <c r="C1431" s="81"/>
      <c r="D1431" s="81"/>
      <c r="E1431" s="81"/>
      <c r="F1431" s="81"/>
      <c r="G1431" s="81"/>
      <c r="H1431" s="111"/>
    </row>
    <row r="1432" spans="1:8">
      <c r="A1432" s="80"/>
      <c r="B1432" s="81" t="s">
        <v>139</v>
      </c>
      <c r="C1432" s="81" t="str">
        <f>VLOOKUP(G1433,'17_1'!$A$203:$G$238,6,0)</f>
        <v>LUCESOLE, MARTA</v>
      </c>
      <c r="D1432" s="81"/>
      <c r="E1432" s="81"/>
      <c r="F1432" s="81"/>
      <c r="G1432" s="138" t="s">
        <v>102</v>
      </c>
      <c r="H1432" s="111"/>
    </row>
    <row r="1433" spans="1:8">
      <c r="A1433" s="80"/>
      <c r="B1433" s="81" t="s">
        <v>72</v>
      </c>
      <c r="C1433" s="81" t="str">
        <f>+'17_1'!$A$191</f>
        <v>Hijuela Gelvez - Cabrera</v>
      </c>
      <c r="D1433" s="81"/>
      <c r="E1433" s="81"/>
      <c r="F1433" s="81"/>
      <c r="G1433" s="138">
        <v>15</v>
      </c>
      <c r="H1433" s="111"/>
    </row>
    <row r="1434" spans="1:8">
      <c r="A1434" s="80"/>
      <c r="B1434" s="81"/>
      <c r="C1434" s="81"/>
      <c r="D1434" s="81"/>
      <c r="E1434" s="81"/>
      <c r="F1434" s="81"/>
      <c r="G1434" s="81"/>
      <c r="H1434" s="111"/>
    </row>
    <row r="1435" spans="1:8">
      <c r="A1435" s="80"/>
      <c r="B1435" s="81" t="s">
        <v>140</v>
      </c>
      <c r="C1435" s="138">
        <f>VLOOKUP(G1433,'17_1'!$A$203:$B$238,2,0)</f>
        <v>1213</v>
      </c>
      <c r="D1435" s="81"/>
      <c r="E1435" s="139" t="s">
        <v>141</v>
      </c>
      <c r="F1435" s="141" t="e">
        <f>DSUM('17_1'!A$203:J$238,'17_1'!$J$203,G1432:G1433)</f>
        <v>#N/A</v>
      </c>
      <c r="G1435" s="81"/>
      <c r="H1435" s="111"/>
    </row>
    <row r="1436" spans="1:8">
      <c r="A1436" s="80"/>
      <c r="B1436" s="81" t="s">
        <v>142</v>
      </c>
      <c r="C1436" s="205">
        <v>198</v>
      </c>
      <c r="D1436" s="81"/>
      <c r="E1436" s="81"/>
      <c r="F1436" s="81"/>
      <c r="G1436" s="81"/>
      <c r="H1436" s="111"/>
    </row>
    <row r="1437" spans="1:8">
      <c r="A1437" s="80"/>
      <c r="B1437" s="81" t="s">
        <v>144</v>
      </c>
      <c r="C1437" s="206">
        <f>DSUM('17_1'!$A$203:$H$238,'17_1'!$H$203,G1432:G1433)</f>
        <v>3.9478</v>
      </c>
      <c r="D1437" s="81"/>
      <c r="E1437" s="81"/>
      <c r="F1437" s="584"/>
      <c r="G1437" s="584"/>
      <c r="H1437" s="111"/>
    </row>
    <row r="1438" spans="1:8" ht="15.75">
      <c r="A1438" s="80"/>
      <c r="B1438" s="81"/>
      <c r="C1438" s="81" t="s">
        <v>146</v>
      </c>
      <c r="D1438" s="145" t="e">
        <f>DMIN('17_1'!A$203:K$238,'17_1'!$K$203,G1432:G1433)</f>
        <v>#REF!</v>
      </c>
      <c r="E1438" s="189" t="e">
        <f>IF(F1438=1,"Domingo",IF(F1438=2,"Lunes",IF(F1438=3,"Martes",IF(F1438=4,"Miercoles",IF(F1438=5,"Jueves",IF(F1438=6,"Viernes",IF(F1438=7,"Sábado",0)))))))</f>
        <v>#REF!</v>
      </c>
      <c r="F1438" s="190" t="e">
        <f>WEEKDAY(D1438)</f>
        <v>#REF!</v>
      </c>
      <c r="G1438" s="142"/>
      <c r="H1438" s="111"/>
    </row>
    <row r="1439" spans="1:8" ht="15.75">
      <c r="A1439" s="80"/>
      <c r="B1439" s="81"/>
      <c r="C1439" s="81" t="s">
        <v>147</v>
      </c>
      <c r="D1439" s="145" t="e">
        <f>DMAX('17_1'!A$203:L$238,'17_1'!$L$203,G1432:G1433)</f>
        <v>#REF!</v>
      </c>
      <c r="E1439" s="189" t="e">
        <f>IF(F1439=1,"Domingo",IF(F1439=2,"Lunes",IF(F1439=3,"Martes",IF(F1439=4,"Miercoles",IF(F1439=5,"Jueves",IF(F1439=6,"Viernes",IF(F1439=7,"Sábado",0)))))))</f>
        <v>#REF!</v>
      </c>
      <c r="F1439" s="190" t="e">
        <f>WEEKDAY(D1439)</f>
        <v>#REF!</v>
      </c>
      <c r="G1439" s="142"/>
      <c r="H1439" s="111"/>
    </row>
    <row r="1440" spans="1:8">
      <c r="A1440" s="80"/>
      <c r="B1440" s="81"/>
      <c r="C1440" s="81"/>
      <c r="D1440" s="81"/>
      <c r="E1440" s="81"/>
      <c r="F1440" s="584"/>
      <c r="G1440" s="584"/>
      <c r="H1440" s="111"/>
    </row>
    <row r="1441" spans="1:8">
      <c r="A1441" s="80"/>
      <c r="B1441" s="146">
        <f>+Mensajes!$B$7</f>
        <v>0</v>
      </c>
      <c r="C1441" s="81"/>
      <c r="D1441" s="81"/>
      <c r="E1441" s="81"/>
      <c r="F1441" s="81"/>
      <c r="G1441" s="81"/>
      <c r="H1441" s="111"/>
    </row>
    <row r="1442" spans="1:8">
      <c r="A1442" s="80"/>
      <c r="B1442" s="146">
        <f>+Mensajes!$B$12</f>
        <v>0</v>
      </c>
      <c r="C1442" s="81"/>
      <c r="D1442" s="81"/>
      <c r="E1442" s="81"/>
      <c r="F1442" s="81"/>
      <c r="G1442" s="81"/>
      <c r="H1442" s="111"/>
    </row>
    <row r="1443" spans="1:8">
      <c r="A1443" s="80"/>
      <c r="B1443" s="146" t="str">
        <f>IF(VLOOKUP(G1433,'17_1'!$A$203:$N$238,14,0)=0,"",VLOOKUP(G1433,'17_1'!$A$203:$N$238,14,0))</f>
        <v/>
      </c>
      <c r="C1443" s="81"/>
      <c r="D1443" s="81"/>
      <c r="E1443" s="81"/>
      <c r="F1443" s="81"/>
      <c r="G1443" s="81"/>
      <c r="H1443" s="111"/>
    </row>
    <row r="1444" spans="1:8">
      <c r="A1444" s="140"/>
      <c r="B1444" s="188" t="str">
        <f>IF(DSUM('17_1'!$A$203:$Q$238,17,G1432:G1433)=COUNTIF('17_1'!$A$203:$A$238,G1433),"","Regularice su Deuda")</f>
        <v/>
      </c>
      <c r="C1444" s="82"/>
      <c r="D1444" s="82"/>
      <c r="E1444" s="82"/>
      <c r="F1444" s="82"/>
      <c r="G1444" s="82"/>
      <c r="H1444" s="83"/>
    </row>
    <row r="1446" spans="1:8">
      <c r="A1446" s="108"/>
      <c r="B1446" s="109"/>
      <c r="C1446" s="109"/>
      <c r="D1446" s="109"/>
      <c r="E1446" s="109"/>
      <c r="F1446" s="109"/>
      <c r="G1446" s="109"/>
      <c r="H1446" s="110"/>
    </row>
    <row r="1447" spans="1:8">
      <c r="A1447" s="80"/>
      <c r="B1447" s="147" t="s">
        <v>64</v>
      </c>
      <c r="C1447" s="81"/>
      <c r="D1447" s="81"/>
      <c r="E1447" s="81"/>
      <c r="F1447" s="81"/>
      <c r="G1447" s="81"/>
      <c r="H1447" s="111"/>
    </row>
    <row r="1448" spans="1:8">
      <c r="A1448" s="80"/>
      <c r="B1448" s="81"/>
      <c r="C1448" s="81"/>
      <c r="D1448" s="81"/>
      <c r="E1448" s="81"/>
      <c r="F1448" s="81"/>
      <c r="G1448" s="81"/>
      <c r="H1448" s="111"/>
    </row>
    <row r="1449" spans="1:8">
      <c r="A1449" s="80"/>
      <c r="B1449" s="81" t="s">
        <v>139</v>
      </c>
      <c r="C1449" s="81" t="str">
        <f>VLOOKUP(G1450,'17_1'!$A$203:$G$238,6,0)</f>
        <v>DIUMENJO, PEDRO Y DIUMENJO, RAUL HORACIO</v>
      </c>
      <c r="D1449" s="81"/>
      <c r="E1449" s="81"/>
      <c r="F1449" s="81"/>
      <c r="G1449" s="138" t="s">
        <v>102</v>
      </c>
      <c r="H1449" s="111"/>
    </row>
    <row r="1450" spans="1:8">
      <c r="A1450" s="80"/>
      <c r="B1450" s="81" t="s">
        <v>72</v>
      </c>
      <c r="C1450" s="81" t="str">
        <f>+'17_1'!$A$191</f>
        <v>Hijuela Gelvez - Cabrera</v>
      </c>
      <c r="D1450" s="81"/>
      <c r="E1450" s="81"/>
      <c r="F1450" s="81"/>
      <c r="G1450" s="138">
        <v>16</v>
      </c>
      <c r="H1450" s="111"/>
    </row>
    <row r="1451" spans="1:8">
      <c r="A1451" s="80"/>
      <c r="B1451" s="81"/>
      <c r="C1451" s="81"/>
      <c r="D1451" s="81"/>
      <c r="E1451" s="81"/>
      <c r="F1451" s="81"/>
      <c r="G1451" s="81"/>
      <c r="H1451" s="111"/>
    </row>
    <row r="1452" spans="1:8">
      <c r="A1452" s="80"/>
      <c r="B1452" s="81" t="s">
        <v>140</v>
      </c>
      <c r="C1452" s="138">
        <f>VLOOKUP(G1450,'17_1'!$A$203:$B$238,2,0)</f>
        <v>1213</v>
      </c>
      <c r="D1452" s="81"/>
      <c r="E1452" s="139" t="s">
        <v>141</v>
      </c>
      <c r="F1452" s="141" t="e">
        <f>DSUM('17_1'!A$203:J$238,'17_1'!$J$203,G1449:G1450)</f>
        <v>#N/A</v>
      </c>
      <c r="G1452" s="81"/>
      <c r="H1452" s="111"/>
    </row>
    <row r="1453" spans="1:8">
      <c r="A1453" s="80"/>
      <c r="B1453" s="81" t="s">
        <v>142</v>
      </c>
      <c r="C1453" s="205">
        <v>134</v>
      </c>
      <c r="D1453" s="81"/>
      <c r="E1453" s="81"/>
      <c r="F1453" s="81"/>
      <c r="G1453" s="81"/>
      <c r="H1453" s="111"/>
    </row>
    <row r="1454" spans="1:8">
      <c r="A1454" s="80"/>
      <c r="B1454" s="81" t="s">
        <v>144</v>
      </c>
      <c r="C1454" s="206">
        <f>DSUM('17_1'!$A$203:$H$238,'17_1'!$H$203,G1449:G1450)</f>
        <v>10</v>
      </c>
      <c r="D1454" s="81"/>
      <c r="E1454" s="81"/>
      <c r="F1454" s="584"/>
      <c r="G1454" s="584"/>
      <c r="H1454" s="111"/>
    </row>
    <row r="1455" spans="1:8" ht="15.75">
      <c r="A1455" s="80"/>
      <c r="B1455" s="81"/>
      <c r="C1455" s="81" t="s">
        <v>146</v>
      </c>
      <c r="D1455" s="145" t="e">
        <f>DMIN('17_1'!A$203:K$238,'17_1'!$K$203,G1449:G1450)</f>
        <v>#REF!</v>
      </c>
      <c r="E1455" s="189" t="e">
        <f>IF(F1455=1,"Domingo",IF(F1455=2,"Lunes",IF(F1455=3,"Martes",IF(F1455=4,"Miercoles",IF(F1455=5,"Jueves",IF(F1455=6,"Viernes",IF(F1455=7,"Sábado",0)))))))</f>
        <v>#REF!</v>
      </c>
      <c r="F1455" s="190" t="e">
        <f>WEEKDAY(D1455)</f>
        <v>#REF!</v>
      </c>
      <c r="G1455" s="142"/>
      <c r="H1455" s="111"/>
    </row>
    <row r="1456" spans="1:8" ht="15.75">
      <c r="A1456" s="80"/>
      <c r="B1456" s="81"/>
      <c r="C1456" s="81" t="s">
        <v>147</v>
      </c>
      <c r="D1456" s="145" t="e">
        <f>DMAX('17_1'!A$203:L$238,'17_1'!$L$203,G1449:G1450)</f>
        <v>#REF!</v>
      </c>
      <c r="E1456" s="189" t="e">
        <f>IF(F1456=1,"Domingo",IF(F1456=2,"Lunes",IF(F1456=3,"Martes",IF(F1456=4,"Miercoles",IF(F1456=5,"Jueves",IF(F1456=6,"Viernes",IF(F1456=7,"Sábado",0)))))))</f>
        <v>#REF!</v>
      </c>
      <c r="F1456" s="190" t="e">
        <f>WEEKDAY(D1456)</f>
        <v>#REF!</v>
      </c>
      <c r="G1456" s="142"/>
      <c r="H1456" s="111"/>
    </row>
    <row r="1457" spans="1:8">
      <c r="A1457" s="80"/>
      <c r="B1457" s="81"/>
      <c r="C1457" s="81"/>
      <c r="D1457" s="81"/>
      <c r="E1457" s="81"/>
      <c r="F1457" s="584"/>
      <c r="G1457" s="584"/>
      <c r="H1457" s="111"/>
    </row>
    <row r="1458" spans="1:8">
      <c r="A1458" s="80"/>
      <c r="B1458" s="146">
        <f>+Mensajes!$B$7</f>
        <v>0</v>
      </c>
      <c r="C1458" s="81"/>
      <c r="D1458" s="81"/>
      <c r="E1458" s="81"/>
      <c r="F1458" s="81"/>
      <c r="G1458" s="81"/>
      <c r="H1458" s="111"/>
    </row>
    <row r="1459" spans="1:8">
      <c r="A1459" s="80"/>
      <c r="B1459" s="146">
        <f>+Mensajes!$B$12</f>
        <v>0</v>
      </c>
      <c r="C1459" s="81"/>
      <c r="D1459" s="81"/>
      <c r="E1459" s="81"/>
      <c r="F1459" s="81"/>
      <c r="G1459" s="81"/>
      <c r="H1459" s="111"/>
    </row>
    <row r="1460" spans="1:8">
      <c r="A1460" s="80"/>
      <c r="B1460" s="146" t="str">
        <f>IF(VLOOKUP(G1450,'17_1'!$A$203:$N$238,14,0)=0,"",VLOOKUP(G1450,'17_1'!$A$203:$N$238,14,0))</f>
        <v/>
      </c>
      <c r="C1460" s="81"/>
      <c r="D1460" s="81"/>
      <c r="E1460" s="81"/>
      <c r="F1460" s="81"/>
      <c r="G1460" s="81"/>
      <c r="H1460" s="111"/>
    </row>
    <row r="1461" spans="1:8">
      <c r="A1461" s="140"/>
      <c r="B1461" s="188" t="str">
        <f>IF(DSUM('17_1'!$A$203:$Q$238,17,G1449:G1450)=COUNTIF('17_1'!$A$203:$A$238,G1450),"","Regularice su Deuda")</f>
        <v/>
      </c>
      <c r="C1461" s="82"/>
      <c r="D1461" s="82"/>
      <c r="E1461" s="82"/>
      <c r="F1461" s="82"/>
      <c r="G1461" s="82"/>
      <c r="H1461" s="83"/>
    </row>
    <row r="1463" spans="1:8">
      <c r="A1463" s="108"/>
      <c r="B1463" s="109"/>
      <c r="C1463" s="109"/>
      <c r="D1463" s="109"/>
      <c r="E1463" s="109"/>
      <c r="F1463" s="109"/>
      <c r="G1463" s="109"/>
      <c r="H1463" s="110"/>
    </row>
    <row r="1464" spans="1:8">
      <c r="A1464" s="80"/>
      <c r="B1464" s="147" t="s">
        <v>64</v>
      </c>
      <c r="C1464" s="81"/>
      <c r="D1464" s="81"/>
      <c r="E1464" s="81"/>
      <c r="F1464" s="81"/>
      <c r="G1464" s="81"/>
      <c r="H1464" s="111"/>
    </row>
    <row r="1465" spans="1:8">
      <c r="A1465" s="80"/>
      <c r="B1465" s="81"/>
      <c r="C1465" s="81"/>
      <c r="D1465" s="81"/>
      <c r="E1465" s="81"/>
      <c r="F1465" s="81"/>
      <c r="G1465" s="81"/>
      <c r="H1465" s="111"/>
    </row>
    <row r="1466" spans="1:8">
      <c r="A1466" s="80"/>
      <c r="B1466" s="81" t="s">
        <v>139</v>
      </c>
      <c r="C1466" s="81" t="str">
        <f>VLOOKUP(G1467,'17_1'!$A$203:$G$238,6,0)</f>
        <v>GIL, ELBA FORTUNATA</v>
      </c>
      <c r="D1466" s="81"/>
      <c r="E1466" s="81"/>
      <c r="F1466" s="81"/>
      <c r="G1466" s="138" t="s">
        <v>102</v>
      </c>
      <c r="H1466" s="111"/>
    </row>
    <row r="1467" spans="1:8">
      <c r="A1467" s="80"/>
      <c r="B1467" s="81" t="s">
        <v>72</v>
      </c>
      <c r="C1467" s="81" t="str">
        <f>+'17_1'!$A$191</f>
        <v>Hijuela Gelvez - Cabrera</v>
      </c>
      <c r="D1467" s="81"/>
      <c r="E1467" s="81"/>
      <c r="F1467" s="81"/>
      <c r="G1467" s="138">
        <v>17</v>
      </c>
      <c r="H1467" s="111"/>
    </row>
    <row r="1468" spans="1:8">
      <c r="A1468" s="80"/>
      <c r="B1468" s="81"/>
      <c r="C1468" s="81"/>
      <c r="D1468" s="81"/>
      <c r="E1468" s="81"/>
      <c r="F1468" s="81"/>
      <c r="G1468" s="81"/>
      <c r="H1468" s="111"/>
    </row>
    <row r="1469" spans="1:8">
      <c r="A1469" s="80"/>
      <c r="B1469" s="81" t="s">
        <v>140</v>
      </c>
      <c r="C1469" s="138">
        <f>VLOOKUP(G1467,'17_1'!$A$203:$B$238,2,0)</f>
        <v>1213</v>
      </c>
      <c r="D1469" s="81"/>
      <c r="E1469" s="139" t="s">
        <v>141</v>
      </c>
      <c r="F1469" s="141" t="e">
        <f>DSUM('17_1'!A$203:J$238,'17_1'!$J$203,G1466:G1467)</f>
        <v>#N/A</v>
      </c>
      <c r="G1469" s="81"/>
      <c r="H1469" s="111"/>
    </row>
    <row r="1470" spans="1:8">
      <c r="A1470" s="80"/>
      <c r="B1470" s="81" t="s">
        <v>142</v>
      </c>
      <c r="C1470" s="205">
        <v>289</v>
      </c>
      <c r="D1470" s="81"/>
      <c r="E1470" s="81"/>
      <c r="F1470" s="81"/>
      <c r="G1470" s="81"/>
      <c r="H1470" s="111"/>
    </row>
    <row r="1471" spans="1:8">
      <c r="A1471" s="80"/>
      <c r="B1471" s="81" t="s">
        <v>144</v>
      </c>
      <c r="C1471" s="206">
        <f>DSUM('17_1'!$A$203:$H$238,'17_1'!$H$203,G1466:G1467)</f>
        <v>0.83489999999999998</v>
      </c>
      <c r="D1471" s="81"/>
      <c r="E1471" s="81"/>
      <c r="F1471" s="584"/>
      <c r="G1471" s="584"/>
      <c r="H1471" s="111"/>
    </row>
    <row r="1472" spans="1:8" ht="15.75">
      <c r="A1472" s="80"/>
      <c r="B1472" s="81"/>
      <c r="C1472" s="81" t="s">
        <v>146</v>
      </c>
      <c r="D1472" s="145" t="e">
        <f>DMIN('17_1'!A$203:K$238,'17_1'!$K$203,G1466:G1467)</f>
        <v>#REF!</v>
      </c>
      <c r="E1472" s="189" t="e">
        <f>IF(F1472=1,"Domingo",IF(F1472=2,"Lunes",IF(F1472=3,"Martes",IF(F1472=4,"Miercoles",IF(F1472=5,"Jueves",IF(F1472=6,"Viernes",IF(F1472=7,"Sábado",0)))))))</f>
        <v>#REF!</v>
      </c>
      <c r="F1472" s="190" t="e">
        <f>WEEKDAY(D1472)</f>
        <v>#REF!</v>
      </c>
      <c r="G1472" s="142"/>
      <c r="H1472" s="111"/>
    </row>
    <row r="1473" spans="1:8" ht="15.75">
      <c r="A1473" s="80"/>
      <c r="B1473" s="81"/>
      <c r="C1473" s="81" t="s">
        <v>147</v>
      </c>
      <c r="D1473" s="145" t="e">
        <f>DMAX('17_1'!A$203:L$238,'17_1'!$L$203,G1466:G1467)</f>
        <v>#REF!</v>
      </c>
      <c r="E1473" s="189" t="e">
        <f>IF(F1473=1,"Domingo",IF(F1473=2,"Lunes",IF(F1473=3,"Martes",IF(F1473=4,"Miercoles",IF(F1473=5,"Jueves",IF(F1473=6,"Viernes",IF(F1473=7,"Sábado",0)))))))</f>
        <v>#REF!</v>
      </c>
      <c r="F1473" s="190" t="e">
        <f>WEEKDAY(D1473)</f>
        <v>#REF!</v>
      </c>
      <c r="G1473" s="142"/>
      <c r="H1473" s="111"/>
    </row>
    <row r="1474" spans="1:8">
      <c r="A1474" s="80"/>
      <c r="B1474" s="81"/>
      <c r="C1474" s="81"/>
      <c r="D1474" s="81"/>
      <c r="E1474" s="81"/>
      <c r="F1474" s="584"/>
      <c r="G1474" s="584"/>
      <c r="H1474" s="111"/>
    </row>
    <row r="1475" spans="1:8">
      <c r="A1475" s="80"/>
      <c r="B1475" s="146">
        <f>+Mensajes!$B$7</f>
        <v>0</v>
      </c>
      <c r="C1475" s="81"/>
      <c r="D1475" s="81"/>
      <c r="E1475" s="81"/>
      <c r="F1475" s="81"/>
      <c r="G1475" s="81"/>
      <c r="H1475" s="111"/>
    </row>
    <row r="1476" spans="1:8">
      <c r="A1476" s="80"/>
      <c r="B1476" s="146">
        <f>+Mensajes!$B$12</f>
        <v>0</v>
      </c>
      <c r="C1476" s="81"/>
      <c r="D1476" s="81"/>
      <c r="E1476" s="81"/>
      <c r="F1476" s="81"/>
      <c r="G1476" s="81"/>
      <c r="H1476" s="111"/>
    </row>
    <row r="1477" spans="1:8">
      <c r="A1477" s="80"/>
      <c r="B1477" s="146" t="str">
        <f>IF(VLOOKUP(G1467,'17_1'!$A$203:$N$238,14,0)=0,"",VLOOKUP(G1467,'17_1'!$A$203:$N$238,14,0))</f>
        <v/>
      </c>
      <c r="C1477" s="81"/>
      <c r="D1477" s="81"/>
      <c r="E1477" s="81"/>
      <c r="F1477" s="81"/>
      <c r="G1477" s="81"/>
      <c r="H1477" s="111"/>
    </row>
    <row r="1478" spans="1:8">
      <c r="A1478" s="140"/>
      <c r="B1478" s="188" t="str">
        <f>IF(DSUM('17_1'!$A$203:$Q$238,17,G1466:G1467)=COUNTIF('17_1'!$A$203:$A$238,G1467),"","Regularice su Deuda")</f>
        <v/>
      </c>
      <c r="C1478" s="82"/>
      <c r="D1478" s="82"/>
      <c r="E1478" s="82"/>
      <c r="F1478" s="82"/>
      <c r="G1478" s="82"/>
      <c r="H1478" s="83"/>
    </row>
    <row r="1480" spans="1:8">
      <c r="A1480" s="108"/>
      <c r="B1480" s="109"/>
      <c r="C1480" s="109"/>
      <c r="D1480" s="109"/>
      <c r="E1480" s="109"/>
      <c r="F1480" s="109"/>
      <c r="G1480" s="109"/>
      <c r="H1480" s="110"/>
    </row>
    <row r="1481" spans="1:8">
      <c r="A1481" s="80"/>
      <c r="B1481" s="147" t="s">
        <v>64</v>
      </c>
      <c r="C1481" s="81"/>
      <c r="D1481" s="81"/>
      <c r="E1481" s="81"/>
      <c r="F1481" s="81"/>
      <c r="G1481" s="81"/>
      <c r="H1481" s="111"/>
    </row>
    <row r="1482" spans="1:8">
      <c r="A1482" s="80"/>
      <c r="B1482" s="81"/>
      <c r="C1482" s="81"/>
      <c r="D1482" s="81"/>
      <c r="E1482" s="81"/>
      <c r="F1482" s="81"/>
      <c r="G1482" s="81"/>
      <c r="H1482" s="111"/>
    </row>
    <row r="1483" spans="1:8">
      <c r="A1483" s="80"/>
      <c r="B1483" s="81" t="s">
        <v>139</v>
      </c>
      <c r="C1483" s="81" t="str">
        <f>VLOOKUP(G1484,'17_1'!$A$203:$G$238,6,0)</f>
        <v>CARMONA, MARTA ALBERTINA</v>
      </c>
      <c r="D1483" s="81"/>
      <c r="E1483" s="81"/>
      <c r="F1483" s="81"/>
      <c r="G1483" s="138" t="s">
        <v>102</v>
      </c>
      <c r="H1483" s="111"/>
    </row>
    <row r="1484" spans="1:8">
      <c r="A1484" s="80"/>
      <c r="B1484" s="81" t="s">
        <v>72</v>
      </c>
      <c r="C1484" s="81" t="str">
        <f>+'17_1'!$A$191</f>
        <v>Hijuela Gelvez - Cabrera</v>
      </c>
      <c r="D1484" s="81"/>
      <c r="E1484" s="81"/>
      <c r="F1484" s="81"/>
      <c r="G1484" s="138">
        <v>18</v>
      </c>
      <c r="H1484" s="111"/>
    </row>
    <row r="1485" spans="1:8">
      <c r="A1485" s="80"/>
      <c r="B1485" s="81"/>
      <c r="C1485" s="81"/>
      <c r="D1485" s="81"/>
      <c r="E1485" s="81"/>
      <c r="F1485" s="81"/>
      <c r="G1485" s="81"/>
      <c r="H1485" s="111"/>
    </row>
    <row r="1486" spans="1:8">
      <c r="A1486" s="80"/>
      <c r="B1486" s="81" t="s">
        <v>140</v>
      </c>
      <c r="C1486" s="138">
        <f>VLOOKUP(G1484,'17_1'!$A$203:$B$238,2,0)</f>
        <v>1213</v>
      </c>
      <c r="D1486" s="81"/>
      <c r="E1486" s="139" t="s">
        <v>141</v>
      </c>
      <c r="F1486" s="141" t="e">
        <f>DSUM('17_1'!A$203:J$238,'17_1'!$J$203,G1483:G1484)</f>
        <v>#N/A</v>
      </c>
      <c r="G1486" s="81"/>
      <c r="H1486" s="111"/>
    </row>
    <row r="1487" spans="1:8">
      <c r="A1487" s="80"/>
      <c r="B1487" s="81" t="s">
        <v>142</v>
      </c>
      <c r="C1487" s="205">
        <v>176</v>
      </c>
      <c r="D1487" s="81"/>
      <c r="E1487" s="81"/>
      <c r="F1487" s="81"/>
      <c r="G1487" s="81"/>
      <c r="H1487" s="111"/>
    </row>
    <row r="1488" spans="1:8">
      <c r="A1488" s="80"/>
      <c r="B1488" s="81" t="s">
        <v>144</v>
      </c>
      <c r="C1488" s="206">
        <f>DSUM('17_1'!$A$203:$H$238,'17_1'!$H$203,G1483:G1484)</f>
        <v>0.43369999999999997</v>
      </c>
      <c r="D1488" s="81"/>
      <c r="E1488" s="81"/>
      <c r="F1488" s="584"/>
      <c r="G1488" s="584"/>
      <c r="H1488" s="111"/>
    </row>
    <row r="1489" spans="1:8" ht="15.75">
      <c r="A1489" s="80"/>
      <c r="B1489" s="81"/>
      <c r="C1489" s="81" t="s">
        <v>146</v>
      </c>
      <c r="D1489" s="145" t="e">
        <f>DMIN('17_1'!A$203:K$238,'17_1'!$K$203,G1483:G1484)</f>
        <v>#REF!</v>
      </c>
      <c r="E1489" s="189" t="e">
        <f>IF(F1489=1,"Domingo",IF(F1489=2,"Lunes",IF(F1489=3,"Martes",IF(F1489=4,"Miercoles",IF(F1489=5,"Jueves",IF(F1489=6,"Viernes",IF(F1489=7,"Sábado",0)))))))</f>
        <v>#REF!</v>
      </c>
      <c r="F1489" s="190" t="e">
        <f>WEEKDAY(D1489)</f>
        <v>#REF!</v>
      </c>
      <c r="G1489" s="142"/>
      <c r="H1489" s="111"/>
    </row>
    <row r="1490" spans="1:8" ht="15.75">
      <c r="A1490" s="80"/>
      <c r="B1490" s="81"/>
      <c r="C1490" s="81" t="s">
        <v>147</v>
      </c>
      <c r="D1490" s="145" t="e">
        <f>DMAX('17_1'!A$203:L$238,'17_1'!$L$203,G1483:G1484)</f>
        <v>#REF!</v>
      </c>
      <c r="E1490" s="189" t="e">
        <f>IF(F1490=1,"Domingo",IF(F1490=2,"Lunes",IF(F1490=3,"Martes",IF(F1490=4,"Miercoles",IF(F1490=5,"Jueves",IF(F1490=6,"Viernes",IF(F1490=7,"Sábado",0)))))))</f>
        <v>#REF!</v>
      </c>
      <c r="F1490" s="190" t="e">
        <f>WEEKDAY(D1490)</f>
        <v>#REF!</v>
      </c>
      <c r="G1490" s="142"/>
      <c r="H1490" s="111"/>
    </row>
    <row r="1491" spans="1:8">
      <c r="A1491" s="80"/>
      <c r="B1491" s="81"/>
      <c r="C1491" s="81"/>
      <c r="D1491" s="81"/>
      <c r="E1491" s="81"/>
      <c r="F1491" s="584"/>
      <c r="G1491" s="584"/>
      <c r="H1491" s="111"/>
    </row>
    <row r="1492" spans="1:8">
      <c r="A1492" s="80"/>
      <c r="B1492" s="146">
        <f>+Mensajes!$B$7</f>
        <v>0</v>
      </c>
      <c r="C1492" s="81"/>
      <c r="D1492" s="81"/>
      <c r="E1492" s="81"/>
      <c r="F1492" s="81"/>
      <c r="G1492" s="81"/>
      <c r="H1492" s="111"/>
    </row>
    <row r="1493" spans="1:8">
      <c r="A1493" s="80"/>
      <c r="B1493" s="146">
        <f>+Mensajes!$B$12</f>
        <v>0</v>
      </c>
      <c r="C1493" s="81"/>
      <c r="D1493" s="81"/>
      <c r="E1493" s="81"/>
      <c r="F1493" s="81"/>
      <c r="G1493" s="81"/>
      <c r="H1493" s="111"/>
    </row>
    <row r="1494" spans="1:8">
      <c r="A1494" s="80"/>
      <c r="B1494" s="146" t="str">
        <f>IF(VLOOKUP(G1484,'17_1'!$A$203:$N$238,14,0)=0,"",VLOOKUP(G1484,'17_1'!$A$203:$N$238,14,0))</f>
        <v/>
      </c>
      <c r="C1494" s="81"/>
      <c r="D1494" s="81"/>
      <c r="E1494" s="81"/>
      <c r="F1494" s="81"/>
      <c r="G1494" s="81"/>
      <c r="H1494" s="111"/>
    </row>
    <row r="1495" spans="1:8">
      <c r="A1495" s="140"/>
      <c r="B1495" s="188" t="str">
        <f>IF(DSUM('17_1'!$A$203:$Q$238,17,G1483:G1484)=COUNTIF('17_1'!$A$203:$A$238,G1484),"","Regularice su Deuda")</f>
        <v/>
      </c>
      <c r="C1495" s="82"/>
      <c r="D1495" s="82"/>
      <c r="E1495" s="82"/>
      <c r="F1495" s="82"/>
      <c r="G1495" s="82"/>
      <c r="H1495" s="83"/>
    </row>
    <row r="1497" spans="1:8">
      <c r="A1497" s="108"/>
      <c r="B1497" s="109"/>
      <c r="C1497" s="109"/>
      <c r="D1497" s="109"/>
      <c r="E1497" s="109"/>
      <c r="F1497" s="109"/>
      <c r="G1497" s="109"/>
      <c r="H1497" s="110"/>
    </row>
    <row r="1498" spans="1:8">
      <c r="A1498" s="80"/>
      <c r="B1498" s="147" t="s">
        <v>64</v>
      </c>
      <c r="C1498" s="81"/>
      <c r="D1498" s="81"/>
      <c r="E1498" s="81"/>
      <c r="F1498" s="81"/>
      <c r="G1498" s="81"/>
      <c r="H1498" s="111"/>
    </row>
    <row r="1499" spans="1:8">
      <c r="A1499" s="80"/>
      <c r="B1499" s="81"/>
      <c r="C1499" s="81"/>
      <c r="D1499" s="81"/>
      <c r="E1499" s="81"/>
      <c r="F1499" s="81"/>
      <c r="G1499" s="81"/>
      <c r="H1499" s="111"/>
    </row>
    <row r="1500" spans="1:8">
      <c r="A1500" s="80"/>
      <c r="B1500" s="81" t="s">
        <v>139</v>
      </c>
      <c r="C1500" s="81" t="str">
        <f>VLOOKUP(G1501,'17_1'!$A$203:$G$238,6,0)</f>
        <v>PEREZ, TERESA OLGA</v>
      </c>
      <c r="D1500" s="81"/>
      <c r="E1500" s="81"/>
      <c r="F1500" s="81"/>
      <c r="G1500" s="138" t="s">
        <v>102</v>
      </c>
      <c r="H1500" s="111"/>
    </row>
    <row r="1501" spans="1:8">
      <c r="A1501" s="80"/>
      <c r="B1501" s="81" t="s">
        <v>72</v>
      </c>
      <c r="C1501" s="81" t="str">
        <f>+'17_1'!$A$191</f>
        <v>Hijuela Gelvez - Cabrera</v>
      </c>
      <c r="D1501" s="81"/>
      <c r="E1501" s="81"/>
      <c r="F1501" s="81"/>
      <c r="G1501" s="138">
        <v>19</v>
      </c>
      <c r="H1501" s="111"/>
    </row>
    <row r="1502" spans="1:8">
      <c r="A1502" s="80"/>
      <c r="B1502" s="81"/>
      <c r="C1502" s="81"/>
      <c r="D1502" s="81"/>
      <c r="E1502" s="81"/>
      <c r="F1502" s="81"/>
      <c r="G1502" s="81"/>
      <c r="H1502" s="111"/>
    </row>
    <row r="1503" spans="1:8">
      <c r="A1503" s="80"/>
      <c r="B1503" s="81" t="s">
        <v>140</v>
      </c>
      <c r="C1503" s="138">
        <f>VLOOKUP(G1501,'17_1'!$A$203:$B$238,2,0)</f>
        <v>1213</v>
      </c>
      <c r="D1503" s="81"/>
      <c r="E1503" s="139" t="s">
        <v>141</v>
      </c>
      <c r="F1503" s="141" t="e">
        <f>DSUM('17_1'!A$203:J$238,'17_1'!$J$203,G1500:G1501)</f>
        <v>#N/A</v>
      </c>
      <c r="G1503" s="81"/>
      <c r="H1503" s="111"/>
    </row>
    <row r="1504" spans="1:8">
      <c r="A1504" s="80"/>
      <c r="B1504" s="81" t="s">
        <v>142</v>
      </c>
      <c r="C1504" s="205">
        <v>124</v>
      </c>
      <c r="D1504" s="81"/>
      <c r="E1504" s="81"/>
      <c r="F1504" s="81"/>
      <c r="G1504" s="81"/>
      <c r="H1504" s="111"/>
    </row>
    <row r="1505" spans="1:8">
      <c r="A1505" s="80"/>
      <c r="B1505" s="81" t="s">
        <v>144</v>
      </c>
      <c r="C1505" s="206">
        <f>DSUM('17_1'!$A$203:$H$238,'17_1'!$H$203,G1500:G1501)</f>
        <v>0.43359999999999999</v>
      </c>
      <c r="D1505" s="81"/>
      <c r="E1505" s="81"/>
      <c r="F1505" s="584"/>
      <c r="G1505" s="584"/>
      <c r="H1505" s="111"/>
    </row>
    <row r="1506" spans="1:8" ht="15.75">
      <c r="A1506" s="80"/>
      <c r="B1506" s="81"/>
      <c r="C1506" s="81" t="s">
        <v>146</v>
      </c>
      <c r="D1506" s="145" t="e">
        <f>DMIN('17_1'!A$203:K$238,'17_1'!$K$203,G1500:G1501)</f>
        <v>#REF!</v>
      </c>
      <c r="E1506" s="189" t="e">
        <f>IF(F1506=1,"Domingo",IF(F1506=2,"Lunes",IF(F1506=3,"Martes",IF(F1506=4,"Miercoles",IF(F1506=5,"Jueves",IF(F1506=6,"Viernes",IF(F1506=7,"Sábado",0)))))))</f>
        <v>#REF!</v>
      </c>
      <c r="F1506" s="190" t="e">
        <f>WEEKDAY(D1506)</f>
        <v>#REF!</v>
      </c>
      <c r="G1506" s="142"/>
      <c r="H1506" s="111"/>
    </row>
    <row r="1507" spans="1:8" ht="15.75">
      <c r="A1507" s="80"/>
      <c r="B1507" s="81"/>
      <c r="C1507" s="81" t="s">
        <v>147</v>
      </c>
      <c r="D1507" s="145" t="e">
        <f>DMAX('17_1'!A$203:L$238,'17_1'!$L$203,G1500:G1501)</f>
        <v>#REF!</v>
      </c>
      <c r="E1507" s="189" t="e">
        <f>IF(F1507=1,"Domingo",IF(F1507=2,"Lunes",IF(F1507=3,"Martes",IF(F1507=4,"Miercoles",IF(F1507=5,"Jueves",IF(F1507=6,"Viernes",IF(F1507=7,"Sábado",0)))))))</f>
        <v>#REF!</v>
      </c>
      <c r="F1507" s="190" t="e">
        <f>WEEKDAY(D1507)</f>
        <v>#REF!</v>
      </c>
      <c r="G1507" s="142"/>
      <c r="H1507" s="111"/>
    </row>
    <row r="1508" spans="1:8">
      <c r="A1508" s="80"/>
      <c r="B1508" s="81"/>
      <c r="C1508" s="81"/>
      <c r="D1508" s="81"/>
      <c r="E1508" s="81"/>
      <c r="F1508" s="584"/>
      <c r="G1508" s="584"/>
      <c r="H1508" s="111"/>
    </row>
    <row r="1509" spans="1:8">
      <c r="A1509" s="80"/>
      <c r="B1509" s="146">
        <f>+Mensajes!$B$7</f>
        <v>0</v>
      </c>
      <c r="C1509" s="81"/>
      <c r="D1509" s="81"/>
      <c r="E1509" s="81"/>
      <c r="F1509" s="81"/>
      <c r="G1509" s="81"/>
      <c r="H1509" s="111"/>
    </row>
    <row r="1510" spans="1:8">
      <c r="A1510" s="80"/>
      <c r="B1510" s="146">
        <f>+Mensajes!$B$12</f>
        <v>0</v>
      </c>
      <c r="C1510" s="81"/>
      <c r="D1510" s="81"/>
      <c r="E1510" s="81"/>
      <c r="F1510" s="81"/>
      <c r="G1510" s="81"/>
      <c r="H1510" s="111"/>
    </row>
    <row r="1511" spans="1:8">
      <c r="A1511" s="80"/>
      <c r="B1511" s="146" t="str">
        <f>IF(VLOOKUP(G1501,'17_1'!$A$203:$N$238,14,0)=0,"",VLOOKUP(G1501,'17_1'!$A$203:$N$238,14,0))</f>
        <v/>
      </c>
      <c r="C1511" s="81"/>
      <c r="D1511" s="81"/>
      <c r="E1511" s="81"/>
      <c r="F1511" s="81"/>
      <c r="G1511" s="81"/>
      <c r="H1511" s="111"/>
    </row>
    <row r="1512" spans="1:8">
      <c r="A1512" s="140"/>
      <c r="B1512" s="188" t="str">
        <f>IF(DSUM('17_1'!$A$203:$Q$238,17,G1500:G1501)=COUNTIF('17_1'!$A$203:$A$238,G1501),"","Regularice su Deuda")</f>
        <v/>
      </c>
      <c r="C1512" s="82"/>
      <c r="D1512" s="82"/>
      <c r="E1512" s="82"/>
      <c r="F1512" s="82"/>
      <c r="G1512" s="82"/>
      <c r="H1512" s="83"/>
    </row>
    <row r="1514" spans="1:8">
      <c r="A1514" s="108"/>
      <c r="B1514" s="109"/>
      <c r="C1514" s="109"/>
      <c r="D1514" s="109"/>
      <c r="E1514" s="109"/>
      <c r="F1514" s="109"/>
      <c r="G1514" s="109"/>
      <c r="H1514" s="110"/>
    </row>
    <row r="1515" spans="1:8">
      <c r="A1515" s="80"/>
      <c r="B1515" s="147" t="s">
        <v>64</v>
      </c>
      <c r="C1515" s="81"/>
      <c r="D1515" s="81"/>
      <c r="E1515" s="81"/>
      <c r="F1515" s="81"/>
      <c r="G1515" s="81"/>
      <c r="H1515" s="111"/>
    </row>
    <row r="1516" spans="1:8">
      <c r="A1516" s="80"/>
      <c r="B1516" s="81"/>
      <c r="C1516" s="81"/>
      <c r="D1516" s="81"/>
      <c r="E1516" s="81"/>
      <c r="F1516" s="81"/>
      <c r="G1516" s="81"/>
      <c r="H1516" s="111"/>
    </row>
    <row r="1517" spans="1:8">
      <c r="A1517" s="80"/>
      <c r="B1517" s="81" t="s">
        <v>139</v>
      </c>
      <c r="C1517" s="81" t="str">
        <f>VLOOKUP(G1518,'17_1'!$A$203:$G$238,6,0)</f>
        <v>GALDEANO, JUAN DE DIOS</v>
      </c>
      <c r="D1517" s="81"/>
      <c r="E1517" s="81"/>
      <c r="F1517" s="81"/>
      <c r="G1517" s="138" t="s">
        <v>102</v>
      </c>
      <c r="H1517" s="111"/>
    </row>
    <row r="1518" spans="1:8">
      <c r="A1518" s="80"/>
      <c r="B1518" s="81" t="s">
        <v>72</v>
      </c>
      <c r="C1518" s="81" t="str">
        <f>+'17_1'!$A$191</f>
        <v>Hijuela Gelvez - Cabrera</v>
      </c>
      <c r="D1518" s="81"/>
      <c r="E1518" s="81"/>
      <c r="F1518" s="81"/>
      <c r="G1518" s="138">
        <v>20</v>
      </c>
      <c r="H1518" s="111"/>
    </row>
    <row r="1519" spans="1:8">
      <c r="A1519" s="80"/>
      <c r="B1519" s="81"/>
      <c r="C1519" s="81"/>
      <c r="D1519" s="81"/>
      <c r="E1519" s="81"/>
      <c r="F1519" s="81"/>
      <c r="G1519" s="81"/>
      <c r="H1519" s="111"/>
    </row>
    <row r="1520" spans="1:8">
      <c r="A1520" s="80"/>
      <c r="B1520" s="81" t="s">
        <v>140</v>
      </c>
      <c r="C1520" s="138">
        <f>VLOOKUP(G1518,'17_1'!$A$203:$B$238,2,0)</f>
        <v>1213</v>
      </c>
      <c r="D1520" s="81"/>
      <c r="E1520" s="139" t="s">
        <v>141</v>
      </c>
      <c r="F1520" s="141" t="e">
        <f>DSUM('17_1'!A$203:J$238,'17_1'!$J$203,G1517:G1518)</f>
        <v>#N/A</v>
      </c>
      <c r="G1520" s="81"/>
      <c r="H1520" s="111"/>
    </row>
    <row r="1521" spans="1:8">
      <c r="A1521" s="80"/>
      <c r="B1521" s="81" t="s">
        <v>142</v>
      </c>
      <c r="C1521" s="205">
        <v>125</v>
      </c>
      <c r="D1521" s="81"/>
      <c r="E1521" s="81"/>
      <c r="F1521" s="81"/>
      <c r="G1521" s="81"/>
      <c r="H1521" s="111"/>
    </row>
    <row r="1522" spans="1:8">
      <c r="A1522" s="80"/>
      <c r="B1522" s="81" t="s">
        <v>144</v>
      </c>
      <c r="C1522" s="206">
        <f>DSUM('17_1'!$A$203:$H$238,'17_1'!$H$203,G1517:G1518)</f>
        <v>0.8</v>
      </c>
      <c r="D1522" s="81"/>
      <c r="E1522" s="81"/>
      <c r="F1522" s="584"/>
      <c r="G1522" s="584"/>
      <c r="H1522" s="111"/>
    </row>
    <row r="1523" spans="1:8" ht="15.75">
      <c r="A1523" s="80"/>
      <c r="B1523" s="81"/>
      <c r="C1523" s="81" t="s">
        <v>146</v>
      </c>
      <c r="D1523" s="145" t="e">
        <f>DMIN('17_1'!A$203:K$238,'17_1'!$K$203,G1517:G1518)</f>
        <v>#REF!</v>
      </c>
      <c r="E1523" s="189" t="e">
        <f>IF(F1523=1,"Domingo",IF(F1523=2,"Lunes",IF(F1523=3,"Martes",IF(F1523=4,"Miercoles",IF(F1523=5,"Jueves",IF(F1523=6,"Viernes",IF(F1523=7,"Sábado",0)))))))</f>
        <v>#REF!</v>
      </c>
      <c r="F1523" s="190" t="e">
        <f>WEEKDAY(D1523)</f>
        <v>#REF!</v>
      </c>
      <c r="G1523" s="142"/>
      <c r="H1523" s="111"/>
    </row>
    <row r="1524" spans="1:8" ht="15.75">
      <c r="A1524" s="80"/>
      <c r="B1524" s="81"/>
      <c r="C1524" s="81" t="s">
        <v>147</v>
      </c>
      <c r="D1524" s="145" t="e">
        <f>DMAX('17_1'!A$203:L$238,'17_1'!$L$203,G1517:G1518)</f>
        <v>#REF!</v>
      </c>
      <c r="E1524" s="189" t="e">
        <f>IF(F1524=1,"Domingo",IF(F1524=2,"Lunes",IF(F1524=3,"Martes",IF(F1524=4,"Miercoles",IF(F1524=5,"Jueves",IF(F1524=6,"Viernes",IF(F1524=7,"Sábado",0)))))))</f>
        <v>#REF!</v>
      </c>
      <c r="F1524" s="190" t="e">
        <f>WEEKDAY(D1524)</f>
        <v>#REF!</v>
      </c>
      <c r="G1524" s="142"/>
      <c r="H1524" s="111"/>
    </row>
    <row r="1525" spans="1:8">
      <c r="A1525" s="80"/>
      <c r="B1525" s="81"/>
      <c r="C1525" s="81"/>
      <c r="D1525" s="81"/>
      <c r="E1525" s="81"/>
      <c r="F1525" s="584"/>
      <c r="G1525" s="584"/>
      <c r="H1525" s="111"/>
    </row>
    <row r="1526" spans="1:8">
      <c r="A1526" s="80"/>
      <c r="B1526" s="146">
        <f>+Mensajes!$B$7</f>
        <v>0</v>
      </c>
      <c r="C1526" s="81"/>
      <c r="D1526" s="81"/>
      <c r="E1526" s="81"/>
      <c r="F1526" s="81"/>
      <c r="G1526" s="81"/>
      <c r="H1526" s="111"/>
    </row>
    <row r="1527" spans="1:8">
      <c r="A1527" s="80"/>
      <c r="B1527" s="146">
        <f>+Mensajes!$B$12</f>
        <v>0</v>
      </c>
      <c r="C1527" s="81"/>
      <c r="D1527" s="81"/>
      <c r="E1527" s="81"/>
      <c r="F1527" s="81"/>
      <c r="G1527" s="81"/>
      <c r="H1527" s="111"/>
    </row>
    <row r="1528" spans="1:8">
      <c r="A1528" s="80"/>
      <c r="B1528" s="146" t="str">
        <f>IF(VLOOKUP(G1518,'17_1'!$A$203:$N$238,14,0)=0,"",VLOOKUP(G1518,'17_1'!$A$203:$N$238,14,0))</f>
        <v/>
      </c>
      <c r="C1528" s="81"/>
      <c r="D1528" s="81"/>
      <c r="E1528" s="81"/>
      <c r="F1528" s="81"/>
      <c r="G1528" s="81"/>
      <c r="H1528" s="111"/>
    </row>
    <row r="1529" spans="1:8">
      <c r="A1529" s="140"/>
      <c r="B1529" s="188" t="str">
        <f>IF(DSUM('17_1'!$A$203:$Q$238,17,G1517:G1518)=COUNTIF('17_1'!$A$203:$A$238,G1518),"","Regularice su Deuda")</f>
        <v/>
      </c>
      <c r="C1529" s="82"/>
      <c r="D1529" s="82"/>
      <c r="E1529" s="82"/>
      <c r="F1529" s="82"/>
      <c r="G1529" s="82"/>
      <c r="H1529" s="83"/>
    </row>
    <row r="1531" spans="1:8">
      <c r="A1531" s="108"/>
      <c r="B1531" s="109"/>
      <c r="C1531" s="109"/>
      <c r="D1531" s="109"/>
      <c r="E1531" s="109"/>
      <c r="F1531" s="109"/>
      <c r="G1531" s="109"/>
      <c r="H1531" s="110"/>
    </row>
    <row r="1532" spans="1:8">
      <c r="A1532" s="80"/>
      <c r="B1532" s="147" t="s">
        <v>64</v>
      </c>
      <c r="C1532" s="81"/>
      <c r="D1532" s="81"/>
      <c r="E1532" s="81"/>
      <c r="F1532" s="81"/>
      <c r="G1532" s="81"/>
      <c r="H1532" s="111"/>
    </row>
    <row r="1533" spans="1:8">
      <c r="A1533" s="80"/>
      <c r="B1533" s="81"/>
      <c r="C1533" s="81"/>
      <c r="D1533" s="81"/>
      <c r="E1533" s="81"/>
      <c r="F1533" s="81"/>
      <c r="G1533" s="81"/>
      <c r="H1533" s="111"/>
    </row>
    <row r="1534" spans="1:8">
      <c r="A1534" s="80"/>
      <c r="B1534" s="81" t="s">
        <v>139</v>
      </c>
      <c r="C1534" s="81" t="str">
        <f>VLOOKUP(G1535,'17_1'!$A$203:$G$238,6,0)</f>
        <v>DIAZ, PABLO ROBERTO</v>
      </c>
      <c r="D1534" s="81"/>
      <c r="E1534" s="81"/>
      <c r="F1534" s="81"/>
      <c r="G1534" s="138" t="s">
        <v>102</v>
      </c>
      <c r="H1534" s="111"/>
    </row>
    <row r="1535" spans="1:8">
      <c r="A1535" s="80"/>
      <c r="B1535" s="81" t="s">
        <v>72</v>
      </c>
      <c r="C1535" s="81" t="str">
        <f>+'17_1'!$A$191</f>
        <v>Hijuela Gelvez - Cabrera</v>
      </c>
      <c r="D1535" s="81"/>
      <c r="E1535" s="81"/>
      <c r="F1535" s="81"/>
      <c r="G1535" s="138">
        <v>21</v>
      </c>
      <c r="H1535" s="111"/>
    </row>
    <row r="1536" spans="1:8">
      <c r="A1536" s="80"/>
      <c r="B1536" s="81"/>
      <c r="C1536" s="81"/>
      <c r="D1536" s="81"/>
      <c r="E1536" s="81"/>
      <c r="F1536" s="81"/>
      <c r="G1536" s="81"/>
      <c r="H1536" s="111"/>
    </row>
    <row r="1537" spans="1:8">
      <c r="A1537" s="80"/>
      <c r="B1537" s="81" t="s">
        <v>140</v>
      </c>
      <c r="C1537" s="138">
        <f>VLOOKUP(G1535,'17_1'!$A$203:$B$238,2,0)</f>
        <v>1213</v>
      </c>
      <c r="D1537" s="81"/>
      <c r="E1537" s="139" t="s">
        <v>141</v>
      </c>
      <c r="F1537" s="141" t="e">
        <f>DSUM('17_1'!A$203:J$238,'17_1'!$J$203,G1534:G1535)</f>
        <v>#N/A</v>
      </c>
      <c r="G1537" s="81"/>
      <c r="H1537" s="111"/>
    </row>
    <row r="1538" spans="1:8">
      <c r="A1538" s="80"/>
      <c r="B1538" s="81" t="s">
        <v>142</v>
      </c>
      <c r="C1538" s="205">
        <v>127</v>
      </c>
      <c r="D1538" s="81"/>
      <c r="E1538" s="81"/>
      <c r="F1538" s="81"/>
      <c r="G1538" s="81"/>
      <c r="H1538" s="111"/>
    </row>
    <row r="1539" spans="1:8">
      <c r="A1539" s="80"/>
      <c r="B1539" s="81" t="s">
        <v>144</v>
      </c>
      <c r="C1539" s="206">
        <f>DSUM('17_1'!$A$203:$H$238,'17_1'!$H$203,G1534:G1535)</f>
        <v>1.1506000000000001</v>
      </c>
      <c r="D1539" s="81"/>
      <c r="E1539" s="81"/>
      <c r="F1539" s="584"/>
      <c r="G1539" s="584"/>
      <c r="H1539" s="111"/>
    </row>
    <row r="1540" spans="1:8" ht="15.75">
      <c r="A1540" s="80"/>
      <c r="B1540" s="81"/>
      <c r="C1540" s="81" t="s">
        <v>146</v>
      </c>
      <c r="D1540" s="145" t="e">
        <f>DMIN('17_1'!A$203:K$238,'17_1'!$K$203,G1534:G1535)</f>
        <v>#REF!</v>
      </c>
      <c r="E1540" s="189" t="e">
        <f>IF(F1540=1,"Domingo",IF(F1540=2,"Lunes",IF(F1540=3,"Martes",IF(F1540=4,"Miercoles",IF(F1540=5,"Jueves",IF(F1540=6,"Viernes",IF(F1540=7,"Sábado",0)))))))</f>
        <v>#REF!</v>
      </c>
      <c r="F1540" s="190" t="e">
        <f>WEEKDAY(D1540)</f>
        <v>#REF!</v>
      </c>
      <c r="G1540" s="142"/>
      <c r="H1540" s="111"/>
    </row>
    <row r="1541" spans="1:8" ht="15.75">
      <c r="A1541" s="80"/>
      <c r="B1541" s="81"/>
      <c r="C1541" s="81" t="s">
        <v>147</v>
      </c>
      <c r="D1541" s="145" t="e">
        <f>DMAX('17_1'!A$203:L$238,'17_1'!$L$203,G1534:G1535)</f>
        <v>#REF!</v>
      </c>
      <c r="E1541" s="189" t="e">
        <f>IF(F1541=1,"Domingo",IF(F1541=2,"Lunes",IF(F1541=3,"Martes",IF(F1541=4,"Miercoles",IF(F1541=5,"Jueves",IF(F1541=6,"Viernes",IF(F1541=7,"Sábado",0)))))))</f>
        <v>#REF!</v>
      </c>
      <c r="F1541" s="190" t="e">
        <f>WEEKDAY(D1541)</f>
        <v>#REF!</v>
      </c>
      <c r="G1541" s="142"/>
      <c r="H1541" s="111"/>
    </row>
    <row r="1542" spans="1:8">
      <c r="A1542" s="80"/>
      <c r="B1542" s="81"/>
      <c r="C1542" s="81"/>
      <c r="D1542" s="81"/>
      <c r="E1542" s="81"/>
      <c r="F1542" s="584"/>
      <c r="G1542" s="584"/>
      <c r="H1542" s="111"/>
    </row>
    <row r="1543" spans="1:8">
      <c r="A1543" s="80"/>
      <c r="B1543" s="146">
        <f>+Mensajes!$B$7</f>
        <v>0</v>
      </c>
      <c r="C1543" s="81"/>
      <c r="D1543" s="81"/>
      <c r="E1543" s="81"/>
      <c r="F1543" s="81"/>
      <c r="G1543" s="81"/>
      <c r="H1543" s="111"/>
    </row>
    <row r="1544" spans="1:8">
      <c r="A1544" s="80"/>
      <c r="B1544" s="146">
        <f>+Mensajes!$B$12</f>
        <v>0</v>
      </c>
      <c r="C1544" s="81"/>
      <c r="D1544" s="81"/>
      <c r="E1544" s="81"/>
      <c r="F1544" s="81"/>
      <c r="G1544" s="81"/>
      <c r="H1544" s="111"/>
    </row>
    <row r="1545" spans="1:8">
      <c r="A1545" s="80"/>
      <c r="B1545" s="146" t="str">
        <f>IF(VLOOKUP(G1535,'17_1'!$A$203:$N$238,14,0)=0,"",VLOOKUP(G1535,'17_1'!$A$203:$N$238,14,0))</f>
        <v/>
      </c>
      <c r="C1545" s="81"/>
      <c r="D1545" s="81"/>
      <c r="E1545" s="81"/>
      <c r="F1545" s="81"/>
      <c r="G1545" s="81"/>
      <c r="H1545" s="111"/>
    </row>
    <row r="1546" spans="1:8">
      <c r="A1546" s="140"/>
      <c r="B1546" s="188" t="str">
        <f>IF(DSUM('17_1'!$A$203:$Q$238,17,G1534:G1535)=COUNTIF('17_1'!$A$203:$A$238,G1535),"","Regularice su Deuda")</f>
        <v/>
      </c>
      <c r="C1546" s="82"/>
      <c r="D1546" s="82"/>
      <c r="E1546" s="82"/>
      <c r="F1546" s="82"/>
      <c r="G1546" s="82"/>
      <c r="H1546" s="83"/>
    </row>
    <row r="1548" spans="1:8">
      <c r="A1548" s="108"/>
      <c r="B1548" s="109"/>
      <c r="C1548" s="109"/>
      <c r="D1548" s="109"/>
      <c r="E1548" s="109"/>
      <c r="F1548" s="109"/>
      <c r="G1548" s="109"/>
      <c r="H1548" s="110"/>
    </row>
    <row r="1549" spans="1:8">
      <c r="A1549" s="80"/>
      <c r="B1549" s="147" t="s">
        <v>64</v>
      </c>
      <c r="C1549" s="81"/>
      <c r="D1549" s="81"/>
      <c r="E1549" s="81"/>
      <c r="F1549" s="81"/>
      <c r="G1549" s="81"/>
      <c r="H1549" s="111"/>
    </row>
    <row r="1550" spans="1:8">
      <c r="A1550" s="80"/>
      <c r="B1550" s="81"/>
      <c r="C1550" s="81"/>
      <c r="D1550" s="81"/>
      <c r="E1550" s="81"/>
      <c r="F1550" s="81"/>
      <c r="G1550" s="81"/>
      <c r="H1550" s="111"/>
    </row>
    <row r="1551" spans="1:8">
      <c r="A1551" s="80"/>
      <c r="B1551" s="81" t="s">
        <v>139</v>
      </c>
      <c r="C1551" s="81" t="str">
        <f>VLOOKUP(G1552,'17_1'!$A$203:$G$238,6,0)</f>
        <v>DIAZ CARMONA DE QUINTEROS, ELISA A.</v>
      </c>
      <c r="D1551" s="81"/>
      <c r="E1551" s="81"/>
      <c r="F1551" s="81"/>
      <c r="G1551" s="138" t="s">
        <v>102</v>
      </c>
      <c r="H1551" s="111"/>
    </row>
    <row r="1552" spans="1:8">
      <c r="A1552" s="80"/>
      <c r="B1552" s="81" t="s">
        <v>72</v>
      </c>
      <c r="C1552" s="81" t="str">
        <f>+'17_1'!$A$191</f>
        <v>Hijuela Gelvez - Cabrera</v>
      </c>
      <c r="D1552" s="81"/>
      <c r="E1552" s="81"/>
      <c r="F1552" s="81"/>
      <c r="G1552" s="138">
        <v>22</v>
      </c>
      <c r="H1552" s="111"/>
    </row>
    <row r="1553" spans="1:8">
      <c r="A1553" s="80"/>
      <c r="B1553" s="81"/>
      <c r="C1553" s="81"/>
      <c r="D1553" s="81"/>
      <c r="E1553" s="81"/>
      <c r="F1553" s="81"/>
      <c r="G1553" s="81"/>
      <c r="H1553" s="111"/>
    </row>
    <row r="1554" spans="1:8">
      <c r="A1554" s="80"/>
      <c r="B1554" s="81" t="s">
        <v>140</v>
      </c>
      <c r="C1554" s="138">
        <f>VLOOKUP(G1552,'17_1'!$A$203:$B$238,2,0)</f>
        <v>1213</v>
      </c>
      <c r="D1554" s="81"/>
      <c r="E1554" s="139" t="s">
        <v>141</v>
      </c>
      <c r="F1554" s="141" t="e">
        <f>DSUM('17_1'!A$203:J$238,'17_1'!$J$203,G1551:G1552)</f>
        <v>#N/A</v>
      </c>
      <c r="G1554" s="81"/>
      <c r="H1554" s="111"/>
    </row>
    <row r="1555" spans="1:8">
      <c r="A1555" s="80"/>
      <c r="B1555" s="81" t="s">
        <v>142</v>
      </c>
      <c r="C1555" s="205">
        <v>129</v>
      </c>
      <c r="D1555" s="81"/>
      <c r="E1555" s="81"/>
      <c r="F1555" s="81"/>
      <c r="G1555" s="81"/>
      <c r="H1555" s="111"/>
    </row>
    <row r="1556" spans="1:8">
      <c r="A1556" s="80"/>
      <c r="B1556" s="81" t="s">
        <v>144</v>
      </c>
      <c r="C1556" s="206">
        <f>DSUM('17_1'!$A$203:$H$238,'17_1'!$H$203,G1551:G1552)</f>
        <v>2</v>
      </c>
      <c r="D1556" s="81"/>
      <c r="E1556" s="81"/>
      <c r="F1556" s="584"/>
      <c r="G1556" s="584"/>
      <c r="H1556" s="111"/>
    </row>
    <row r="1557" spans="1:8" ht="15.75">
      <c r="A1557" s="80"/>
      <c r="B1557" s="81"/>
      <c r="C1557" s="81" t="s">
        <v>146</v>
      </c>
      <c r="D1557" s="145" t="e">
        <f>DMIN('17_1'!A$203:K$238,'17_1'!$K$203,G1551:G1552)</f>
        <v>#REF!</v>
      </c>
      <c r="E1557" s="189" t="e">
        <f>IF(F1557=1,"Domingo",IF(F1557=2,"Lunes",IF(F1557=3,"Martes",IF(F1557=4,"Miercoles",IF(F1557=5,"Jueves",IF(F1557=6,"Viernes",IF(F1557=7,"Sábado",0)))))))</f>
        <v>#REF!</v>
      </c>
      <c r="F1557" s="190" t="e">
        <f>WEEKDAY(D1557)</f>
        <v>#REF!</v>
      </c>
      <c r="G1557" s="142"/>
      <c r="H1557" s="111"/>
    </row>
    <row r="1558" spans="1:8" ht="15.75">
      <c r="A1558" s="80"/>
      <c r="B1558" s="81"/>
      <c r="C1558" s="81" t="s">
        <v>147</v>
      </c>
      <c r="D1558" s="145" t="e">
        <f>DMAX('17_1'!A$203:L$238,'17_1'!$L$203,G1551:G1552)</f>
        <v>#REF!</v>
      </c>
      <c r="E1558" s="189" t="e">
        <f>IF(F1558=1,"Domingo",IF(F1558=2,"Lunes",IF(F1558=3,"Martes",IF(F1558=4,"Miercoles",IF(F1558=5,"Jueves",IF(F1558=6,"Viernes",IF(F1558=7,"Sábado",0)))))))</f>
        <v>#REF!</v>
      </c>
      <c r="F1558" s="190" t="e">
        <f>WEEKDAY(D1558)</f>
        <v>#REF!</v>
      </c>
      <c r="G1558" s="142"/>
      <c r="H1558" s="111"/>
    </row>
    <row r="1559" spans="1:8">
      <c r="A1559" s="80"/>
      <c r="B1559" s="81"/>
      <c r="C1559" s="81"/>
      <c r="D1559" s="81"/>
      <c r="E1559" s="81"/>
      <c r="F1559" s="584"/>
      <c r="G1559" s="584"/>
      <c r="H1559" s="111"/>
    </row>
    <row r="1560" spans="1:8">
      <c r="A1560" s="80"/>
      <c r="B1560" s="146">
        <f>+Mensajes!$B$7</f>
        <v>0</v>
      </c>
      <c r="C1560" s="81"/>
      <c r="D1560" s="81"/>
      <c r="E1560" s="81"/>
      <c r="F1560" s="81"/>
      <c r="G1560" s="81"/>
      <c r="H1560" s="111"/>
    </row>
    <row r="1561" spans="1:8">
      <c r="A1561" s="80"/>
      <c r="B1561" s="146">
        <f>+Mensajes!$B$12</f>
        <v>0</v>
      </c>
      <c r="C1561" s="81"/>
      <c r="D1561" s="81"/>
      <c r="E1561" s="81"/>
      <c r="F1561" s="81"/>
      <c r="G1561" s="81"/>
      <c r="H1561" s="111"/>
    </row>
    <row r="1562" spans="1:8">
      <c r="A1562" s="80"/>
      <c r="B1562" s="146" t="str">
        <f>IF(VLOOKUP(G1552,'17_1'!$A$203:$N$238,14,0)=0,"",VLOOKUP(G1552,'17_1'!$A$203:$N$238,14,0))</f>
        <v/>
      </c>
      <c r="C1562" s="81"/>
      <c r="D1562" s="81"/>
      <c r="E1562" s="81"/>
      <c r="F1562" s="81"/>
      <c r="G1562" s="81"/>
      <c r="H1562" s="111"/>
    </row>
    <row r="1563" spans="1:8">
      <c r="A1563" s="140"/>
      <c r="B1563" s="188" t="str">
        <f>IF(DSUM('17_1'!$A$203:$Q$238,17,G1551:G1552)=COUNTIF('17_1'!$A$203:$A$238,G1552),"","Regularice su Deuda")</f>
        <v/>
      </c>
      <c r="C1563" s="82"/>
      <c r="D1563" s="82"/>
      <c r="E1563" s="82"/>
      <c r="F1563" s="82"/>
      <c r="G1563" s="82"/>
      <c r="H1563" s="83"/>
    </row>
    <row r="1565" spans="1:8">
      <c r="A1565" s="108"/>
      <c r="B1565" s="109"/>
      <c r="C1565" s="109"/>
      <c r="D1565" s="109"/>
      <c r="E1565" s="109"/>
      <c r="F1565" s="109"/>
      <c r="G1565" s="109"/>
      <c r="H1565" s="110"/>
    </row>
    <row r="1566" spans="1:8">
      <c r="A1566" s="80"/>
      <c r="B1566" s="147" t="s">
        <v>64</v>
      </c>
      <c r="C1566" s="81"/>
      <c r="D1566" s="81"/>
      <c r="E1566" s="81"/>
      <c r="F1566" s="81"/>
      <c r="G1566" s="81"/>
      <c r="H1566" s="111"/>
    </row>
    <row r="1567" spans="1:8">
      <c r="A1567" s="80"/>
      <c r="B1567" s="81"/>
      <c r="C1567" s="81"/>
      <c r="D1567" s="81"/>
      <c r="E1567" s="81"/>
      <c r="F1567" s="81"/>
      <c r="G1567" s="81"/>
      <c r="H1567" s="111"/>
    </row>
    <row r="1568" spans="1:8">
      <c r="A1568" s="80"/>
      <c r="B1568" s="81" t="s">
        <v>139</v>
      </c>
      <c r="C1568" s="81" t="str">
        <f>VLOOKUP(G1569,'17_1'!$A$203:$G$238,6,0)</f>
        <v>DIAZ, PABLO ROBERTO</v>
      </c>
      <c r="D1568" s="81"/>
      <c r="E1568" s="81"/>
      <c r="F1568" s="81"/>
      <c r="G1568" s="138" t="s">
        <v>102</v>
      </c>
      <c r="H1568" s="111"/>
    </row>
    <row r="1569" spans="1:8">
      <c r="A1569" s="80"/>
      <c r="B1569" s="81" t="s">
        <v>72</v>
      </c>
      <c r="C1569" s="81" t="str">
        <f>+'17_1'!$A$191</f>
        <v>Hijuela Gelvez - Cabrera</v>
      </c>
      <c r="D1569" s="81"/>
      <c r="E1569" s="81"/>
      <c r="F1569" s="81"/>
      <c r="G1569" s="138">
        <v>23</v>
      </c>
      <c r="H1569" s="111"/>
    </row>
    <row r="1570" spans="1:8">
      <c r="A1570" s="80"/>
      <c r="B1570" s="81"/>
      <c r="C1570" s="81"/>
      <c r="D1570" s="81"/>
      <c r="E1570" s="81"/>
      <c r="F1570" s="81"/>
      <c r="G1570" s="81"/>
      <c r="H1570" s="111"/>
    </row>
    <row r="1571" spans="1:8">
      <c r="A1571" s="80"/>
      <c r="B1571" s="81" t="s">
        <v>140</v>
      </c>
      <c r="C1571" s="138">
        <f>VLOOKUP(G1569,'17_1'!$A$203:$B$238,2,0)</f>
        <v>1213</v>
      </c>
      <c r="D1571" s="81"/>
      <c r="E1571" s="139" t="s">
        <v>141</v>
      </c>
      <c r="F1571" s="141" t="e">
        <f>DSUM('17_1'!A$203:J$238,'17_1'!$J$203,G1568:G1569)</f>
        <v>#N/A</v>
      </c>
      <c r="G1571" s="81"/>
      <c r="H1571" s="111"/>
    </row>
    <row r="1572" spans="1:8">
      <c r="A1572" s="80"/>
      <c r="B1572" s="81" t="s">
        <v>142</v>
      </c>
      <c r="C1572" s="205">
        <v>211</v>
      </c>
      <c r="D1572" s="81"/>
      <c r="E1572" s="81"/>
      <c r="F1572" s="81"/>
      <c r="G1572" s="81"/>
      <c r="H1572" s="111"/>
    </row>
    <row r="1573" spans="1:8">
      <c r="A1573" s="80"/>
      <c r="B1573" s="81" t="s">
        <v>144</v>
      </c>
      <c r="C1573" s="206">
        <f>DSUM('17_1'!$A$203:$H$238,'17_1'!$H$203,G1568:G1569)</f>
        <v>0.46500000000000002</v>
      </c>
      <c r="D1573" s="81"/>
      <c r="E1573" s="81"/>
      <c r="F1573" s="584"/>
      <c r="G1573" s="584"/>
      <c r="H1573" s="111"/>
    </row>
    <row r="1574" spans="1:8" ht="15.75">
      <c r="A1574" s="80"/>
      <c r="B1574" s="81"/>
      <c r="C1574" s="81" t="s">
        <v>146</v>
      </c>
      <c r="D1574" s="145" t="e">
        <f>DMIN('17_1'!A$203:K$238,'17_1'!$K$203,G1568:G1569)</f>
        <v>#REF!</v>
      </c>
      <c r="E1574" s="189" t="e">
        <f>IF(F1574=1,"Domingo",IF(F1574=2,"Lunes",IF(F1574=3,"Martes",IF(F1574=4,"Miercoles",IF(F1574=5,"Jueves",IF(F1574=6,"Viernes",IF(F1574=7,"Sábado",0)))))))</f>
        <v>#REF!</v>
      </c>
      <c r="F1574" s="190" t="e">
        <f>WEEKDAY(D1574)</f>
        <v>#REF!</v>
      </c>
      <c r="G1574" s="142"/>
      <c r="H1574" s="111"/>
    </row>
    <row r="1575" spans="1:8" ht="15.75">
      <c r="A1575" s="80"/>
      <c r="B1575" s="81"/>
      <c r="C1575" s="81" t="s">
        <v>147</v>
      </c>
      <c r="D1575" s="145" t="e">
        <f>DMAX('17_1'!A$203:L$238,'17_1'!$L$203,G1568:G1569)</f>
        <v>#REF!</v>
      </c>
      <c r="E1575" s="189" t="e">
        <f>IF(F1575=1,"Domingo",IF(F1575=2,"Lunes",IF(F1575=3,"Martes",IF(F1575=4,"Miercoles",IF(F1575=5,"Jueves",IF(F1575=6,"Viernes",IF(F1575=7,"Sábado",0)))))))</f>
        <v>#REF!</v>
      </c>
      <c r="F1575" s="190" t="e">
        <f>WEEKDAY(D1575)</f>
        <v>#REF!</v>
      </c>
      <c r="G1575" s="142"/>
      <c r="H1575" s="111"/>
    </row>
    <row r="1576" spans="1:8">
      <c r="A1576" s="80"/>
      <c r="B1576" s="81"/>
      <c r="C1576" s="81"/>
      <c r="D1576" s="81"/>
      <c r="E1576" s="81"/>
      <c r="F1576" s="584"/>
      <c r="G1576" s="584"/>
      <c r="H1576" s="111"/>
    </row>
    <row r="1577" spans="1:8">
      <c r="A1577" s="80"/>
      <c r="B1577" s="146">
        <f>+Mensajes!$B$7</f>
        <v>0</v>
      </c>
      <c r="C1577" s="81"/>
      <c r="D1577" s="81"/>
      <c r="E1577" s="81"/>
      <c r="F1577" s="81"/>
      <c r="G1577" s="81"/>
      <c r="H1577" s="111"/>
    </row>
    <row r="1578" spans="1:8">
      <c r="A1578" s="80"/>
      <c r="B1578" s="146">
        <f>+Mensajes!$B$12</f>
        <v>0</v>
      </c>
      <c r="C1578" s="81"/>
      <c r="D1578" s="81"/>
      <c r="E1578" s="81"/>
      <c r="F1578" s="81"/>
      <c r="G1578" s="81"/>
      <c r="H1578" s="111"/>
    </row>
    <row r="1579" spans="1:8">
      <c r="A1579" s="80"/>
      <c r="B1579" s="146" t="str">
        <f>IF(VLOOKUP(G1569,'17_1'!$A$203:$N$238,14,0)=0,"",VLOOKUP(G1569,'17_1'!$A$203:$N$238,14,0))</f>
        <v/>
      </c>
      <c r="C1579" s="81"/>
      <c r="D1579" s="81"/>
      <c r="E1579" s="81"/>
      <c r="F1579" s="81"/>
      <c r="G1579" s="81"/>
      <c r="H1579" s="111"/>
    </row>
    <row r="1580" spans="1:8">
      <c r="A1580" s="140"/>
      <c r="B1580" s="188" t="str">
        <f>IF(DSUM('17_1'!$A$203:$Q$238,17,G1568:G1569)=COUNTIF('17_1'!$A$203:$A$238,G1569),"","Regularice su Deuda")</f>
        <v/>
      </c>
      <c r="C1580" s="82"/>
      <c r="D1580" s="82"/>
      <c r="E1580" s="82"/>
      <c r="F1580" s="82"/>
      <c r="G1580" s="82"/>
      <c r="H1580" s="83"/>
    </row>
    <row r="1582" spans="1:8">
      <c r="A1582" s="108"/>
      <c r="B1582" s="109"/>
      <c r="C1582" s="109"/>
      <c r="D1582" s="109"/>
      <c r="E1582" s="109"/>
      <c r="F1582" s="109"/>
      <c r="G1582" s="109"/>
      <c r="H1582" s="110"/>
    </row>
    <row r="1583" spans="1:8">
      <c r="A1583" s="80"/>
      <c r="B1583" s="147" t="s">
        <v>64</v>
      </c>
      <c r="C1583" s="81"/>
      <c r="D1583" s="81"/>
      <c r="E1583" s="81"/>
      <c r="F1583" s="81"/>
      <c r="G1583" s="81"/>
      <c r="H1583" s="111"/>
    </row>
    <row r="1584" spans="1:8">
      <c r="A1584" s="80"/>
      <c r="B1584" s="81"/>
      <c r="C1584" s="81"/>
      <c r="D1584" s="81"/>
      <c r="E1584" s="81"/>
      <c r="F1584" s="81"/>
      <c r="G1584" s="81"/>
      <c r="H1584" s="111"/>
    </row>
    <row r="1585" spans="1:8">
      <c r="A1585" s="80"/>
      <c r="B1585" s="81" t="s">
        <v>139</v>
      </c>
      <c r="C1585" s="81" t="str">
        <f>VLOOKUP(G1586,'17_1'!$A$203:$G$238,6,0)</f>
        <v>DIAZ, RAMON AMADEO</v>
      </c>
      <c r="D1585" s="81"/>
      <c r="E1585" s="81"/>
      <c r="F1585" s="81"/>
      <c r="G1585" s="138" t="s">
        <v>102</v>
      </c>
      <c r="H1585" s="111"/>
    </row>
    <row r="1586" spans="1:8">
      <c r="A1586" s="80"/>
      <c r="B1586" s="81" t="s">
        <v>72</v>
      </c>
      <c r="C1586" s="81" t="str">
        <f>+'17_1'!$A$191</f>
        <v>Hijuela Gelvez - Cabrera</v>
      </c>
      <c r="D1586" s="81"/>
      <c r="E1586" s="81"/>
      <c r="F1586" s="81"/>
      <c r="G1586" s="138">
        <v>24</v>
      </c>
      <c r="H1586" s="111"/>
    </row>
    <row r="1587" spans="1:8">
      <c r="A1587" s="80"/>
      <c r="B1587" s="81"/>
      <c r="C1587" s="81"/>
      <c r="D1587" s="81"/>
      <c r="E1587" s="81"/>
      <c r="F1587" s="81"/>
      <c r="G1587" s="81"/>
      <c r="H1587" s="111"/>
    </row>
    <row r="1588" spans="1:8">
      <c r="A1588" s="80"/>
      <c r="B1588" s="81" t="s">
        <v>140</v>
      </c>
      <c r="C1588" s="138">
        <f>VLOOKUP(G1586,'17_1'!$A$203:$B$238,2,0)</f>
        <v>1213</v>
      </c>
      <c r="D1588" s="81"/>
      <c r="E1588" s="139" t="s">
        <v>141</v>
      </c>
      <c r="F1588" s="141" t="e">
        <f>DSUM('17_1'!A$203:J$238,'17_1'!$J$203,G1585:G1586)</f>
        <v>#N/A</v>
      </c>
      <c r="G1588" s="81"/>
      <c r="H1588" s="111"/>
    </row>
    <row r="1589" spans="1:8">
      <c r="A1589" s="80"/>
      <c r="B1589" s="81" t="s">
        <v>142</v>
      </c>
      <c r="C1589" s="205">
        <v>123</v>
      </c>
      <c r="D1589" s="81"/>
      <c r="E1589" s="81"/>
      <c r="F1589" s="81"/>
      <c r="G1589" s="81"/>
      <c r="H1589" s="111"/>
    </row>
    <row r="1590" spans="1:8">
      <c r="A1590" s="80"/>
      <c r="B1590" s="81" t="s">
        <v>144</v>
      </c>
      <c r="C1590" s="206">
        <f>DSUM('17_1'!$A$203:$H$238,'17_1'!$H$203,G1585:G1586)</f>
        <v>0.53500000000000003</v>
      </c>
      <c r="D1590" s="81"/>
      <c r="E1590" s="81"/>
      <c r="F1590" s="584"/>
      <c r="G1590" s="584"/>
      <c r="H1590" s="111"/>
    </row>
    <row r="1591" spans="1:8" ht="15.75">
      <c r="A1591" s="80"/>
      <c r="B1591" s="81"/>
      <c r="C1591" s="81" t="s">
        <v>146</v>
      </c>
      <c r="D1591" s="145" t="e">
        <f>DMIN('17_1'!A$203:K$238,'17_1'!$K$203,G1585:G1586)</f>
        <v>#REF!</v>
      </c>
      <c r="E1591" s="189" t="e">
        <f>IF(F1591=1,"Domingo",IF(F1591=2,"Lunes",IF(F1591=3,"Martes",IF(F1591=4,"Miercoles",IF(F1591=5,"Jueves",IF(F1591=6,"Viernes",IF(F1591=7,"Sábado",0)))))))</f>
        <v>#REF!</v>
      </c>
      <c r="F1591" s="190" t="e">
        <f>WEEKDAY(D1591)</f>
        <v>#REF!</v>
      </c>
      <c r="G1591" s="142"/>
      <c r="H1591" s="111"/>
    </row>
    <row r="1592" spans="1:8" ht="15.75">
      <c r="A1592" s="80"/>
      <c r="B1592" s="81"/>
      <c r="C1592" s="81" t="s">
        <v>147</v>
      </c>
      <c r="D1592" s="145" t="e">
        <f>DMAX('17_1'!A$203:L$238,'17_1'!$L$203,G1585:G1586)</f>
        <v>#REF!</v>
      </c>
      <c r="E1592" s="189" t="e">
        <f>IF(F1592=1,"Domingo",IF(F1592=2,"Lunes",IF(F1592=3,"Martes",IF(F1592=4,"Miercoles",IF(F1592=5,"Jueves",IF(F1592=6,"Viernes",IF(F1592=7,"Sábado",0)))))))</f>
        <v>#REF!</v>
      </c>
      <c r="F1592" s="190" t="e">
        <f>WEEKDAY(D1592)</f>
        <v>#REF!</v>
      </c>
      <c r="G1592" s="142"/>
      <c r="H1592" s="111"/>
    </row>
    <row r="1593" spans="1:8">
      <c r="A1593" s="80"/>
      <c r="B1593" s="81"/>
      <c r="C1593" s="81"/>
      <c r="D1593" s="81"/>
      <c r="E1593" s="81"/>
      <c r="F1593" s="584"/>
      <c r="G1593" s="584"/>
      <c r="H1593" s="111"/>
    </row>
    <row r="1594" spans="1:8">
      <c r="A1594" s="80"/>
      <c r="B1594" s="146">
        <f>+Mensajes!$B$7</f>
        <v>0</v>
      </c>
      <c r="C1594" s="81"/>
      <c r="D1594" s="81"/>
      <c r="E1594" s="81"/>
      <c r="F1594" s="81"/>
      <c r="G1594" s="81"/>
      <c r="H1594" s="111"/>
    </row>
    <row r="1595" spans="1:8">
      <c r="A1595" s="80"/>
      <c r="B1595" s="146">
        <f>+Mensajes!$B$12</f>
        <v>0</v>
      </c>
      <c r="C1595" s="81"/>
      <c r="D1595" s="81"/>
      <c r="E1595" s="81"/>
      <c r="F1595" s="81"/>
      <c r="G1595" s="81"/>
      <c r="H1595" s="111"/>
    </row>
    <row r="1596" spans="1:8">
      <c r="A1596" s="80"/>
      <c r="B1596" s="146" t="str">
        <f>IF(VLOOKUP(G1586,'17_1'!$A$203:$N$238,14,0)=0,"",VLOOKUP(G1586,'17_1'!$A$203:$N$238,14,0))</f>
        <v/>
      </c>
      <c r="C1596" s="81"/>
      <c r="D1596" s="81"/>
      <c r="E1596" s="81"/>
      <c r="F1596" s="81"/>
      <c r="G1596" s="81"/>
      <c r="H1596" s="111"/>
    </row>
    <row r="1597" spans="1:8">
      <c r="A1597" s="140"/>
      <c r="B1597" s="188" t="str">
        <f>IF(DSUM('17_1'!$A$203:$Q$238,17,G1585:G1586)=COUNTIF('17_1'!$A$203:$A$238,G1586),"","Regularice su Deuda")</f>
        <v/>
      </c>
      <c r="C1597" s="82"/>
      <c r="D1597" s="82"/>
      <c r="E1597" s="82"/>
      <c r="F1597" s="82"/>
      <c r="G1597" s="82"/>
      <c r="H1597" s="83"/>
    </row>
    <row r="1599" spans="1:8">
      <c r="A1599" s="108"/>
      <c r="B1599" s="109"/>
      <c r="C1599" s="109"/>
      <c r="D1599" s="109"/>
      <c r="E1599" s="109"/>
      <c r="F1599" s="109"/>
      <c r="G1599" s="109"/>
      <c r="H1599" s="110"/>
    </row>
    <row r="1600" spans="1:8">
      <c r="A1600" s="80"/>
      <c r="B1600" s="147" t="s">
        <v>64</v>
      </c>
      <c r="C1600" s="81"/>
      <c r="D1600" s="81"/>
      <c r="E1600" s="81"/>
      <c r="F1600" s="81"/>
      <c r="G1600" s="81"/>
      <c r="H1600" s="111"/>
    </row>
    <row r="1601" spans="1:8">
      <c r="A1601" s="80"/>
      <c r="B1601" s="81"/>
      <c r="C1601" s="81"/>
      <c r="D1601" s="81"/>
      <c r="E1601" s="81"/>
      <c r="F1601" s="81"/>
      <c r="G1601" s="81"/>
      <c r="H1601" s="111"/>
    </row>
    <row r="1602" spans="1:8">
      <c r="A1602" s="80"/>
      <c r="B1602" s="81" t="s">
        <v>139</v>
      </c>
      <c r="C1602" s="81" t="str">
        <f>VLOOKUP(G1603,'17_1'!$A$203:$G$238,6,0)</f>
        <v>VILLEGAS, DIONISIO</v>
      </c>
      <c r="D1602" s="81"/>
      <c r="E1602" s="81"/>
      <c r="F1602" s="81"/>
      <c r="G1602" s="138" t="s">
        <v>102</v>
      </c>
      <c r="H1602" s="111"/>
    </row>
    <row r="1603" spans="1:8">
      <c r="A1603" s="80"/>
      <c r="B1603" s="81" t="s">
        <v>72</v>
      </c>
      <c r="C1603" s="81" t="str">
        <f>+'17_1'!$A$191</f>
        <v>Hijuela Gelvez - Cabrera</v>
      </c>
      <c r="D1603" s="81"/>
      <c r="E1603" s="81"/>
      <c r="F1603" s="81"/>
      <c r="G1603" s="138">
        <v>25</v>
      </c>
      <c r="H1603" s="111"/>
    </row>
    <row r="1604" spans="1:8">
      <c r="A1604" s="80"/>
      <c r="B1604" s="81"/>
      <c r="C1604" s="81"/>
      <c r="D1604" s="81"/>
      <c r="E1604" s="81"/>
      <c r="F1604" s="81"/>
      <c r="G1604" s="81"/>
      <c r="H1604" s="111"/>
    </row>
    <row r="1605" spans="1:8">
      <c r="A1605" s="80"/>
      <c r="B1605" s="81" t="s">
        <v>140</v>
      </c>
      <c r="C1605" s="138">
        <f>VLOOKUP(G1603,'17_1'!$A$203:$B$238,2,0)</f>
        <v>1213</v>
      </c>
      <c r="D1605" s="81"/>
      <c r="E1605" s="139" t="s">
        <v>141</v>
      </c>
      <c r="F1605" s="141" t="e">
        <f>DSUM('17_1'!A$203:J$238,'17_1'!$J$203,G1602:G1603)</f>
        <v>#N/A</v>
      </c>
      <c r="G1605" s="81"/>
      <c r="H1605" s="111"/>
    </row>
    <row r="1606" spans="1:8">
      <c r="A1606" s="80"/>
      <c r="B1606" s="81" t="s">
        <v>142</v>
      </c>
      <c r="C1606" s="205">
        <v>102</v>
      </c>
      <c r="D1606" s="81"/>
      <c r="E1606" s="81"/>
      <c r="F1606" s="81"/>
      <c r="G1606" s="81"/>
      <c r="H1606" s="111"/>
    </row>
    <row r="1607" spans="1:8">
      <c r="A1607" s="80"/>
      <c r="B1607" s="81" t="s">
        <v>144</v>
      </c>
      <c r="C1607" s="206">
        <f>DSUM('17_1'!$A$203:$H$238,'17_1'!$H$203,G1602:G1603)</f>
        <v>1</v>
      </c>
      <c r="D1607" s="81"/>
      <c r="E1607" s="81"/>
      <c r="F1607" s="584"/>
      <c r="G1607" s="584"/>
      <c r="H1607" s="111"/>
    </row>
    <row r="1608" spans="1:8" ht="15.75">
      <c r="A1608" s="80"/>
      <c r="B1608" s="81"/>
      <c r="C1608" s="81" t="s">
        <v>146</v>
      </c>
      <c r="D1608" s="145" t="e">
        <f>DMIN('17_1'!A$203:K$238,'17_1'!$K$203,G1602:G1603)</f>
        <v>#REF!</v>
      </c>
      <c r="E1608" s="189" t="e">
        <f>IF(F1608=1,"Domingo",IF(F1608=2,"Lunes",IF(F1608=3,"Martes",IF(F1608=4,"Miercoles",IF(F1608=5,"Jueves",IF(F1608=6,"Viernes",IF(F1608=7,"Sábado",0)))))))</f>
        <v>#REF!</v>
      </c>
      <c r="F1608" s="190" t="e">
        <f>WEEKDAY(D1608)</f>
        <v>#REF!</v>
      </c>
      <c r="G1608" s="142"/>
      <c r="H1608" s="111"/>
    </row>
    <row r="1609" spans="1:8" ht="15.75">
      <c r="A1609" s="80"/>
      <c r="B1609" s="81"/>
      <c r="C1609" s="81" t="s">
        <v>147</v>
      </c>
      <c r="D1609" s="145" t="e">
        <f>DMAX('17_1'!A$203:L$238,'17_1'!$L$203,G1602:G1603)</f>
        <v>#REF!</v>
      </c>
      <c r="E1609" s="189" t="e">
        <f>IF(F1609=1,"Domingo",IF(F1609=2,"Lunes",IF(F1609=3,"Martes",IF(F1609=4,"Miercoles",IF(F1609=5,"Jueves",IF(F1609=6,"Viernes",IF(F1609=7,"Sábado",0)))))))</f>
        <v>#REF!</v>
      </c>
      <c r="F1609" s="190" t="e">
        <f>WEEKDAY(D1609)</f>
        <v>#REF!</v>
      </c>
      <c r="G1609" s="142"/>
      <c r="H1609" s="111"/>
    </row>
    <row r="1610" spans="1:8">
      <c r="A1610" s="80"/>
      <c r="B1610" s="81"/>
      <c r="C1610" s="81"/>
      <c r="D1610" s="81"/>
      <c r="E1610" s="81"/>
      <c r="F1610" s="584"/>
      <c r="G1610" s="584"/>
      <c r="H1610" s="111"/>
    </row>
    <row r="1611" spans="1:8">
      <c r="A1611" s="80"/>
      <c r="B1611" s="146">
        <f>+Mensajes!$B$7</f>
        <v>0</v>
      </c>
      <c r="C1611" s="81"/>
      <c r="D1611" s="81"/>
      <c r="E1611" s="81"/>
      <c r="F1611" s="81"/>
      <c r="G1611" s="81"/>
      <c r="H1611" s="111"/>
    </row>
    <row r="1612" spans="1:8">
      <c r="A1612" s="80"/>
      <c r="B1612" s="146">
        <f>+Mensajes!$B$12</f>
        <v>0</v>
      </c>
      <c r="C1612" s="81"/>
      <c r="D1612" s="81"/>
      <c r="E1612" s="81"/>
      <c r="F1612" s="81"/>
      <c r="G1612" s="81"/>
      <c r="H1612" s="111"/>
    </row>
    <row r="1613" spans="1:8">
      <c r="A1613" s="80"/>
      <c r="B1613" s="146" t="str">
        <f>IF(VLOOKUP(G1603,'17_1'!$A$203:$N$238,14,0)=0,"",VLOOKUP(G1603,'17_1'!$A$203:$N$238,14,0))</f>
        <v/>
      </c>
      <c r="C1613" s="81"/>
      <c r="D1613" s="81"/>
      <c r="E1613" s="81"/>
      <c r="F1613" s="81"/>
      <c r="G1613" s="81"/>
      <c r="H1613" s="111"/>
    </row>
    <row r="1614" spans="1:8">
      <c r="A1614" s="140"/>
      <c r="B1614" s="188" t="str">
        <f>IF(DSUM('17_1'!$A$203:$Q$238,17,G1602:G1603)=COUNTIF('17_1'!$A$203:$A$238,G1603),"","Regularice su Deuda")</f>
        <v/>
      </c>
      <c r="C1614" s="82"/>
      <c r="D1614" s="82"/>
      <c r="E1614" s="82"/>
      <c r="F1614" s="82"/>
      <c r="G1614" s="82"/>
      <c r="H1614" s="83"/>
    </row>
    <row r="1616" spans="1:8">
      <c r="A1616" s="108"/>
      <c r="B1616" s="109"/>
      <c r="C1616" s="109"/>
      <c r="D1616" s="109"/>
      <c r="E1616" s="109"/>
      <c r="F1616" s="109"/>
      <c r="G1616" s="109"/>
      <c r="H1616" s="110"/>
    </row>
    <row r="1617" spans="1:8">
      <c r="A1617" s="80"/>
      <c r="B1617" s="147" t="s">
        <v>64</v>
      </c>
      <c r="C1617" s="81"/>
      <c r="D1617" s="81"/>
      <c r="E1617" s="81"/>
      <c r="F1617" s="81"/>
      <c r="G1617" s="81"/>
      <c r="H1617" s="111"/>
    </row>
    <row r="1618" spans="1:8">
      <c r="A1618" s="80"/>
      <c r="B1618" s="81"/>
      <c r="C1618" s="81"/>
      <c r="D1618" s="81"/>
      <c r="E1618" s="81"/>
      <c r="F1618" s="81"/>
      <c r="G1618" s="81"/>
      <c r="H1618" s="111"/>
    </row>
    <row r="1619" spans="1:8">
      <c r="A1619" s="80"/>
      <c r="B1619" s="81" t="s">
        <v>139</v>
      </c>
      <c r="C1619" s="81" t="str">
        <f>VLOOKUP(G1620,'17_1'!$A$203:$G$238,6,0)</f>
        <v>VITORIA DE BIANCHI, DIANA</v>
      </c>
      <c r="D1619" s="81"/>
      <c r="E1619" s="81"/>
      <c r="F1619" s="81"/>
      <c r="G1619" s="138" t="s">
        <v>102</v>
      </c>
      <c r="H1619" s="111"/>
    </row>
    <row r="1620" spans="1:8">
      <c r="A1620" s="80"/>
      <c r="B1620" s="81" t="s">
        <v>72</v>
      </c>
      <c r="C1620" s="81" t="str">
        <f>+'17_1'!$A$191</f>
        <v>Hijuela Gelvez - Cabrera</v>
      </c>
      <c r="D1620" s="81"/>
      <c r="E1620" s="81"/>
      <c r="F1620" s="81"/>
      <c r="G1620" s="138">
        <v>26</v>
      </c>
      <c r="H1620" s="111"/>
    </row>
    <row r="1621" spans="1:8">
      <c r="A1621" s="80"/>
      <c r="B1621" s="81"/>
      <c r="C1621" s="81"/>
      <c r="D1621" s="81"/>
      <c r="E1621" s="81"/>
      <c r="F1621" s="81"/>
      <c r="G1621" s="81"/>
      <c r="H1621" s="111"/>
    </row>
    <row r="1622" spans="1:8">
      <c r="A1622" s="80"/>
      <c r="B1622" s="81" t="s">
        <v>140</v>
      </c>
      <c r="C1622" s="138">
        <f>VLOOKUP(G1620,'17_1'!$A$203:$B$238,2,0)</f>
        <v>1213</v>
      </c>
      <c r="D1622" s="81"/>
      <c r="E1622" s="139" t="s">
        <v>141</v>
      </c>
      <c r="F1622" s="141" t="e">
        <f>DSUM('17_1'!A$203:J$238,'17_1'!$J$203,G1619:G1620)</f>
        <v>#N/A</v>
      </c>
      <c r="G1622" s="81"/>
      <c r="H1622" s="111"/>
    </row>
    <row r="1623" spans="1:8">
      <c r="A1623" s="80"/>
      <c r="B1623" s="81" t="s">
        <v>142</v>
      </c>
      <c r="C1623" s="205">
        <v>126</v>
      </c>
      <c r="D1623" s="81"/>
      <c r="E1623" s="81"/>
      <c r="F1623" s="81"/>
      <c r="G1623" s="81"/>
      <c r="H1623" s="111"/>
    </row>
    <row r="1624" spans="1:8">
      <c r="A1624" s="80"/>
      <c r="B1624" s="81" t="s">
        <v>144</v>
      </c>
      <c r="C1624" s="206">
        <f>DSUM('17_1'!$A$203:$H$238,'17_1'!$H$203,G1619:G1620)</f>
        <v>3.9841000000000002</v>
      </c>
      <c r="D1624" s="81"/>
      <c r="E1624" s="81"/>
      <c r="F1624" s="584"/>
      <c r="G1624" s="584"/>
      <c r="H1624" s="111"/>
    </row>
    <row r="1625" spans="1:8" ht="15.75">
      <c r="A1625" s="80"/>
      <c r="B1625" s="81"/>
      <c r="C1625" s="81" t="s">
        <v>146</v>
      </c>
      <c r="D1625" s="145" t="e">
        <f>DMIN('17_1'!A$203:K$238,'17_1'!$K$203,G1619:G1620)</f>
        <v>#REF!</v>
      </c>
      <c r="E1625" s="189" t="e">
        <f>IF(F1625=1,"Domingo",IF(F1625=2,"Lunes",IF(F1625=3,"Martes",IF(F1625=4,"Miercoles",IF(F1625=5,"Jueves",IF(F1625=6,"Viernes",IF(F1625=7,"Sábado",0)))))))</f>
        <v>#REF!</v>
      </c>
      <c r="F1625" s="190" t="e">
        <f>WEEKDAY(D1625)</f>
        <v>#REF!</v>
      </c>
      <c r="G1625" s="142"/>
      <c r="H1625" s="111"/>
    </row>
    <row r="1626" spans="1:8" ht="15.75">
      <c r="A1626" s="80"/>
      <c r="B1626" s="81"/>
      <c r="C1626" s="81" t="s">
        <v>147</v>
      </c>
      <c r="D1626" s="145" t="e">
        <f>DMAX('17_1'!A$203:L$238,'17_1'!$L$203,G1619:G1620)</f>
        <v>#REF!</v>
      </c>
      <c r="E1626" s="189" t="e">
        <f>IF(F1626=1,"Domingo",IF(F1626=2,"Lunes",IF(F1626=3,"Martes",IF(F1626=4,"Miercoles",IF(F1626=5,"Jueves",IF(F1626=6,"Viernes",IF(F1626=7,"Sábado",0)))))))</f>
        <v>#REF!</v>
      </c>
      <c r="F1626" s="190" t="e">
        <f>WEEKDAY(D1626)</f>
        <v>#REF!</v>
      </c>
      <c r="G1626" s="142"/>
      <c r="H1626" s="111"/>
    </row>
    <row r="1627" spans="1:8">
      <c r="A1627" s="80"/>
      <c r="B1627" s="81"/>
      <c r="C1627" s="81"/>
      <c r="D1627" s="81"/>
      <c r="E1627" s="81"/>
      <c r="F1627" s="584"/>
      <c r="G1627" s="584"/>
      <c r="H1627" s="111"/>
    </row>
    <row r="1628" spans="1:8">
      <c r="A1628" s="80"/>
      <c r="B1628" s="146">
        <f>+Mensajes!$B$7</f>
        <v>0</v>
      </c>
      <c r="C1628" s="81"/>
      <c r="D1628" s="81"/>
      <c r="E1628" s="81"/>
      <c r="F1628" s="81"/>
      <c r="G1628" s="81"/>
      <c r="H1628" s="111"/>
    </row>
    <row r="1629" spans="1:8">
      <c r="A1629" s="80"/>
      <c r="B1629" s="146">
        <f>+Mensajes!$B$12</f>
        <v>0</v>
      </c>
      <c r="C1629" s="81"/>
      <c r="D1629" s="81"/>
      <c r="E1629" s="81"/>
      <c r="F1629" s="81"/>
      <c r="G1629" s="81"/>
      <c r="H1629" s="111"/>
    </row>
    <row r="1630" spans="1:8">
      <c r="A1630" s="80"/>
      <c r="B1630" s="146" t="str">
        <f>IF(VLOOKUP(G1620,'17_1'!$A$203:$N$238,14,0)=0,"",VLOOKUP(G1620,'17_1'!$A$203:$N$238,14,0))</f>
        <v/>
      </c>
      <c r="C1630" s="81"/>
      <c r="D1630" s="81"/>
      <c r="E1630" s="81"/>
      <c r="F1630" s="81"/>
      <c r="G1630" s="81"/>
      <c r="H1630" s="111"/>
    </row>
    <row r="1631" spans="1:8">
      <c r="A1631" s="140"/>
      <c r="B1631" s="188" t="str">
        <f>IF(DSUM('17_1'!$A$203:$Q$238,17,G1619:G1620)=COUNTIF('17_1'!$A$203:$A$238,G1620),"","Regularice su Deuda")</f>
        <v/>
      </c>
      <c r="C1631" s="82"/>
      <c r="D1631" s="82"/>
      <c r="E1631" s="82"/>
      <c r="F1631" s="82"/>
      <c r="G1631" s="82"/>
      <c r="H1631" s="83"/>
    </row>
    <row r="1633" spans="1:8">
      <c r="A1633" s="108"/>
      <c r="B1633" s="109"/>
      <c r="C1633" s="109"/>
      <c r="D1633" s="109"/>
      <c r="E1633" s="109"/>
      <c r="F1633" s="109"/>
      <c r="G1633" s="109"/>
      <c r="H1633" s="110"/>
    </row>
    <row r="1634" spans="1:8">
      <c r="A1634" s="80"/>
      <c r="B1634" s="147" t="s">
        <v>64</v>
      </c>
      <c r="C1634" s="81"/>
      <c r="D1634" s="81"/>
      <c r="E1634" s="81"/>
      <c r="F1634" s="81"/>
      <c r="G1634" s="81"/>
      <c r="H1634" s="111"/>
    </row>
    <row r="1635" spans="1:8">
      <c r="A1635" s="80"/>
      <c r="B1635" s="81"/>
      <c r="C1635" s="81"/>
      <c r="D1635" s="81"/>
      <c r="E1635" s="81"/>
      <c r="F1635" s="81"/>
      <c r="G1635" s="81"/>
      <c r="H1635" s="111"/>
    </row>
    <row r="1636" spans="1:8">
      <c r="A1636" s="80"/>
      <c r="B1636" s="81" t="s">
        <v>139</v>
      </c>
      <c r="C1636" s="81" t="str">
        <f>VLOOKUP(G1637,'17_1'!$A$203:$G$238,6,0)</f>
        <v>BIANCHI, JORGE ALBERTO</v>
      </c>
      <c r="D1636" s="81"/>
      <c r="E1636" s="81"/>
      <c r="F1636" s="81"/>
      <c r="G1636" s="138" t="s">
        <v>102</v>
      </c>
      <c r="H1636" s="111"/>
    </row>
    <row r="1637" spans="1:8">
      <c r="A1637" s="80"/>
      <c r="B1637" s="81" t="s">
        <v>72</v>
      </c>
      <c r="C1637" s="81" t="str">
        <f>+'17_1'!$A$191</f>
        <v>Hijuela Gelvez - Cabrera</v>
      </c>
      <c r="D1637" s="81"/>
      <c r="E1637" s="81"/>
      <c r="F1637" s="81"/>
      <c r="G1637" s="138">
        <v>27</v>
      </c>
      <c r="H1637" s="111"/>
    </row>
    <row r="1638" spans="1:8">
      <c r="A1638" s="80"/>
      <c r="B1638" s="81"/>
      <c r="C1638" s="81"/>
      <c r="D1638" s="81"/>
      <c r="E1638" s="81"/>
      <c r="F1638" s="81"/>
      <c r="G1638" s="81"/>
      <c r="H1638" s="111"/>
    </row>
    <row r="1639" spans="1:8">
      <c r="A1639" s="80"/>
      <c r="B1639" s="81" t="s">
        <v>140</v>
      </c>
      <c r="C1639" s="138">
        <f>VLOOKUP(G1637,'17_1'!$A$203:$B$238,2,0)</f>
        <v>1213</v>
      </c>
      <c r="D1639" s="81"/>
      <c r="E1639" s="139" t="s">
        <v>141</v>
      </c>
      <c r="F1639" s="141" t="e">
        <f>DSUM('17_1'!A$203:J$238,'17_1'!$J$203,G1636:G1637)</f>
        <v>#N/A</v>
      </c>
      <c r="G1639" s="81"/>
      <c r="H1639" s="111"/>
    </row>
    <row r="1640" spans="1:8">
      <c r="A1640" s="80"/>
      <c r="B1640" s="81" t="s">
        <v>142</v>
      </c>
      <c r="C1640" s="205">
        <v>135</v>
      </c>
      <c r="D1640" s="81"/>
      <c r="E1640" s="81"/>
      <c r="F1640" s="81"/>
      <c r="G1640" s="81"/>
      <c r="H1640" s="111"/>
    </row>
    <row r="1641" spans="1:8">
      <c r="A1641" s="80"/>
      <c r="B1641" s="81" t="s">
        <v>144</v>
      </c>
      <c r="C1641" s="206">
        <f>DSUM('17_1'!$A$203:$H$238,'17_1'!$H$203,G1636:G1637)</f>
        <v>1.9307000000000001</v>
      </c>
      <c r="D1641" s="81"/>
      <c r="E1641" s="81"/>
      <c r="F1641" s="584"/>
      <c r="G1641" s="584"/>
      <c r="H1641" s="111"/>
    </row>
    <row r="1642" spans="1:8" ht="15.75">
      <c r="A1642" s="80"/>
      <c r="B1642" s="81"/>
      <c r="C1642" s="81" t="s">
        <v>146</v>
      </c>
      <c r="D1642" s="145" t="e">
        <f>DMIN('17_1'!A$203:K$238,'17_1'!$K$203,G1636:G1637)</f>
        <v>#REF!</v>
      </c>
      <c r="E1642" s="189" t="e">
        <f>IF(F1642=1,"Domingo",IF(F1642=2,"Lunes",IF(F1642=3,"Martes",IF(F1642=4,"Miercoles",IF(F1642=5,"Jueves",IF(F1642=6,"Viernes",IF(F1642=7,"Sábado",0)))))))</f>
        <v>#REF!</v>
      </c>
      <c r="F1642" s="190" t="e">
        <f>WEEKDAY(D1642)</f>
        <v>#REF!</v>
      </c>
      <c r="G1642" s="142"/>
      <c r="H1642" s="111"/>
    </row>
    <row r="1643" spans="1:8" ht="15.75">
      <c r="A1643" s="80"/>
      <c r="B1643" s="81"/>
      <c r="C1643" s="81" t="s">
        <v>147</v>
      </c>
      <c r="D1643" s="145" t="e">
        <f>DMAX('17_1'!A$203:L$238,'17_1'!$L$203,G1636:G1637)</f>
        <v>#REF!</v>
      </c>
      <c r="E1643" s="189" t="e">
        <f>IF(F1643=1,"Domingo",IF(F1643=2,"Lunes",IF(F1643=3,"Martes",IF(F1643=4,"Miercoles",IF(F1643=5,"Jueves",IF(F1643=6,"Viernes",IF(F1643=7,"Sábado",0)))))))</f>
        <v>#REF!</v>
      </c>
      <c r="F1643" s="190" t="e">
        <f>WEEKDAY(D1643)</f>
        <v>#REF!</v>
      </c>
      <c r="G1643" s="142"/>
      <c r="H1643" s="111"/>
    </row>
    <row r="1644" spans="1:8">
      <c r="A1644" s="80"/>
      <c r="B1644" s="81"/>
      <c r="C1644" s="81"/>
      <c r="D1644" s="81"/>
      <c r="E1644" s="81"/>
      <c r="F1644" s="584"/>
      <c r="G1644" s="584"/>
      <c r="H1644" s="111"/>
    </row>
    <row r="1645" spans="1:8">
      <c r="A1645" s="80"/>
      <c r="B1645" s="146">
        <f>+Mensajes!$B$7</f>
        <v>0</v>
      </c>
      <c r="C1645" s="81"/>
      <c r="D1645" s="81"/>
      <c r="E1645" s="81"/>
      <c r="F1645" s="81"/>
      <c r="G1645" s="81"/>
      <c r="H1645" s="111"/>
    </row>
    <row r="1646" spans="1:8">
      <c r="A1646" s="80"/>
      <c r="B1646" s="146">
        <f>+Mensajes!$B$12</f>
        <v>0</v>
      </c>
      <c r="C1646" s="81"/>
      <c r="D1646" s="81"/>
      <c r="E1646" s="81"/>
      <c r="F1646" s="81"/>
      <c r="G1646" s="81"/>
      <c r="H1646" s="111"/>
    </row>
    <row r="1647" spans="1:8">
      <c r="A1647" s="80"/>
      <c r="B1647" s="146" t="str">
        <f>IF(VLOOKUP(G1637,'17_1'!$A$203:$N$238,14,0)=0,"",VLOOKUP(G1637,'17_1'!$A$203:$N$238,14,0))</f>
        <v/>
      </c>
      <c r="C1647" s="81"/>
      <c r="D1647" s="81"/>
      <c r="E1647" s="81"/>
      <c r="F1647" s="81"/>
      <c r="G1647" s="81"/>
      <c r="H1647" s="111"/>
    </row>
    <row r="1648" spans="1:8">
      <c r="A1648" s="140"/>
      <c r="B1648" s="188" t="str">
        <f>IF(DSUM('17_1'!$A$203:$Q$238,17,G1636:G1637)=COUNTIF('17_1'!$A$203:$A$238,G1637),"","Regularice su Deuda")</f>
        <v/>
      </c>
      <c r="C1648" s="82"/>
      <c r="D1648" s="82"/>
      <c r="E1648" s="82"/>
      <c r="F1648" s="82"/>
      <c r="G1648" s="82"/>
      <c r="H1648" s="83"/>
    </row>
    <row r="1650" spans="1:8">
      <c r="A1650" s="108"/>
      <c r="B1650" s="109"/>
      <c r="C1650" s="109"/>
      <c r="D1650" s="109"/>
      <c r="E1650" s="109"/>
      <c r="F1650" s="109"/>
      <c r="G1650" s="109"/>
      <c r="H1650" s="110"/>
    </row>
    <row r="1651" spans="1:8">
      <c r="A1651" s="80"/>
      <c r="B1651" s="147" t="s">
        <v>64</v>
      </c>
      <c r="C1651" s="81"/>
      <c r="D1651" s="81"/>
      <c r="E1651" s="81"/>
      <c r="F1651" s="81"/>
      <c r="G1651" s="81"/>
      <c r="H1651" s="111"/>
    </row>
    <row r="1652" spans="1:8">
      <c r="A1652" s="80"/>
      <c r="B1652" s="81"/>
      <c r="C1652" s="81"/>
      <c r="D1652" s="81"/>
      <c r="E1652" s="81"/>
      <c r="F1652" s="81"/>
      <c r="G1652" s="81"/>
      <c r="H1652" s="111"/>
    </row>
    <row r="1653" spans="1:8">
      <c r="A1653" s="80"/>
      <c r="B1653" s="81" t="s">
        <v>139</v>
      </c>
      <c r="C1653" s="81" t="str">
        <f>VLOOKUP(G1654,'17_1'!$A$203:$G$238,6,0)</f>
        <v>VITORIA DE BIANCHI, DIANA</v>
      </c>
      <c r="D1653" s="81"/>
      <c r="E1653" s="81"/>
      <c r="F1653" s="81"/>
      <c r="G1653" s="138" t="s">
        <v>102</v>
      </c>
      <c r="H1653" s="111"/>
    </row>
    <row r="1654" spans="1:8">
      <c r="A1654" s="80"/>
      <c r="B1654" s="81" t="s">
        <v>72</v>
      </c>
      <c r="C1654" s="81" t="str">
        <f>+'17_1'!$A$191</f>
        <v>Hijuela Gelvez - Cabrera</v>
      </c>
      <c r="D1654" s="81"/>
      <c r="E1654" s="81"/>
      <c r="F1654" s="81"/>
      <c r="G1654" s="138">
        <v>28</v>
      </c>
      <c r="H1654" s="111"/>
    </row>
    <row r="1655" spans="1:8">
      <c r="A1655" s="80"/>
      <c r="B1655" s="81"/>
      <c r="C1655" s="81"/>
      <c r="D1655" s="81"/>
      <c r="E1655" s="81"/>
      <c r="F1655" s="81"/>
      <c r="G1655" s="81"/>
      <c r="H1655" s="111"/>
    </row>
    <row r="1656" spans="1:8">
      <c r="A1656" s="80"/>
      <c r="B1656" s="81" t="s">
        <v>140</v>
      </c>
      <c r="C1656" s="138">
        <f>VLOOKUP(G1654,'17_1'!$A$203:$B$238,2,0)</f>
        <v>1213</v>
      </c>
      <c r="D1656" s="81"/>
      <c r="E1656" s="139" t="s">
        <v>141</v>
      </c>
      <c r="F1656" s="141" t="e">
        <f>DSUM('17_1'!A$203:J$238,'17_1'!$J$203,G1653:G1654)</f>
        <v>#N/A</v>
      </c>
      <c r="G1656" s="81"/>
      <c r="H1656" s="111"/>
    </row>
    <row r="1657" spans="1:8">
      <c r="A1657" s="80"/>
      <c r="B1657" s="81" t="s">
        <v>142</v>
      </c>
      <c r="C1657" s="205" t="s">
        <v>550</v>
      </c>
      <c r="D1657" s="81"/>
      <c r="E1657" s="81"/>
      <c r="F1657" s="81"/>
      <c r="G1657" s="81"/>
      <c r="H1657" s="111"/>
    </row>
    <row r="1658" spans="1:8">
      <c r="A1658" s="80"/>
      <c r="B1658" s="81" t="s">
        <v>144</v>
      </c>
      <c r="C1658" s="206">
        <f>DSUM('17_1'!$A$203:$H$238,'17_1'!$H$203,G1653:G1654)</f>
        <v>4.8075000000000001</v>
      </c>
      <c r="D1658" s="81"/>
      <c r="E1658" s="81"/>
      <c r="F1658" s="584"/>
      <c r="G1658" s="584"/>
      <c r="H1658" s="111"/>
    </row>
    <row r="1659" spans="1:8" ht="15.75">
      <c r="A1659" s="80"/>
      <c r="B1659" s="81"/>
      <c r="C1659" s="81" t="s">
        <v>146</v>
      </c>
      <c r="D1659" s="145" t="e">
        <f>DMIN('17_1'!A$203:K$238,'17_1'!$K$203,G1653:G1654)</f>
        <v>#REF!</v>
      </c>
      <c r="E1659" s="189" t="e">
        <f>IF(F1659=1,"Domingo",IF(F1659=2,"Lunes",IF(F1659=3,"Martes",IF(F1659=4,"Miercoles",IF(F1659=5,"Jueves",IF(F1659=6,"Viernes",IF(F1659=7,"Sábado",0)))))))</f>
        <v>#REF!</v>
      </c>
      <c r="F1659" s="190" t="e">
        <f>WEEKDAY(D1659)</f>
        <v>#REF!</v>
      </c>
      <c r="G1659" s="142"/>
      <c r="H1659" s="111"/>
    </row>
    <row r="1660" spans="1:8" ht="15.75">
      <c r="A1660" s="80"/>
      <c r="B1660" s="81"/>
      <c r="C1660" s="81" t="s">
        <v>147</v>
      </c>
      <c r="D1660" s="145" t="e">
        <f>DMAX('17_1'!A$203:L$238,'17_1'!$L$203,G1653:G1654)</f>
        <v>#REF!</v>
      </c>
      <c r="E1660" s="189" t="e">
        <f>IF(F1660=1,"Domingo",IF(F1660=2,"Lunes",IF(F1660=3,"Martes",IF(F1660=4,"Miercoles",IF(F1660=5,"Jueves",IF(F1660=6,"Viernes",IF(F1660=7,"Sábado",0)))))))</f>
        <v>#REF!</v>
      </c>
      <c r="F1660" s="190" t="e">
        <f>WEEKDAY(D1660)</f>
        <v>#REF!</v>
      </c>
      <c r="G1660" s="142"/>
      <c r="H1660" s="111"/>
    </row>
    <row r="1661" spans="1:8">
      <c r="A1661" s="80"/>
      <c r="B1661" s="81"/>
      <c r="C1661" s="81"/>
      <c r="D1661" s="81"/>
      <c r="E1661" s="81"/>
      <c r="F1661" s="584"/>
      <c r="G1661" s="584"/>
      <c r="H1661" s="111"/>
    </row>
    <row r="1662" spans="1:8">
      <c r="A1662" s="80"/>
      <c r="B1662" s="146">
        <f>+Mensajes!$B$7</f>
        <v>0</v>
      </c>
      <c r="C1662" s="81"/>
      <c r="D1662" s="81"/>
      <c r="E1662" s="81"/>
      <c r="F1662" s="81"/>
      <c r="G1662" s="81"/>
      <c r="H1662" s="111"/>
    </row>
    <row r="1663" spans="1:8">
      <c r="A1663" s="80"/>
      <c r="B1663" s="146">
        <f>+Mensajes!$B$12</f>
        <v>0</v>
      </c>
      <c r="C1663" s="81"/>
      <c r="D1663" s="81"/>
      <c r="E1663" s="81"/>
      <c r="F1663" s="81"/>
      <c r="G1663" s="81"/>
      <c r="H1663" s="111"/>
    </row>
    <row r="1664" spans="1:8">
      <c r="A1664" s="80"/>
      <c r="B1664" s="146" t="str">
        <f>IF(VLOOKUP(G1654,'17_1'!$A$203:$N$238,14,0)=0,"",VLOOKUP(G1654,'17_1'!$A$203:$N$238,14,0))</f>
        <v/>
      </c>
      <c r="C1664" s="81"/>
      <c r="D1664" s="81"/>
      <c r="E1664" s="81"/>
      <c r="F1664" s="81"/>
      <c r="G1664" s="81"/>
      <c r="H1664" s="111"/>
    </row>
    <row r="1665" spans="1:8">
      <c r="A1665" s="140"/>
      <c r="B1665" s="188" t="str">
        <f>IF(DSUM('17_1'!$A$203:$Q$238,17,G1653:G1654)=COUNTIF('17_1'!$A$203:$A$238,G1654),"","Regularice su Deuda")</f>
        <v/>
      </c>
      <c r="C1665" s="82"/>
      <c r="D1665" s="82"/>
      <c r="E1665" s="82"/>
      <c r="F1665" s="82"/>
      <c r="G1665" s="82"/>
      <c r="H1665" s="83"/>
    </row>
    <row r="1667" spans="1:8">
      <c r="A1667" s="108"/>
      <c r="B1667" s="109"/>
      <c r="C1667" s="109"/>
      <c r="D1667" s="109"/>
      <c r="E1667" s="109"/>
      <c r="F1667" s="109"/>
      <c r="G1667" s="109"/>
      <c r="H1667" s="110"/>
    </row>
    <row r="1668" spans="1:8">
      <c r="A1668" s="80"/>
      <c r="B1668" s="147" t="s">
        <v>64</v>
      </c>
      <c r="C1668" s="81"/>
      <c r="D1668" s="81"/>
      <c r="E1668" s="81"/>
      <c r="F1668" s="81"/>
      <c r="G1668" s="81"/>
      <c r="H1668" s="111"/>
    </row>
    <row r="1669" spans="1:8">
      <c r="A1669" s="80"/>
      <c r="B1669" s="81"/>
      <c r="C1669" s="81"/>
      <c r="D1669" s="81"/>
      <c r="E1669" s="81"/>
      <c r="F1669" s="81"/>
      <c r="G1669" s="81"/>
      <c r="H1669" s="111"/>
    </row>
    <row r="1670" spans="1:8">
      <c r="A1670" s="80"/>
      <c r="B1670" s="81" t="s">
        <v>139</v>
      </c>
      <c r="C1670" s="81" t="str">
        <f>VLOOKUP(G1671,'17_1'!$A$203:$G$238,6,0)</f>
        <v>BIANCHI, JORGE ALBERTO</v>
      </c>
      <c r="D1670" s="81"/>
      <c r="E1670" s="81"/>
      <c r="F1670" s="81"/>
      <c r="G1670" s="138" t="s">
        <v>102</v>
      </c>
      <c r="H1670" s="111"/>
    </row>
    <row r="1671" spans="1:8">
      <c r="A1671" s="80"/>
      <c r="B1671" s="81" t="s">
        <v>72</v>
      </c>
      <c r="C1671" s="81" t="str">
        <f>+'17_1'!$A$191</f>
        <v>Hijuela Gelvez - Cabrera</v>
      </c>
      <c r="D1671" s="81"/>
      <c r="E1671" s="81"/>
      <c r="F1671" s="81"/>
      <c r="G1671" s="138">
        <v>29</v>
      </c>
      <c r="H1671" s="111"/>
    </row>
    <row r="1672" spans="1:8">
      <c r="A1672" s="80"/>
      <c r="B1672" s="81"/>
      <c r="C1672" s="81"/>
      <c r="D1672" s="81"/>
      <c r="E1672" s="81"/>
      <c r="F1672" s="81"/>
      <c r="G1672" s="81"/>
      <c r="H1672" s="111"/>
    </row>
    <row r="1673" spans="1:8">
      <c r="A1673" s="80"/>
      <c r="B1673" s="81" t="s">
        <v>140</v>
      </c>
      <c r="C1673" s="138">
        <f>VLOOKUP(G1671,'17_1'!$A$203:$B$238,2,0)</f>
        <v>1213</v>
      </c>
      <c r="D1673" s="81"/>
      <c r="E1673" s="139" t="s">
        <v>141</v>
      </c>
      <c r="F1673" s="141" t="e">
        <f>DSUM('17_1'!A$203:J$238,'17_1'!$J$203,G1670:G1671)</f>
        <v>#N/A</v>
      </c>
      <c r="G1673" s="81"/>
      <c r="H1673" s="111"/>
    </row>
    <row r="1674" spans="1:8">
      <c r="A1674" s="80"/>
      <c r="B1674" s="81" t="s">
        <v>142</v>
      </c>
      <c r="C1674" s="205">
        <v>121</v>
      </c>
      <c r="D1674" s="81"/>
      <c r="E1674" s="81"/>
      <c r="F1674" s="81"/>
      <c r="G1674" s="81"/>
      <c r="H1674" s="111"/>
    </row>
    <row r="1675" spans="1:8">
      <c r="A1675" s="80"/>
      <c r="B1675" s="81" t="s">
        <v>144</v>
      </c>
      <c r="C1675" s="206">
        <f>DSUM('17_1'!$A$203:$H$238,'17_1'!$H$203,G1670:G1671)</f>
        <v>14.5228</v>
      </c>
      <c r="D1675" s="81"/>
      <c r="E1675" s="81"/>
      <c r="F1675" s="584"/>
      <c r="G1675" s="584"/>
      <c r="H1675" s="111"/>
    </row>
    <row r="1676" spans="1:8" ht="15.75">
      <c r="A1676" s="80"/>
      <c r="B1676" s="81"/>
      <c r="C1676" s="81" t="s">
        <v>146</v>
      </c>
      <c r="D1676" s="145" t="e">
        <f>DMIN('17_1'!A$203:K$238,'17_1'!$K$203,G1670:G1671)</f>
        <v>#REF!</v>
      </c>
      <c r="E1676" s="189" t="e">
        <f>IF(F1676=1,"Domingo",IF(F1676=2,"Lunes",IF(F1676=3,"Martes",IF(F1676=4,"Miercoles",IF(F1676=5,"Jueves",IF(F1676=6,"Viernes",IF(F1676=7,"Sábado",0)))))))</f>
        <v>#REF!</v>
      </c>
      <c r="F1676" s="190" t="e">
        <f>WEEKDAY(D1676)</f>
        <v>#REF!</v>
      </c>
      <c r="G1676" s="142"/>
      <c r="H1676" s="111"/>
    </row>
    <row r="1677" spans="1:8" ht="15.75">
      <c r="A1677" s="80"/>
      <c r="B1677" s="81"/>
      <c r="C1677" s="81" t="s">
        <v>147</v>
      </c>
      <c r="D1677" s="145" t="e">
        <f>DMAX('17_1'!A$203:L$238,'17_1'!$L$203,G1670:G1671)</f>
        <v>#REF!</v>
      </c>
      <c r="E1677" s="189" t="e">
        <f>IF(F1677=1,"Domingo",IF(F1677=2,"Lunes",IF(F1677=3,"Martes",IF(F1677=4,"Miercoles",IF(F1677=5,"Jueves",IF(F1677=6,"Viernes",IF(F1677=7,"Sábado",0)))))))</f>
        <v>#REF!</v>
      </c>
      <c r="F1677" s="190" t="e">
        <f>WEEKDAY(D1677)</f>
        <v>#REF!</v>
      </c>
      <c r="G1677" s="142"/>
      <c r="H1677" s="111"/>
    </row>
    <row r="1678" spans="1:8">
      <c r="A1678" s="80"/>
      <c r="B1678" s="81"/>
      <c r="C1678" s="81"/>
      <c r="D1678" s="81"/>
      <c r="E1678" s="81"/>
      <c r="F1678" s="584"/>
      <c r="G1678" s="584"/>
      <c r="H1678" s="111"/>
    </row>
    <row r="1679" spans="1:8">
      <c r="A1679" s="80"/>
      <c r="B1679" s="146">
        <f>+Mensajes!$B$7</f>
        <v>0</v>
      </c>
      <c r="C1679" s="81"/>
      <c r="D1679" s="81"/>
      <c r="E1679" s="81"/>
      <c r="F1679" s="81"/>
      <c r="G1679" s="81"/>
      <c r="H1679" s="111"/>
    </row>
    <row r="1680" spans="1:8">
      <c r="A1680" s="80"/>
      <c r="B1680" s="146">
        <f>+Mensajes!$B$12</f>
        <v>0</v>
      </c>
      <c r="C1680" s="81"/>
      <c r="D1680" s="81"/>
      <c r="E1680" s="81"/>
      <c r="F1680" s="81"/>
      <c r="G1680" s="81"/>
      <c r="H1680" s="111"/>
    </row>
    <row r="1681" spans="1:8">
      <c r="A1681" s="80"/>
      <c r="B1681" s="146" t="str">
        <f>IF(VLOOKUP(G1671,'17_1'!$A$203:$N$238,14,0)=0,"",VLOOKUP(G1671,'17_1'!$A$203:$N$238,14,0))</f>
        <v/>
      </c>
      <c r="C1681" s="81"/>
      <c r="D1681" s="81"/>
      <c r="E1681" s="81"/>
      <c r="F1681" s="81"/>
      <c r="G1681" s="81"/>
      <c r="H1681" s="111"/>
    </row>
    <row r="1682" spans="1:8">
      <c r="A1682" s="140"/>
      <c r="B1682" s="188" t="str">
        <f>IF(DSUM('17_1'!$A$203:$Q$238,17,G1670:G1671)=COUNTIF('17_1'!$A$203:$A$238,G1671),"","Regularice su Deuda")</f>
        <v/>
      </c>
      <c r="C1682" s="82"/>
      <c r="D1682" s="82"/>
      <c r="E1682" s="82"/>
      <c r="F1682" s="82"/>
      <c r="G1682" s="82"/>
      <c r="H1682" s="83"/>
    </row>
    <row r="1684" spans="1:8">
      <c r="A1684" s="108"/>
      <c r="B1684" s="109"/>
      <c r="C1684" s="109"/>
      <c r="D1684" s="109"/>
      <c r="E1684" s="109"/>
      <c r="F1684" s="109"/>
      <c r="G1684" s="109"/>
      <c r="H1684" s="110"/>
    </row>
    <row r="1685" spans="1:8">
      <c r="A1685" s="80"/>
      <c r="B1685" s="147" t="s">
        <v>64</v>
      </c>
      <c r="C1685" s="81"/>
      <c r="D1685" s="81"/>
      <c r="E1685" s="81"/>
      <c r="F1685" s="81"/>
      <c r="G1685" s="81"/>
      <c r="H1685" s="111"/>
    </row>
    <row r="1686" spans="1:8">
      <c r="A1686" s="80"/>
      <c r="B1686" s="81"/>
      <c r="C1686" s="81"/>
      <c r="D1686" s="81"/>
      <c r="E1686" s="81"/>
      <c r="F1686" s="81"/>
      <c r="G1686" s="81"/>
      <c r="H1686" s="111"/>
    </row>
    <row r="1687" spans="1:8">
      <c r="A1687" s="80"/>
      <c r="B1687" s="81" t="s">
        <v>139</v>
      </c>
      <c r="C1687" s="81" t="str">
        <f>VLOOKUP(G1688,'17_1'!$A$203:$G$238,6,0)</f>
        <v>SURACI GRASSO, ANTONIO DANIEL Y SURACI GRASSO, JOSE ALBERTO</v>
      </c>
      <c r="D1687" s="81"/>
      <c r="E1687" s="81"/>
      <c r="F1687" s="81"/>
      <c r="G1687" s="138" t="s">
        <v>102</v>
      </c>
      <c r="H1687" s="111"/>
    </row>
    <row r="1688" spans="1:8">
      <c r="A1688" s="80"/>
      <c r="B1688" s="81" t="s">
        <v>72</v>
      </c>
      <c r="C1688" s="81" t="str">
        <f>+'17_1'!$A$191</f>
        <v>Hijuela Gelvez - Cabrera</v>
      </c>
      <c r="D1688" s="81"/>
      <c r="E1688" s="81"/>
      <c r="F1688" s="81"/>
      <c r="G1688" s="138">
        <v>30</v>
      </c>
      <c r="H1688" s="111"/>
    </row>
    <row r="1689" spans="1:8">
      <c r="A1689" s="80"/>
      <c r="B1689" s="81"/>
      <c r="C1689" s="81"/>
      <c r="D1689" s="81"/>
      <c r="E1689" s="81"/>
      <c r="F1689" s="81"/>
      <c r="G1689" s="81"/>
      <c r="H1689" s="111"/>
    </row>
    <row r="1690" spans="1:8">
      <c r="A1690" s="80"/>
      <c r="B1690" s="81" t="s">
        <v>140</v>
      </c>
      <c r="C1690" s="138">
        <f>VLOOKUP(G1688,'17_1'!$A$203:$B$238,2,0)</f>
        <v>1213</v>
      </c>
      <c r="D1690" s="81"/>
      <c r="E1690" s="139" t="s">
        <v>141</v>
      </c>
      <c r="F1690" s="141" t="e">
        <f>DSUM('17_1'!A$203:J$238,'17_1'!$J$203,G1687:G1688)</f>
        <v>#N/A</v>
      </c>
      <c r="G1690" s="81"/>
      <c r="H1690" s="111"/>
    </row>
    <row r="1691" spans="1:8">
      <c r="A1691" s="80"/>
      <c r="B1691" s="81" t="s">
        <v>142</v>
      </c>
      <c r="C1691" s="205">
        <v>130</v>
      </c>
      <c r="D1691" s="81"/>
      <c r="E1691" s="81"/>
      <c r="F1691" s="81"/>
      <c r="G1691" s="81"/>
      <c r="H1691" s="111"/>
    </row>
    <row r="1692" spans="1:8">
      <c r="A1692" s="80"/>
      <c r="B1692" s="81" t="s">
        <v>144</v>
      </c>
      <c r="C1692" s="206">
        <f>DSUM('17_1'!$A$203:$H$238,'17_1'!$H$203,G1687:G1688)</f>
        <v>0</v>
      </c>
      <c r="D1692" s="81"/>
      <c r="E1692" s="81"/>
      <c r="F1692" s="584"/>
      <c r="G1692" s="584"/>
      <c r="H1692" s="111"/>
    </row>
    <row r="1693" spans="1:8" ht="15.75">
      <c r="A1693" s="80"/>
      <c r="B1693" s="81"/>
      <c r="C1693" s="81" t="s">
        <v>146</v>
      </c>
      <c r="D1693" s="145" t="e">
        <f>DMIN('17_1'!A$203:K$238,'17_1'!$K$203,G1687:G1688)</f>
        <v>#REF!</v>
      </c>
      <c r="E1693" s="189" t="e">
        <f>IF(F1693=1,"Domingo",IF(F1693=2,"Lunes",IF(F1693=3,"Martes",IF(F1693=4,"Miercoles",IF(F1693=5,"Jueves",IF(F1693=6,"Viernes",IF(F1693=7,"Sábado",0)))))))</f>
        <v>#REF!</v>
      </c>
      <c r="F1693" s="190" t="e">
        <f>WEEKDAY(D1693)</f>
        <v>#REF!</v>
      </c>
      <c r="G1693" s="142"/>
      <c r="H1693" s="111"/>
    </row>
    <row r="1694" spans="1:8" ht="15.75">
      <c r="A1694" s="80"/>
      <c r="B1694" s="81"/>
      <c r="C1694" s="81" t="s">
        <v>147</v>
      </c>
      <c r="D1694" s="145" t="e">
        <f>DMAX('17_1'!A$203:L$238,'17_1'!$L$203,G1687:G1688)</f>
        <v>#REF!</v>
      </c>
      <c r="E1694" s="189" t="e">
        <f>IF(F1694=1,"Domingo",IF(F1694=2,"Lunes",IF(F1694=3,"Martes",IF(F1694=4,"Miercoles",IF(F1694=5,"Jueves",IF(F1694=6,"Viernes",IF(F1694=7,"Sábado",0)))))))</f>
        <v>#REF!</v>
      </c>
      <c r="F1694" s="190" t="e">
        <f>WEEKDAY(D1694)</f>
        <v>#REF!</v>
      </c>
      <c r="G1694" s="142"/>
      <c r="H1694" s="111"/>
    </row>
    <row r="1695" spans="1:8">
      <c r="A1695" s="80"/>
      <c r="B1695" s="81"/>
      <c r="C1695" s="81"/>
      <c r="D1695" s="81"/>
      <c r="E1695" s="81"/>
      <c r="F1695" s="584"/>
      <c r="G1695" s="584"/>
      <c r="H1695" s="111"/>
    </row>
    <row r="1696" spans="1:8">
      <c r="A1696" s="80"/>
      <c r="B1696" s="146">
        <f>+Mensajes!$B$7</f>
        <v>0</v>
      </c>
      <c r="C1696" s="81"/>
      <c r="D1696" s="81"/>
      <c r="E1696" s="81"/>
      <c r="F1696" s="81"/>
      <c r="G1696" s="81"/>
      <c r="H1696" s="111"/>
    </row>
    <row r="1697" spans="1:8">
      <c r="A1697" s="80"/>
      <c r="B1697" s="146">
        <f>+Mensajes!$B$12</f>
        <v>0</v>
      </c>
      <c r="C1697" s="81"/>
      <c r="D1697" s="81"/>
      <c r="E1697" s="81"/>
      <c r="F1697" s="81"/>
      <c r="G1697" s="81"/>
      <c r="H1697" s="111"/>
    </row>
    <row r="1698" spans="1:8">
      <c r="A1698" s="80"/>
      <c r="B1698" s="146" t="str">
        <f>IF(VLOOKUP(G1688,'17_1'!$A$203:$N$238,14,0)=0,"",VLOOKUP(G1688,'17_1'!$A$203:$N$238,14,0))</f>
        <v/>
      </c>
      <c r="C1698" s="81"/>
      <c r="D1698" s="81"/>
      <c r="E1698" s="81"/>
      <c r="F1698" s="81"/>
      <c r="G1698" s="81"/>
      <c r="H1698" s="111"/>
    </row>
    <row r="1699" spans="1:8">
      <c r="A1699" s="140"/>
      <c r="B1699" s="188" t="str">
        <f>IF(DSUM('17_1'!$A$203:$Q$238,17,G1687:G1688)=COUNTIF('17_1'!$A$203:$A$238,G1688),"","Regularice su Deuda")</f>
        <v>Regularice su Deuda</v>
      </c>
      <c r="C1699" s="82"/>
      <c r="D1699" s="82"/>
      <c r="E1699" s="82"/>
      <c r="F1699" s="82"/>
      <c r="G1699" s="82"/>
      <c r="H1699" s="83"/>
    </row>
    <row r="1701" spans="1:8">
      <c r="A1701" s="108"/>
      <c r="B1701" s="109"/>
      <c r="C1701" s="109"/>
      <c r="D1701" s="109"/>
      <c r="E1701" s="109"/>
      <c r="F1701" s="109"/>
      <c r="G1701" s="109"/>
      <c r="H1701" s="110"/>
    </row>
    <row r="1702" spans="1:8">
      <c r="A1702" s="80"/>
      <c r="B1702" s="147" t="s">
        <v>64</v>
      </c>
      <c r="C1702" s="81"/>
      <c r="D1702" s="81"/>
      <c r="E1702" s="81"/>
      <c r="F1702" s="81"/>
      <c r="G1702" s="81"/>
      <c r="H1702" s="111"/>
    </row>
    <row r="1703" spans="1:8">
      <c r="A1703" s="80"/>
      <c r="B1703" s="81"/>
      <c r="C1703" s="81"/>
      <c r="D1703" s="81"/>
      <c r="E1703" s="81"/>
      <c r="F1703" s="81"/>
      <c r="G1703" s="81"/>
      <c r="H1703" s="111"/>
    </row>
    <row r="1704" spans="1:8">
      <c r="A1704" s="80"/>
      <c r="B1704" s="81" t="s">
        <v>139</v>
      </c>
      <c r="C1704" s="81" t="str">
        <f>VLOOKUP(G1705,'17_1'!$A$203:$G$238,6,0)</f>
        <v>ARAUJO, JUAN ISIDRO</v>
      </c>
      <c r="D1704" s="81"/>
      <c r="E1704" s="81"/>
      <c r="F1704" s="81"/>
      <c r="G1704" s="138" t="s">
        <v>102</v>
      </c>
      <c r="H1704" s="111"/>
    </row>
    <row r="1705" spans="1:8">
      <c r="A1705" s="80"/>
      <c r="B1705" s="81" t="s">
        <v>72</v>
      </c>
      <c r="C1705" s="81" t="str">
        <f>+'17_1'!$A$191</f>
        <v>Hijuela Gelvez - Cabrera</v>
      </c>
      <c r="D1705" s="81"/>
      <c r="E1705" s="81"/>
      <c r="F1705" s="81"/>
      <c r="G1705" s="138">
        <v>31</v>
      </c>
      <c r="H1705" s="111"/>
    </row>
    <row r="1706" spans="1:8">
      <c r="A1706" s="80"/>
      <c r="B1706" s="81"/>
      <c r="C1706" s="81"/>
      <c r="D1706" s="81"/>
      <c r="E1706" s="81"/>
      <c r="F1706" s="81"/>
      <c r="G1706" s="81"/>
      <c r="H1706" s="111"/>
    </row>
    <row r="1707" spans="1:8">
      <c r="A1707" s="80"/>
      <c r="B1707" s="81" t="s">
        <v>140</v>
      </c>
      <c r="C1707" s="138">
        <f>VLOOKUP(G1705,'17_1'!$A$203:$B$238,2,0)</f>
        <v>1213</v>
      </c>
      <c r="D1707" s="81"/>
      <c r="E1707" s="139" t="s">
        <v>141</v>
      </c>
      <c r="F1707" s="141" t="e">
        <f>DSUM('17_1'!A$203:J$238,'17_1'!$J$203,G1704:G1705)</f>
        <v>#N/A</v>
      </c>
      <c r="G1707" s="81"/>
      <c r="H1707" s="111"/>
    </row>
    <row r="1708" spans="1:8">
      <c r="A1708" s="80"/>
      <c r="B1708" s="81" t="s">
        <v>142</v>
      </c>
      <c r="C1708" s="205">
        <v>130</v>
      </c>
      <c r="D1708" s="81"/>
      <c r="E1708" s="81"/>
      <c r="F1708" s="81"/>
      <c r="G1708" s="81"/>
      <c r="H1708" s="111"/>
    </row>
    <row r="1709" spans="1:8">
      <c r="A1709" s="80"/>
      <c r="B1709" s="81" t="s">
        <v>144</v>
      </c>
      <c r="C1709" s="206">
        <f>DSUM('17_1'!$A$203:$H$238,'17_1'!$H$203,G1704:G1705)</f>
        <v>0</v>
      </c>
      <c r="D1709" s="81"/>
      <c r="E1709" s="81"/>
      <c r="F1709" s="584"/>
      <c r="G1709" s="584"/>
      <c r="H1709" s="111"/>
    </row>
    <row r="1710" spans="1:8" ht="15.75">
      <c r="A1710" s="80"/>
      <c r="B1710" s="81"/>
      <c r="C1710" s="81" t="s">
        <v>146</v>
      </c>
      <c r="D1710" s="145" t="e">
        <f>DMIN('17_1'!A$203:K$238,'17_1'!$K$203,G1704:G1705)</f>
        <v>#REF!</v>
      </c>
      <c r="E1710" s="189" t="e">
        <f>IF(F1710=1,"Domingo",IF(F1710=2,"Lunes",IF(F1710=3,"Martes",IF(F1710=4,"Miercoles",IF(F1710=5,"Jueves",IF(F1710=6,"Viernes",IF(F1710=7,"Sábado",0)))))))</f>
        <v>#REF!</v>
      </c>
      <c r="F1710" s="190" t="e">
        <f>WEEKDAY(D1710)</f>
        <v>#REF!</v>
      </c>
      <c r="G1710" s="142"/>
      <c r="H1710" s="111"/>
    </row>
    <row r="1711" spans="1:8" ht="15.75">
      <c r="A1711" s="80"/>
      <c r="B1711" s="81"/>
      <c r="C1711" s="81" t="s">
        <v>147</v>
      </c>
      <c r="D1711" s="145" t="e">
        <f>DMAX('17_1'!A$203:L$238,'17_1'!$L$203,G1704:G1705)</f>
        <v>#REF!</v>
      </c>
      <c r="E1711" s="189" t="e">
        <f>IF(F1711=1,"Domingo",IF(F1711=2,"Lunes",IF(F1711=3,"Martes",IF(F1711=4,"Miercoles",IF(F1711=5,"Jueves",IF(F1711=6,"Viernes",IF(F1711=7,"Sábado",0)))))))</f>
        <v>#REF!</v>
      </c>
      <c r="F1711" s="190" t="e">
        <f>WEEKDAY(D1711)</f>
        <v>#REF!</v>
      </c>
      <c r="G1711" s="142"/>
      <c r="H1711" s="111"/>
    </row>
    <row r="1712" spans="1:8">
      <c r="A1712" s="80"/>
      <c r="B1712" s="81"/>
      <c r="C1712" s="81"/>
      <c r="D1712" s="81"/>
      <c r="E1712" s="81"/>
      <c r="F1712" s="584"/>
      <c r="G1712" s="584"/>
      <c r="H1712" s="111"/>
    </row>
    <row r="1713" spans="1:8">
      <c r="A1713" s="80"/>
      <c r="B1713" s="146">
        <f>+Mensajes!$B$7</f>
        <v>0</v>
      </c>
      <c r="C1713" s="81"/>
      <c r="D1713" s="81"/>
      <c r="E1713" s="81"/>
      <c r="F1713" s="81"/>
      <c r="G1713" s="81"/>
      <c r="H1713" s="111"/>
    </row>
    <row r="1714" spans="1:8">
      <c r="A1714" s="80"/>
      <c r="B1714" s="146">
        <f>+Mensajes!$B$12</f>
        <v>0</v>
      </c>
      <c r="C1714" s="81"/>
      <c r="D1714" s="81"/>
      <c r="E1714" s="81"/>
      <c r="F1714" s="81"/>
      <c r="G1714" s="81"/>
      <c r="H1714" s="111"/>
    </row>
    <row r="1715" spans="1:8">
      <c r="A1715" s="80"/>
      <c r="B1715" s="146" t="str">
        <f>IF(VLOOKUP(G1705,'17_1'!$A$203:$N$238,14,0)=0,"",VLOOKUP(G1705,'17_1'!$A$203:$N$238,14,0))</f>
        <v/>
      </c>
      <c r="C1715" s="81"/>
      <c r="D1715" s="81"/>
      <c r="E1715" s="81"/>
      <c r="F1715" s="81"/>
      <c r="G1715" s="81"/>
      <c r="H1715" s="111"/>
    </row>
    <row r="1716" spans="1:8">
      <c r="A1716" s="140"/>
      <c r="B1716" s="188" t="str">
        <f>IF(DSUM('17_1'!$A$203:$Q$238,17,G1704:G1705)=COUNTIF('17_1'!$A$203:$A$238,G1705),"","Regularice su Deuda")</f>
        <v>Regularice su Deuda</v>
      </c>
      <c r="C1716" s="82"/>
      <c r="D1716" s="82"/>
      <c r="E1716" s="82"/>
      <c r="F1716" s="82"/>
      <c r="G1716" s="82"/>
      <c r="H1716" s="83"/>
    </row>
    <row r="1718" spans="1:8">
      <c r="A1718" s="108"/>
      <c r="B1718" s="109"/>
      <c r="C1718" s="109"/>
      <c r="D1718" s="109"/>
      <c r="E1718" s="109"/>
      <c r="F1718" s="109"/>
      <c r="G1718" s="109"/>
      <c r="H1718" s="110"/>
    </row>
    <row r="1719" spans="1:8">
      <c r="A1719" s="80"/>
      <c r="B1719" s="147" t="s">
        <v>64</v>
      </c>
      <c r="C1719" s="81"/>
      <c r="D1719" s="81"/>
      <c r="E1719" s="81"/>
      <c r="F1719" s="81"/>
      <c r="G1719" s="81"/>
      <c r="H1719" s="111"/>
    </row>
    <row r="1720" spans="1:8">
      <c r="A1720" s="80"/>
      <c r="B1720" s="81"/>
      <c r="C1720" s="81"/>
      <c r="D1720" s="81"/>
      <c r="E1720" s="81"/>
      <c r="F1720" s="81"/>
      <c r="G1720" s="81"/>
      <c r="H1720" s="111"/>
    </row>
    <row r="1721" spans="1:8">
      <c r="A1721" s="80"/>
      <c r="B1721" s="81" t="s">
        <v>139</v>
      </c>
      <c r="C1721" s="81" t="str">
        <f>VLOOKUP(G1722,'17_1'!$A$255:$G$279,6,0)</f>
        <v>CLEMEN PELLEGRINI, CARLOS BENITO; CLEMEN PELLEGRINI, MARIO ANTONIO Y CL</v>
      </c>
      <c r="D1721" s="81"/>
      <c r="E1721" s="81"/>
      <c r="F1721" s="81"/>
      <c r="G1721" s="138" t="s">
        <v>102</v>
      </c>
      <c r="H1721" s="111"/>
    </row>
    <row r="1722" spans="1:8">
      <c r="A1722" s="80"/>
      <c r="B1722" s="81" t="s">
        <v>72</v>
      </c>
      <c r="C1722" s="81" t="str">
        <f>+'17_1'!$A$244</f>
        <v>Hijuela Gelvez - Salomón</v>
      </c>
      <c r="D1722" s="81"/>
      <c r="E1722" s="81"/>
      <c r="F1722" s="81"/>
      <c r="G1722" s="138">
        <v>1</v>
      </c>
      <c r="H1722" s="111"/>
    </row>
    <row r="1723" spans="1:8">
      <c r="A1723" s="80"/>
      <c r="B1723" s="81"/>
      <c r="C1723" s="81"/>
      <c r="D1723" s="81"/>
      <c r="E1723" s="81"/>
      <c r="F1723" s="81"/>
      <c r="G1723" s="81"/>
      <c r="H1723" s="111"/>
    </row>
    <row r="1724" spans="1:8">
      <c r="A1724" s="80"/>
      <c r="B1724" s="81" t="s">
        <v>140</v>
      </c>
      <c r="C1724" s="138">
        <f>VLOOKUP(G1722,'17_1'!$A$255:$B$279,2,0)</f>
        <v>1213</v>
      </c>
      <c r="D1724" s="81"/>
      <c r="E1724" s="139" t="s">
        <v>141</v>
      </c>
      <c r="F1724" s="141" t="e">
        <f>DSUM('17_1'!A$255:J$279,'17_1'!$J$255,G1721:G1722)</f>
        <v>#N/A</v>
      </c>
      <c r="G1724" s="81"/>
      <c r="H1724" s="111"/>
    </row>
    <row r="1725" spans="1:8">
      <c r="A1725" s="80"/>
      <c r="B1725" s="81" t="s">
        <v>142</v>
      </c>
      <c r="C1725" s="205" t="s">
        <v>551</v>
      </c>
      <c r="D1725" s="81"/>
      <c r="E1725" s="81"/>
      <c r="F1725" s="81"/>
      <c r="G1725" s="81"/>
      <c r="H1725" s="111"/>
    </row>
    <row r="1726" spans="1:8">
      <c r="A1726" s="80"/>
      <c r="B1726" s="81" t="s">
        <v>144</v>
      </c>
      <c r="C1726" s="206" t="e">
        <f>DSUM('17_1'!$A$255:$H$279,'17_1'!$H$255,G1721:G1722)</f>
        <v>#N/A</v>
      </c>
      <c r="D1726" s="81"/>
      <c r="E1726" s="81"/>
      <c r="F1726" s="584"/>
      <c r="G1726" s="584"/>
      <c r="H1726" s="111"/>
    </row>
    <row r="1727" spans="1:8" ht="15.75">
      <c r="A1727" s="80"/>
      <c r="B1727" s="81"/>
      <c r="C1727" s="81" t="s">
        <v>146</v>
      </c>
      <c r="D1727" s="145" t="e">
        <f>DMIN('17_1'!A$255:K$279,'17_1'!$K$255,G1721:G1722)</f>
        <v>#REF!</v>
      </c>
      <c r="E1727" s="189" t="e">
        <f>IF(F1727=1,"Domingo",IF(F1727=2,"Lunes",IF(F1727=3,"Martes",IF(F1727=4,"Miercoles",IF(F1727=5,"Jueves",IF(F1727=6,"Viernes",IF(F1727=7,"Sábado",0)))))))</f>
        <v>#REF!</v>
      </c>
      <c r="F1727" s="190" t="e">
        <f>WEEKDAY(D1727)</f>
        <v>#REF!</v>
      </c>
      <c r="G1727" s="142"/>
      <c r="H1727" s="111"/>
    </row>
    <row r="1728" spans="1:8" ht="15.75">
      <c r="A1728" s="80"/>
      <c r="B1728" s="81"/>
      <c r="C1728" s="81" t="s">
        <v>147</v>
      </c>
      <c r="D1728" s="145" t="e">
        <f>DMAX('17_1'!A$255:L$279,'17_1'!$L$255,G1721:G1722)</f>
        <v>#REF!</v>
      </c>
      <c r="E1728" s="189" t="e">
        <f>IF(F1728=1,"Domingo",IF(F1728=2,"Lunes",IF(F1728=3,"Martes",IF(F1728=4,"Miercoles",IF(F1728=5,"Jueves",IF(F1728=6,"Viernes",IF(F1728=7,"Sábado",0)))))))</f>
        <v>#REF!</v>
      </c>
      <c r="F1728" s="190" t="e">
        <f>WEEKDAY(D1728)</f>
        <v>#REF!</v>
      </c>
      <c r="G1728" s="142"/>
      <c r="H1728" s="111"/>
    </row>
    <row r="1729" spans="1:8">
      <c r="A1729" s="80"/>
      <c r="B1729" s="81"/>
      <c r="C1729" s="81"/>
      <c r="D1729" s="81"/>
      <c r="E1729" s="81"/>
      <c r="F1729" s="584"/>
      <c r="G1729" s="584"/>
      <c r="H1729" s="111"/>
    </row>
    <row r="1730" spans="1:8">
      <c r="A1730" s="80"/>
      <c r="B1730" s="146">
        <f>+Mensajes!$B$7</f>
        <v>0</v>
      </c>
      <c r="C1730" s="81"/>
      <c r="D1730" s="81"/>
      <c r="E1730" s="81"/>
      <c r="F1730" s="81"/>
      <c r="G1730" s="81"/>
      <c r="H1730" s="111"/>
    </row>
    <row r="1731" spans="1:8">
      <c r="A1731" s="80"/>
      <c r="B1731" s="146">
        <f>+Mensajes!$B$12</f>
        <v>0</v>
      </c>
      <c r="C1731" s="81"/>
      <c r="D1731" s="81"/>
      <c r="E1731" s="81"/>
      <c r="F1731" s="81"/>
      <c r="G1731" s="81"/>
      <c r="H1731" s="111"/>
    </row>
    <row r="1732" spans="1:8">
      <c r="A1732" s="80"/>
      <c r="B1732" s="146" t="str">
        <f>IF(VLOOKUP(G1722,'17_1'!$A$255:$N$279,14,0)=0,"",VLOOKUP(G1722,'17_1'!$A$255:$N$279,14,0))</f>
        <v/>
      </c>
      <c r="C1732" s="81"/>
      <c r="D1732" s="81"/>
      <c r="E1732" s="81"/>
      <c r="F1732" s="81"/>
      <c r="G1732" s="81"/>
      <c r="H1732" s="111"/>
    </row>
    <row r="1733" spans="1:8">
      <c r="A1733" s="140"/>
      <c r="B1733" s="188" t="e">
        <f>IF(DSUM('17_1'!$A$255:$Q$279,17,G1721:G1722)=COUNTIF('17_1'!$A$255:$A$279,G1722),"","Regularice su Deuda")</f>
        <v>#N/A</v>
      </c>
      <c r="C1733" s="82"/>
      <c r="D1733" s="82"/>
      <c r="E1733" s="82"/>
      <c r="F1733" s="82"/>
      <c r="G1733" s="82"/>
      <c r="H1733" s="83"/>
    </row>
    <row r="1735" spans="1:8">
      <c r="A1735" s="108"/>
      <c r="B1735" s="109"/>
      <c r="C1735" s="109"/>
      <c r="D1735" s="109"/>
      <c r="E1735" s="109"/>
      <c r="F1735" s="109"/>
      <c r="G1735" s="109"/>
      <c r="H1735" s="110"/>
    </row>
    <row r="1736" spans="1:8">
      <c r="A1736" s="80"/>
      <c r="B1736" s="147" t="s">
        <v>64</v>
      </c>
      <c r="C1736" s="81"/>
      <c r="D1736" s="81"/>
      <c r="E1736" s="81"/>
      <c r="F1736" s="81"/>
      <c r="G1736" s="81"/>
      <c r="H1736" s="111"/>
    </row>
    <row r="1737" spans="1:8">
      <c r="A1737" s="80"/>
      <c r="B1737" s="81"/>
      <c r="C1737" s="81"/>
      <c r="D1737" s="81"/>
      <c r="E1737" s="81"/>
      <c r="F1737" s="81"/>
      <c r="G1737" s="81"/>
      <c r="H1737" s="111"/>
    </row>
    <row r="1738" spans="1:8">
      <c r="A1738" s="80"/>
      <c r="B1738" s="81" t="s">
        <v>139</v>
      </c>
      <c r="C1738" s="81" t="str">
        <f>VLOOKUP(G1739,'17_1'!$A$255:$G$279,6,0)</f>
        <v>NEIDDU, JOSE ANDRES Y MARANO DE NEIDDU, ELVIRA</v>
      </c>
      <c r="D1738" s="81"/>
      <c r="E1738" s="81"/>
      <c r="F1738" s="81"/>
      <c r="G1738" s="138" t="s">
        <v>102</v>
      </c>
      <c r="H1738" s="111"/>
    </row>
    <row r="1739" spans="1:8">
      <c r="A1739" s="80"/>
      <c r="B1739" s="81" t="s">
        <v>72</v>
      </c>
      <c r="C1739" s="81" t="str">
        <f>+'17_1'!$A$244</f>
        <v>Hijuela Gelvez - Salomón</v>
      </c>
      <c r="D1739" s="81"/>
      <c r="E1739" s="81"/>
      <c r="F1739" s="81"/>
      <c r="G1739" s="138">
        <v>2</v>
      </c>
      <c r="H1739" s="111"/>
    </row>
    <row r="1740" spans="1:8">
      <c r="A1740" s="80"/>
      <c r="B1740" s="81"/>
      <c r="C1740" s="81"/>
      <c r="D1740" s="81"/>
      <c r="E1740" s="81"/>
      <c r="F1740" s="81"/>
      <c r="G1740" s="81"/>
      <c r="H1740" s="111"/>
    </row>
    <row r="1741" spans="1:8">
      <c r="A1741" s="80"/>
      <c r="B1741" s="81" t="s">
        <v>140</v>
      </c>
      <c r="C1741" s="138">
        <f>VLOOKUP(G1739,'17_1'!$A$255:$B$279,2,0)</f>
        <v>1213</v>
      </c>
      <c r="D1741" s="81"/>
      <c r="E1741" s="139" t="s">
        <v>141</v>
      </c>
      <c r="F1741" s="141" t="e">
        <f>DSUM('17_1'!A$255:J$279,'17_1'!$J$255,G1738:G1739)</f>
        <v>#N/A</v>
      </c>
      <c r="G1741" s="81"/>
      <c r="H1741" s="111"/>
    </row>
    <row r="1742" spans="1:8">
      <c r="A1742" s="80"/>
      <c r="B1742" s="81" t="s">
        <v>142</v>
      </c>
      <c r="C1742" s="205">
        <v>270</v>
      </c>
      <c r="D1742" s="81"/>
      <c r="E1742" s="81"/>
      <c r="F1742" s="81"/>
      <c r="G1742" s="81"/>
      <c r="H1742" s="111"/>
    </row>
    <row r="1743" spans="1:8">
      <c r="A1743" s="80"/>
      <c r="B1743" s="81" t="s">
        <v>144</v>
      </c>
      <c r="C1743" s="206" t="e">
        <f>DSUM('17_1'!$A$255:$H$279,'17_1'!$H$255,G1738:G1739)</f>
        <v>#N/A</v>
      </c>
      <c r="D1743" s="81"/>
      <c r="E1743" s="81"/>
      <c r="F1743" s="584"/>
      <c r="G1743" s="584"/>
      <c r="H1743" s="111"/>
    </row>
    <row r="1744" spans="1:8" ht="15.75">
      <c r="A1744" s="80"/>
      <c r="B1744" s="81"/>
      <c r="C1744" s="81" t="s">
        <v>146</v>
      </c>
      <c r="D1744" s="145" t="e">
        <f>DMIN('17_1'!A$255:K$279,'17_1'!$K$255,G1738:G1739)</f>
        <v>#REF!</v>
      </c>
      <c r="E1744" s="189" t="e">
        <f>IF(F1744=1,"Domingo",IF(F1744=2,"Lunes",IF(F1744=3,"Martes",IF(F1744=4,"Miercoles",IF(F1744=5,"Jueves",IF(F1744=6,"Viernes",IF(F1744=7,"Sábado",0)))))))</f>
        <v>#REF!</v>
      </c>
      <c r="F1744" s="190" t="e">
        <f>WEEKDAY(D1744)</f>
        <v>#REF!</v>
      </c>
      <c r="G1744" s="142"/>
      <c r="H1744" s="111"/>
    </row>
    <row r="1745" spans="1:8" ht="15.75">
      <c r="A1745" s="80"/>
      <c r="B1745" s="81"/>
      <c r="C1745" s="81" t="s">
        <v>147</v>
      </c>
      <c r="D1745" s="145" t="e">
        <f>DMAX('17_1'!A$255:L$279,'17_1'!$L$255,G1738:G1739)</f>
        <v>#REF!</v>
      </c>
      <c r="E1745" s="189" t="e">
        <f>IF(F1745=1,"Domingo",IF(F1745=2,"Lunes",IF(F1745=3,"Martes",IF(F1745=4,"Miercoles",IF(F1745=5,"Jueves",IF(F1745=6,"Viernes",IF(F1745=7,"Sábado",0)))))))</f>
        <v>#REF!</v>
      </c>
      <c r="F1745" s="190" t="e">
        <f>WEEKDAY(D1745)</f>
        <v>#REF!</v>
      </c>
      <c r="G1745" s="142"/>
      <c r="H1745" s="111"/>
    </row>
    <row r="1746" spans="1:8">
      <c r="A1746" s="80"/>
      <c r="B1746" s="81"/>
      <c r="C1746" s="81"/>
      <c r="D1746" s="81"/>
      <c r="E1746" s="81"/>
      <c r="F1746" s="584"/>
      <c r="G1746" s="584"/>
      <c r="H1746" s="111"/>
    </row>
    <row r="1747" spans="1:8">
      <c r="A1747" s="80"/>
      <c r="B1747" s="146">
        <f>+Mensajes!$B$7</f>
        <v>0</v>
      </c>
      <c r="C1747" s="81"/>
      <c r="D1747" s="81"/>
      <c r="E1747" s="81"/>
      <c r="F1747" s="81"/>
      <c r="G1747" s="81"/>
      <c r="H1747" s="111"/>
    </row>
    <row r="1748" spans="1:8">
      <c r="A1748" s="80"/>
      <c r="B1748" s="146">
        <f>+Mensajes!$B$12</f>
        <v>0</v>
      </c>
      <c r="C1748" s="81"/>
      <c r="D1748" s="81"/>
      <c r="E1748" s="81"/>
      <c r="F1748" s="81"/>
      <c r="G1748" s="81"/>
      <c r="H1748" s="111"/>
    </row>
    <row r="1749" spans="1:8">
      <c r="A1749" s="80"/>
      <c r="B1749" s="146" t="str">
        <f>IF(VLOOKUP(G1739,'17_1'!$A$255:$N$279,14,0)=0,"",VLOOKUP(G1739,'17_1'!$A$255:$N$279,14,0))</f>
        <v/>
      </c>
      <c r="C1749" s="81"/>
      <c r="D1749" s="81"/>
      <c r="E1749" s="81"/>
      <c r="F1749" s="81"/>
      <c r="G1749" s="81"/>
      <c r="H1749" s="111"/>
    </row>
    <row r="1750" spans="1:8">
      <c r="A1750" s="140"/>
      <c r="B1750" s="188" t="e">
        <f>IF(DSUM('17_1'!$A$255:$Q$279,17,G1738:G1739)=COUNTIF('17_1'!$A$255:$A$279,G1739),"","Regularice su Deuda")</f>
        <v>#N/A</v>
      </c>
      <c r="C1750" s="82"/>
      <c r="D1750" s="82"/>
      <c r="E1750" s="82"/>
      <c r="F1750" s="82"/>
      <c r="G1750" s="82"/>
      <c r="H1750" s="83"/>
    </row>
    <row r="1752" spans="1:8">
      <c r="A1752" s="108"/>
      <c r="B1752" s="109"/>
      <c r="C1752" s="109"/>
      <c r="D1752" s="109"/>
      <c r="E1752" s="109"/>
      <c r="F1752" s="109"/>
      <c r="G1752" s="109"/>
      <c r="H1752" s="110"/>
    </row>
    <row r="1753" spans="1:8">
      <c r="A1753" s="80"/>
      <c r="B1753" s="147" t="s">
        <v>64</v>
      </c>
      <c r="C1753" s="81"/>
      <c r="D1753" s="81"/>
      <c r="E1753" s="81"/>
      <c r="F1753" s="81"/>
      <c r="G1753" s="81"/>
      <c r="H1753" s="111"/>
    </row>
    <row r="1754" spans="1:8">
      <c r="A1754" s="80"/>
      <c r="B1754" s="81"/>
      <c r="C1754" s="81"/>
      <c r="D1754" s="81"/>
      <c r="E1754" s="81"/>
      <c r="F1754" s="81"/>
      <c r="G1754" s="81"/>
      <c r="H1754" s="111"/>
    </row>
    <row r="1755" spans="1:8">
      <c r="A1755" s="80"/>
      <c r="B1755" s="81" t="s">
        <v>139</v>
      </c>
      <c r="C1755" s="81" t="str">
        <f>VLOOKUP(G1756,'17_1'!$A$255:$G$279,6,0)</f>
        <v>MENDEZ VERA, SEBASTIANA</v>
      </c>
      <c r="D1755" s="81"/>
      <c r="E1755" s="81"/>
      <c r="F1755" s="81"/>
      <c r="G1755" s="138" t="s">
        <v>102</v>
      </c>
      <c r="H1755" s="111"/>
    </row>
    <row r="1756" spans="1:8">
      <c r="A1756" s="80"/>
      <c r="B1756" s="81" t="s">
        <v>72</v>
      </c>
      <c r="C1756" s="81" t="str">
        <f>+'17_1'!$A$244</f>
        <v>Hijuela Gelvez - Salomón</v>
      </c>
      <c r="D1756" s="81"/>
      <c r="E1756" s="81"/>
      <c r="F1756" s="81"/>
      <c r="G1756" s="138">
        <v>3</v>
      </c>
      <c r="H1756" s="111"/>
    </row>
    <row r="1757" spans="1:8">
      <c r="A1757" s="80"/>
      <c r="B1757" s="81"/>
      <c r="C1757" s="81"/>
      <c r="D1757" s="81"/>
      <c r="E1757" s="81"/>
      <c r="F1757" s="81"/>
      <c r="G1757" s="81"/>
      <c r="H1757" s="111"/>
    </row>
    <row r="1758" spans="1:8">
      <c r="A1758" s="80"/>
      <c r="B1758" s="81" t="s">
        <v>140</v>
      </c>
      <c r="C1758" s="138">
        <f>VLOOKUP(G1756,'17_1'!$A$255:$B$279,2,0)</f>
        <v>1213</v>
      </c>
      <c r="D1758" s="81"/>
      <c r="E1758" s="139" t="s">
        <v>141</v>
      </c>
      <c r="F1758" s="141" t="e">
        <f>DSUM('17_1'!A$255:J$279,'17_1'!$J$255,G1755:G1756)</f>
        <v>#N/A</v>
      </c>
      <c r="G1758" s="81"/>
      <c r="H1758" s="111"/>
    </row>
    <row r="1759" spans="1:8">
      <c r="A1759" s="80"/>
      <c r="B1759" s="81" t="s">
        <v>142</v>
      </c>
      <c r="C1759" s="205">
        <v>252</v>
      </c>
      <c r="D1759" s="81"/>
      <c r="E1759" s="81"/>
      <c r="F1759" s="81"/>
      <c r="G1759" s="81"/>
      <c r="H1759" s="111"/>
    </row>
    <row r="1760" spans="1:8">
      <c r="A1760" s="80"/>
      <c r="B1760" s="81" t="s">
        <v>144</v>
      </c>
      <c r="C1760" s="206">
        <f>DSUM('17_1'!$A$255:$H$279,'17_1'!$H$255,G1755:G1756)</f>
        <v>1.03</v>
      </c>
      <c r="D1760" s="81"/>
      <c r="E1760" s="81"/>
      <c r="F1760" s="584"/>
      <c r="G1760" s="584"/>
      <c r="H1760" s="111"/>
    </row>
    <row r="1761" spans="1:8" ht="15.75">
      <c r="A1761" s="80"/>
      <c r="B1761" s="81"/>
      <c r="C1761" s="81" t="s">
        <v>146</v>
      </c>
      <c r="D1761" s="145" t="e">
        <f>DMIN('17_1'!A$255:K$279,'17_1'!$K$255,G1755:G1756)</f>
        <v>#REF!</v>
      </c>
      <c r="E1761" s="189" t="e">
        <f>IF(F1761=1,"Domingo",IF(F1761=2,"Lunes",IF(F1761=3,"Martes",IF(F1761=4,"Miercoles",IF(F1761=5,"Jueves",IF(F1761=6,"Viernes",IF(F1761=7,"Sábado",0)))))))</f>
        <v>#REF!</v>
      </c>
      <c r="F1761" s="190" t="e">
        <f>WEEKDAY(D1761)</f>
        <v>#REF!</v>
      </c>
      <c r="G1761" s="142"/>
      <c r="H1761" s="111"/>
    </row>
    <row r="1762" spans="1:8" ht="15.75">
      <c r="A1762" s="80"/>
      <c r="B1762" s="81"/>
      <c r="C1762" s="81" t="s">
        <v>147</v>
      </c>
      <c r="D1762" s="145" t="e">
        <f>DMAX('17_1'!A$255:L$279,'17_1'!$L$255,G1755:G1756)</f>
        <v>#REF!</v>
      </c>
      <c r="E1762" s="189" t="e">
        <f>IF(F1762=1,"Domingo",IF(F1762=2,"Lunes",IF(F1762=3,"Martes",IF(F1762=4,"Miercoles",IF(F1762=5,"Jueves",IF(F1762=6,"Viernes",IF(F1762=7,"Sábado",0)))))))</f>
        <v>#REF!</v>
      </c>
      <c r="F1762" s="190" t="e">
        <f>WEEKDAY(D1762)</f>
        <v>#REF!</v>
      </c>
      <c r="G1762" s="142"/>
      <c r="H1762" s="111"/>
    </row>
    <row r="1763" spans="1:8">
      <c r="A1763" s="80"/>
      <c r="B1763" s="81"/>
      <c r="C1763" s="81"/>
      <c r="D1763" s="81"/>
      <c r="E1763" s="81"/>
      <c r="F1763" s="584"/>
      <c r="G1763" s="584"/>
      <c r="H1763" s="111"/>
    </row>
    <row r="1764" spans="1:8">
      <c r="A1764" s="80"/>
      <c r="B1764" s="146">
        <f>+Mensajes!$B$7</f>
        <v>0</v>
      </c>
      <c r="C1764" s="81"/>
      <c r="D1764" s="81"/>
      <c r="E1764" s="81"/>
      <c r="F1764" s="81"/>
      <c r="G1764" s="81"/>
      <c r="H1764" s="111"/>
    </row>
    <row r="1765" spans="1:8">
      <c r="A1765" s="80"/>
      <c r="B1765" s="146">
        <f>+Mensajes!$B$12</f>
        <v>0</v>
      </c>
      <c r="C1765" s="81"/>
      <c r="D1765" s="81"/>
      <c r="E1765" s="81"/>
      <c r="F1765" s="81"/>
      <c r="G1765" s="81"/>
      <c r="H1765" s="111"/>
    </row>
    <row r="1766" spans="1:8">
      <c r="A1766" s="80"/>
      <c r="B1766" s="146" t="str">
        <f>IF(VLOOKUP(G1756,'17_1'!$A$255:$N$279,14,0)=0,"",VLOOKUP(G1756,'17_1'!$A$255:$N$279,14,0))</f>
        <v/>
      </c>
      <c r="C1766" s="81"/>
      <c r="D1766" s="81"/>
      <c r="E1766" s="81"/>
      <c r="F1766" s="81"/>
      <c r="G1766" s="81"/>
      <c r="H1766" s="111"/>
    </row>
    <row r="1767" spans="1:8">
      <c r="A1767" s="140"/>
      <c r="B1767" s="188" t="str">
        <f>IF(DSUM('17_1'!$A$255:$Q$279,17,G1755:G1756)=COUNTIF('17_1'!$A$255:$A$279,G1756),"","Regularice su Deuda")</f>
        <v/>
      </c>
      <c r="C1767" s="82"/>
      <c r="D1767" s="82"/>
      <c r="E1767" s="82"/>
      <c r="F1767" s="82"/>
      <c r="G1767" s="82"/>
      <c r="H1767" s="83"/>
    </row>
    <row r="1769" spans="1:8">
      <c r="A1769" s="108"/>
      <c r="B1769" s="109"/>
      <c r="C1769" s="109"/>
      <c r="D1769" s="109"/>
      <c r="E1769" s="109"/>
      <c r="F1769" s="109"/>
      <c r="G1769" s="109"/>
      <c r="H1769" s="110"/>
    </row>
    <row r="1770" spans="1:8">
      <c r="A1770" s="80"/>
      <c r="B1770" s="147" t="s">
        <v>64</v>
      </c>
      <c r="C1770" s="81"/>
      <c r="D1770" s="81"/>
      <c r="E1770" s="81"/>
      <c r="F1770" s="81"/>
      <c r="G1770" s="81"/>
      <c r="H1770" s="111"/>
    </row>
    <row r="1771" spans="1:8">
      <c r="A1771" s="80"/>
      <c r="B1771" s="81"/>
      <c r="C1771" s="81"/>
      <c r="D1771" s="81"/>
      <c r="E1771" s="81"/>
      <c r="F1771" s="81"/>
      <c r="G1771" s="81"/>
      <c r="H1771" s="111"/>
    </row>
    <row r="1772" spans="1:8">
      <c r="A1772" s="80"/>
      <c r="B1772" s="81" t="s">
        <v>139</v>
      </c>
      <c r="C1772" s="81" t="str">
        <f>VLOOKUP(G1773,'17_1'!$A$255:$G$279,6,0)</f>
        <v>COOPERATIVA CUYUM LTDA.(DE VIVIENDA,URBANIZACION Y CONSUMO)</v>
      </c>
      <c r="D1772" s="81"/>
      <c r="E1772" s="81"/>
      <c r="F1772" s="81"/>
      <c r="G1772" s="138" t="s">
        <v>102</v>
      </c>
      <c r="H1772" s="111"/>
    </row>
    <row r="1773" spans="1:8">
      <c r="A1773" s="80"/>
      <c r="B1773" s="81" t="s">
        <v>72</v>
      </c>
      <c r="C1773" s="81" t="str">
        <f>+'17_1'!$A$244</f>
        <v>Hijuela Gelvez - Salomón</v>
      </c>
      <c r="D1773" s="81"/>
      <c r="E1773" s="81"/>
      <c r="F1773" s="81"/>
      <c r="G1773" s="138">
        <v>4</v>
      </c>
      <c r="H1773" s="111"/>
    </row>
    <row r="1774" spans="1:8">
      <c r="A1774" s="80"/>
      <c r="B1774" s="81"/>
      <c r="C1774" s="81"/>
      <c r="D1774" s="81"/>
      <c r="E1774" s="81"/>
      <c r="F1774" s="81"/>
      <c r="G1774" s="81"/>
      <c r="H1774" s="111"/>
    </row>
    <row r="1775" spans="1:8">
      <c r="A1775" s="80"/>
      <c r="B1775" s="81" t="s">
        <v>140</v>
      </c>
      <c r="C1775" s="138">
        <f>VLOOKUP(G1773,'17_1'!$A$255:$B$279,2,0)</f>
        <v>1213</v>
      </c>
      <c r="D1775" s="81"/>
      <c r="E1775" s="139" t="s">
        <v>141</v>
      </c>
      <c r="F1775" s="141" t="e">
        <f>DSUM('17_1'!A$255:J$279,'17_1'!$J$255,G1772:G1773)</f>
        <v>#N/A</v>
      </c>
      <c r="G1775" s="81"/>
      <c r="H1775" s="111"/>
    </row>
    <row r="1776" spans="1:8">
      <c r="A1776" s="80"/>
      <c r="B1776" s="81" t="s">
        <v>142</v>
      </c>
      <c r="C1776" s="205" t="s">
        <v>552</v>
      </c>
      <c r="D1776" s="81"/>
      <c r="E1776" s="81"/>
      <c r="F1776" s="81"/>
      <c r="G1776" s="81"/>
      <c r="H1776" s="111"/>
    </row>
    <row r="1777" spans="1:8">
      <c r="A1777" s="80"/>
      <c r="B1777" s="81" t="s">
        <v>144</v>
      </c>
      <c r="C1777" s="206">
        <f>DSUM('17_1'!$A$255:$H$279,'17_1'!$H$255,G1772:G1773)</f>
        <v>0</v>
      </c>
      <c r="D1777" s="81"/>
      <c r="E1777" s="81"/>
      <c r="F1777" s="584"/>
      <c r="G1777" s="584"/>
      <c r="H1777" s="111"/>
    </row>
    <row r="1778" spans="1:8" ht="15.75">
      <c r="A1778" s="80"/>
      <c r="B1778" s="81"/>
      <c r="C1778" s="81" t="s">
        <v>146</v>
      </c>
      <c r="D1778" s="145" t="e">
        <f>DMIN('17_1'!A$255:K$279,'17_1'!$K$255,G1772:G1773)</f>
        <v>#REF!</v>
      </c>
      <c r="E1778" s="189" t="e">
        <f>IF(F1778=1,"Domingo",IF(F1778=2,"Lunes",IF(F1778=3,"Martes",IF(F1778=4,"Miercoles",IF(F1778=5,"Jueves",IF(F1778=6,"Viernes",IF(F1778=7,"Sábado",0)))))))</f>
        <v>#REF!</v>
      </c>
      <c r="F1778" s="190" t="e">
        <f>WEEKDAY(D1778)</f>
        <v>#REF!</v>
      </c>
      <c r="G1778" s="142"/>
      <c r="H1778" s="111"/>
    </row>
    <row r="1779" spans="1:8" ht="15.75">
      <c r="A1779" s="80"/>
      <c r="B1779" s="81"/>
      <c r="C1779" s="81" t="s">
        <v>147</v>
      </c>
      <c r="D1779" s="145" t="e">
        <f>DMAX('17_1'!A$255:L$279,'17_1'!$L$255,G1772:G1773)</f>
        <v>#REF!</v>
      </c>
      <c r="E1779" s="189" t="e">
        <f>IF(F1779=1,"Domingo",IF(F1779=2,"Lunes",IF(F1779=3,"Martes",IF(F1779=4,"Miercoles",IF(F1779=5,"Jueves",IF(F1779=6,"Viernes",IF(F1779=7,"Sábado",0)))))))</f>
        <v>#REF!</v>
      </c>
      <c r="F1779" s="190" t="e">
        <f>WEEKDAY(D1779)</f>
        <v>#REF!</v>
      </c>
      <c r="G1779" s="142"/>
      <c r="H1779" s="111"/>
    </row>
    <row r="1780" spans="1:8">
      <c r="A1780" s="80"/>
      <c r="B1780" s="81"/>
      <c r="C1780" s="81"/>
      <c r="D1780" s="81"/>
      <c r="E1780" s="81"/>
      <c r="F1780" s="584"/>
      <c r="G1780" s="584"/>
      <c r="H1780" s="111"/>
    </row>
    <row r="1781" spans="1:8">
      <c r="A1781" s="80"/>
      <c r="B1781" s="146">
        <f>+Mensajes!$B$7</f>
        <v>0</v>
      </c>
      <c r="C1781" s="81"/>
      <c r="D1781" s="81"/>
      <c r="E1781" s="81"/>
      <c r="F1781" s="81"/>
      <c r="G1781" s="81"/>
      <c r="H1781" s="111"/>
    </row>
    <row r="1782" spans="1:8">
      <c r="A1782" s="80"/>
      <c r="B1782" s="146">
        <f>+Mensajes!$B$12</f>
        <v>0</v>
      </c>
      <c r="C1782" s="81"/>
      <c r="D1782" s="81"/>
      <c r="E1782" s="81"/>
      <c r="F1782" s="81"/>
      <c r="G1782" s="81"/>
      <c r="H1782" s="111"/>
    </row>
    <row r="1783" spans="1:8">
      <c r="A1783" s="80"/>
      <c r="B1783" s="146" t="str">
        <f>IF(VLOOKUP(G1773,'17_1'!$A$255:$N$279,14,0)=0,"",VLOOKUP(G1773,'17_1'!$A$255:$N$279,14,0))</f>
        <v/>
      </c>
      <c r="C1783" s="81"/>
      <c r="D1783" s="81"/>
      <c r="E1783" s="81"/>
      <c r="F1783" s="81"/>
      <c r="G1783" s="81"/>
      <c r="H1783" s="111"/>
    </row>
    <row r="1784" spans="1:8">
      <c r="A1784" s="140"/>
      <c r="B1784" s="188" t="str">
        <f>IF(DSUM('17_1'!$A$255:$Q$279,17,G1772:G1773)=COUNTIF('17_1'!$A$255:$A$279,G1773),"","Regularice su Deuda")</f>
        <v>Regularice su Deuda</v>
      </c>
      <c r="C1784" s="82"/>
      <c r="D1784" s="82"/>
      <c r="E1784" s="82"/>
      <c r="F1784" s="82"/>
      <c r="G1784" s="82"/>
      <c r="H1784" s="83"/>
    </row>
    <row r="1786" spans="1:8">
      <c r="A1786" s="108"/>
      <c r="B1786" s="109"/>
      <c r="C1786" s="109"/>
      <c r="D1786" s="109"/>
      <c r="E1786" s="109"/>
      <c r="F1786" s="109"/>
      <c r="G1786" s="109"/>
      <c r="H1786" s="110"/>
    </row>
    <row r="1787" spans="1:8">
      <c r="A1787" s="80"/>
      <c r="B1787" s="147" t="s">
        <v>64</v>
      </c>
      <c r="C1787" s="81"/>
      <c r="D1787" s="81"/>
      <c r="E1787" s="81"/>
      <c r="F1787" s="81"/>
      <c r="G1787" s="81"/>
      <c r="H1787" s="111"/>
    </row>
    <row r="1788" spans="1:8">
      <c r="A1788" s="80"/>
      <c r="B1788" s="81"/>
      <c r="C1788" s="81"/>
      <c r="D1788" s="81"/>
      <c r="E1788" s="81"/>
      <c r="F1788" s="81"/>
      <c r="G1788" s="81"/>
      <c r="H1788" s="111"/>
    </row>
    <row r="1789" spans="1:8">
      <c r="A1789" s="80"/>
      <c r="B1789" s="81" t="s">
        <v>139</v>
      </c>
      <c r="C1789" s="81" t="str">
        <f>VLOOKUP(G1790,'17_1'!$A$255:$G$279,6,0)</f>
        <v>BARELLO, MARCELO</v>
      </c>
      <c r="D1789" s="81"/>
      <c r="E1789" s="81"/>
      <c r="F1789" s="81"/>
      <c r="G1789" s="138" t="s">
        <v>102</v>
      </c>
      <c r="H1789" s="111"/>
    </row>
    <row r="1790" spans="1:8">
      <c r="A1790" s="80"/>
      <c r="B1790" s="81" t="s">
        <v>72</v>
      </c>
      <c r="C1790" s="81" t="str">
        <f>+'17_1'!$A$244</f>
        <v>Hijuela Gelvez - Salomón</v>
      </c>
      <c r="D1790" s="81"/>
      <c r="E1790" s="81"/>
      <c r="F1790" s="81"/>
      <c r="G1790" s="138">
        <v>5</v>
      </c>
      <c r="H1790" s="111"/>
    </row>
    <row r="1791" spans="1:8">
      <c r="A1791" s="80"/>
      <c r="B1791" s="81"/>
      <c r="C1791" s="81"/>
      <c r="D1791" s="81"/>
      <c r="E1791" s="81"/>
      <c r="F1791" s="81"/>
      <c r="G1791" s="81"/>
      <c r="H1791" s="111"/>
    </row>
    <row r="1792" spans="1:8">
      <c r="A1792" s="80"/>
      <c r="B1792" s="81" t="s">
        <v>140</v>
      </c>
      <c r="C1792" s="138">
        <f>VLOOKUP(G1790,'17_1'!$A$255:$B$279,2,0)</f>
        <v>1213</v>
      </c>
      <c r="D1792" s="81"/>
      <c r="E1792" s="139" t="s">
        <v>141</v>
      </c>
      <c r="F1792" s="141" t="e">
        <f>DSUM('17_1'!A$255:J$279,'17_1'!$J$255,G1789:G1790)</f>
        <v>#N/A</v>
      </c>
      <c r="G1792" s="81"/>
      <c r="H1792" s="111"/>
    </row>
    <row r="1793" spans="1:8">
      <c r="A1793" s="80"/>
      <c r="B1793" s="81" t="s">
        <v>142</v>
      </c>
      <c r="C1793" s="205">
        <v>40</v>
      </c>
      <c r="D1793" s="81"/>
      <c r="E1793" s="81"/>
      <c r="F1793" s="81"/>
      <c r="G1793" s="81"/>
      <c r="H1793" s="111"/>
    </row>
    <row r="1794" spans="1:8">
      <c r="A1794" s="80"/>
      <c r="B1794" s="81" t="s">
        <v>144</v>
      </c>
      <c r="C1794" s="206">
        <f>DSUM('17_1'!$A$255:$H$279,'17_1'!$H$255,G1789:G1790)</f>
        <v>11.3932</v>
      </c>
      <c r="D1794" s="81"/>
      <c r="E1794" s="81"/>
      <c r="F1794" s="584"/>
      <c r="G1794" s="584"/>
      <c r="H1794" s="111"/>
    </row>
    <row r="1795" spans="1:8" ht="15.75">
      <c r="A1795" s="80"/>
      <c r="B1795" s="81"/>
      <c r="C1795" s="81" t="s">
        <v>146</v>
      </c>
      <c r="D1795" s="145" t="e">
        <f>DMIN('17_1'!A$255:K$279,'17_1'!$K$255,G1789:G1790)</f>
        <v>#REF!</v>
      </c>
      <c r="E1795" s="189" t="e">
        <f>IF(F1795=1,"Domingo",IF(F1795=2,"Lunes",IF(F1795=3,"Martes",IF(F1795=4,"Miercoles",IF(F1795=5,"Jueves",IF(F1795=6,"Viernes",IF(F1795=7,"Sábado",0)))))))</f>
        <v>#REF!</v>
      </c>
      <c r="F1795" s="190" t="e">
        <f>WEEKDAY(D1795)</f>
        <v>#REF!</v>
      </c>
      <c r="G1795" s="142"/>
      <c r="H1795" s="111"/>
    </row>
    <row r="1796" spans="1:8" ht="15.75">
      <c r="A1796" s="80"/>
      <c r="B1796" s="81"/>
      <c r="C1796" s="81" t="s">
        <v>147</v>
      </c>
      <c r="D1796" s="145" t="e">
        <f>DMAX('17_1'!A$255:L$279,'17_1'!$L$255,G1789:G1790)</f>
        <v>#REF!</v>
      </c>
      <c r="E1796" s="189" t="e">
        <f>IF(F1796=1,"Domingo",IF(F1796=2,"Lunes",IF(F1796=3,"Martes",IF(F1796=4,"Miercoles",IF(F1796=5,"Jueves",IF(F1796=6,"Viernes",IF(F1796=7,"Sábado",0)))))))</f>
        <v>#REF!</v>
      </c>
      <c r="F1796" s="190" t="e">
        <f>WEEKDAY(D1796)</f>
        <v>#REF!</v>
      </c>
      <c r="G1796" s="142"/>
      <c r="H1796" s="111"/>
    </row>
    <row r="1797" spans="1:8">
      <c r="A1797" s="80"/>
      <c r="B1797" s="81"/>
      <c r="C1797" s="81"/>
      <c r="D1797" s="81"/>
      <c r="E1797" s="81"/>
      <c r="F1797" s="584"/>
      <c r="G1797" s="584"/>
      <c r="H1797" s="111"/>
    </row>
    <row r="1798" spans="1:8">
      <c r="A1798" s="80"/>
      <c r="B1798" s="146">
        <f>+Mensajes!$B$7</f>
        <v>0</v>
      </c>
      <c r="C1798" s="81"/>
      <c r="D1798" s="81"/>
      <c r="E1798" s="81"/>
      <c r="F1798" s="81"/>
      <c r="G1798" s="81"/>
      <c r="H1798" s="111"/>
    </row>
    <row r="1799" spans="1:8">
      <c r="A1799" s="80"/>
      <c r="B1799" s="146">
        <f>+Mensajes!$B$12</f>
        <v>0</v>
      </c>
      <c r="C1799" s="81"/>
      <c r="D1799" s="81"/>
      <c r="E1799" s="81"/>
      <c r="F1799" s="81"/>
      <c r="G1799" s="81"/>
      <c r="H1799" s="111"/>
    </row>
    <row r="1800" spans="1:8">
      <c r="A1800" s="80"/>
      <c r="B1800" s="146" t="str">
        <f>IF(VLOOKUP(G1790,'17_1'!$A$255:$N$279,14,0)=0,"",VLOOKUP(G1790,'17_1'!$A$255:$N$279,14,0))</f>
        <v/>
      </c>
      <c r="C1800" s="81"/>
      <c r="D1800" s="81"/>
      <c r="E1800" s="81"/>
      <c r="F1800" s="81"/>
      <c r="G1800" s="81"/>
      <c r="H1800" s="111"/>
    </row>
    <row r="1801" spans="1:8">
      <c r="A1801" s="140"/>
      <c r="B1801" s="188" t="str">
        <f>IF(DSUM('17_1'!$A$255:$Q$279,17,G1789:G1790)=COUNTIF('17_1'!$A$255:$A$279,G1790),"","Regularice su Deuda")</f>
        <v/>
      </c>
      <c r="C1801" s="82"/>
      <c r="D1801" s="82"/>
      <c r="E1801" s="82"/>
      <c r="F1801" s="82"/>
      <c r="G1801" s="82"/>
      <c r="H1801" s="83"/>
    </row>
    <row r="1803" spans="1:8">
      <c r="A1803" s="108"/>
      <c r="B1803" s="109"/>
      <c r="C1803" s="109"/>
      <c r="D1803" s="109"/>
      <c r="E1803" s="109"/>
      <c r="F1803" s="109"/>
      <c r="G1803" s="109"/>
      <c r="H1803" s="110"/>
    </row>
    <row r="1804" spans="1:8">
      <c r="A1804" s="80"/>
      <c r="B1804" s="147" t="s">
        <v>64</v>
      </c>
      <c r="C1804" s="81"/>
      <c r="D1804" s="81"/>
      <c r="E1804" s="81"/>
      <c r="F1804" s="81"/>
      <c r="G1804" s="81"/>
      <c r="H1804" s="111"/>
    </row>
    <row r="1805" spans="1:8">
      <c r="A1805" s="80"/>
      <c r="B1805" s="81"/>
      <c r="C1805" s="81"/>
      <c r="D1805" s="81"/>
      <c r="E1805" s="81"/>
      <c r="F1805" s="81"/>
      <c r="G1805" s="81"/>
      <c r="H1805" s="111"/>
    </row>
    <row r="1806" spans="1:8">
      <c r="A1806" s="80"/>
      <c r="B1806" s="81" t="s">
        <v>139</v>
      </c>
      <c r="C1806" s="81" t="str">
        <f>VLOOKUP(G1807,'17_1'!$A$255:$G$279,6,0)</f>
        <v>CORDOBA, MARTA ESTELA</v>
      </c>
      <c r="D1806" s="81"/>
      <c r="E1806" s="81"/>
      <c r="F1806" s="81"/>
      <c r="G1806" s="138" t="s">
        <v>102</v>
      </c>
      <c r="H1806" s="111"/>
    </row>
    <row r="1807" spans="1:8">
      <c r="A1807" s="80"/>
      <c r="B1807" s="81" t="s">
        <v>72</v>
      </c>
      <c r="C1807" s="81" t="str">
        <f>+'17_1'!$A$244</f>
        <v>Hijuela Gelvez - Salomón</v>
      </c>
      <c r="D1807" s="81"/>
      <c r="E1807" s="81"/>
      <c r="F1807" s="81"/>
      <c r="G1807" s="138">
        <v>6</v>
      </c>
      <c r="H1807" s="111"/>
    </row>
    <row r="1808" spans="1:8">
      <c r="A1808" s="80"/>
      <c r="B1808" s="81"/>
      <c r="C1808" s="81"/>
      <c r="D1808" s="81"/>
      <c r="E1808" s="81"/>
      <c r="F1808" s="81"/>
      <c r="G1808" s="81"/>
      <c r="H1808" s="111"/>
    </row>
    <row r="1809" spans="1:8">
      <c r="A1809" s="80"/>
      <c r="B1809" s="81" t="s">
        <v>140</v>
      </c>
      <c r="C1809" s="138">
        <f>VLOOKUP(G1807,'17_1'!$A$255:$B$279,2,0)</f>
        <v>1213</v>
      </c>
      <c r="D1809" s="81"/>
      <c r="E1809" s="139" t="s">
        <v>141</v>
      </c>
      <c r="F1809" s="141" t="e">
        <f>DSUM('17_1'!A$255:J$279,'17_1'!$J$255,G1806:G1807)</f>
        <v>#N/A</v>
      </c>
      <c r="G1809" s="81"/>
      <c r="H1809" s="111"/>
    </row>
    <row r="1810" spans="1:8">
      <c r="A1810" s="80"/>
      <c r="B1810" s="81" t="s">
        <v>142</v>
      </c>
      <c r="C1810" s="205">
        <v>51</v>
      </c>
      <c r="D1810" s="81"/>
      <c r="E1810" s="81"/>
      <c r="F1810" s="81"/>
      <c r="G1810" s="81"/>
      <c r="H1810" s="111"/>
    </row>
    <row r="1811" spans="1:8">
      <c r="A1811" s="80"/>
      <c r="B1811" s="81" t="s">
        <v>144</v>
      </c>
      <c r="C1811" s="206">
        <f>DSUM('17_1'!$A$255:$H$279,'17_1'!$H$255,G1806:G1807)</f>
        <v>7.1605999999999996</v>
      </c>
      <c r="D1811" s="81"/>
      <c r="E1811" s="81"/>
      <c r="F1811" s="584"/>
      <c r="G1811" s="584"/>
      <c r="H1811" s="111"/>
    </row>
    <row r="1812" spans="1:8" ht="15.75">
      <c r="A1812" s="80"/>
      <c r="B1812" s="81"/>
      <c r="C1812" s="81" t="s">
        <v>146</v>
      </c>
      <c r="D1812" s="145" t="e">
        <f>DMIN('17_1'!A$255:K$279,'17_1'!$K$255,G1806:G1807)</f>
        <v>#REF!</v>
      </c>
      <c r="E1812" s="189" t="e">
        <f>IF(F1812=1,"Domingo",IF(F1812=2,"Lunes",IF(F1812=3,"Martes",IF(F1812=4,"Miercoles",IF(F1812=5,"Jueves",IF(F1812=6,"Viernes",IF(F1812=7,"Sábado",0)))))))</f>
        <v>#REF!</v>
      </c>
      <c r="F1812" s="190" t="e">
        <f>WEEKDAY(D1812)</f>
        <v>#REF!</v>
      </c>
      <c r="G1812" s="142"/>
      <c r="H1812" s="111"/>
    </row>
    <row r="1813" spans="1:8" ht="15.75">
      <c r="A1813" s="80"/>
      <c r="B1813" s="81"/>
      <c r="C1813" s="81" t="s">
        <v>147</v>
      </c>
      <c r="D1813" s="145" t="e">
        <f>DMAX('17_1'!A$255:L$279,'17_1'!$L$255,G1806:G1807)</f>
        <v>#REF!</v>
      </c>
      <c r="E1813" s="189" t="e">
        <f>IF(F1813=1,"Domingo",IF(F1813=2,"Lunes",IF(F1813=3,"Martes",IF(F1813=4,"Miercoles",IF(F1813=5,"Jueves",IF(F1813=6,"Viernes",IF(F1813=7,"Sábado",0)))))))</f>
        <v>#REF!</v>
      </c>
      <c r="F1813" s="190" t="e">
        <f>WEEKDAY(D1813)</f>
        <v>#REF!</v>
      </c>
      <c r="G1813" s="142"/>
      <c r="H1813" s="111"/>
    </row>
    <row r="1814" spans="1:8">
      <c r="A1814" s="80"/>
      <c r="B1814" s="81"/>
      <c r="C1814" s="81"/>
      <c r="D1814" s="81"/>
      <c r="E1814" s="81"/>
      <c r="F1814" s="584"/>
      <c r="G1814" s="584"/>
      <c r="H1814" s="111"/>
    </row>
    <row r="1815" spans="1:8">
      <c r="A1815" s="80"/>
      <c r="B1815" s="146">
        <f>+Mensajes!$B$7</f>
        <v>0</v>
      </c>
      <c r="C1815" s="81"/>
      <c r="D1815" s="81"/>
      <c r="E1815" s="81"/>
      <c r="F1815" s="81"/>
      <c r="G1815" s="81"/>
      <c r="H1815" s="111"/>
    </row>
    <row r="1816" spans="1:8">
      <c r="A1816" s="80"/>
      <c r="B1816" s="146">
        <f>+Mensajes!$B$12</f>
        <v>0</v>
      </c>
      <c r="C1816" s="81"/>
      <c r="D1816" s="81"/>
      <c r="E1816" s="81"/>
      <c r="F1816" s="81"/>
      <c r="G1816" s="81"/>
      <c r="H1816" s="111"/>
    </row>
    <row r="1817" spans="1:8">
      <c r="A1817" s="80"/>
      <c r="B1817" s="146" t="str">
        <f>IF(VLOOKUP(G1807,'17_1'!$A$255:$N$279,14,0)=0,"",VLOOKUP(G1807,'17_1'!$A$255:$N$279,14,0))</f>
        <v/>
      </c>
      <c r="C1817" s="81"/>
      <c r="D1817" s="81"/>
      <c r="E1817" s="81"/>
      <c r="F1817" s="81"/>
      <c r="G1817" s="81"/>
      <c r="H1817" s="111"/>
    </row>
    <row r="1818" spans="1:8">
      <c r="A1818" s="140"/>
      <c r="B1818" s="188" t="str">
        <f>IF(DSUM('17_1'!$A$255:$Q$279,17,G1806:G1807)=COUNTIF('17_1'!$A$255:$A$279,G1807),"","Regularice su Deuda")</f>
        <v/>
      </c>
      <c r="C1818" s="82"/>
      <c r="D1818" s="82"/>
      <c r="E1818" s="82"/>
      <c r="F1818" s="82"/>
      <c r="G1818" s="82"/>
      <c r="H1818" s="83"/>
    </row>
    <row r="1820" spans="1:8">
      <c r="A1820" s="108"/>
      <c r="B1820" s="109"/>
      <c r="C1820" s="109"/>
      <c r="D1820" s="109"/>
      <c r="E1820" s="109"/>
      <c r="F1820" s="109"/>
      <c r="G1820" s="109"/>
      <c r="H1820" s="110"/>
    </row>
    <row r="1821" spans="1:8">
      <c r="A1821" s="80"/>
      <c r="B1821" s="147" t="s">
        <v>64</v>
      </c>
      <c r="C1821" s="81"/>
      <c r="D1821" s="81"/>
      <c r="E1821" s="81"/>
      <c r="F1821" s="81"/>
      <c r="G1821" s="81"/>
      <c r="H1821" s="111"/>
    </row>
    <row r="1822" spans="1:8">
      <c r="A1822" s="80"/>
      <c r="B1822" s="81"/>
      <c r="C1822" s="81"/>
      <c r="D1822" s="81"/>
      <c r="E1822" s="81"/>
      <c r="F1822" s="81"/>
      <c r="G1822" s="81"/>
      <c r="H1822" s="111"/>
    </row>
    <row r="1823" spans="1:8">
      <c r="A1823" s="80"/>
      <c r="B1823" s="81" t="s">
        <v>139</v>
      </c>
      <c r="C1823" s="81" t="str">
        <f>VLOOKUP(G1824,'17_1'!$A$255:$G$279,6,0)</f>
        <v>MANVIELLI, EDUARDO</v>
      </c>
      <c r="D1823" s="81"/>
      <c r="E1823" s="81"/>
      <c r="F1823" s="81"/>
      <c r="G1823" s="138" t="s">
        <v>102</v>
      </c>
      <c r="H1823" s="111"/>
    </row>
    <row r="1824" spans="1:8">
      <c r="A1824" s="80"/>
      <c r="B1824" s="81" t="s">
        <v>72</v>
      </c>
      <c r="C1824" s="81" t="str">
        <f>+'17_1'!$A$244</f>
        <v>Hijuela Gelvez - Salomón</v>
      </c>
      <c r="D1824" s="81"/>
      <c r="E1824" s="81"/>
      <c r="F1824" s="81"/>
      <c r="G1824" s="138">
        <v>7</v>
      </c>
      <c r="H1824" s="111"/>
    </row>
    <row r="1825" spans="1:8">
      <c r="A1825" s="80"/>
      <c r="B1825" s="81"/>
      <c r="C1825" s="81"/>
      <c r="D1825" s="81"/>
      <c r="E1825" s="81"/>
      <c r="F1825" s="81"/>
      <c r="G1825" s="81"/>
      <c r="H1825" s="111"/>
    </row>
    <row r="1826" spans="1:8">
      <c r="A1826" s="80"/>
      <c r="B1826" s="81" t="s">
        <v>140</v>
      </c>
      <c r="C1826" s="138">
        <f>VLOOKUP(G1824,'17_1'!$A$255:$B$279,2,0)</f>
        <v>1213</v>
      </c>
      <c r="D1826" s="81"/>
      <c r="E1826" s="139" t="s">
        <v>141</v>
      </c>
      <c r="F1826" s="141" t="e">
        <f>DSUM('17_1'!A$255:J$279,'17_1'!$J$255,G1823:G1824)</f>
        <v>#N/A</v>
      </c>
      <c r="G1826" s="81"/>
      <c r="H1826" s="111"/>
    </row>
    <row r="1827" spans="1:8">
      <c r="A1827" s="80"/>
      <c r="B1827" s="81" t="s">
        <v>142</v>
      </c>
      <c r="C1827" s="205">
        <v>52</v>
      </c>
      <c r="D1827" s="81"/>
      <c r="E1827" s="81"/>
      <c r="F1827" s="81"/>
      <c r="G1827" s="81"/>
      <c r="H1827" s="111"/>
    </row>
    <row r="1828" spans="1:8">
      <c r="A1828" s="80"/>
      <c r="B1828" s="81" t="s">
        <v>144</v>
      </c>
      <c r="C1828" s="206" t="e">
        <f>DSUM('17_1'!$A$255:$H$279,'17_1'!$H$255,G1823:G1824)</f>
        <v>#N/A</v>
      </c>
      <c r="D1828" s="81"/>
      <c r="E1828" s="81"/>
      <c r="F1828" s="584"/>
      <c r="G1828" s="584"/>
      <c r="H1828" s="111"/>
    </row>
    <row r="1829" spans="1:8" ht="15.75">
      <c r="A1829" s="80"/>
      <c r="B1829" s="81"/>
      <c r="C1829" s="81" t="s">
        <v>146</v>
      </c>
      <c r="D1829" s="145" t="e">
        <f>DMIN('17_1'!A$255:K$279,'17_1'!$K$255,G1823:G1824)</f>
        <v>#REF!</v>
      </c>
      <c r="E1829" s="189" t="e">
        <f>IF(F1829=1,"Domingo",IF(F1829=2,"Lunes",IF(F1829=3,"Martes",IF(F1829=4,"Miercoles",IF(F1829=5,"Jueves",IF(F1829=6,"Viernes",IF(F1829=7,"Sábado",0)))))))</f>
        <v>#REF!</v>
      </c>
      <c r="F1829" s="190" t="e">
        <f>WEEKDAY(D1829)</f>
        <v>#REF!</v>
      </c>
      <c r="G1829" s="142"/>
      <c r="H1829" s="111"/>
    </row>
    <row r="1830" spans="1:8" ht="15.75">
      <c r="A1830" s="80"/>
      <c r="B1830" s="81"/>
      <c r="C1830" s="81" t="s">
        <v>147</v>
      </c>
      <c r="D1830" s="145" t="e">
        <f>DMAX('17_1'!A$255:L$279,'17_1'!$L$255,G1823:G1824)</f>
        <v>#REF!</v>
      </c>
      <c r="E1830" s="189" t="e">
        <f>IF(F1830=1,"Domingo",IF(F1830=2,"Lunes",IF(F1830=3,"Martes",IF(F1830=4,"Miercoles",IF(F1830=5,"Jueves",IF(F1830=6,"Viernes",IF(F1830=7,"Sábado",0)))))))</f>
        <v>#REF!</v>
      </c>
      <c r="F1830" s="190" t="e">
        <f>WEEKDAY(D1830)</f>
        <v>#REF!</v>
      </c>
      <c r="G1830" s="142"/>
      <c r="H1830" s="111"/>
    </row>
    <row r="1831" spans="1:8">
      <c r="A1831" s="80"/>
      <c r="B1831" s="81"/>
      <c r="C1831" s="81"/>
      <c r="D1831" s="81"/>
      <c r="E1831" s="81"/>
      <c r="F1831" s="584"/>
      <c r="G1831" s="584"/>
      <c r="H1831" s="111"/>
    </row>
    <row r="1832" spans="1:8">
      <c r="A1832" s="80"/>
      <c r="B1832" s="146">
        <f>+Mensajes!$B$7</f>
        <v>0</v>
      </c>
      <c r="C1832" s="81"/>
      <c r="D1832" s="81"/>
      <c r="E1832" s="81"/>
      <c r="F1832" s="81"/>
      <c r="G1832" s="81"/>
      <c r="H1832" s="111"/>
    </row>
    <row r="1833" spans="1:8">
      <c r="A1833" s="80"/>
      <c r="B1833" s="146">
        <f>+Mensajes!$B$12</f>
        <v>0</v>
      </c>
      <c r="C1833" s="81"/>
      <c r="D1833" s="81"/>
      <c r="E1833" s="81"/>
      <c r="F1833" s="81"/>
      <c r="G1833" s="81"/>
      <c r="H1833" s="111"/>
    </row>
    <row r="1834" spans="1:8">
      <c r="A1834" s="80"/>
      <c r="B1834" s="146" t="str">
        <f>IF(VLOOKUP(G1824,'17_1'!$A$255:$N$279,14,0)=0,"",VLOOKUP(G1824,'17_1'!$A$255:$N$279,14,0))</f>
        <v/>
      </c>
      <c r="C1834" s="81"/>
      <c r="D1834" s="81"/>
      <c r="E1834" s="81"/>
      <c r="F1834" s="81"/>
      <c r="G1834" s="81"/>
      <c r="H1834" s="111"/>
    </row>
    <row r="1835" spans="1:8">
      <c r="A1835" s="140"/>
      <c r="B1835" s="188" t="e">
        <f>IF(DSUM('17_1'!$A$255:$Q$279,17,G1823:G1824)=COUNTIF('17_1'!$A$255:$A$279,G1824),"","Regularice su Deuda")</f>
        <v>#N/A</v>
      </c>
      <c r="C1835" s="82"/>
      <c r="D1835" s="82"/>
      <c r="E1835" s="82"/>
      <c r="F1835" s="82"/>
      <c r="G1835" s="82"/>
      <c r="H1835" s="83"/>
    </row>
    <row r="1837" spans="1:8">
      <c r="A1837" s="108"/>
      <c r="B1837" s="109"/>
      <c r="C1837" s="109"/>
      <c r="D1837" s="109"/>
      <c r="E1837" s="109"/>
      <c r="F1837" s="109"/>
      <c r="G1837" s="109"/>
      <c r="H1837" s="110"/>
    </row>
    <row r="1838" spans="1:8">
      <c r="A1838" s="80"/>
      <c r="B1838" s="147" t="s">
        <v>64</v>
      </c>
      <c r="C1838" s="81"/>
      <c r="D1838" s="81"/>
      <c r="E1838" s="81"/>
      <c r="F1838" s="81"/>
      <c r="G1838" s="81"/>
      <c r="H1838" s="111"/>
    </row>
    <row r="1839" spans="1:8">
      <c r="A1839" s="80"/>
      <c r="B1839" s="81"/>
      <c r="C1839" s="81"/>
      <c r="D1839" s="81"/>
      <c r="E1839" s="81"/>
      <c r="F1839" s="81"/>
      <c r="G1839" s="81"/>
      <c r="H1839" s="111"/>
    </row>
    <row r="1840" spans="1:8">
      <c r="A1840" s="80"/>
      <c r="B1840" s="81" t="s">
        <v>139</v>
      </c>
      <c r="C1840" s="81" t="str">
        <f>VLOOKUP(G1841,'17_1'!$A$255:$G$279,6,0)</f>
        <v>FERROCARRIL GENERAL SAN MARTIN-(ESTACION COSTA DE ARAUJO)</v>
      </c>
      <c r="D1840" s="81"/>
      <c r="E1840" s="81"/>
      <c r="F1840" s="81"/>
      <c r="G1840" s="138" t="s">
        <v>102</v>
      </c>
      <c r="H1840" s="111"/>
    </row>
    <row r="1841" spans="1:8">
      <c r="A1841" s="80"/>
      <c r="B1841" s="81" t="s">
        <v>72</v>
      </c>
      <c r="C1841" s="81" t="str">
        <f>+'17_1'!$A$244</f>
        <v>Hijuela Gelvez - Salomón</v>
      </c>
      <c r="D1841" s="81"/>
      <c r="E1841" s="81"/>
      <c r="F1841" s="81"/>
      <c r="G1841" s="138">
        <v>8</v>
      </c>
      <c r="H1841" s="111"/>
    </row>
    <row r="1842" spans="1:8">
      <c r="A1842" s="80"/>
      <c r="B1842" s="81"/>
      <c r="C1842" s="81"/>
      <c r="D1842" s="81"/>
      <c r="E1842" s="81"/>
      <c r="F1842" s="81"/>
      <c r="G1842" s="81"/>
      <c r="H1842" s="111"/>
    </row>
    <row r="1843" spans="1:8">
      <c r="A1843" s="80"/>
      <c r="B1843" s="81" t="s">
        <v>140</v>
      </c>
      <c r="C1843" s="138">
        <f>VLOOKUP(G1841,'17_1'!$A$255:$B$279,2,0)</f>
        <v>1213</v>
      </c>
      <c r="D1843" s="81"/>
      <c r="E1843" s="139" t="s">
        <v>141</v>
      </c>
      <c r="F1843" s="141" t="e">
        <f>DSUM('17_1'!A$255:J$279,'17_1'!$J$255,G1840:G1841)</f>
        <v>#N/A</v>
      </c>
      <c r="G1843" s="81"/>
      <c r="H1843" s="111"/>
    </row>
    <row r="1844" spans="1:8">
      <c r="A1844" s="80"/>
      <c r="B1844" s="81" t="s">
        <v>142</v>
      </c>
      <c r="C1844" s="205">
        <v>53</v>
      </c>
      <c r="D1844" s="81"/>
      <c r="E1844" s="81"/>
      <c r="F1844" s="81"/>
      <c r="G1844" s="81"/>
      <c r="H1844" s="111"/>
    </row>
    <row r="1845" spans="1:8">
      <c r="A1845" s="80"/>
      <c r="B1845" s="81" t="s">
        <v>144</v>
      </c>
      <c r="C1845" s="206">
        <f>DSUM('17_1'!$A$255:$H$279,'17_1'!$H$255,G1840:G1841)</f>
        <v>2</v>
      </c>
      <c r="D1845" s="81"/>
      <c r="E1845" s="81"/>
      <c r="F1845" s="584"/>
      <c r="G1845" s="584"/>
      <c r="H1845" s="111"/>
    </row>
    <row r="1846" spans="1:8" ht="15.75">
      <c r="A1846" s="80"/>
      <c r="B1846" s="81"/>
      <c r="C1846" s="81" t="s">
        <v>146</v>
      </c>
      <c r="D1846" s="145" t="e">
        <f>DMIN('17_1'!A$255:K$279,'17_1'!$K$255,G1840:G1841)</f>
        <v>#REF!</v>
      </c>
      <c r="E1846" s="189" t="e">
        <f>IF(F1846=1,"Domingo",IF(F1846=2,"Lunes",IF(F1846=3,"Martes",IF(F1846=4,"Miercoles",IF(F1846=5,"Jueves",IF(F1846=6,"Viernes",IF(F1846=7,"Sábado",0)))))))</f>
        <v>#REF!</v>
      </c>
      <c r="F1846" s="190" t="e">
        <f>WEEKDAY(D1846)</f>
        <v>#REF!</v>
      </c>
      <c r="G1846" s="142"/>
      <c r="H1846" s="111"/>
    </row>
    <row r="1847" spans="1:8" ht="15.75">
      <c r="A1847" s="80"/>
      <c r="B1847" s="81"/>
      <c r="C1847" s="81" t="s">
        <v>147</v>
      </c>
      <c r="D1847" s="145" t="e">
        <f>DMAX('17_1'!A$255:L$279,'17_1'!$L$255,G1840:G1841)</f>
        <v>#REF!</v>
      </c>
      <c r="E1847" s="189" t="e">
        <f>IF(F1847=1,"Domingo",IF(F1847=2,"Lunes",IF(F1847=3,"Martes",IF(F1847=4,"Miercoles",IF(F1847=5,"Jueves",IF(F1847=6,"Viernes",IF(F1847=7,"Sábado",0)))))))</f>
        <v>#REF!</v>
      </c>
      <c r="F1847" s="190" t="e">
        <f>WEEKDAY(D1847)</f>
        <v>#REF!</v>
      </c>
      <c r="G1847" s="142"/>
      <c r="H1847" s="111"/>
    </row>
    <row r="1848" spans="1:8">
      <c r="A1848" s="80"/>
      <c r="B1848" s="81"/>
      <c r="C1848" s="81"/>
      <c r="D1848" s="81"/>
      <c r="E1848" s="81"/>
      <c r="F1848" s="584"/>
      <c r="G1848" s="584"/>
      <c r="H1848" s="111"/>
    </row>
    <row r="1849" spans="1:8">
      <c r="A1849" s="80"/>
      <c r="B1849" s="146">
        <f>+Mensajes!$B$7</f>
        <v>0</v>
      </c>
      <c r="C1849" s="81"/>
      <c r="D1849" s="81"/>
      <c r="E1849" s="81"/>
      <c r="F1849" s="81"/>
      <c r="G1849" s="81"/>
      <c r="H1849" s="111"/>
    </row>
    <row r="1850" spans="1:8">
      <c r="A1850" s="80"/>
      <c r="B1850" s="146">
        <f>+Mensajes!$B$12</f>
        <v>0</v>
      </c>
      <c r="C1850" s="81"/>
      <c r="D1850" s="81"/>
      <c r="E1850" s="81"/>
      <c r="F1850" s="81"/>
      <c r="G1850" s="81"/>
      <c r="H1850" s="111"/>
    </row>
    <row r="1851" spans="1:8">
      <c r="A1851" s="80"/>
      <c r="B1851" s="146" t="str">
        <f>IF(VLOOKUP(G1841,'17_1'!$A$255:$N$279,14,0)=0,"",VLOOKUP(G1841,'17_1'!$A$255:$N$279,14,0))</f>
        <v/>
      </c>
      <c r="C1851" s="81"/>
      <c r="D1851" s="81"/>
      <c r="E1851" s="81"/>
      <c r="F1851" s="81"/>
      <c r="G1851" s="81"/>
      <c r="H1851" s="111"/>
    </row>
    <row r="1852" spans="1:8">
      <c r="A1852" s="140"/>
      <c r="B1852" s="188" t="str">
        <f>IF(DSUM('17_1'!$A$255:$Q$279,17,G1840:G1841)=COUNTIF('17_1'!$A$255:$A$279,G1841),"","Regularice su Deuda")</f>
        <v/>
      </c>
      <c r="C1852" s="82"/>
      <c r="D1852" s="82"/>
      <c r="E1852" s="82"/>
      <c r="F1852" s="82"/>
      <c r="G1852" s="82"/>
      <c r="H1852" s="83"/>
    </row>
    <row r="1854" spans="1:8">
      <c r="A1854" s="108"/>
      <c r="B1854" s="109"/>
      <c r="C1854" s="109"/>
      <c r="D1854" s="109"/>
      <c r="E1854" s="109"/>
      <c r="F1854" s="109"/>
      <c r="G1854" s="109"/>
      <c r="H1854" s="110"/>
    </row>
    <row r="1855" spans="1:8">
      <c r="A1855" s="80"/>
      <c r="B1855" s="147" t="s">
        <v>64</v>
      </c>
      <c r="C1855" s="81"/>
      <c r="D1855" s="81"/>
      <c r="E1855" s="81"/>
      <c r="F1855" s="81"/>
      <c r="G1855" s="81"/>
      <c r="H1855" s="111"/>
    </row>
    <row r="1856" spans="1:8">
      <c r="A1856" s="80"/>
      <c r="B1856" s="81"/>
      <c r="C1856" s="81"/>
      <c r="D1856" s="81"/>
      <c r="E1856" s="81"/>
      <c r="F1856" s="81"/>
      <c r="G1856" s="81"/>
      <c r="H1856" s="111"/>
    </row>
    <row r="1857" spans="1:8">
      <c r="A1857" s="80"/>
      <c r="B1857" s="81" t="s">
        <v>139</v>
      </c>
      <c r="C1857" s="81" t="str">
        <f>VLOOKUP(G1858,'17_1'!$A$255:$G$279,6,0)</f>
        <v>MONTERO, VICTOR EMILIO</v>
      </c>
      <c r="D1857" s="81"/>
      <c r="E1857" s="81"/>
      <c r="F1857" s="81"/>
      <c r="G1857" s="138" t="s">
        <v>102</v>
      </c>
      <c r="H1857" s="111"/>
    </row>
    <row r="1858" spans="1:8">
      <c r="A1858" s="80"/>
      <c r="B1858" s="81" t="s">
        <v>72</v>
      </c>
      <c r="C1858" s="81" t="str">
        <f>+'17_1'!$A$244</f>
        <v>Hijuela Gelvez - Salomón</v>
      </c>
      <c r="D1858" s="81"/>
      <c r="E1858" s="81"/>
      <c r="F1858" s="81"/>
      <c r="G1858" s="138">
        <v>9</v>
      </c>
      <c r="H1858" s="111"/>
    </row>
    <row r="1859" spans="1:8">
      <c r="A1859" s="80"/>
      <c r="B1859" s="81"/>
      <c r="C1859" s="81"/>
      <c r="D1859" s="81"/>
      <c r="E1859" s="81"/>
      <c r="F1859" s="81"/>
      <c r="G1859" s="81"/>
      <c r="H1859" s="111"/>
    </row>
    <row r="1860" spans="1:8">
      <c r="A1860" s="80"/>
      <c r="B1860" s="81" t="s">
        <v>140</v>
      </c>
      <c r="C1860" s="138">
        <f>VLOOKUP(G1858,'17_1'!$A$255:$B$279,2,0)</f>
        <v>1213</v>
      </c>
      <c r="D1860" s="81"/>
      <c r="E1860" s="139" t="s">
        <v>141</v>
      </c>
      <c r="F1860" s="141" t="e">
        <f>DSUM('17_1'!A$255:J$279,'17_1'!$J$255,G1857:G1858)</f>
        <v>#N/A</v>
      </c>
      <c r="G1860" s="81"/>
      <c r="H1860" s="111"/>
    </row>
    <row r="1861" spans="1:8">
      <c r="A1861" s="80"/>
      <c r="B1861" s="81" t="s">
        <v>142</v>
      </c>
      <c r="C1861" s="205">
        <v>64</v>
      </c>
      <c r="D1861" s="81"/>
      <c r="E1861" s="81"/>
      <c r="F1861" s="81"/>
      <c r="G1861" s="81"/>
      <c r="H1861" s="111"/>
    </row>
    <row r="1862" spans="1:8">
      <c r="A1862" s="80"/>
      <c r="B1862" s="81" t="s">
        <v>144</v>
      </c>
      <c r="C1862" s="206">
        <f>DSUM('17_1'!$A$255:$H$279,'17_1'!$H$255,G1857:G1858)</f>
        <v>5.4569999999999999</v>
      </c>
      <c r="D1862" s="81"/>
      <c r="E1862" s="81"/>
      <c r="F1862" s="584"/>
      <c r="G1862" s="584"/>
      <c r="H1862" s="111"/>
    </row>
    <row r="1863" spans="1:8" ht="15.75">
      <c r="A1863" s="80"/>
      <c r="B1863" s="81"/>
      <c r="C1863" s="81" t="s">
        <v>146</v>
      </c>
      <c r="D1863" s="145" t="e">
        <f>DMIN('17_1'!A$255:K$279,'17_1'!$K$255,G1857:G1858)</f>
        <v>#REF!</v>
      </c>
      <c r="E1863" s="189" t="e">
        <f>IF(F1863=1,"Domingo",IF(F1863=2,"Lunes",IF(F1863=3,"Martes",IF(F1863=4,"Miercoles",IF(F1863=5,"Jueves",IF(F1863=6,"Viernes",IF(F1863=7,"Sábado",0)))))))</f>
        <v>#REF!</v>
      </c>
      <c r="F1863" s="190" t="e">
        <f>WEEKDAY(D1863)</f>
        <v>#REF!</v>
      </c>
      <c r="G1863" s="142"/>
      <c r="H1863" s="111"/>
    </row>
    <row r="1864" spans="1:8" ht="15.75">
      <c r="A1864" s="80"/>
      <c r="B1864" s="81"/>
      <c r="C1864" s="81" t="s">
        <v>147</v>
      </c>
      <c r="D1864" s="145" t="e">
        <f>DMAX('17_1'!A$255:L$279,'17_1'!$L$255,G1857:G1858)</f>
        <v>#REF!</v>
      </c>
      <c r="E1864" s="189" t="e">
        <f>IF(F1864=1,"Domingo",IF(F1864=2,"Lunes",IF(F1864=3,"Martes",IF(F1864=4,"Miercoles",IF(F1864=5,"Jueves",IF(F1864=6,"Viernes",IF(F1864=7,"Sábado",0)))))))</f>
        <v>#REF!</v>
      </c>
      <c r="F1864" s="190" t="e">
        <f>WEEKDAY(D1864)</f>
        <v>#REF!</v>
      </c>
      <c r="G1864" s="142"/>
      <c r="H1864" s="111"/>
    </row>
    <row r="1865" spans="1:8">
      <c r="A1865" s="80"/>
      <c r="B1865" s="81"/>
      <c r="C1865" s="81"/>
      <c r="D1865" s="81"/>
      <c r="E1865" s="81"/>
      <c r="F1865" s="584"/>
      <c r="G1865" s="584"/>
      <c r="H1865" s="111"/>
    </row>
    <row r="1866" spans="1:8">
      <c r="A1866" s="80"/>
      <c r="B1866" s="146">
        <f>+Mensajes!$B$7</f>
        <v>0</v>
      </c>
      <c r="C1866" s="81"/>
      <c r="D1866" s="81"/>
      <c r="E1866" s="81"/>
      <c r="F1866" s="81"/>
      <c r="G1866" s="81"/>
      <c r="H1866" s="111"/>
    </row>
    <row r="1867" spans="1:8">
      <c r="A1867" s="80"/>
      <c r="B1867" s="146">
        <f>+Mensajes!$B$12</f>
        <v>0</v>
      </c>
      <c r="C1867" s="81"/>
      <c r="D1867" s="81"/>
      <c r="E1867" s="81"/>
      <c r="F1867" s="81"/>
      <c r="G1867" s="81"/>
      <c r="H1867" s="111"/>
    </row>
    <row r="1868" spans="1:8">
      <c r="A1868" s="80"/>
      <c r="B1868" s="146" t="str">
        <f>IF(VLOOKUP(G1858,'17_1'!$A$255:$N$279,14,0)=0,"",VLOOKUP(G1858,'17_1'!$A$255:$N$279,14,0))</f>
        <v/>
      </c>
      <c r="C1868" s="81"/>
      <c r="D1868" s="81"/>
      <c r="E1868" s="81"/>
      <c r="F1868" s="81"/>
      <c r="G1868" s="81"/>
      <c r="H1868" s="111"/>
    </row>
    <row r="1869" spans="1:8">
      <c r="A1869" s="140"/>
      <c r="B1869" s="188" t="str">
        <f>IF(DSUM('17_1'!$A$255:$Q$279,17,G1857:G1858)=COUNTIF('17_1'!$A$255:$A$279,G1858),"","Regularice su Deuda")</f>
        <v/>
      </c>
      <c r="C1869" s="82"/>
      <c r="D1869" s="82"/>
      <c r="E1869" s="82"/>
      <c r="F1869" s="82"/>
      <c r="G1869" s="82"/>
      <c r="H1869" s="83"/>
    </row>
    <row r="1871" spans="1:8">
      <c r="A1871" s="108"/>
      <c r="B1871" s="109"/>
      <c r="C1871" s="109"/>
      <c r="D1871" s="109"/>
      <c r="E1871" s="109"/>
      <c r="F1871" s="109"/>
      <c r="G1871" s="109"/>
      <c r="H1871" s="110"/>
    </row>
    <row r="1872" spans="1:8">
      <c r="A1872" s="80"/>
      <c r="B1872" s="147" t="s">
        <v>64</v>
      </c>
      <c r="C1872" s="81"/>
      <c r="D1872" s="81"/>
      <c r="E1872" s="81"/>
      <c r="F1872" s="81"/>
      <c r="G1872" s="81"/>
      <c r="H1872" s="111"/>
    </row>
    <row r="1873" spans="1:8">
      <c r="A1873" s="80"/>
      <c r="B1873" s="81"/>
      <c r="C1873" s="81"/>
      <c r="D1873" s="81"/>
      <c r="E1873" s="81"/>
      <c r="F1873" s="81"/>
      <c r="G1873" s="81"/>
      <c r="H1873" s="111"/>
    </row>
    <row r="1874" spans="1:8">
      <c r="A1874" s="80"/>
      <c r="B1874" s="81" t="s">
        <v>139</v>
      </c>
      <c r="C1874" s="81" t="str">
        <f>VLOOKUP(G1875,'17_1'!$A$255:$G$279,6,0)</f>
        <v>NUÑEZ, LISANDRO</v>
      </c>
      <c r="D1874" s="81"/>
      <c r="E1874" s="81"/>
      <c r="F1874" s="81"/>
      <c r="G1874" s="138" t="s">
        <v>102</v>
      </c>
      <c r="H1874" s="111"/>
    </row>
    <row r="1875" spans="1:8">
      <c r="A1875" s="80"/>
      <c r="B1875" s="81" t="s">
        <v>72</v>
      </c>
      <c r="C1875" s="81" t="str">
        <f>+'17_1'!$A$244</f>
        <v>Hijuela Gelvez - Salomón</v>
      </c>
      <c r="D1875" s="81"/>
      <c r="E1875" s="81"/>
      <c r="F1875" s="81"/>
      <c r="G1875" s="138">
        <v>10</v>
      </c>
      <c r="H1875" s="111"/>
    </row>
    <row r="1876" spans="1:8">
      <c r="A1876" s="80"/>
      <c r="B1876" s="81"/>
      <c r="C1876" s="81"/>
      <c r="D1876" s="81"/>
      <c r="E1876" s="81"/>
      <c r="F1876" s="81"/>
      <c r="G1876" s="81"/>
      <c r="H1876" s="111"/>
    </row>
    <row r="1877" spans="1:8">
      <c r="A1877" s="80"/>
      <c r="B1877" s="81" t="s">
        <v>140</v>
      </c>
      <c r="C1877" s="138">
        <f>VLOOKUP(G1875,'17_1'!$A$255:$B$279,2,0)</f>
        <v>1213</v>
      </c>
      <c r="D1877" s="81"/>
      <c r="E1877" s="139" t="s">
        <v>141</v>
      </c>
      <c r="F1877" s="141" t="e">
        <f>DSUM('17_1'!A$255:J$279,'17_1'!$J$255,G1874:G1875)</f>
        <v>#N/A</v>
      </c>
      <c r="G1877" s="81"/>
      <c r="H1877" s="111"/>
    </row>
    <row r="1878" spans="1:8">
      <c r="A1878" s="80"/>
      <c r="B1878" s="81" t="s">
        <v>142</v>
      </c>
      <c r="C1878" s="205">
        <v>62</v>
      </c>
      <c r="D1878" s="81"/>
      <c r="E1878" s="81"/>
      <c r="F1878" s="81"/>
      <c r="G1878" s="81"/>
      <c r="H1878" s="111"/>
    </row>
    <row r="1879" spans="1:8">
      <c r="A1879" s="80"/>
      <c r="B1879" s="81" t="s">
        <v>144</v>
      </c>
      <c r="C1879" s="206">
        <f>DSUM('17_1'!$A$255:$H$279,'17_1'!$H$255,G1874:G1875)</f>
        <v>0</v>
      </c>
      <c r="D1879" s="81"/>
      <c r="E1879" s="81"/>
      <c r="F1879" s="584"/>
      <c r="G1879" s="584"/>
      <c r="H1879" s="111"/>
    </row>
    <row r="1880" spans="1:8" ht="15.75">
      <c r="A1880" s="80"/>
      <c r="B1880" s="81"/>
      <c r="C1880" s="81" t="s">
        <v>146</v>
      </c>
      <c r="D1880" s="145" t="e">
        <f>DMIN('17_1'!A$255:K$279,'17_1'!$K$255,G1874:G1875)</f>
        <v>#REF!</v>
      </c>
      <c r="E1880" s="189" t="e">
        <f>IF(F1880=1,"Domingo",IF(F1880=2,"Lunes",IF(F1880=3,"Martes",IF(F1880=4,"Miercoles",IF(F1880=5,"Jueves",IF(F1880=6,"Viernes",IF(F1880=7,"Sábado",0)))))))</f>
        <v>#REF!</v>
      </c>
      <c r="F1880" s="190" t="e">
        <f>WEEKDAY(D1880)</f>
        <v>#REF!</v>
      </c>
      <c r="G1880" s="142"/>
      <c r="H1880" s="111"/>
    </row>
    <row r="1881" spans="1:8" ht="15.75">
      <c r="A1881" s="80"/>
      <c r="B1881" s="81"/>
      <c r="C1881" s="81" t="s">
        <v>147</v>
      </c>
      <c r="D1881" s="145" t="e">
        <f>DMAX('17_1'!A$255:L$279,'17_1'!$L$255,G1874:G1875)</f>
        <v>#REF!</v>
      </c>
      <c r="E1881" s="189" t="e">
        <f>IF(F1881=1,"Domingo",IF(F1881=2,"Lunes",IF(F1881=3,"Martes",IF(F1881=4,"Miercoles",IF(F1881=5,"Jueves",IF(F1881=6,"Viernes",IF(F1881=7,"Sábado",0)))))))</f>
        <v>#REF!</v>
      </c>
      <c r="F1881" s="190" t="e">
        <f>WEEKDAY(D1881)</f>
        <v>#REF!</v>
      </c>
      <c r="G1881" s="142"/>
      <c r="H1881" s="111"/>
    </row>
    <row r="1882" spans="1:8">
      <c r="A1882" s="80"/>
      <c r="B1882" s="81"/>
      <c r="C1882" s="81"/>
      <c r="D1882" s="81"/>
      <c r="E1882" s="81"/>
      <c r="F1882" s="584"/>
      <c r="G1882" s="584"/>
      <c r="H1882" s="111"/>
    </row>
    <row r="1883" spans="1:8">
      <c r="A1883" s="80"/>
      <c r="B1883" s="146">
        <f>+Mensajes!$B$7</f>
        <v>0</v>
      </c>
      <c r="C1883" s="81"/>
      <c r="D1883" s="81"/>
      <c r="E1883" s="81"/>
      <c r="F1883" s="81"/>
      <c r="G1883" s="81"/>
      <c r="H1883" s="111"/>
    </row>
    <row r="1884" spans="1:8">
      <c r="A1884" s="80"/>
      <c r="B1884" s="146">
        <f>+Mensajes!$B$12</f>
        <v>0</v>
      </c>
      <c r="C1884" s="81"/>
      <c r="D1884" s="81"/>
      <c r="E1884" s="81"/>
      <c r="F1884" s="81"/>
      <c r="G1884" s="81"/>
      <c r="H1884" s="111"/>
    </row>
    <row r="1885" spans="1:8">
      <c r="A1885" s="80"/>
      <c r="B1885" s="146" t="str">
        <f>IF(VLOOKUP(G1875,'17_1'!$A$255:$N$279,14,0)=0,"",VLOOKUP(G1875,'17_1'!$A$255:$N$279,14,0))</f>
        <v/>
      </c>
      <c r="C1885" s="81"/>
      <c r="D1885" s="81"/>
      <c r="E1885" s="81"/>
      <c r="F1885" s="81"/>
      <c r="G1885" s="81"/>
      <c r="H1885" s="111"/>
    </row>
    <row r="1886" spans="1:8">
      <c r="A1886" s="140"/>
      <c r="B1886" s="188" t="str">
        <f>IF(DSUM('17_1'!$A$255:$Q$279,17,G1874:G1875)=COUNTIF('17_1'!$A$255:$A$279,G1875),"","Regularice su Deuda")</f>
        <v>Regularice su Deuda</v>
      </c>
      <c r="C1886" s="82"/>
      <c r="D1886" s="82"/>
      <c r="E1886" s="82"/>
      <c r="F1886" s="82"/>
      <c r="G1886" s="82"/>
      <c r="H1886" s="83"/>
    </row>
    <row r="1888" spans="1:8">
      <c r="A1888" s="108"/>
      <c r="B1888" s="109"/>
      <c r="C1888" s="109"/>
      <c r="D1888" s="109"/>
      <c r="E1888" s="109"/>
      <c r="F1888" s="109"/>
      <c r="G1888" s="109"/>
      <c r="H1888" s="110"/>
    </row>
    <row r="1889" spans="1:8">
      <c r="A1889" s="80"/>
      <c r="B1889" s="147" t="s">
        <v>64</v>
      </c>
      <c r="C1889" s="81"/>
      <c r="D1889" s="81"/>
      <c r="E1889" s="81"/>
      <c r="F1889" s="81"/>
      <c r="G1889" s="81"/>
      <c r="H1889" s="111"/>
    </row>
    <row r="1890" spans="1:8">
      <c r="A1890" s="80"/>
      <c r="B1890" s="81"/>
      <c r="C1890" s="81"/>
      <c r="D1890" s="81"/>
      <c r="E1890" s="81"/>
      <c r="F1890" s="81"/>
      <c r="G1890" s="81"/>
      <c r="H1890" s="111"/>
    </row>
    <row r="1891" spans="1:8">
      <c r="A1891" s="80"/>
      <c r="B1891" s="81" t="s">
        <v>139</v>
      </c>
      <c r="C1891" s="81" t="str">
        <f>VLOOKUP(G1892,'17_1'!$A$255:$G$279,6,0)</f>
        <v>NIEDDU, VICTORIO ROQUE</v>
      </c>
      <c r="D1891" s="81"/>
      <c r="E1891" s="81"/>
      <c r="F1891" s="81"/>
      <c r="G1891" s="138" t="s">
        <v>102</v>
      </c>
      <c r="H1891" s="111"/>
    </row>
    <row r="1892" spans="1:8">
      <c r="A1892" s="80"/>
      <c r="B1892" s="81" t="s">
        <v>72</v>
      </c>
      <c r="C1892" s="81" t="str">
        <f>+'17_1'!$A$244</f>
        <v>Hijuela Gelvez - Salomón</v>
      </c>
      <c r="D1892" s="81"/>
      <c r="E1892" s="81"/>
      <c r="F1892" s="81"/>
      <c r="G1892" s="138">
        <v>11</v>
      </c>
      <c r="H1892" s="111"/>
    </row>
    <row r="1893" spans="1:8">
      <c r="A1893" s="80"/>
      <c r="B1893" s="81"/>
      <c r="C1893" s="81"/>
      <c r="D1893" s="81"/>
      <c r="E1893" s="81"/>
      <c r="F1893" s="81"/>
      <c r="G1893" s="81"/>
      <c r="H1893" s="111"/>
    </row>
    <row r="1894" spans="1:8">
      <c r="A1894" s="80"/>
      <c r="B1894" s="81" t="s">
        <v>140</v>
      </c>
      <c r="C1894" s="138">
        <f>VLOOKUP(G1892,'17_1'!$A$255:$B$279,2,0)</f>
        <v>1213</v>
      </c>
      <c r="D1894" s="81"/>
      <c r="E1894" s="139" t="s">
        <v>141</v>
      </c>
      <c r="F1894" s="141" t="e">
        <f>DSUM('17_1'!A$255:J$279,'17_1'!$J$255,G1891:G1892)</f>
        <v>#N/A</v>
      </c>
      <c r="G1894" s="81"/>
      <c r="H1894" s="111"/>
    </row>
    <row r="1895" spans="1:8">
      <c r="A1895" s="80"/>
      <c r="B1895" s="81" t="s">
        <v>142</v>
      </c>
      <c r="C1895" s="205">
        <v>35</v>
      </c>
      <c r="D1895" s="81"/>
      <c r="E1895" s="81"/>
      <c r="F1895" s="81"/>
      <c r="G1895" s="81"/>
      <c r="H1895" s="111"/>
    </row>
    <row r="1896" spans="1:8">
      <c r="A1896" s="80"/>
      <c r="B1896" s="81" t="s">
        <v>144</v>
      </c>
      <c r="C1896" s="206">
        <f>DSUM('17_1'!$A$255:$H$279,'17_1'!$H$255,G1891:G1892)</f>
        <v>5.8545999999999996</v>
      </c>
      <c r="D1896" s="81"/>
      <c r="E1896" s="81"/>
      <c r="F1896" s="584"/>
      <c r="G1896" s="584"/>
      <c r="H1896" s="111"/>
    </row>
    <row r="1897" spans="1:8" ht="15.75">
      <c r="A1897" s="80"/>
      <c r="B1897" s="81"/>
      <c r="C1897" s="81" t="s">
        <v>146</v>
      </c>
      <c r="D1897" s="145" t="e">
        <f>DMIN('17_1'!A$255:K$279,'17_1'!$K$255,G1891:G1892)</f>
        <v>#REF!</v>
      </c>
      <c r="E1897" s="189" t="e">
        <f>IF(F1897=1,"Domingo",IF(F1897=2,"Lunes",IF(F1897=3,"Martes",IF(F1897=4,"Miercoles",IF(F1897=5,"Jueves",IF(F1897=6,"Viernes",IF(F1897=7,"Sábado",0)))))))</f>
        <v>#REF!</v>
      </c>
      <c r="F1897" s="190" t="e">
        <f>WEEKDAY(D1897)</f>
        <v>#REF!</v>
      </c>
      <c r="G1897" s="142"/>
      <c r="H1897" s="111"/>
    </row>
    <row r="1898" spans="1:8" ht="15.75">
      <c r="A1898" s="80"/>
      <c r="B1898" s="81"/>
      <c r="C1898" s="81" t="s">
        <v>147</v>
      </c>
      <c r="D1898" s="145" t="e">
        <f>DMAX('17_1'!A$255:L$279,'17_1'!$L$255,G1891:G1892)</f>
        <v>#REF!</v>
      </c>
      <c r="E1898" s="189" t="e">
        <f>IF(F1898=1,"Domingo",IF(F1898=2,"Lunes",IF(F1898=3,"Martes",IF(F1898=4,"Miercoles",IF(F1898=5,"Jueves",IF(F1898=6,"Viernes",IF(F1898=7,"Sábado",0)))))))</f>
        <v>#REF!</v>
      </c>
      <c r="F1898" s="190" t="e">
        <f>WEEKDAY(D1898)</f>
        <v>#REF!</v>
      </c>
      <c r="G1898" s="142"/>
      <c r="H1898" s="111"/>
    </row>
    <row r="1899" spans="1:8">
      <c r="A1899" s="80"/>
      <c r="B1899" s="81"/>
      <c r="C1899" s="81"/>
      <c r="D1899" s="81"/>
      <c r="E1899" s="81"/>
      <c r="F1899" s="584"/>
      <c r="G1899" s="584"/>
      <c r="H1899" s="111"/>
    </row>
    <row r="1900" spans="1:8">
      <c r="A1900" s="80"/>
      <c r="B1900" s="146">
        <f>+Mensajes!$B$7</f>
        <v>0</v>
      </c>
      <c r="C1900" s="81"/>
      <c r="D1900" s="81"/>
      <c r="E1900" s="81"/>
      <c r="F1900" s="81"/>
      <c r="G1900" s="81"/>
      <c r="H1900" s="111"/>
    </row>
    <row r="1901" spans="1:8">
      <c r="A1901" s="80"/>
      <c r="B1901" s="146">
        <f>+Mensajes!$B$12</f>
        <v>0</v>
      </c>
      <c r="C1901" s="81"/>
      <c r="D1901" s="81"/>
      <c r="E1901" s="81"/>
      <c r="F1901" s="81"/>
      <c r="G1901" s="81"/>
      <c r="H1901" s="111"/>
    </row>
    <row r="1902" spans="1:8">
      <c r="A1902" s="80"/>
      <c r="B1902" s="146" t="str">
        <f>IF(VLOOKUP(G1892,'17_1'!$A$255:$N$279,14,0)=0,"",VLOOKUP(G1892,'17_1'!$A$255:$N$279,14,0))</f>
        <v/>
      </c>
      <c r="C1902" s="81"/>
      <c r="D1902" s="81"/>
      <c r="E1902" s="81"/>
      <c r="F1902" s="81"/>
      <c r="G1902" s="81"/>
      <c r="H1902" s="111"/>
    </row>
    <row r="1903" spans="1:8">
      <c r="A1903" s="140"/>
      <c r="B1903" s="188" t="str">
        <f>IF(DSUM('17_1'!$A$255:$Q$279,17,G1891:G1892)=COUNTIF('17_1'!$A$255:$A$279,G1892),"","Regularice su Deuda")</f>
        <v/>
      </c>
      <c r="C1903" s="82"/>
      <c r="D1903" s="82"/>
      <c r="E1903" s="82"/>
      <c r="F1903" s="82"/>
      <c r="G1903" s="82"/>
      <c r="H1903" s="83"/>
    </row>
    <row r="1905" spans="1:8">
      <c r="A1905" s="108"/>
      <c r="B1905" s="109"/>
      <c r="C1905" s="109"/>
      <c r="D1905" s="109"/>
      <c r="E1905" s="109"/>
      <c r="F1905" s="109"/>
      <c r="G1905" s="109"/>
      <c r="H1905" s="110"/>
    </row>
    <row r="1906" spans="1:8">
      <c r="A1906" s="80"/>
      <c r="B1906" s="147" t="s">
        <v>64</v>
      </c>
      <c r="C1906" s="81"/>
      <c r="D1906" s="81"/>
      <c r="E1906" s="81"/>
      <c r="F1906" s="81"/>
      <c r="G1906" s="81"/>
      <c r="H1906" s="111"/>
    </row>
    <row r="1907" spans="1:8">
      <c r="A1907" s="80"/>
      <c r="B1907" s="81"/>
      <c r="C1907" s="81"/>
      <c r="D1907" s="81"/>
      <c r="E1907" s="81"/>
      <c r="F1907" s="81"/>
      <c r="G1907" s="81"/>
      <c r="H1907" s="111"/>
    </row>
    <row r="1908" spans="1:8">
      <c r="A1908" s="80"/>
      <c r="B1908" s="81" t="s">
        <v>139</v>
      </c>
      <c r="C1908" s="81" t="str">
        <f>VLOOKUP(G1909,'17_1'!$A$255:$G$279,6,0)</f>
        <v>GAROFOLI, PACIFICO</v>
      </c>
      <c r="D1908" s="81"/>
      <c r="E1908" s="81"/>
      <c r="F1908" s="81"/>
      <c r="G1908" s="138" t="s">
        <v>102</v>
      </c>
      <c r="H1908" s="111"/>
    </row>
    <row r="1909" spans="1:8">
      <c r="A1909" s="80"/>
      <c r="B1909" s="81" t="s">
        <v>72</v>
      </c>
      <c r="C1909" s="81" t="str">
        <f>+'17_1'!$A$244</f>
        <v>Hijuela Gelvez - Salomón</v>
      </c>
      <c r="D1909" s="81"/>
      <c r="E1909" s="81"/>
      <c r="F1909" s="81"/>
      <c r="G1909" s="138">
        <v>12</v>
      </c>
      <c r="H1909" s="111"/>
    </row>
    <row r="1910" spans="1:8">
      <c r="A1910" s="80"/>
      <c r="B1910" s="81"/>
      <c r="C1910" s="81"/>
      <c r="D1910" s="81"/>
      <c r="E1910" s="81"/>
      <c r="F1910" s="81"/>
      <c r="G1910" s="81"/>
      <c r="H1910" s="111"/>
    </row>
    <row r="1911" spans="1:8">
      <c r="A1911" s="80"/>
      <c r="B1911" s="81" t="s">
        <v>140</v>
      </c>
      <c r="C1911" s="138">
        <f>VLOOKUP(G1909,'17_1'!$A$255:$B$279,2,0)</f>
        <v>1213</v>
      </c>
      <c r="D1911" s="81"/>
      <c r="E1911" s="139" t="s">
        <v>141</v>
      </c>
      <c r="F1911" s="141" t="e">
        <f>DSUM('17_1'!A$255:J$279,'17_1'!$J$255,G1908:G1909)</f>
        <v>#N/A</v>
      </c>
      <c r="G1911" s="81"/>
      <c r="H1911" s="111"/>
    </row>
    <row r="1912" spans="1:8">
      <c r="A1912" s="80"/>
      <c r="B1912" s="81" t="s">
        <v>142</v>
      </c>
      <c r="C1912" s="205">
        <v>91</v>
      </c>
      <c r="D1912" s="81"/>
      <c r="E1912" s="81"/>
      <c r="F1912" s="81"/>
      <c r="G1912" s="81"/>
      <c r="H1912" s="111"/>
    </row>
    <row r="1913" spans="1:8">
      <c r="A1913" s="80"/>
      <c r="B1913" s="81" t="s">
        <v>144</v>
      </c>
      <c r="C1913" s="206">
        <f>DSUM('17_1'!$A$255:$H$279,'17_1'!$H$255,G1908:G1909)</f>
        <v>14.1714</v>
      </c>
      <c r="D1913" s="81"/>
      <c r="E1913" s="81"/>
      <c r="F1913" s="584"/>
      <c r="G1913" s="584"/>
      <c r="H1913" s="111"/>
    </row>
    <row r="1914" spans="1:8" ht="15.75">
      <c r="A1914" s="80"/>
      <c r="B1914" s="81"/>
      <c r="C1914" s="81" t="s">
        <v>146</v>
      </c>
      <c r="D1914" s="145" t="e">
        <f>DMIN('17_1'!A$255:K$279,'17_1'!$K$255,G1908:G1909)</f>
        <v>#REF!</v>
      </c>
      <c r="E1914" s="189" t="e">
        <f>IF(F1914=1,"Domingo",IF(F1914=2,"Lunes",IF(F1914=3,"Martes",IF(F1914=4,"Miercoles",IF(F1914=5,"Jueves",IF(F1914=6,"Viernes",IF(F1914=7,"Sábado",0)))))))</f>
        <v>#REF!</v>
      </c>
      <c r="F1914" s="190" t="e">
        <f>WEEKDAY(D1914)</f>
        <v>#REF!</v>
      </c>
      <c r="G1914" s="142"/>
      <c r="H1914" s="111"/>
    </row>
    <row r="1915" spans="1:8" ht="15.75">
      <c r="A1915" s="80"/>
      <c r="B1915" s="81"/>
      <c r="C1915" s="81" t="s">
        <v>147</v>
      </c>
      <c r="D1915" s="145" t="e">
        <f>DMAX('17_1'!A$255:L$279,'17_1'!$L$255,G1908:G1909)</f>
        <v>#REF!</v>
      </c>
      <c r="E1915" s="189" t="e">
        <f>IF(F1915=1,"Domingo",IF(F1915=2,"Lunes",IF(F1915=3,"Martes",IF(F1915=4,"Miercoles",IF(F1915=5,"Jueves",IF(F1915=6,"Viernes",IF(F1915=7,"Sábado",0)))))))</f>
        <v>#REF!</v>
      </c>
      <c r="F1915" s="190" t="e">
        <f>WEEKDAY(D1915)</f>
        <v>#REF!</v>
      </c>
      <c r="G1915" s="142"/>
      <c r="H1915" s="111"/>
    </row>
    <row r="1916" spans="1:8">
      <c r="A1916" s="80"/>
      <c r="B1916" s="81"/>
      <c r="C1916" s="81"/>
      <c r="D1916" s="81"/>
      <c r="E1916" s="81"/>
      <c r="F1916" s="584"/>
      <c r="G1916" s="584"/>
      <c r="H1916" s="111"/>
    </row>
    <row r="1917" spans="1:8">
      <c r="A1917" s="80"/>
      <c r="B1917" s="146">
        <f>+Mensajes!$B$7</f>
        <v>0</v>
      </c>
      <c r="C1917" s="81"/>
      <c r="D1917" s="81"/>
      <c r="E1917" s="81"/>
      <c r="F1917" s="81"/>
      <c r="G1917" s="81"/>
      <c r="H1917" s="111"/>
    </row>
    <row r="1918" spans="1:8">
      <c r="A1918" s="80"/>
      <c r="B1918" s="146">
        <f>+Mensajes!$B$12</f>
        <v>0</v>
      </c>
      <c r="C1918" s="81"/>
      <c r="D1918" s="81"/>
      <c r="E1918" s="81"/>
      <c r="F1918" s="81"/>
      <c r="G1918" s="81"/>
      <c r="H1918" s="111"/>
    </row>
    <row r="1919" spans="1:8">
      <c r="A1919" s="80"/>
      <c r="B1919" s="146" t="str">
        <f>IF(VLOOKUP(G1909,'17_1'!$A$255:$N$279,14,0)=0,"",VLOOKUP(G1909,'17_1'!$A$255:$N$279,14,0))</f>
        <v/>
      </c>
      <c r="C1919" s="81"/>
      <c r="D1919" s="81"/>
      <c r="E1919" s="81"/>
      <c r="F1919" s="81"/>
      <c r="G1919" s="81"/>
      <c r="H1919" s="111"/>
    </row>
    <row r="1920" spans="1:8">
      <c r="A1920" s="140"/>
      <c r="B1920" s="188" t="str">
        <f>IF(DSUM('17_1'!$A$255:$Q$279,17,G1908:G1909)=COUNTIF('17_1'!$A$255:$A$279,G1909),"","Regularice su Deuda")</f>
        <v/>
      </c>
      <c r="C1920" s="82"/>
      <c r="D1920" s="82"/>
      <c r="E1920" s="82"/>
      <c r="F1920" s="82"/>
      <c r="G1920" s="82"/>
      <c r="H1920" s="83"/>
    </row>
    <row r="1922" spans="1:8">
      <c r="A1922" s="108"/>
      <c r="B1922" s="109"/>
      <c r="C1922" s="109"/>
      <c r="D1922" s="109"/>
      <c r="E1922" s="109"/>
      <c r="F1922" s="109"/>
      <c r="G1922" s="109"/>
      <c r="H1922" s="110"/>
    </row>
    <row r="1923" spans="1:8">
      <c r="A1923" s="80"/>
      <c r="B1923" s="147" t="s">
        <v>64</v>
      </c>
      <c r="C1923" s="81"/>
      <c r="D1923" s="81"/>
      <c r="E1923" s="81"/>
      <c r="F1923" s="81"/>
      <c r="G1923" s="81"/>
      <c r="H1923" s="111"/>
    </row>
    <row r="1924" spans="1:8">
      <c r="A1924" s="80"/>
      <c r="B1924" s="81"/>
      <c r="C1924" s="81"/>
      <c r="D1924" s="81"/>
      <c r="E1924" s="81"/>
      <c r="F1924" s="81"/>
      <c r="G1924" s="81"/>
      <c r="H1924" s="111"/>
    </row>
    <row r="1925" spans="1:8">
      <c r="A1925" s="80"/>
      <c r="B1925" s="81" t="s">
        <v>139</v>
      </c>
      <c r="C1925" s="81" t="str">
        <f>VLOOKUP(G1926,'17_1'!$A$255:$G$279,6,0)</f>
        <v>DIAZ, FRANCISCO - SUC HIJOS</v>
      </c>
      <c r="D1925" s="81"/>
      <c r="E1925" s="81"/>
      <c r="F1925" s="81"/>
      <c r="G1925" s="138" t="s">
        <v>102</v>
      </c>
      <c r="H1925" s="111"/>
    </row>
    <row r="1926" spans="1:8">
      <c r="A1926" s="80"/>
      <c r="B1926" s="81" t="s">
        <v>72</v>
      </c>
      <c r="C1926" s="81" t="str">
        <f>+'17_1'!$A$244</f>
        <v>Hijuela Gelvez - Salomón</v>
      </c>
      <c r="D1926" s="81"/>
      <c r="E1926" s="81"/>
      <c r="F1926" s="81"/>
      <c r="G1926" s="138">
        <v>13</v>
      </c>
      <c r="H1926" s="111"/>
    </row>
    <row r="1927" spans="1:8">
      <c r="A1927" s="80"/>
      <c r="B1927" s="81"/>
      <c r="C1927" s="81"/>
      <c r="D1927" s="81"/>
      <c r="E1927" s="81"/>
      <c r="F1927" s="81"/>
      <c r="G1927" s="81"/>
      <c r="H1927" s="111"/>
    </row>
    <row r="1928" spans="1:8">
      <c r="A1928" s="80"/>
      <c r="B1928" s="81" t="s">
        <v>140</v>
      </c>
      <c r="C1928" s="138">
        <f>VLOOKUP(G1926,'17_1'!$A$255:$B$279,2,0)</f>
        <v>1213</v>
      </c>
      <c r="D1928" s="81"/>
      <c r="E1928" s="139" t="s">
        <v>141</v>
      </c>
      <c r="F1928" s="141" t="e">
        <f>DSUM('17_1'!A$255:J$279,'17_1'!$J$255,G1925:G1926)</f>
        <v>#N/A</v>
      </c>
      <c r="G1928" s="81"/>
      <c r="H1928" s="111"/>
    </row>
    <row r="1929" spans="1:8">
      <c r="A1929" s="80"/>
      <c r="B1929" s="81" t="s">
        <v>142</v>
      </c>
      <c r="C1929" s="205">
        <v>37</v>
      </c>
      <c r="D1929" s="81"/>
      <c r="E1929" s="81"/>
      <c r="F1929" s="81"/>
      <c r="G1929" s="81"/>
      <c r="H1929" s="111"/>
    </row>
    <row r="1930" spans="1:8">
      <c r="A1930" s="80"/>
      <c r="B1930" s="81" t="s">
        <v>144</v>
      </c>
      <c r="C1930" s="206">
        <f>DSUM('17_1'!$A$255:$H$279,'17_1'!$H$255,G1925:G1926)</f>
        <v>4.6063999999999998</v>
      </c>
      <c r="D1930" s="81"/>
      <c r="E1930" s="81"/>
      <c r="F1930" s="584"/>
      <c r="G1930" s="584"/>
      <c r="H1930" s="111"/>
    </row>
    <row r="1931" spans="1:8" ht="15.75">
      <c r="A1931" s="80"/>
      <c r="B1931" s="81"/>
      <c r="C1931" s="81" t="s">
        <v>146</v>
      </c>
      <c r="D1931" s="145" t="e">
        <f>DMIN('17_1'!A$255:K$279,'17_1'!$K$255,G1925:G1926)</f>
        <v>#REF!</v>
      </c>
      <c r="E1931" s="189" t="e">
        <f>IF(F1931=1,"Domingo",IF(F1931=2,"Lunes",IF(F1931=3,"Martes",IF(F1931=4,"Miercoles",IF(F1931=5,"Jueves",IF(F1931=6,"Viernes",IF(F1931=7,"Sábado",0)))))))</f>
        <v>#REF!</v>
      </c>
      <c r="F1931" s="190" t="e">
        <f>WEEKDAY(D1931)</f>
        <v>#REF!</v>
      </c>
      <c r="G1931" s="142"/>
      <c r="H1931" s="111"/>
    </row>
    <row r="1932" spans="1:8" ht="15.75">
      <c r="A1932" s="80"/>
      <c r="B1932" s="81"/>
      <c r="C1932" s="81" t="s">
        <v>147</v>
      </c>
      <c r="D1932" s="145" t="e">
        <f>DMAX('17_1'!A$255:L$279,'17_1'!$L$255,G1925:G1926)</f>
        <v>#REF!</v>
      </c>
      <c r="E1932" s="189" t="e">
        <f>IF(F1932=1,"Domingo",IF(F1932=2,"Lunes",IF(F1932=3,"Martes",IF(F1932=4,"Miercoles",IF(F1932=5,"Jueves",IF(F1932=6,"Viernes",IF(F1932=7,"Sábado",0)))))))</f>
        <v>#REF!</v>
      </c>
      <c r="F1932" s="190" t="e">
        <f>WEEKDAY(D1932)</f>
        <v>#REF!</v>
      </c>
      <c r="G1932" s="142"/>
      <c r="H1932" s="111"/>
    </row>
    <row r="1933" spans="1:8">
      <c r="A1933" s="80"/>
      <c r="B1933" s="81"/>
      <c r="C1933" s="81"/>
      <c r="D1933" s="81"/>
      <c r="E1933" s="81"/>
      <c r="F1933" s="584"/>
      <c r="G1933" s="584"/>
      <c r="H1933" s="111"/>
    </row>
    <row r="1934" spans="1:8">
      <c r="A1934" s="80"/>
      <c r="B1934" s="146">
        <f>+Mensajes!$B$7</f>
        <v>0</v>
      </c>
      <c r="C1934" s="81"/>
      <c r="D1934" s="81"/>
      <c r="E1934" s="81"/>
      <c r="F1934" s="81"/>
      <c r="G1934" s="81"/>
      <c r="H1934" s="111"/>
    </row>
    <row r="1935" spans="1:8">
      <c r="A1935" s="80"/>
      <c r="B1935" s="146">
        <f>+Mensajes!$B$12</f>
        <v>0</v>
      </c>
      <c r="C1935" s="81"/>
      <c r="D1935" s="81"/>
      <c r="E1935" s="81"/>
      <c r="F1935" s="81"/>
      <c r="G1935" s="81"/>
      <c r="H1935" s="111"/>
    </row>
    <row r="1936" spans="1:8">
      <c r="A1936" s="80"/>
      <c r="B1936" s="146" t="str">
        <f>IF(VLOOKUP(G1926,'17_1'!$A$255:$N$279,14,0)=0,"",VLOOKUP(G1926,'17_1'!$A$255:$N$279,14,0))</f>
        <v/>
      </c>
      <c r="C1936" s="81"/>
      <c r="D1936" s="81"/>
      <c r="E1936" s="81"/>
      <c r="F1936" s="81"/>
      <c r="G1936" s="81"/>
      <c r="H1936" s="111"/>
    </row>
    <row r="1937" spans="1:8">
      <c r="A1937" s="140"/>
      <c r="B1937" s="188" t="str">
        <f>IF(DSUM('17_1'!$A$255:$Q$279,17,G1925:G1926)=COUNTIF('17_1'!$A$255:$A$279,G1926),"","Regularice su Deuda")</f>
        <v/>
      </c>
      <c r="C1937" s="82"/>
      <c r="D1937" s="82"/>
      <c r="E1937" s="82"/>
      <c r="F1937" s="82"/>
      <c r="G1937" s="82"/>
      <c r="H1937" s="83"/>
    </row>
    <row r="1939" spans="1:8">
      <c r="A1939" s="108"/>
      <c r="B1939" s="109"/>
      <c r="C1939" s="109"/>
      <c r="D1939" s="109"/>
      <c r="E1939" s="109"/>
      <c r="F1939" s="109"/>
      <c r="G1939" s="109"/>
      <c r="H1939" s="110"/>
    </row>
    <row r="1940" spans="1:8">
      <c r="A1940" s="80"/>
      <c r="B1940" s="147" t="s">
        <v>64</v>
      </c>
      <c r="C1940" s="81"/>
      <c r="D1940" s="81"/>
      <c r="E1940" s="81"/>
      <c r="F1940" s="81"/>
      <c r="G1940" s="81"/>
      <c r="H1940" s="111"/>
    </row>
    <row r="1941" spans="1:8">
      <c r="A1941" s="80"/>
      <c r="B1941" s="81"/>
      <c r="C1941" s="81"/>
      <c r="D1941" s="81"/>
      <c r="E1941" s="81"/>
      <c r="F1941" s="81"/>
      <c r="G1941" s="81"/>
      <c r="H1941" s="111"/>
    </row>
    <row r="1942" spans="1:8">
      <c r="A1942" s="80"/>
      <c r="B1942" s="81" t="s">
        <v>139</v>
      </c>
      <c r="C1942" s="81" t="str">
        <f>VLOOKUP(G1943,'17_1'!$A$255:$G$279,6,0)</f>
        <v>HABJAN ANDRES ALEJANDRO</v>
      </c>
      <c r="D1942" s="81"/>
      <c r="E1942" s="81"/>
      <c r="F1942" s="81"/>
      <c r="G1942" s="138" t="s">
        <v>102</v>
      </c>
      <c r="H1942" s="111"/>
    </row>
    <row r="1943" spans="1:8">
      <c r="A1943" s="80"/>
      <c r="B1943" s="81" t="s">
        <v>72</v>
      </c>
      <c r="C1943" s="81" t="str">
        <f>+'17_1'!$A$244</f>
        <v>Hijuela Gelvez - Salomón</v>
      </c>
      <c r="D1943" s="81"/>
      <c r="E1943" s="81"/>
      <c r="F1943" s="81"/>
      <c r="G1943" s="138">
        <v>14</v>
      </c>
      <c r="H1943" s="111"/>
    </row>
    <row r="1944" spans="1:8">
      <c r="A1944" s="80"/>
      <c r="B1944" s="81"/>
      <c r="C1944" s="81"/>
      <c r="D1944" s="81"/>
      <c r="E1944" s="81"/>
      <c r="F1944" s="81"/>
      <c r="G1944" s="81"/>
      <c r="H1944" s="111"/>
    </row>
    <row r="1945" spans="1:8">
      <c r="A1945" s="80"/>
      <c r="B1945" s="81" t="s">
        <v>140</v>
      </c>
      <c r="C1945" s="138">
        <f>VLOOKUP(G1943,'17_1'!$A$255:$B$279,2,0)</f>
        <v>1213</v>
      </c>
      <c r="D1945" s="81"/>
      <c r="E1945" s="139" t="s">
        <v>141</v>
      </c>
      <c r="F1945" s="141" t="e">
        <f>DSUM('17_1'!A$255:J$279,'17_1'!$J$255,G1942:G1943)</f>
        <v>#N/A</v>
      </c>
      <c r="G1945" s="81"/>
      <c r="H1945" s="111"/>
    </row>
    <row r="1946" spans="1:8">
      <c r="A1946" s="80"/>
      <c r="B1946" s="81" t="s">
        <v>142</v>
      </c>
      <c r="C1946" s="205">
        <v>323</v>
      </c>
      <c r="D1946" s="81"/>
      <c r="E1946" s="81"/>
      <c r="F1946" s="81"/>
      <c r="G1946" s="81"/>
      <c r="H1946" s="111"/>
    </row>
    <row r="1947" spans="1:8">
      <c r="A1947" s="80"/>
      <c r="B1947" s="81" t="s">
        <v>144</v>
      </c>
      <c r="C1947" s="206">
        <f>DSUM('17_1'!$A$255:$H$279,'17_1'!$H$255,G1942:G1943)</f>
        <v>14.486700000000001</v>
      </c>
      <c r="D1947" s="81"/>
      <c r="E1947" s="81"/>
      <c r="F1947" s="584"/>
      <c r="G1947" s="584"/>
      <c r="H1947" s="111"/>
    </row>
    <row r="1948" spans="1:8" ht="15.75">
      <c r="A1948" s="80"/>
      <c r="B1948" s="81"/>
      <c r="C1948" s="81" t="s">
        <v>146</v>
      </c>
      <c r="D1948" s="145" t="e">
        <f>DMIN('17_1'!A$255:K$279,'17_1'!$K$255,G1942:G1943)</f>
        <v>#REF!</v>
      </c>
      <c r="E1948" s="189" t="e">
        <f>IF(F1948=1,"Domingo",IF(F1948=2,"Lunes",IF(F1948=3,"Martes",IF(F1948=4,"Miercoles",IF(F1948=5,"Jueves",IF(F1948=6,"Viernes",IF(F1948=7,"Sábado",0)))))))</f>
        <v>#REF!</v>
      </c>
      <c r="F1948" s="190" t="e">
        <f>WEEKDAY(D1948)</f>
        <v>#REF!</v>
      </c>
      <c r="G1948" s="142"/>
      <c r="H1948" s="111"/>
    </row>
    <row r="1949" spans="1:8" ht="15.75">
      <c r="A1949" s="80"/>
      <c r="B1949" s="81"/>
      <c r="C1949" s="81" t="s">
        <v>147</v>
      </c>
      <c r="D1949" s="145" t="e">
        <f>DMAX('17_1'!A$255:L$279,'17_1'!$L$255,G1942:G1943)</f>
        <v>#REF!</v>
      </c>
      <c r="E1949" s="189" t="e">
        <f>IF(F1949=1,"Domingo",IF(F1949=2,"Lunes",IF(F1949=3,"Martes",IF(F1949=4,"Miercoles",IF(F1949=5,"Jueves",IF(F1949=6,"Viernes",IF(F1949=7,"Sábado",0)))))))</f>
        <v>#REF!</v>
      </c>
      <c r="F1949" s="190" t="e">
        <f>WEEKDAY(D1949)</f>
        <v>#REF!</v>
      </c>
      <c r="G1949" s="142"/>
      <c r="H1949" s="111"/>
    </row>
    <row r="1950" spans="1:8">
      <c r="A1950" s="80"/>
      <c r="B1950" s="81"/>
      <c r="C1950" s="81"/>
      <c r="D1950" s="81"/>
      <c r="E1950" s="81"/>
      <c r="F1950" s="584"/>
      <c r="G1950" s="584"/>
      <c r="H1950" s="111"/>
    </row>
    <row r="1951" spans="1:8">
      <c r="A1951" s="80"/>
      <c r="B1951" s="146">
        <f>+Mensajes!$B$7</f>
        <v>0</v>
      </c>
      <c r="C1951" s="81"/>
      <c r="D1951" s="81"/>
      <c r="E1951" s="81"/>
      <c r="F1951" s="81"/>
      <c r="G1951" s="81"/>
      <c r="H1951" s="111"/>
    </row>
    <row r="1952" spans="1:8">
      <c r="A1952" s="80"/>
      <c r="B1952" s="146">
        <f>+Mensajes!$B$12</f>
        <v>0</v>
      </c>
      <c r="C1952" s="81"/>
      <c r="D1952" s="81"/>
      <c r="E1952" s="81"/>
      <c r="F1952" s="81"/>
      <c r="G1952" s="81"/>
      <c r="H1952" s="111"/>
    </row>
    <row r="1953" spans="1:8">
      <c r="A1953" s="80"/>
      <c r="B1953" s="146" t="str">
        <f>IF(VLOOKUP(G1943,'17_1'!$A$255:$N$279,14,0)=0,"",VLOOKUP(G1943,'17_1'!$A$255:$N$279,14,0))</f>
        <v/>
      </c>
      <c r="C1953" s="81"/>
      <c r="D1953" s="81"/>
      <c r="E1953" s="81"/>
      <c r="F1953" s="81"/>
      <c r="G1953" s="81"/>
      <c r="H1953" s="111"/>
    </row>
    <row r="1954" spans="1:8">
      <c r="A1954" s="140"/>
      <c r="B1954" s="188" t="str">
        <f>IF(DSUM('17_1'!$A$255:$Q$279,17,G1942:G1943)=COUNTIF('17_1'!$A$255:$A$279,G1943),"","Regularice su Deuda")</f>
        <v/>
      </c>
      <c r="C1954" s="82"/>
      <c r="D1954" s="82"/>
      <c r="E1954" s="82"/>
      <c r="F1954" s="82"/>
      <c r="G1954" s="82"/>
      <c r="H1954" s="83"/>
    </row>
    <row r="1956" spans="1:8">
      <c r="A1956" s="108"/>
      <c r="B1956" s="109"/>
      <c r="C1956" s="109"/>
      <c r="D1956" s="109"/>
      <c r="E1956" s="109"/>
      <c r="F1956" s="109"/>
      <c r="G1956" s="109"/>
      <c r="H1956" s="110"/>
    </row>
    <row r="1957" spans="1:8">
      <c r="A1957" s="80"/>
      <c r="B1957" s="147" t="s">
        <v>64</v>
      </c>
      <c r="C1957" s="81"/>
      <c r="D1957" s="81"/>
      <c r="E1957" s="81"/>
      <c r="F1957" s="81"/>
      <c r="G1957" s="81"/>
      <c r="H1957" s="111"/>
    </row>
    <row r="1958" spans="1:8">
      <c r="A1958" s="80"/>
      <c r="B1958" s="81"/>
      <c r="C1958" s="81"/>
      <c r="D1958" s="81"/>
      <c r="E1958" s="81"/>
      <c r="F1958" s="81"/>
      <c r="G1958" s="81"/>
      <c r="H1958" s="111"/>
    </row>
    <row r="1959" spans="1:8">
      <c r="A1959" s="80"/>
      <c r="B1959" s="81" t="s">
        <v>139</v>
      </c>
      <c r="C1959" s="81" t="str">
        <f>VLOOKUP(G1960,'17_1'!$A$255:$G$279,6,0)</f>
        <v>PIAI, FRANCISCO ANGEL</v>
      </c>
      <c r="D1959" s="81"/>
      <c r="E1959" s="81"/>
      <c r="F1959" s="81"/>
      <c r="G1959" s="138" t="s">
        <v>102</v>
      </c>
      <c r="H1959" s="111"/>
    </row>
    <row r="1960" spans="1:8">
      <c r="A1960" s="80"/>
      <c r="B1960" s="81" t="s">
        <v>72</v>
      </c>
      <c r="C1960" s="81" t="str">
        <f>+'17_1'!$A$244</f>
        <v>Hijuela Gelvez - Salomón</v>
      </c>
      <c r="D1960" s="81"/>
      <c r="E1960" s="81"/>
      <c r="F1960" s="81"/>
      <c r="G1960" s="138">
        <v>15</v>
      </c>
      <c r="H1960" s="111"/>
    </row>
    <row r="1961" spans="1:8">
      <c r="A1961" s="80"/>
      <c r="B1961" s="81"/>
      <c r="C1961" s="81"/>
      <c r="D1961" s="81"/>
      <c r="E1961" s="81"/>
      <c r="F1961" s="81"/>
      <c r="G1961" s="81"/>
      <c r="H1961" s="111"/>
    </row>
    <row r="1962" spans="1:8">
      <c r="A1962" s="80"/>
      <c r="B1962" s="81" t="s">
        <v>140</v>
      </c>
      <c r="C1962" s="138">
        <f>VLOOKUP(G1960,'17_1'!$A$255:$B$279,2,0)</f>
        <v>1213</v>
      </c>
      <c r="D1962" s="81"/>
      <c r="E1962" s="139" t="s">
        <v>141</v>
      </c>
      <c r="F1962" s="141" t="e">
        <f>DSUM('17_1'!A$255:J$279,'17_1'!$J$255,G1959:G1960)</f>
        <v>#N/A</v>
      </c>
      <c r="G1962" s="81"/>
      <c r="H1962" s="111"/>
    </row>
    <row r="1963" spans="1:8">
      <c r="A1963" s="80"/>
      <c r="B1963" s="81" t="s">
        <v>142</v>
      </c>
      <c r="C1963" s="205">
        <v>50</v>
      </c>
      <c r="D1963" s="81"/>
      <c r="E1963" s="81"/>
      <c r="F1963" s="81"/>
      <c r="G1963" s="81"/>
      <c r="H1963" s="111"/>
    </row>
    <row r="1964" spans="1:8">
      <c r="A1964" s="80"/>
      <c r="B1964" s="81" t="s">
        <v>144</v>
      </c>
      <c r="C1964" s="206">
        <f>DSUM('17_1'!$A$255:$H$279,'17_1'!$H$255,G1959:G1960)</f>
        <v>0</v>
      </c>
      <c r="D1964" s="81"/>
      <c r="E1964" s="81"/>
      <c r="F1964" s="584"/>
      <c r="G1964" s="584"/>
      <c r="H1964" s="111"/>
    </row>
    <row r="1965" spans="1:8" ht="15.75">
      <c r="A1965" s="80"/>
      <c r="B1965" s="81"/>
      <c r="C1965" s="81" t="s">
        <v>146</v>
      </c>
      <c r="D1965" s="145" t="e">
        <f>DMIN('17_1'!A$255:K$279,'17_1'!$K$255,G1959:G1960)</f>
        <v>#REF!</v>
      </c>
      <c r="E1965" s="189" t="e">
        <f>IF(F1965=1,"Domingo",IF(F1965=2,"Lunes",IF(F1965=3,"Martes",IF(F1965=4,"Miercoles",IF(F1965=5,"Jueves",IF(F1965=6,"Viernes",IF(F1965=7,"Sábado",0)))))))</f>
        <v>#REF!</v>
      </c>
      <c r="F1965" s="190" t="e">
        <f>WEEKDAY(D1965)</f>
        <v>#REF!</v>
      </c>
      <c r="G1965" s="142"/>
      <c r="H1965" s="111"/>
    </row>
    <row r="1966" spans="1:8" ht="15.75">
      <c r="A1966" s="80"/>
      <c r="B1966" s="81"/>
      <c r="C1966" s="81" t="s">
        <v>147</v>
      </c>
      <c r="D1966" s="145" t="e">
        <f>DMAX('17_1'!A$255:L$279,'17_1'!$L$255,G1959:G1960)</f>
        <v>#REF!</v>
      </c>
      <c r="E1966" s="189" t="e">
        <f>IF(F1966=1,"Domingo",IF(F1966=2,"Lunes",IF(F1966=3,"Martes",IF(F1966=4,"Miercoles",IF(F1966=5,"Jueves",IF(F1966=6,"Viernes",IF(F1966=7,"Sábado",0)))))))</f>
        <v>#REF!</v>
      </c>
      <c r="F1966" s="190" t="e">
        <f>WEEKDAY(D1966)</f>
        <v>#REF!</v>
      </c>
      <c r="G1966" s="142"/>
      <c r="H1966" s="111"/>
    </row>
    <row r="1967" spans="1:8">
      <c r="A1967" s="80"/>
      <c r="B1967" s="81"/>
      <c r="C1967" s="81"/>
      <c r="D1967" s="81"/>
      <c r="E1967" s="81"/>
      <c r="F1967" s="584"/>
      <c r="G1967" s="584"/>
      <c r="H1967" s="111"/>
    </row>
    <row r="1968" spans="1:8">
      <c r="A1968" s="80"/>
      <c r="B1968" s="146">
        <f>+Mensajes!$B$7</f>
        <v>0</v>
      </c>
      <c r="C1968" s="81"/>
      <c r="D1968" s="81"/>
      <c r="E1968" s="81"/>
      <c r="F1968" s="81"/>
      <c r="G1968" s="81"/>
      <c r="H1968" s="111"/>
    </row>
    <row r="1969" spans="1:8">
      <c r="A1969" s="80"/>
      <c r="B1969" s="146">
        <f>+Mensajes!$B$12</f>
        <v>0</v>
      </c>
      <c r="C1969" s="81"/>
      <c r="D1969" s="81"/>
      <c r="E1969" s="81"/>
      <c r="F1969" s="81"/>
      <c r="G1969" s="81"/>
      <c r="H1969" s="111"/>
    </row>
    <row r="1970" spans="1:8">
      <c r="A1970" s="80"/>
      <c r="B1970" s="146" t="str">
        <f>IF(VLOOKUP(G1960,'17_1'!$A$255:$N$279,14,0)=0,"",VLOOKUP(G1960,'17_1'!$A$255:$N$279,14,0))</f>
        <v/>
      </c>
      <c r="C1970" s="81"/>
      <c r="D1970" s="81"/>
      <c r="E1970" s="81"/>
      <c r="F1970" s="81"/>
      <c r="G1970" s="81"/>
      <c r="H1970" s="111"/>
    </row>
    <row r="1971" spans="1:8">
      <c r="A1971" s="140"/>
      <c r="B1971" s="188" t="str">
        <f>IF(DSUM('17_1'!$A$255:$Q$279,17,G1959:G1960)=COUNTIF('17_1'!$A$255:$A$279,G1960),"","Regularice su Deuda")</f>
        <v>Regularice su Deuda</v>
      </c>
      <c r="C1971" s="82"/>
      <c r="D1971" s="82"/>
      <c r="E1971" s="82"/>
      <c r="F1971" s="82"/>
      <c r="G1971" s="82"/>
      <c r="H1971" s="83"/>
    </row>
    <row r="1973" spans="1:8">
      <c r="A1973" s="108"/>
      <c r="B1973" s="109"/>
      <c r="C1973" s="109"/>
      <c r="D1973" s="109"/>
      <c r="E1973" s="109"/>
      <c r="F1973" s="109"/>
      <c r="G1973" s="109"/>
      <c r="H1973" s="110"/>
    </row>
    <row r="1974" spans="1:8">
      <c r="A1974" s="80"/>
      <c r="B1974" s="147" t="s">
        <v>64</v>
      </c>
      <c r="C1974" s="81"/>
      <c r="D1974" s="81"/>
      <c r="E1974" s="81"/>
      <c r="F1974" s="81"/>
      <c r="G1974" s="81"/>
      <c r="H1974" s="111"/>
    </row>
    <row r="1975" spans="1:8">
      <c r="A1975" s="80"/>
      <c r="B1975" s="81"/>
      <c r="C1975" s="81"/>
      <c r="D1975" s="81"/>
      <c r="E1975" s="81"/>
      <c r="F1975" s="81"/>
      <c r="G1975" s="81"/>
      <c r="H1975" s="111"/>
    </row>
    <row r="1976" spans="1:8">
      <c r="A1976" s="80"/>
      <c r="B1976" s="81" t="s">
        <v>139</v>
      </c>
      <c r="C1976" s="81" t="str">
        <f>VLOOKUP(G1977,'17_1'!$A$255:$G$279,6,0)</f>
        <v>GELVEZ, BALDOMERA</v>
      </c>
      <c r="D1976" s="81"/>
      <c r="E1976" s="81"/>
      <c r="F1976" s="81"/>
      <c r="G1976" s="138" t="s">
        <v>102</v>
      </c>
      <c r="H1976" s="111"/>
    </row>
    <row r="1977" spans="1:8">
      <c r="A1977" s="80"/>
      <c r="B1977" s="81" t="s">
        <v>72</v>
      </c>
      <c r="C1977" s="81" t="str">
        <f>+'17_1'!$A$244</f>
        <v>Hijuela Gelvez - Salomón</v>
      </c>
      <c r="D1977" s="81"/>
      <c r="E1977" s="81"/>
      <c r="F1977" s="81"/>
      <c r="G1977" s="138">
        <v>16</v>
      </c>
      <c r="H1977" s="111"/>
    </row>
    <row r="1978" spans="1:8">
      <c r="A1978" s="80"/>
      <c r="B1978" s="81"/>
      <c r="C1978" s="81"/>
      <c r="D1978" s="81"/>
      <c r="E1978" s="81"/>
      <c r="F1978" s="81"/>
      <c r="G1978" s="81"/>
      <c r="H1978" s="111"/>
    </row>
    <row r="1979" spans="1:8">
      <c r="A1979" s="80"/>
      <c r="B1979" s="81" t="s">
        <v>140</v>
      </c>
      <c r="C1979" s="138">
        <f>VLOOKUP(G1977,'17_1'!$A$255:$B$279,2,0)</f>
        <v>1213</v>
      </c>
      <c r="D1979" s="81"/>
      <c r="E1979" s="139" t="s">
        <v>141</v>
      </c>
      <c r="F1979" s="141" t="e">
        <f>DSUM('17_1'!A$255:J$279,'17_1'!$J$255,G1976:G1977)</f>
        <v>#N/A</v>
      </c>
      <c r="G1979" s="81"/>
      <c r="H1979" s="111"/>
    </row>
    <row r="1980" spans="1:8">
      <c r="A1980" s="80"/>
      <c r="B1980" s="81" t="s">
        <v>142</v>
      </c>
      <c r="C1980" s="205">
        <v>67</v>
      </c>
      <c r="D1980" s="81"/>
      <c r="E1980" s="81"/>
      <c r="F1980" s="81"/>
      <c r="G1980" s="81"/>
      <c r="H1980" s="111"/>
    </row>
    <row r="1981" spans="1:8">
      <c r="A1981" s="80"/>
      <c r="B1981" s="81" t="s">
        <v>144</v>
      </c>
      <c r="C1981" s="206" t="e">
        <f>DSUM('17_1'!$A$255:$H$279,'17_1'!$H$255,G1976:G1977)</f>
        <v>#N/A</v>
      </c>
      <c r="D1981" s="81"/>
      <c r="E1981" s="81"/>
      <c r="F1981" s="584"/>
      <c r="G1981" s="584"/>
      <c r="H1981" s="111"/>
    </row>
    <row r="1982" spans="1:8" ht="15.75">
      <c r="A1982" s="80"/>
      <c r="B1982" s="81"/>
      <c r="C1982" s="81" t="s">
        <v>146</v>
      </c>
      <c r="D1982" s="145" t="e">
        <f>DMIN('17_1'!A$255:K$279,'17_1'!$K$255,G1976:G1977)</f>
        <v>#REF!</v>
      </c>
      <c r="E1982" s="189" t="e">
        <f>IF(F1982=1,"Domingo",IF(F1982=2,"Lunes",IF(F1982=3,"Martes",IF(F1982=4,"Miercoles",IF(F1982=5,"Jueves",IF(F1982=6,"Viernes",IF(F1982=7,"Sábado",0)))))))</f>
        <v>#REF!</v>
      </c>
      <c r="F1982" s="190" t="e">
        <f>WEEKDAY(D1982)</f>
        <v>#REF!</v>
      </c>
      <c r="G1982" s="142"/>
      <c r="H1982" s="111"/>
    </row>
    <row r="1983" spans="1:8" ht="15.75">
      <c r="A1983" s="80"/>
      <c r="B1983" s="81"/>
      <c r="C1983" s="81" t="s">
        <v>147</v>
      </c>
      <c r="D1983" s="145" t="e">
        <f>DMAX('17_1'!A$255:L$279,'17_1'!$L$255,G1976:G1977)</f>
        <v>#REF!</v>
      </c>
      <c r="E1983" s="189" t="e">
        <f>IF(F1983=1,"Domingo",IF(F1983=2,"Lunes",IF(F1983=3,"Martes",IF(F1983=4,"Miercoles",IF(F1983=5,"Jueves",IF(F1983=6,"Viernes",IF(F1983=7,"Sábado",0)))))))</f>
        <v>#REF!</v>
      </c>
      <c r="F1983" s="190" t="e">
        <f>WEEKDAY(D1983)</f>
        <v>#REF!</v>
      </c>
      <c r="G1983" s="142"/>
      <c r="H1983" s="111"/>
    </row>
    <row r="1984" spans="1:8">
      <c r="A1984" s="80"/>
      <c r="B1984" s="81"/>
      <c r="C1984" s="81"/>
      <c r="D1984" s="81"/>
      <c r="E1984" s="81"/>
      <c r="F1984" s="584"/>
      <c r="G1984" s="584"/>
      <c r="H1984" s="111"/>
    </row>
    <row r="1985" spans="1:8">
      <c r="A1985" s="80"/>
      <c r="B1985" s="146">
        <f>+Mensajes!$B$7</f>
        <v>0</v>
      </c>
      <c r="C1985" s="81"/>
      <c r="D1985" s="81"/>
      <c r="E1985" s="81"/>
      <c r="F1985" s="81"/>
      <c r="G1985" s="81"/>
      <c r="H1985" s="111"/>
    </row>
    <row r="1986" spans="1:8">
      <c r="A1986" s="80"/>
      <c r="B1986" s="146">
        <f>+Mensajes!$B$12</f>
        <v>0</v>
      </c>
      <c r="C1986" s="81"/>
      <c r="D1986" s="81"/>
      <c r="E1986" s="81"/>
      <c r="F1986" s="81"/>
      <c r="G1986" s="81"/>
      <c r="H1986" s="111"/>
    </row>
    <row r="1987" spans="1:8">
      <c r="A1987" s="80"/>
      <c r="B1987" s="146" t="str">
        <f>IF(VLOOKUP(G1977,'17_1'!$A$255:$N$279,14,0)=0,"",VLOOKUP(G1977,'17_1'!$A$255:$N$279,14,0))</f>
        <v/>
      </c>
      <c r="C1987" s="81"/>
      <c r="D1987" s="81"/>
      <c r="E1987" s="81"/>
      <c r="F1987" s="81"/>
      <c r="G1987" s="81"/>
      <c r="H1987" s="111"/>
    </row>
    <row r="1988" spans="1:8">
      <c r="A1988" s="140"/>
      <c r="B1988" s="188" t="e">
        <f>IF(DSUM('17_1'!$A$255:$Q$279,17,G1976:G1977)=COUNTIF('17_1'!$A$255:$A$279,G1977),"","Regularice su Deuda")</f>
        <v>#N/A</v>
      </c>
      <c r="C1988" s="82"/>
      <c r="D1988" s="82"/>
      <c r="E1988" s="82"/>
      <c r="F1988" s="82"/>
      <c r="G1988" s="82"/>
      <c r="H1988" s="83"/>
    </row>
    <row r="1990" spans="1:8">
      <c r="A1990" s="108"/>
      <c r="B1990" s="109"/>
      <c r="C1990" s="109"/>
      <c r="D1990" s="109"/>
      <c r="E1990" s="109"/>
      <c r="F1990" s="109"/>
      <c r="G1990" s="109"/>
      <c r="H1990" s="110"/>
    </row>
    <row r="1991" spans="1:8">
      <c r="A1991" s="80"/>
      <c r="B1991" s="147" t="s">
        <v>64</v>
      </c>
      <c r="C1991" s="81"/>
      <c r="D1991" s="81"/>
      <c r="E1991" s="81"/>
      <c r="F1991" s="81"/>
      <c r="G1991" s="81"/>
      <c r="H1991" s="111"/>
    </row>
    <row r="1992" spans="1:8">
      <c r="A1992" s="80"/>
      <c r="B1992" s="81"/>
      <c r="C1992" s="81"/>
      <c r="D1992" s="81"/>
      <c r="E1992" s="81"/>
      <c r="F1992" s="81"/>
      <c r="G1992" s="81"/>
      <c r="H1992" s="111"/>
    </row>
    <row r="1993" spans="1:8">
      <c r="A1993" s="80"/>
      <c r="B1993" s="81" t="s">
        <v>139</v>
      </c>
      <c r="C1993" s="81" t="str">
        <f>VLOOKUP(G1994,'17_1'!$A$255:$G$279,6,0)</f>
        <v>VILLEGAS, JOSE</v>
      </c>
      <c r="D1993" s="81"/>
      <c r="E1993" s="81"/>
      <c r="F1993" s="81"/>
      <c r="G1993" s="138" t="s">
        <v>102</v>
      </c>
      <c r="H1993" s="111"/>
    </row>
    <row r="1994" spans="1:8">
      <c r="A1994" s="80"/>
      <c r="B1994" s="81" t="s">
        <v>72</v>
      </c>
      <c r="C1994" s="81" t="str">
        <f>+'17_1'!$A$244</f>
        <v>Hijuela Gelvez - Salomón</v>
      </c>
      <c r="D1994" s="81"/>
      <c r="E1994" s="81"/>
      <c r="F1994" s="81"/>
      <c r="G1994" s="138">
        <v>17</v>
      </c>
      <c r="H1994" s="111"/>
    </row>
    <row r="1995" spans="1:8">
      <c r="A1995" s="80"/>
      <c r="B1995" s="81"/>
      <c r="C1995" s="81"/>
      <c r="D1995" s="81"/>
      <c r="E1995" s="81"/>
      <c r="F1995" s="81"/>
      <c r="G1995" s="81"/>
      <c r="H1995" s="111"/>
    </row>
    <row r="1996" spans="1:8">
      <c r="A1996" s="80"/>
      <c r="B1996" s="81" t="s">
        <v>140</v>
      </c>
      <c r="C1996" s="138">
        <f>VLOOKUP(G1994,'17_1'!$A$255:$B$279,2,0)</f>
        <v>1213</v>
      </c>
      <c r="D1996" s="81"/>
      <c r="E1996" s="139" t="s">
        <v>141</v>
      </c>
      <c r="F1996" s="141" t="e">
        <f>DSUM('17_1'!A$255:J$279,'17_1'!$J$255,G1993:G1994)</f>
        <v>#N/A</v>
      </c>
      <c r="G1996" s="81"/>
      <c r="H1996" s="111"/>
    </row>
    <row r="1997" spans="1:8">
      <c r="A1997" s="80"/>
      <c r="B1997" s="81" t="s">
        <v>142</v>
      </c>
      <c r="C1997" s="205">
        <v>54</v>
      </c>
      <c r="D1997" s="81"/>
      <c r="E1997" s="81"/>
      <c r="F1997" s="81"/>
      <c r="G1997" s="81"/>
      <c r="H1997" s="111"/>
    </row>
    <row r="1998" spans="1:8">
      <c r="A1998" s="80"/>
      <c r="B1998" s="81" t="s">
        <v>144</v>
      </c>
      <c r="C1998" s="206" t="e">
        <f>DSUM('17_1'!$A$255:$H$279,'17_1'!$H$255,G1993:G1994)</f>
        <v>#N/A</v>
      </c>
      <c r="D1998" s="81"/>
      <c r="E1998" s="81"/>
      <c r="F1998" s="584"/>
      <c r="G1998" s="584"/>
      <c r="H1998" s="111"/>
    </row>
    <row r="1999" spans="1:8" ht="15.75">
      <c r="A1999" s="80"/>
      <c r="B1999" s="81"/>
      <c r="C1999" s="81" t="s">
        <v>146</v>
      </c>
      <c r="D1999" s="145" t="e">
        <f>DMIN('17_1'!A$255:K$279,'17_1'!$K$255,G1993:G1994)</f>
        <v>#REF!</v>
      </c>
      <c r="E1999" s="189" t="e">
        <f>IF(F1999=1,"Domingo",IF(F1999=2,"Lunes",IF(F1999=3,"Martes",IF(F1999=4,"Miercoles",IF(F1999=5,"Jueves",IF(F1999=6,"Viernes",IF(F1999=7,"Sábado",0)))))))</f>
        <v>#REF!</v>
      </c>
      <c r="F1999" s="190" t="e">
        <f>WEEKDAY(D1999)</f>
        <v>#REF!</v>
      </c>
      <c r="G1999" s="142"/>
      <c r="H1999" s="111"/>
    </row>
    <row r="2000" spans="1:8" ht="15.75">
      <c r="A2000" s="80"/>
      <c r="B2000" s="81"/>
      <c r="C2000" s="81" t="s">
        <v>147</v>
      </c>
      <c r="D2000" s="145" t="e">
        <f>DMAX('17_1'!A$255:L$279,'17_1'!$L$255,G1993:G1994)</f>
        <v>#REF!</v>
      </c>
      <c r="E2000" s="189" t="e">
        <f>IF(F2000=1,"Domingo",IF(F2000=2,"Lunes",IF(F2000=3,"Martes",IF(F2000=4,"Miercoles",IF(F2000=5,"Jueves",IF(F2000=6,"Viernes",IF(F2000=7,"Sábado",0)))))))</f>
        <v>#REF!</v>
      </c>
      <c r="F2000" s="190" t="e">
        <f>WEEKDAY(D2000)</f>
        <v>#REF!</v>
      </c>
      <c r="G2000" s="142"/>
      <c r="H2000" s="111"/>
    </row>
    <row r="2001" spans="1:8">
      <c r="A2001" s="80"/>
      <c r="B2001" s="81"/>
      <c r="C2001" s="81"/>
      <c r="D2001" s="81"/>
      <c r="E2001" s="81"/>
      <c r="F2001" s="584"/>
      <c r="G2001" s="584"/>
      <c r="H2001" s="111"/>
    </row>
    <row r="2002" spans="1:8">
      <c r="A2002" s="80"/>
      <c r="B2002" s="146">
        <f>+Mensajes!$B$7</f>
        <v>0</v>
      </c>
      <c r="C2002" s="81"/>
      <c r="D2002" s="81"/>
      <c r="E2002" s="81"/>
      <c r="F2002" s="81"/>
      <c r="G2002" s="81"/>
      <c r="H2002" s="111"/>
    </row>
    <row r="2003" spans="1:8">
      <c r="A2003" s="80"/>
      <c r="B2003" s="146">
        <f>+Mensajes!$B$12</f>
        <v>0</v>
      </c>
      <c r="C2003" s="81"/>
      <c r="D2003" s="81"/>
      <c r="E2003" s="81"/>
      <c r="F2003" s="81"/>
      <c r="G2003" s="81"/>
      <c r="H2003" s="111"/>
    </row>
    <row r="2004" spans="1:8">
      <c r="A2004" s="80"/>
      <c r="B2004" s="146" t="str">
        <f>IF(VLOOKUP(G1994,'17_1'!$A$255:$N$279,14,0)=0,"",VLOOKUP(G1994,'17_1'!$A$255:$N$279,14,0))</f>
        <v/>
      </c>
      <c r="C2004" s="81"/>
      <c r="D2004" s="81"/>
      <c r="E2004" s="81"/>
      <c r="F2004" s="81"/>
      <c r="G2004" s="81"/>
      <c r="H2004" s="111"/>
    </row>
    <row r="2005" spans="1:8">
      <c r="A2005" s="140"/>
      <c r="B2005" s="188" t="e">
        <f>IF(DSUM('17_1'!$A$255:$Q$279,17,G1993:G1994)=COUNTIF('17_1'!$A$255:$A$279,G1994),"","Regularice su Deuda")</f>
        <v>#N/A</v>
      </c>
      <c r="C2005" s="82"/>
      <c r="D2005" s="82"/>
      <c r="E2005" s="82"/>
      <c r="F2005" s="82"/>
      <c r="G2005" s="82"/>
      <c r="H2005" s="83"/>
    </row>
    <row r="2007" spans="1:8">
      <c r="A2007" s="108"/>
      <c r="B2007" s="109"/>
      <c r="C2007" s="109"/>
      <c r="D2007" s="109"/>
      <c r="E2007" s="109"/>
      <c r="F2007" s="109"/>
      <c r="G2007" s="109"/>
      <c r="H2007" s="110"/>
    </row>
    <row r="2008" spans="1:8">
      <c r="A2008" s="80"/>
      <c r="B2008" s="147" t="s">
        <v>64</v>
      </c>
      <c r="C2008" s="81"/>
      <c r="D2008" s="81"/>
      <c r="E2008" s="81"/>
      <c r="F2008" s="81"/>
      <c r="G2008" s="81"/>
      <c r="H2008" s="111"/>
    </row>
    <row r="2009" spans="1:8">
      <c r="A2009" s="80"/>
      <c r="B2009" s="81"/>
      <c r="C2009" s="81"/>
      <c r="D2009" s="81"/>
      <c r="E2009" s="81"/>
      <c r="F2009" s="81"/>
      <c r="G2009" s="81"/>
      <c r="H2009" s="111"/>
    </row>
    <row r="2010" spans="1:8">
      <c r="A2010" s="80"/>
      <c r="B2010" s="81" t="s">
        <v>139</v>
      </c>
      <c r="C2010" s="81" t="str">
        <f>VLOOKUP(G2011,'17_1'!$A$255:$G$279,6,0)</f>
        <v>AZAGUATTE, AGUSTINA E. DE</v>
      </c>
      <c r="D2010" s="81"/>
      <c r="E2010" s="81"/>
      <c r="F2010" s="81"/>
      <c r="G2010" s="138" t="s">
        <v>102</v>
      </c>
      <c r="H2010" s="111"/>
    </row>
    <row r="2011" spans="1:8">
      <c r="A2011" s="80"/>
      <c r="B2011" s="81" t="s">
        <v>72</v>
      </c>
      <c r="C2011" s="81" t="str">
        <f>+'17_1'!$A$244</f>
        <v>Hijuela Gelvez - Salomón</v>
      </c>
      <c r="D2011" s="81"/>
      <c r="E2011" s="81"/>
      <c r="F2011" s="81"/>
      <c r="G2011" s="138">
        <v>18</v>
      </c>
      <c r="H2011" s="111"/>
    </row>
    <row r="2012" spans="1:8">
      <c r="A2012" s="80"/>
      <c r="B2012" s="81"/>
      <c r="C2012" s="81"/>
      <c r="D2012" s="81"/>
      <c r="E2012" s="81"/>
      <c r="F2012" s="81"/>
      <c r="G2012" s="81"/>
      <c r="H2012" s="111"/>
    </row>
    <row r="2013" spans="1:8">
      <c r="A2013" s="80"/>
      <c r="B2013" s="81" t="s">
        <v>140</v>
      </c>
      <c r="C2013" s="138">
        <f>VLOOKUP(G2011,'17_1'!$A$255:$B$279,2,0)</f>
        <v>1213</v>
      </c>
      <c r="D2013" s="81"/>
      <c r="E2013" s="139" t="s">
        <v>141</v>
      </c>
      <c r="F2013" s="141" t="e">
        <f>DSUM('17_1'!A$255:J$279,'17_1'!$J$255,G2010:G2011)</f>
        <v>#N/A</v>
      </c>
      <c r="G2013" s="81"/>
      <c r="H2013" s="111"/>
    </row>
    <row r="2014" spans="1:8">
      <c r="A2014" s="80"/>
      <c r="B2014" s="81" t="s">
        <v>142</v>
      </c>
      <c r="C2014" s="205" t="s">
        <v>553</v>
      </c>
      <c r="D2014" s="81"/>
      <c r="E2014" s="81"/>
      <c r="F2014" s="81"/>
      <c r="G2014" s="81"/>
      <c r="H2014" s="111"/>
    </row>
    <row r="2015" spans="1:8">
      <c r="A2015" s="80"/>
      <c r="B2015" s="81" t="s">
        <v>144</v>
      </c>
      <c r="C2015" s="206">
        <f>DSUM('17_1'!$A$255:$H$279,'17_1'!$H$255,G2010:G2011)</f>
        <v>0</v>
      </c>
      <c r="D2015" s="81"/>
      <c r="E2015" s="81"/>
      <c r="F2015" s="584"/>
      <c r="G2015" s="584"/>
      <c r="H2015" s="111"/>
    </row>
    <row r="2016" spans="1:8" ht="15.75">
      <c r="A2016" s="80"/>
      <c r="B2016" s="81"/>
      <c r="C2016" s="81" t="s">
        <v>146</v>
      </c>
      <c r="D2016" s="145" t="e">
        <f>DMIN('17_1'!A$255:K$279,'17_1'!$K$255,G2010:G2011)</f>
        <v>#REF!</v>
      </c>
      <c r="E2016" s="189" t="e">
        <f>IF(F2016=1,"Domingo",IF(F2016=2,"Lunes",IF(F2016=3,"Martes",IF(F2016=4,"Miercoles",IF(F2016=5,"Jueves",IF(F2016=6,"Viernes",IF(F2016=7,"Sábado",0)))))))</f>
        <v>#REF!</v>
      </c>
      <c r="F2016" s="190" t="e">
        <f>WEEKDAY(D2016)</f>
        <v>#REF!</v>
      </c>
      <c r="G2016" s="142"/>
      <c r="H2016" s="111"/>
    </row>
    <row r="2017" spans="1:8" ht="15.75">
      <c r="A2017" s="80"/>
      <c r="B2017" s="81"/>
      <c r="C2017" s="81" t="s">
        <v>147</v>
      </c>
      <c r="D2017" s="145" t="e">
        <f>DMAX('17_1'!A$255:L$279,'17_1'!$L$255,G2010:G2011)</f>
        <v>#REF!</v>
      </c>
      <c r="E2017" s="189" t="e">
        <f>IF(F2017=1,"Domingo",IF(F2017=2,"Lunes",IF(F2017=3,"Martes",IF(F2017=4,"Miercoles",IF(F2017=5,"Jueves",IF(F2017=6,"Viernes",IF(F2017=7,"Sábado",0)))))))</f>
        <v>#REF!</v>
      </c>
      <c r="F2017" s="190" t="e">
        <f>WEEKDAY(D2017)</f>
        <v>#REF!</v>
      </c>
      <c r="G2017" s="142"/>
      <c r="H2017" s="111"/>
    </row>
    <row r="2018" spans="1:8">
      <c r="A2018" s="80"/>
      <c r="B2018" s="81"/>
      <c r="C2018" s="81"/>
      <c r="D2018" s="81"/>
      <c r="E2018" s="81"/>
      <c r="F2018" s="584"/>
      <c r="G2018" s="584"/>
      <c r="H2018" s="111"/>
    </row>
    <row r="2019" spans="1:8">
      <c r="A2019" s="80"/>
      <c r="B2019" s="146">
        <f>+Mensajes!$B$7</f>
        <v>0</v>
      </c>
      <c r="C2019" s="81"/>
      <c r="D2019" s="81"/>
      <c r="E2019" s="81"/>
      <c r="F2019" s="81"/>
      <c r="G2019" s="81"/>
      <c r="H2019" s="111"/>
    </row>
    <row r="2020" spans="1:8">
      <c r="A2020" s="80"/>
      <c r="B2020" s="146">
        <f>+Mensajes!$B$12</f>
        <v>0</v>
      </c>
      <c r="C2020" s="81"/>
      <c r="D2020" s="81"/>
      <c r="E2020" s="81"/>
      <c r="F2020" s="81"/>
      <c r="G2020" s="81"/>
      <c r="H2020" s="111"/>
    </row>
    <row r="2021" spans="1:8">
      <c r="A2021" s="80"/>
      <c r="B2021" s="146" t="str">
        <f>IF(VLOOKUP(G2011,'17_1'!$A$255:$N$279,14,0)=0,"",VLOOKUP(G2011,'17_1'!$A$255:$N$279,14,0))</f>
        <v/>
      </c>
      <c r="C2021" s="81"/>
      <c r="D2021" s="81"/>
      <c r="E2021" s="81"/>
      <c r="F2021" s="81"/>
      <c r="G2021" s="81"/>
      <c r="H2021" s="111"/>
    </row>
    <row r="2022" spans="1:8">
      <c r="A2022" s="140"/>
      <c r="B2022" s="188" t="str">
        <f>IF(DSUM('17_1'!$A$255:$Q$279,17,G2010:G2011)=COUNTIF('17_1'!$A$255:$A$279,G2011),"","Regularice su Deuda")</f>
        <v>Regularice su Deuda</v>
      </c>
      <c r="C2022" s="82"/>
      <c r="D2022" s="82"/>
      <c r="E2022" s="82"/>
      <c r="F2022" s="82"/>
      <c r="G2022" s="82"/>
      <c r="H2022" s="83"/>
    </row>
    <row r="2024" spans="1:8">
      <c r="A2024" s="108"/>
      <c r="B2024" s="109"/>
      <c r="C2024" s="109"/>
      <c r="D2024" s="109"/>
      <c r="E2024" s="109"/>
      <c r="F2024" s="109"/>
      <c r="G2024" s="109"/>
      <c r="H2024" s="110"/>
    </row>
    <row r="2025" spans="1:8">
      <c r="A2025" s="80"/>
      <c r="B2025" s="147" t="s">
        <v>64</v>
      </c>
      <c r="C2025" s="81"/>
      <c r="D2025" s="81"/>
      <c r="E2025" s="81"/>
      <c r="F2025" s="81"/>
      <c r="G2025" s="81"/>
      <c r="H2025" s="111"/>
    </row>
    <row r="2026" spans="1:8">
      <c r="A2026" s="80"/>
      <c r="B2026" s="81"/>
      <c r="C2026" s="81"/>
      <c r="D2026" s="81"/>
      <c r="E2026" s="81"/>
      <c r="F2026" s="81"/>
      <c r="G2026" s="81"/>
      <c r="H2026" s="111"/>
    </row>
    <row r="2027" spans="1:8">
      <c r="A2027" s="80"/>
      <c r="B2027" s="81" t="s">
        <v>139</v>
      </c>
      <c r="C2027" s="81" t="str">
        <f>VLOOKUP(G2028,'17_1'!$A$255:$G$279,6,0)</f>
        <v>ZANI, JOSE-SUCESORES</v>
      </c>
      <c r="D2027" s="81"/>
      <c r="E2027" s="81"/>
      <c r="F2027" s="81"/>
      <c r="G2027" s="138" t="s">
        <v>102</v>
      </c>
      <c r="H2027" s="111"/>
    </row>
    <row r="2028" spans="1:8">
      <c r="A2028" s="80"/>
      <c r="B2028" s="81" t="s">
        <v>72</v>
      </c>
      <c r="C2028" s="81" t="str">
        <f>+'17_1'!$A$244</f>
        <v>Hijuela Gelvez - Salomón</v>
      </c>
      <c r="D2028" s="81"/>
      <c r="E2028" s="81"/>
      <c r="F2028" s="81"/>
      <c r="G2028" s="138">
        <v>19</v>
      </c>
      <c r="H2028" s="111"/>
    </row>
    <row r="2029" spans="1:8">
      <c r="A2029" s="80"/>
      <c r="B2029" s="81"/>
      <c r="C2029" s="81"/>
      <c r="D2029" s="81"/>
      <c r="E2029" s="81"/>
      <c r="F2029" s="81"/>
      <c r="G2029" s="81"/>
      <c r="H2029" s="111"/>
    </row>
    <row r="2030" spans="1:8">
      <c r="A2030" s="80"/>
      <c r="B2030" s="81" t="s">
        <v>140</v>
      </c>
      <c r="C2030" s="138">
        <f>VLOOKUP(G2028,'17_1'!$A$255:$B$279,2,0)</f>
        <v>1213</v>
      </c>
      <c r="D2030" s="81"/>
      <c r="E2030" s="139" t="s">
        <v>141</v>
      </c>
      <c r="F2030" s="141" t="e">
        <f>DSUM('17_1'!A$255:J$279,'17_1'!$J$255,G2027:G2028)</f>
        <v>#N/A</v>
      </c>
      <c r="G2030" s="81"/>
      <c r="H2030" s="111"/>
    </row>
    <row r="2031" spans="1:8">
      <c r="A2031" s="80"/>
      <c r="B2031" s="81" t="s">
        <v>142</v>
      </c>
      <c r="C2031" s="205">
        <v>311</v>
      </c>
      <c r="D2031" s="81"/>
      <c r="E2031" s="81"/>
      <c r="F2031" s="81"/>
      <c r="G2031" s="81"/>
      <c r="H2031" s="111"/>
    </row>
    <row r="2032" spans="1:8">
      <c r="A2032" s="80"/>
      <c r="B2032" s="81" t="s">
        <v>144</v>
      </c>
      <c r="C2032" s="206">
        <f>DSUM('17_1'!$A$255:$H$279,'17_1'!$H$255,G2027:G2028)</f>
        <v>4.2597000000000005</v>
      </c>
      <c r="D2032" s="81"/>
      <c r="E2032" s="81"/>
      <c r="F2032" s="584"/>
      <c r="G2032" s="584"/>
      <c r="H2032" s="111"/>
    </row>
    <row r="2033" spans="1:8" ht="15.75">
      <c r="A2033" s="80"/>
      <c r="B2033" s="81"/>
      <c r="C2033" s="81" t="s">
        <v>146</v>
      </c>
      <c r="D2033" s="145" t="e">
        <f>DMIN('17_1'!A$255:K$279,'17_1'!$K$255,G2027:G2028)</f>
        <v>#REF!</v>
      </c>
      <c r="E2033" s="189" t="e">
        <f>IF(F2033=1,"Domingo",IF(F2033=2,"Lunes",IF(F2033=3,"Martes",IF(F2033=4,"Miercoles",IF(F2033=5,"Jueves",IF(F2033=6,"Viernes",IF(F2033=7,"Sábado",0)))))))</f>
        <v>#REF!</v>
      </c>
      <c r="F2033" s="190" t="e">
        <f>WEEKDAY(D2033)</f>
        <v>#REF!</v>
      </c>
      <c r="G2033" s="142"/>
      <c r="H2033" s="111"/>
    </row>
    <row r="2034" spans="1:8" ht="15.75">
      <c r="A2034" s="80"/>
      <c r="B2034" s="81"/>
      <c r="C2034" s="81" t="s">
        <v>147</v>
      </c>
      <c r="D2034" s="145" t="e">
        <f>DMAX('17_1'!A$255:L$279,'17_1'!$L$255,G2027:G2028)</f>
        <v>#REF!</v>
      </c>
      <c r="E2034" s="189" t="e">
        <f>IF(F2034=1,"Domingo",IF(F2034=2,"Lunes",IF(F2034=3,"Martes",IF(F2034=4,"Miercoles",IF(F2034=5,"Jueves",IF(F2034=6,"Viernes",IF(F2034=7,"Sábado",0)))))))</f>
        <v>#REF!</v>
      </c>
      <c r="F2034" s="190" t="e">
        <f>WEEKDAY(D2034)</f>
        <v>#REF!</v>
      </c>
      <c r="G2034" s="142"/>
      <c r="H2034" s="111"/>
    </row>
    <row r="2035" spans="1:8">
      <c r="A2035" s="80"/>
      <c r="B2035" s="81"/>
      <c r="C2035" s="81"/>
      <c r="D2035" s="81"/>
      <c r="E2035" s="81"/>
      <c r="F2035" s="584"/>
      <c r="G2035" s="584"/>
      <c r="H2035" s="111"/>
    </row>
    <row r="2036" spans="1:8">
      <c r="A2036" s="80"/>
      <c r="B2036" s="146">
        <f>+Mensajes!$B$7</f>
        <v>0</v>
      </c>
      <c r="C2036" s="81"/>
      <c r="D2036" s="81"/>
      <c r="E2036" s="81"/>
      <c r="F2036" s="81"/>
      <c r="G2036" s="81"/>
      <c r="H2036" s="111"/>
    </row>
    <row r="2037" spans="1:8">
      <c r="A2037" s="80"/>
      <c r="B2037" s="146">
        <f>+Mensajes!$B$12</f>
        <v>0</v>
      </c>
      <c r="C2037" s="81"/>
      <c r="D2037" s="81"/>
      <c r="E2037" s="81"/>
      <c r="F2037" s="81"/>
      <c r="G2037" s="81"/>
      <c r="H2037" s="111"/>
    </row>
    <row r="2038" spans="1:8">
      <c r="A2038" s="80"/>
      <c r="B2038" s="146" t="str">
        <f>IF(VLOOKUP(G2028,'17_1'!$A$255:$N$279,14,0)=0,"",VLOOKUP(G2028,'17_1'!$A$255:$N$279,14,0))</f>
        <v/>
      </c>
      <c r="C2038" s="81"/>
      <c r="D2038" s="81"/>
      <c r="E2038" s="81"/>
      <c r="F2038" s="81"/>
      <c r="G2038" s="81"/>
      <c r="H2038" s="111"/>
    </row>
    <row r="2039" spans="1:8">
      <c r="A2039" s="140"/>
      <c r="B2039" s="188" t="str">
        <f>IF(DSUM('17_1'!$A$255:$Q$279,17,G2027:G2028)=COUNTIF('17_1'!$A$255:$A$279,G2028),"","Regularice su Deuda")</f>
        <v/>
      </c>
      <c r="C2039" s="82"/>
      <c r="D2039" s="82"/>
      <c r="E2039" s="82"/>
      <c r="F2039" s="82"/>
      <c r="G2039" s="82"/>
      <c r="H2039" s="83"/>
    </row>
    <row r="2041" spans="1:8">
      <c r="A2041" s="108"/>
      <c r="B2041" s="109"/>
      <c r="C2041" s="109"/>
      <c r="D2041" s="109"/>
      <c r="E2041" s="109"/>
      <c r="F2041" s="109"/>
      <c r="G2041" s="109"/>
      <c r="H2041" s="110"/>
    </row>
    <row r="2042" spans="1:8">
      <c r="A2042" s="80"/>
      <c r="B2042" s="147" t="s">
        <v>64</v>
      </c>
      <c r="C2042" s="81"/>
      <c r="D2042" s="81"/>
      <c r="E2042" s="81"/>
      <c r="F2042" s="81"/>
      <c r="G2042" s="81"/>
      <c r="H2042" s="111"/>
    </row>
    <row r="2043" spans="1:8">
      <c r="A2043" s="80"/>
      <c r="B2043" s="81"/>
      <c r="C2043" s="81"/>
      <c r="D2043" s="81"/>
      <c r="E2043" s="81"/>
      <c r="F2043" s="81"/>
      <c r="G2043" s="81"/>
      <c r="H2043" s="111"/>
    </row>
    <row r="2044" spans="1:8">
      <c r="A2044" s="80"/>
      <c r="B2044" s="81" t="s">
        <v>139</v>
      </c>
      <c r="C2044" s="81" t="str">
        <f>VLOOKUP(G2045,'17_1'!$A$255:$G$279,6,0)</f>
        <v>ZANNI, ALMIRO</v>
      </c>
      <c r="D2044" s="81"/>
      <c r="E2044" s="81"/>
      <c r="F2044" s="81"/>
      <c r="G2044" s="138" t="s">
        <v>102</v>
      </c>
      <c r="H2044" s="111"/>
    </row>
    <row r="2045" spans="1:8">
      <c r="A2045" s="80"/>
      <c r="B2045" s="81" t="s">
        <v>72</v>
      </c>
      <c r="C2045" s="81" t="str">
        <f>+'17_1'!$A$244</f>
        <v>Hijuela Gelvez - Salomón</v>
      </c>
      <c r="D2045" s="81"/>
      <c r="E2045" s="81"/>
      <c r="F2045" s="81"/>
      <c r="G2045" s="138">
        <v>20</v>
      </c>
      <c r="H2045" s="111"/>
    </row>
    <row r="2046" spans="1:8">
      <c r="A2046" s="80"/>
      <c r="B2046" s="81"/>
      <c r="C2046" s="81"/>
      <c r="D2046" s="81"/>
      <c r="E2046" s="81"/>
      <c r="F2046" s="81"/>
      <c r="G2046" s="81"/>
      <c r="H2046" s="111"/>
    </row>
    <row r="2047" spans="1:8">
      <c r="A2047" s="80"/>
      <c r="B2047" s="81" t="s">
        <v>140</v>
      </c>
      <c r="C2047" s="138">
        <f>VLOOKUP(G2045,'17_1'!$A$255:$B$279,2,0)</f>
        <v>1213</v>
      </c>
      <c r="D2047" s="81"/>
      <c r="E2047" s="139" t="s">
        <v>141</v>
      </c>
      <c r="F2047" s="141" t="e">
        <f>DSUM('17_1'!A$255:J$279,'17_1'!$J$255,G2044:G2045)</f>
        <v>#N/A</v>
      </c>
      <c r="G2047" s="81"/>
      <c r="H2047" s="111"/>
    </row>
    <row r="2048" spans="1:8">
      <c r="A2048" s="80"/>
      <c r="B2048" s="81" t="s">
        <v>142</v>
      </c>
      <c r="C2048" s="205">
        <v>189</v>
      </c>
      <c r="D2048" s="81"/>
      <c r="E2048" s="81"/>
      <c r="F2048" s="81"/>
      <c r="G2048" s="81"/>
      <c r="H2048" s="111"/>
    </row>
    <row r="2049" spans="1:8">
      <c r="A2049" s="80"/>
      <c r="B2049" s="81" t="s">
        <v>144</v>
      </c>
      <c r="C2049" s="206" t="e">
        <f>DSUM('17_1'!$A$255:$H$279,'17_1'!$H$255,G2044:G2045)</f>
        <v>#N/A</v>
      </c>
      <c r="D2049" s="81"/>
      <c r="E2049" s="81"/>
      <c r="F2049" s="584"/>
      <c r="G2049" s="584"/>
      <c r="H2049" s="111"/>
    </row>
    <row r="2050" spans="1:8" ht="15.75">
      <c r="A2050" s="80"/>
      <c r="B2050" s="81"/>
      <c r="C2050" s="81" t="s">
        <v>146</v>
      </c>
      <c r="D2050" s="145" t="e">
        <f>DMIN('17_1'!A$255:K$279,'17_1'!$K$255,G2044:G2045)</f>
        <v>#REF!</v>
      </c>
      <c r="E2050" s="189" t="e">
        <f>IF(F2050=1,"Domingo",IF(F2050=2,"Lunes",IF(F2050=3,"Martes",IF(F2050=4,"Miercoles",IF(F2050=5,"Jueves",IF(F2050=6,"Viernes",IF(F2050=7,"Sábado",0)))))))</f>
        <v>#REF!</v>
      </c>
      <c r="F2050" s="190" t="e">
        <f>WEEKDAY(D2050)</f>
        <v>#REF!</v>
      </c>
      <c r="G2050" s="142"/>
      <c r="H2050" s="111"/>
    </row>
    <row r="2051" spans="1:8" ht="15.75">
      <c r="A2051" s="80"/>
      <c r="B2051" s="81"/>
      <c r="C2051" s="81" t="s">
        <v>147</v>
      </c>
      <c r="D2051" s="145" t="e">
        <f>DMAX('17_1'!A$255:L$279,'17_1'!$L$255,G2044:G2045)</f>
        <v>#REF!</v>
      </c>
      <c r="E2051" s="189" t="e">
        <f>IF(F2051=1,"Domingo",IF(F2051=2,"Lunes",IF(F2051=3,"Martes",IF(F2051=4,"Miercoles",IF(F2051=5,"Jueves",IF(F2051=6,"Viernes",IF(F2051=7,"Sábado",0)))))))</f>
        <v>#REF!</v>
      </c>
      <c r="F2051" s="190" t="e">
        <f>WEEKDAY(D2051)</f>
        <v>#REF!</v>
      </c>
      <c r="G2051" s="142"/>
      <c r="H2051" s="111"/>
    </row>
    <row r="2052" spans="1:8">
      <c r="A2052" s="80"/>
      <c r="B2052" s="81"/>
      <c r="C2052" s="81"/>
      <c r="D2052" s="81"/>
      <c r="E2052" s="81"/>
      <c r="F2052" s="584"/>
      <c r="G2052" s="584"/>
      <c r="H2052" s="111"/>
    </row>
    <row r="2053" spans="1:8">
      <c r="A2053" s="80"/>
      <c r="B2053" s="146">
        <f>+Mensajes!$B$7</f>
        <v>0</v>
      </c>
      <c r="C2053" s="81"/>
      <c r="D2053" s="81"/>
      <c r="E2053" s="81"/>
      <c r="F2053" s="81"/>
      <c r="G2053" s="81"/>
      <c r="H2053" s="111"/>
    </row>
    <row r="2054" spans="1:8">
      <c r="A2054" s="80"/>
      <c r="B2054" s="146">
        <f>+Mensajes!$B$12</f>
        <v>0</v>
      </c>
      <c r="C2054" s="81"/>
      <c r="D2054" s="81"/>
      <c r="E2054" s="81"/>
      <c r="F2054" s="81"/>
      <c r="G2054" s="81"/>
      <c r="H2054" s="111"/>
    </row>
    <row r="2055" spans="1:8">
      <c r="A2055" s="80"/>
      <c r="B2055" s="146" t="str">
        <f>IF(VLOOKUP(G2045,'17_1'!$A$255:$N$279,14,0)=0,"",VLOOKUP(G2045,'17_1'!$A$255:$N$279,14,0))</f>
        <v/>
      </c>
      <c r="C2055" s="81"/>
      <c r="D2055" s="81"/>
      <c r="E2055" s="81"/>
      <c r="F2055" s="81"/>
      <c r="G2055" s="81"/>
      <c r="H2055" s="111"/>
    </row>
    <row r="2056" spans="1:8">
      <c r="A2056" s="140"/>
      <c r="B2056" s="188" t="e">
        <f>IF(DSUM('17_1'!$A$255:$Q$279,17,G2044:G2045)=COUNTIF('17_1'!$A$255:$A$279,G2045),"","Regularice su Deuda")</f>
        <v>#N/A</v>
      </c>
      <c r="C2056" s="82"/>
      <c r="D2056" s="82"/>
      <c r="E2056" s="82"/>
      <c r="F2056" s="82"/>
      <c r="G2056" s="82"/>
      <c r="H2056" s="83"/>
    </row>
    <row r="2058" spans="1:8">
      <c r="A2058" s="108"/>
      <c r="B2058" s="109"/>
      <c r="C2058" s="109"/>
      <c r="D2058" s="109"/>
      <c r="E2058" s="109"/>
      <c r="F2058" s="109"/>
      <c r="G2058" s="109"/>
      <c r="H2058" s="110"/>
    </row>
    <row r="2059" spans="1:8">
      <c r="A2059" s="80"/>
      <c r="B2059" s="147" t="s">
        <v>64</v>
      </c>
      <c r="C2059" s="81"/>
      <c r="D2059" s="81"/>
      <c r="E2059" s="81"/>
      <c r="F2059" s="81"/>
      <c r="G2059" s="81"/>
      <c r="H2059" s="111"/>
    </row>
    <row r="2060" spans="1:8">
      <c r="A2060" s="80"/>
      <c r="B2060" s="81"/>
      <c r="C2060" s="81"/>
      <c r="D2060" s="81"/>
      <c r="E2060" s="81"/>
      <c r="F2060" s="81"/>
      <c r="G2060" s="81"/>
      <c r="H2060" s="111"/>
    </row>
    <row r="2061" spans="1:8">
      <c r="A2061" s="80"/>
      <c r="B2061" s="81" t="s">
        <v>139</v>
      </c>
      <c r="C2061" s="81" t="str">
        <f>VLOOKUP(G2062,'17_1'!$A$255:$G$279,6,0)</f>
        <v>SABATTINI, JOSE ENRIQUE</v>
      </c>
      <c r="D2061" s="81"/>
      <c r="E2061" s="81"/>
      <c r="F2061" s="81"/>
      <c r="G2061" s="138" t="s">
        <v>102</v>
      </c>
      <c r="H2061" s="111"/>
    </row>
    <row r="2062" spans="1:8">
      <c r="A2062" s="80"/>
      <c r="B2062" s="81" t="s">
        <v>72</v>
      </c>
      <c r="C2062" s="81" t="str">
        <f>+'17_1'!$A$244</f>
        <v>Hijuela Gelvez - Salomón</v>
      </c>
      <c r="D2062" s="81"/>
      <c r="E2062" s="81"/>
      <c r="F2062" s="81"/>
      <c r="G2062" s="138">
        <v>21</v>
      </c>
      <c r="H2062" s="111"/>
    </row>
    <row r="2063" spans="1:8">
      <c r="A2063" s="80"/>
      <c r="B2063" s="81"/>
      <c r="C2063" s="81"/>
      <c r="D2063" s="81"/>
      <c r="E2063" s="81"/>
      <c r="F2063" s="81"/>
      <c r="G2063" s="81"/>
      <c r="H2063" s="111"/>
    </row>
    <row r="2064" spans="1:8">
      <c r="A2064" s="80"/>
      <c r="B2064" s="81" t="s">
        <v>140</v>
      </c>
      <c r="C2064" s="138">
        <f>VLOOKUP(G2062,'17_1'!$A$255:$B$279,2,0)</f>
        <v>1213</v>
      </c>
      <c r="D2064" s="81"/>
      <c r="E2064" s="139" t="s">
        <v>141</v>
      </c>
      <c r="F2064" s="141" t="e">
        <f>DSUM('17_1'!A$255:J$279,'17_1'!$J$255,G2061:G2062)</f>
        <v>#N/A</v>
      </c>
      <c r="G2064" s="81"/>
      <c r="H2064" s="111"/>
    </row>
    <row r="2065" spans="1:8">
      <c r="A2065" s="80"/>
      <c r="B2065" s="81" t="s">
        <v>142</v>
      </c>
      <c r="C2065" s="205">
        <v>269</v>
      </c>
      <c r="D2065" s="81"/>
      <c r="E2065" s="81"/>
      <c r="F2065" s="81"/>
      <c r="G2065" s="81"/>
      <c r="H2065" s="111"/>
    </row>
    <row r="2066" spans="1:8">
      <c r="A2066" s="80"/>
      <c r="B2066" s="81" t="s">
        <v>144</v>
      </c>
      <c r="C2066" s="206" t="e">
        <f>DSUM('17_1'!$A$255:$H$279,'17_1'!$H$255,G2061:G2062)</f>
        <v>#N/A</v>
      </c>
      <c r="D2066" s="81"/>
      <c r="E2066" s="81"/>
      <c r="F2066" s="584"/>
      <c r="G2066" s="584"/>
      <c r="H2066" s="111"/>
    </row>
    <row r="2067" spans="1:8" ht="15.75">
      <c r="A2067" s="80"/>
      <c r="B2067" s="81"/>
      <c r="C2067" s="81" t="s">
        <v>146</v>
      </c>
      <c r="D2067" s="145" t="e">
        <f>DMIN('17_1'!A$255:K$279,'17_1'!$K$255,G2061:G2062)</f>
        <v>#REF!</v>
      </c>
      <c r="E2067" s="189" t="e">
        <f>IF(F2067=1,"Domingo",IF(F2067=2,"Lunes",IF(F2067=3,"Martes",IF(F2067=4,"Miercoles",IF(F2067=5,"Jueves",IF(F2067=6,"Viernes",IF(F2067=7,"Sábado",0)))))))</f>
        <v>#REF!</v>
      </c>
      <c r="F2067" s="190" t="e">
        <f>WEEKDAY(D2067)</f>
        <v>#REF!</v>
      </c>
      <c r="G2067" s="142"/>
      <c r="H2067" s="111"/>
    </row>
    <row r="2068" spans="1:8" ht="15.75">
      <c r="A2068" s="80"/>
      <c r="B2068" s="81"/>
      <c r="C2068" s="81" t="s">
        <v>147</v>
      </c>
      <c r="D2068" s="145" t="e">
        <f>DMAX('17_1'!A$255:L$279,'17_1'!$L$255,G2061:G2062)</f>
        <v>#REF!</v>
      </c>
      <c r="E2068" s="189" t="e">
        <f>IF(F2068=1,"Domingo",IF(F2068=2,"Lunes",IF(F2068=3,"Martes",IF(F2068=4,"Miercoles",IF(F2068=5,"Jueves",IF(F2068=6,"Viernes",IF(F2068=7,"Sábado",0)))))))</f>
        <v>#REF!</v>
      </c>
      <c r="F2068" s="190" t="e">
        <f>WEEKDAY(D2068)</f>
        <v>#REF!</v>
      </c>
      <c r="G2068" s="142"/>
      <c r="H2068" s="111"/>
    </row>
    <row r="2069" spans="1:8">
      <c r="A2069" s="80"/>
      <c r="B2069" s="81"/>
      <c r="C2069" s="81"/>
      <c r="D2069" s="81"/>
      <c r="E2069" s="81"/>
      <c r="F2069" s="584"/>
      <c r="G2069" s="584"/>
      <c r="H2069" s="111"/>
    </row>
    <row r="2070" spans="1:8">
      <c r="A2070" s="80"/>
      <c r="B2070" s="146">
        <f>+Mensajes!$B$7</f>
        <v>0</v>
      </c>
      <c r="C2070" s="81"/>
      <c r="D2070" s="81"/>
      <c r="E2070" s="81"/>
      <c r="F2070" s="81"/>
      <c r="G2070" s="81"/>
      <c r="H2070" s="111"/>
    </row>
    <row r="2071" spans="1:8">
      <c r="A2071" s="80"/>
      <c r="B2071" s="146">
        <f>+Mensajes!$B$12</f>
        <v>0</v>
      </c>
      <c r="C2071" s="81"/>
      <c r="D2071" s="81"/>
      <c r="E2071" s="81"/>
      <c r="F2071" s="81"/>
      <c r="G2071" s="81"/>
      <c r="H2071" s="111"/>
    </row>
    <row r="2072" spans="1:8">
      <c r="A2072" s="80"/>
      <c r="B2072" s="146" t="str">
        <f>IF(VLOOKUP(G2062,'17_1'!$A$255:$N$279,14,0)=0,"",VLOOKUP(G2062,'17_1'!$A$255:$N$279,14,0))</f>
        <v/>
      </c>
      <c r="C2072" s="81"/>
      <c r="D2072" s="81"/>
      <c r="E2072" s="81"/>
      <c r="F2072" s="81"/>
      <c r="G2072" s="81"/>
      <c r="H2072" s="111"/>
    </row>
    <row r="2073" spans="1:8">
      <c r="A2073" s="140"/>
      <c r="B2073" s="188" t="e">
        <f>IF(DSUM('17_1'!$A$255:$Q$279,17,G2061:G2062)=COUNTIF('17_1'!$A$255:$A$279,G2062),"","Regularice su Deuda")</f>
        <v>#N/A</v>
      </c>
      <c r="C2073" s="82"/>
      <c r="D2073" s="82"/>
      <c r="E2073" s="82"/>
      <c r="F2073" s="82"/>
      <c r="G2073" s="82"/>
      <c r="H2073" s="83"/>
    </row>
    <row r="2075" spans="1:8">
      <c r="A2075" s="108"/>
      <c r="B2075" s="109"/>
      <c r="C2075" s="109"/>
      <c r="D2075" s="109"/>
      <c r="E2075" s="109"/>
      <c r="F2075" s="109"/>
      <c r="G2075" s="109"/>
      <c r="H2075" s="110"/>
    </row>
    <row r="2076" spans="1:8">
      <c r="A2076" s="80"/>
      <c r="B2076" s="147" t="s">
        <v>64</v>
      </c>
      <c r="C2076" s="81"/>
      <c r="D2076" s="81"/>
      <c r="E2076" s="81"/>
      <c r="F2076" s="81"/>
      <c r="G2076" s="81"/>
      <c r="H2076" s="111"/>
    </row>
    <row r="2077" spans="1:8">
      <c r="A2077" s="80"/>
      <c r="B2077" s="81"/>
      <c r="C2077" s="81"/>
      <c r="D2077" s="81"/>
      <c r="E2077" s="81"/>
      <c r="F2077" s="81"/>
      <c r="G2077" s="81"/>
      <c r="H2077" s="111"/>
    </row>
    <row r="2078" spans="1:8">
      <c r="A2078" s="80"/>
      <c r="B2078" s="81" t="s">
        <v>139</v>
      </c>
      <c r="C2078" s="81" t="str">
        <f>VLOOKUP(G2079,'17_1'!$A$255:$G$279,6,0)</f>
        <v>SABATTINI, JOSE ENRIQUE; VAZQUEZ, OSVALDO NOE FELIPE Y VAZQUEZ, BRIGIDA</v>
      </c>
      <c r="D2078" s="81"/>
      <c r="E2078" s="81"/>
      <c r="F2078" s="81"/>
      <c r="G2078" s="138" t="s">
        <v>102</v>
      </c>
      <c r="H2078" s="111"/>
    </row>
    <row r="2079" spans="1:8">
      <c r="A2079" s="80"/>
      <c r="B2079" s="81" t="s">
        <v>72</v>
      </c>
      <c r="C2079" s="81" t="str">
        <f>+'17_1'!$A$244</f>
        <v>Hijuela Gelvez - Salomón</v>
      </c>
      <c r="D2079" s="81"/>
      <c r="E2079" s="81"/>
      <c r="F2079" s="81"/>
      <c r="G2079" s="138">
        <v>22</v>
      </c>
      <c r="H2079" s="111"/>
    </row>
    <row r="2080" spans="1:8">
      <c r="A2080" s="80"/>
      <c r="B2080" s="81"/>
      <c r="C2080" s="81"/>
      <c r="D2080" s="81"/>
      <c r="E2080" s="81"/>
      <c r="F2080" s="81"/>
      <c r="G2080" s="81"/>
      <c r="H2080" s="111"/>
    </row>
    <row r="2081" spans="1:8">
      <c r="A2081" s="80"/>
      <c r="B2081" s="81" t="s">
        <v>140</v>
      </c>
      <c r="C2081" s="138">
        <f>VLOOKUP(G2079,'17_1'!$A$255:$B$279,2,0)</f>
        <v>1213</v>
      </c>
      <c r="D2081" s="81"/>
      <c r="E2081" s="139" t="s">
        <v>141</v>
      </c>
      <c r="F2081" s="141" t="e">
        <f>DSUM('17_1'!A$255:J$279,'17_1'!$J$255,G2078:G2079)</f>
        <v>#N/A</v>
      </c>
      <c r="G2081" s="81"/>
      <c r="H2081" s="111"/>
    </row>
    <row r="2082" spans="1:8">
      <c r="A2082" s="80"/>
      <c r="B2082" s="81" t="s">
        <v>142</v>
      </c>
      <c r="C2082" s="205">
        <v>269</v>
      </c>
      <c r="D2082" s="81"/>
      <c r="E2082" s="81"/>
      <c r="F2082" s="81"/>
      <c r="G2082" s="81"/>
      <c r="H2082" s="111"/>
    </row>
    <row r="2083" spans="1:8">
      <c r="A2083" s="80"/>
      <c r="B2083" s="81" t="s">
        <v>144</v>
      </c>
      <c r="C2083" s="206">
        <f>DSUM('17_1'!$A$255:$H$279,'17_1'!$H$255,G2078:G2079)</f>
        <v>1.0485</v>
      </c>
      <c r="D2083" s="81"/>
      <c r="E2083" s="81"/>
      <c r="F2083" s="584"/>
      <c r="G2083" s="584"/>
      <c r="H2083" s="111"/>
    </row>
    <row r="2084" spans="1:8" ht="15.75">
      <c r="A2084" s="80"/>
      <c r="B2084" s="81"/>
      <c r="C2084" s="81" t="s">
        <v>146</v>
      </c>
      <c r="D2084" s="145" t="e">
        <f>DMIN('17_1'!A$255:K$279,'17_1'!$K$255,G2078:G2079)</f>
        <v>#REF!</v>
      </c>
      <c r="E2084" s="189" t="e">
        <f>IF(F2084=1,"Domingo",IF(F2084=2,"Lunes",IF(F2084=3,"Martes",IF(F2084=4,"Miercoles",IF(F2084=5,"Jueves",IF(F2084=6,"Viernes",IF(F2084=7,"Sábado",0)))))))</f>
        <v>#REF!</v>
      </c>
      <c r="F2084" s="190" t="e">
        <f>WEEKDAY(D2084)</f>
        <v>#REF!</v>
      </c>
      <c r="G2084" s="142"/>
      <c r="H2084" s="111"/>
    </row>
    <row r="2085" spans="1:8" ht="15.75">
      <c r="A2085" s="80"/>
      <c r="B2085" s="81"/>
      <c r="C2085" s="81" t="s">
        <v>147</v>
      </c>
      <c r="D2085" s="145" t="e">
        <f>DMAX('17_1'!A$255:L$279,'17_1'!$L$255,G2078:G2079)</f>
        <v>#REF!</v>
      </c>
      <c r="E2085" s="189" t="e">
        <f>IF(F2085=1,"Domingo",IF(F2085=2,"Lunes",IF(F2085=3,"Martes",IF(F2085=4,"Miercoles",IF(F2085=5,"Jueves",IF(F2085=6,"Viernes",IF(F2085=7,"Sábado",0)))))))</f>
        <v>#REF!</v>
      </c>
      <c r="F2085" s="190" t="e">
        <f>WEEKDAY(D2085)</f>
        <v>#REF!</v>
      </c>
      <c r="G2085" s="142"/>
      <c r="H2085" s="111"/>
    </row>
    <row r="2086" spans="1:8">
      <c r="A2086" s="80"/>
      <c r="B2086" s="81"/>
      <c r="C2086" s="81"/>
      <c r="D2086" s="81"/>
      <c r="E2086" s="81"/>
      <c r="F2086" s="584"/>
      <c r="G2086" s="584"/>
      <c r="H2086" s="111"/>
    </row>
    <row r="2087" spans="1:8">
      <c r="A2087" s="80"/>
      <c r="B2087" s="146">
        <f>+Mensajes!$B$7</f>
        <v>0</v>
      </c>
      <c r="C2087" s="81"/>
      <c r="D2087" s="81"/>
      <c r="E2087" s="81"/>
      <c r="F2087" s="81"/>
      <c r="G2087" s="81"/>
      <c r="H2087" s="111"/>
    </row>
    <row r="2088" spans="1:8">
      <c r="A2088" s="80"/>
      <c r="B2088" s="146">
        <f>+Mensajes!$B$12</f>
        <v>0</v>
      </c>
      <c r="C2088" s="81"/>
      <c r="D2088" s="81"/>
      <c r="E2088" s="81"/>
      <c r="F2088" s="81"/>
      <c r="G2088" s="81"/>
      <c r="H2088" s="111"/>
    </row>
    <row r="2089" spans="1:8">
      <c r="A2089" s="80"/>
      <c r="B2089" s="146" t="str">
        <f>IF(VLOOKUP(G2079,'17_1'!$A$255:$N$279,14,0)=0,"",VLOOKUP(G2079,'17_1'!$A$255:$N$279,14,0))</f>
        <v/>
      </c>
      <c r="C2089" s="81"/>
      <c r="D2089" s="81"/>
      <c r="E2089" s="81"/>
      <c r="F2089" s="81"/>
      <c r="G2089" s="81"/>
      <c r="H2089" s="111"/>
    </row>
    <row r="2090" spans="1:8">
      <c r="A2090" s="140"/>
      <c r="B2090" s="188" t="str">
        <f>IF(DSUM('17_1'!$A$255:$Q$279,17,G2078:G2079)=COUNTIF('17_1'!$A$255:$A$279,G2079),"","Regularice su Deuda")</f>
        <v/>
      </c>
      <c r="C2090" s="82"/>
      <c r="D2090" s="82"/>
      <c r="E2090" s="82"/>
      <c r="F2090" s="82"/>
      <c r="G2090" s="82"/>
      <c r="H2090" s="83"/>
    </row>
  </sheetData>
  <phoneticPr fontId="0" type="noConversion"/>
  <pageMargins left="0.56999999999999995" right="0.55000000000000004" top="0.17" bottom="0.18" header="0" footer="0"/>
  <pageSetup scale="86" orientation="portrait" verticalDpi="200" r:id="rId1"/>
  <headerFooter alignWithMargins="0"/>
  <rowBreaks count="29" manualBreakCount="29">
    <brk id="67" max="7" man="1"/>
    <brk id="204" max="7" man="1"/>
    <brk id="272" max="7" man="1"/>
    <brk id="340" max="7" man="1"/>
    <brk id="408" max="7" man="1"/>
    <brk id="476" max="7" man="1"/>
    <brk id="544" max="7" man="1"/>
    <brk id="612" max="7" man="1"/>
    <brk id="680" max="7" man="1"/>
    <brk id="748" max="7" man="1"/>
    <brk id="816" max="7" man="1"/>
    <brk id="884" max="7" man="1"/>
    <brk id="952" max="7" man="1"/>
    <brk id="1020" max="7" man="1"/>
    <brk id="1088" max="7" man="1"/>
    <brk id="1156" max="7" man="1"/>
    <brk id="1224" max="7" man="1"/>
    <brk id="1292" max="7" man="1"/>
    <brk id="1360" max="7" man="1"/>
    <brk id="1428" max="7" man="1"/>
    <brk id="1496" max="7" man="1"/>
    <brk id="1564" max="7" man="1"/>
    <brk id="1632" max="7" man="1"/>
    <brk id="1700" max="7" man="1"/>
    <brk id="1768" max="7" man="1"/>
    <brk id="1836" max="7" man="1"/>
    <brk id="1904" max="7" man="1"/>
    <brk id="1972" max="7" man="1"/>
    <brk id="2040" max="7" man="1"/>
  </rowBreaks>
  <colBreaks count="1" manualBreakCount="1">
    <brk id="8" max="1048575" man="1"/>
  </colBreaks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23"/>
  <dimension ref="A2:U309"/>
  <sheetViews>
    <sheetView zoomScale="75" zoomScaleNormal="100" zoomScaleSheetLayoutView="85" workbookViewId="0" xr3:uid="{FA9D0CF8-F9BB-5117-B023-E36B10EBCA76}">
      <selection activeCell="A309" sqref="A309"/>
    </sheetView>
  </sheetViews>
  <sheetFormatPr defaultColWidth="11.42578125" defaultRowHeight="12.75"/>
  <cols>
    <col min="1" max="1" width="8.42578125" customWidth="1"/>
    <col min="2" max="2" width="20" customWidth="1"/>
    <col min="3" max="3" width="7.7109375" customWidth="1"/>
    <col min="4" max="4" width="11.140625" customWidth="1"/>
    <col min="5" max="5" width="15.140625" customWidth="1"/>
    <col min="6" max="6" width="26.7109375" customWidth="1"/>
    <col min="7" max="7" width="14.28515625" customWidth="1"/>
    <col min="8" max="8" width="14.140625" bestFit="1" customWidth="1"/>
    <col min="9" max="9" width="9.140625" bestFit="1" customWidth="1"/>
    <col min="10" max="10" width="15.28515625" bestFit="1" customWidth="1"/>
    <col min="11" max="11" width="15.42578125" bestFit="1" customWidth="1"/>
    <col min="12" max="12" width="17.5703125" bestFit="1" customWidth="1"/>
    <col min="13" max="13" width="20.7109375" bestFit="1" customWidth="1"/>
    <col min="14" max="14" width="23.28515625" customWidth="1"/>
    <col min="15" max="15" width="24" customWidth="1"/>
    <col min="17" max="17" width="12.140625" bestFit="1" customWidth="1"/>
  </cols>
  <sheetData>
    <row r="2" spans="1:21" ht="15.75">
      <c r="C2" s="1" t="s">
        <v>187</v>
      </c>
      <c r="G2" s="242" t="s">
        <v>554</v>
      </c>
    </row>
    <row r="4" spans="1:21" ht="13.5" thickBot="1"/>
    <row r="5" spans="1:21">
      <c r="A5" s="688" t="s">
        <v>92</v>
      </c>
      <c r="B5" s="689"/>
      <c r="C5" s="690" t="e">
        <f>+Hijuelas!#REF!</f>
        <v>#REF!</v>
      </c>
      <c r="D5" s="691"/>
      <c r="E5" s="3"/>
      <c r="F5" s="3"/>
      <c r="G5" s="24" t="s">
        <v>93</v>
      </c>
      <c r="H5" s="170">
        <f>+Hijuelas!G6</f>
        <v>3.9895833333333335</v>
      </c>
    </row>
    <row r="6" spans="1:21" ht="13.5" thickBot="1">
      <c r="A6" s="692" t="s">
        <v>94</v>
      </c>
      <c r="B6" s="693"/>
      <c r="C6" s="694" t="e">
        <f>+K20</f>
        <v>#REF!</v>
      </c>
      <c r="D6" s="695"/>
      <c r="E6" s="124">
        <v>38506.125</v>
      </c>
      <c r="F6" s="3"/>
      <c r="G6" s="26" t="s">
        <v>95</v>
      </c>
      <c r="H6" s="171">
        <v>8.3333333333333329E-2</v>
      </c>
      <c r="I6" s="3"/>
      <c r="K6" s="635"/>
    </row>
    <row r="7" spans="1:21" ht="13.5" thickBot="1">
      <c r="G7" s="132" t="s">
        <v>555</v>
      </c>
      <c r="H7" s="172">
        <v>0.14583333333333334</v>
      </c>
    </row>
    <row r="9" spans="1:21">
      <c r="A9" s="696" t="s">
        <v>97</v>
      </c>
      <c r="B9" s="696"/>
      <c r="C9" s="168">
        <f>H5-(H6+H7)</f>
        <v>3.760416666666667</v>
      </c>
      <c r="D9" s="558" t="s">
        <v>98</v>
      </c>
      <c r="E9" s="169">
        <f>+C9*60</f>
        <v>225.62500000000003</v>
      </c>
      <c r="F9" s="558" t="s">
        <v>99</v>
      </c>
      <c r="G9" s="12" t="e">
        <f>+E21</f>
        <v>#N/A</v>
      </c>
      <c r="H9" s="558" t="s">
        <v>100</v>
      </c>
      <c r="I9" s="168" t="e">
        <f>IF(G9=0,0,E9/G9)</f>
        <v>#N/A</v>
      </c>
    </row>
    <row r="10" spans="1:21">
      <c r="R10" s="10"/>
      <c r="S10" s="10"/>
      <c r="T10" s="10"/>
      <c r="U10" s="10"/>
    </row>
    <row r="11" spans="1:21" ht="13.5" thickBot="1">
      <c r="R11" s="10"/>
      <c r="S11" s="10"/>
      <c r="T11" s="10"/>
      <c r="U11" s="10"/>
    </row>
    <row r="12" spans="1:21" ht="13.5" thickBot="1">
      <c r="A12" s="22" t="s">
        <v>102</v>
      </c>
      <c r="B12" s="208" t="s">
        <v>32</v>
      </c>
      <c r="C12" s="129" t="s">
        <v>106</v>
      </c>
      <c r="D12" s="129" t="s">
        <v>153</v>
      </c>
      <c r="E12" s="559" t="s">
        <v>79</v>
      </c>
      <c r="F12" s="129" t="s">
        <v>214</v>
      </c>
      <c r="G12" s="196" t="s">
        <v>110</v>
      </c>
      <c r="H12" s="236" t="s">
        <v>404</v>
      </c>
      <c r="I12" s="237" t="s">
        <v>405</v>
      </c>
      <c r="J12" s="197" t="s">
        <v>156</v>
      </c>
      <c r="K12" s="130" t="s">
        <v>157</v>
      </c>
      <c r="L12" s="10"/>
      <c r="M12" s="10"/>
      <c r="N12" s="13"/>
      <c r="O12" s="10"/>
      <c r="P12" s="10"/>
      <c r="Q12" s="10"/>
      <c r="R12" s="10"/>
      <c r="S12" s="10"/>
      <c r="T12" s="10"/>
    </row>
    <row r="13" spans="1:21">
      <c r="A13" s="34">
        <v>1</v>
      </c>
      <c r="B13" s="176" t="s">
        <v>556</v>
      </c>
      <c r="C13" s="37">
        <f>D53</f>
        <v>222.94589999999999</v>
      </c>
      <c r="D13" s="37" t="e">
        <f>E53</f>
        <v>#N/A</v>
      </c>
      <c r="E13" s="638" t="e">
        <f>+G53</f>
        <v>#N/A</v>
      </c>
      <c r="F13" s="639" t="e">
        <f>+E13*$I$9</f>
        <v>#N/A</v>
      </c>
      <c r="G13" s="640" t="e">
        <f>+F13/60</f>
        <v>#N/A</v>
      </c>
      <c r="H13" s="248">
        <v>8.3333333333333329E-2</v>
      </c>
      <c r="I13" s="204">
        <v>4.1666666666666664E-2</v>
      </c>
      <c r="J13" s="249" t="e">
        <f>+C5+H6</f>
        <v>#REF!</v>
      </c>
      <c r="K13" s="250" t="e">
        <f t="shared" ref="K13:K20" si="0">+J13+G13</f>
        <v>#REF!</v>
      </c>
      <c r="L13" s="10"/>
      <c r="M13" s="10"/>
      <c r="N13" s="10"/>
      <c r="O13" s="10"/>
      <c r="P13" s="10"/>
      <c r="Q13" s="13"/>
      <c r="R13" s="13"/>
      <c r="S13" s="13"/>
      <c r="T13" s="195"/>
    </row>
    <row r="14" spans="1:21">
      <c r="A14" s="35">
        <v>1</v>
      </c>
      <c r="B14" s="177" t="s">
        <v>557</v>
      </c>
      <c r="C14" s="9">
        <f>D157</f>
        <v>32.835420000000006</v>
      </c>
      <c r="D14" s="9" t="e">
        <f>E157</f>
        <v>#N/A</v>
      </c>
      <c r="E14" s="636" t="e">
        <f>+G157</f>
        <v>#N/A</v>
      </c>
      <c r="F14" s="620" t="e">
        <f t="shared" ref="F14:F20" si="1">+E14*$I$9</f>
        <v>#N/A</v>
      </c>
      <c r="G14" s="618" t="e">
        <f t="shared" ref="G14:G20" si="2">+F14/60</f>
        <v>#N/A</v>
      </c>
      <c r="H14" s="246">
        <v>0</v>
      </c>
      <c r="I14" s="198">
        <v>4.1666666666666664E-2</v>
      </c>
      <c r="J14" s="244" t="e">
        <f t="shared" ref="J14:J20" si="3">+J13</f>
        <v>#REF!</v>
      </c>
      <c r="K14" s="214" t="e">
        <f>+C127</f>
        <v>#REF!</v>
      </c>
      <c r="L14" s="10"/>
      <c r="M14" s="10"/>
      <c r="N14" s="10"/>
      <c r="O14" s="10"/>
      <c r="P14" s="10"/>
      <c r="Q14" s="13"/>
      <c r="R14" s="13"/>
      <c r="S14" s="13"/>
      <c r="T14" s="195"/>
    </row>
    <row r="15" spans="1:21">
      <c r="A15" s="35">
        <v>1</v>
      </c>
      <c r="B15" s="177" t="s">
        <v>558</v>
      </c>
      <c r="C15" s="9">
        <f>D187</f>
        <v>35.1355</v>
      </c>
      <c r="D15" s="9" t="e">
        <f>E187</f>
        <v>#N/A</v>
      </c>
      <c r="E15" s="636" t="e">
        <f>+G187</f>
        <v>#N/A</v>
      </c>
      <c r="F15" s="620" t="e">
        <f t="shared" si="1"/>
        <v>#N/A</v>
      </c>
      <c r="G15" s="618" t="e">
        <f t="shared" si="2"/>
        <v>#N/A</v>
      </c>
      <c r="H15" s="246">
        <v>0</v>
      </c>
      <c r="I15" s="198">
        <v>4.1666666666666664E-2</v>
      </c>
      <c r="J15" s="244" t="e">
        <f t="shared" si="3"/>
        <v>#REF!</v>
      </c>
      <c r="K15" s="214" t="e">
        <f t="shared" si="0"/>
        <v>#REF!</v>
      </c>
      <c r="L15" s="10"/>
      <c r="M15" s="10"/>
      <c r="N15" s="10"/>
      <c r="O15" s="10"/>
      <c r="P15" s="10"/>
      <c r="Q15" s="13"/>
      <c r="R15" s="13"/>
      <c r="S15" s="13"/>
      <c r="T15" s="195"/>
    </row>
    <row r="16" spans="1:21">
      <c r="A16" s="35">
        <v>2</v>
      </c>
      <c r="B16" s="177" t="s">
        <v>559</v>
      </c>
      <c r="C16" s="9">
        <f>D223</f>
        <v>71.354199999999992</v>
      </c>
      <c r="D16" s="9">
        <f>E223</f>
        <v>71.354199999999992</v>
      </c>
      <c r="E16" s="636" t="e">
        <f>+G223</f>
        <v>#N/A</v>
      </c>
      <c r="F16" s="620" t="e">
        <f t="shared" si="1"/>
        <v>#N/A</v>
      </c>
      <c r="G16" s="618" t="e">
        <f t="shared" si="2"/>
        <v>#N/A</v>
      </c>
      <c r="H16" s="246">
        <v>0</v>
      </c>
      <c r="I16" s="198">
        <v>4.1666666666666664E-2</v>
      </c>
      <c r="J16" s="244" t="e">
        <f t="shared" si="3"/>
        <v>#REF!</v>
      </c>
      <c r="K16" s="214" t="e">
        <f t="shared" si="0"/>
        <v>#REF!</v>
      </c>
      <c r="L16" s="10"/>
      <c r="M16" s="10"/>
      <c r="N16" s="10"/>
      <c r="O16" s="10"/>
      <c r="P16" s="10"/>
      <c r="Q16" s="13"/>
      <c r="R16" s="13"/>
      <c r="S16" s="13"/>
      <c r="T16" s="195"/>
    </row>
    <row r="17" spans="1:21">
      <c r="A17" s="35">
        <v>2</v>
      </c>
      <c r="B17" s="177" t="s">
        <v>560</v>
      </c>
      <c r="C17" s="9">
        <f>D258</f>
        <v>46.549399999999991</v>
      </c>
      <c r="D17" s="9" t="e">
        <f>E258</f>
        <v>#N/A</v>
      </c>
      <c r="E17" s="636" t="e">
        <f>+G258</f>
        <v>#N/A</v>
      </c>
      <c r="F17" s="620" t="e">
        <f t="shared" si="1"/>
        <v>#N/A</v>
      </c>
      <c r="G17" s="618" t="e">
        <f t="shared" si="2"/>
        <v>#N/A</v>
      </c>
      <c r="H17" s="246">
        <v>0</v>
      </c>
      <c r="I17" s="198">
        <v>4.1666666666666664E-2</v>
      </c>
      <c r="J17" s="244" t="e">
        <f t="shared" si="3"/>
        <v>#REF!</v>
      </c>
      <c r="K17" s="214" t="e">
        <f t="shared" si="0"/>
        <v>#REF!</v>
      </c>
      <c r="L17" s="10"/>
      <c r="M17" s="10"/>
      <c r="N17" s="10"/>
      <c r="O17" s="10"/>
      <c r="P17" s="10"/>
      <c r="Q17" s="13"/>
      <c r="R17" s="13"/>
      <c r="S17" s="13"/>
      <c r="T17" s="195"/>
    </row>
    <row r="18" spans="1:21">
      <c r="A18" s="35">
        <v>2</v>
      </c>
      <c r="B18" s="177" t="s">
        <v>561</v>
      </c>
      <c r="C18" s="9">
        <f>D286</f>
        <v>29.380200000000002</v>
      </c>
      <c r="D18" s="9">
        <f>E286</f>
        <v>29.380200000000002</v>
      </c>
      <c r="E18" s="636">
        <f>+G286</f>
        <v>18.683300000000003</v>
      </c>
      <c r="F18" s="620" t="e">
        <f t="shared" si="1"/>
        <v>#N/A</v>
      </c>
      <c r="G18" s="618" t="e">
        <f t="shared" si="2"/>
        <v>#N/A</v>
      </c>
      <c r="H18" s="246">
        <v>0</v>
      </c>
      <c r="I18" s="198">
        <v>4.1666666666666664E-2</v>
      </c>
      <c r="J18" s="244" t="e">
        <f t="shared" si="3"/>
        <v>#REF!</v>
      </c>
      <c r="K18" s="214" t="e">
        <f t="shared" si="0"/>
        <v>#REF!</v>
      </c>
      <c r="L18" s="10"/>
      <c r="M18" s="10"/>
      <c r="N18" s="10"/>
      <c r="O18" s="10"/>
      <c r="P18" s="10"/>
      <c r="Q18" s="13"/>
      <c r="R18" s="13"/>
      <c r="S18" s="13"/>
      <c r="T18" s="195"/>
    </row>
    <row r="19" spans="1:21">
      <c r="A19" s="35">
        <v>3</v>
      </c>
      <c r="B19" s="177" t="s">
        <v>562</v>
      </c>
      <c r="C19" s="9">
        <f>D82</f>
        <v>42.299600000000005</v>
      </c>
      <c r="D19" s="9" t="e">
        <f>E82</f>
        <v>#N/A</v>
      </c>
      <c r="E19" s="636" t="e">
        <f>+G82</f>
        <v>#N/A</v>
      </c>
      <c r="F19" s="620" t="e">
        <f t="shared" si="1"/>
        <v>#N/A</v>
      </c>
      <c r="G19" s="618" t="e">
        <f t="shared" si="2"/>
        <v>#N/A</v>
      </c>
      <c r="H19" s="246">
        <v>0</v>
      </c>
      <c r="I19" s="198">
        <v>4.1666666666666664E-2</v>
      </c>
      <c r="J19" s="244" t="e">
        <f t="shared" si="3"/>
        <v>#REF!</v>
      </c>
      <c r="K19" s="214" t="e">
        <f t="shared" si="0"/>
        <v>#REF!</v>
      </c>
      <c r="L19" s="10"/>
      <c r="M19" s="10"/>
      <c r="N19" s="10"/>
      <c r="O19" s="10"/>
      <c r="P19" s="10"/>
      <c r="Q19" s="13"/>
      <c r="R19" s="13"/>
      <c r="S19" s="13"/>
      <c r="T19" s="195"/>
    </row>
    <row r="20" spans="1:21" ht="13.5" thickBot="1">
      <c r="A20" s="36">
        <v>4</v>
      </c>
      <c r="B20" s="178" t="s">
        <v>563</v>
      </c>
      <c r="C20" s="40">
        <f>D117</f>
        <v>77.258499999999998</v>
      </c>
      <c r="D20" s="40" t="e">
        <f>E117</f>
        <v>#N/A</v>
      </c>
      <c r="E20" s="637" t="e">
        <f>+G117</f>
        <v>#N/A</v>
      </c>
      <c r="F20" s="630" t="e">
        <f t="shared" si="1"/>
        <v>#N/A</v>
      </c>
      <c r="G20" s="621" t="e">
        <f t="shared" si="2"/>
        <v>#N/A</v>
      </c>
      <c r="H20" s="251">
        <v>0</v>
      </c>
      <c r="I20" s="199">
        <v>2.0833333333333332E-2</v>
      </c>
      <c r="J20" s="245" t="e">
        <f t="shared" si="3"/>
        <v>#REF!</v>
      </c>
      <c r="K20" s="215" t="e">
        <f t="shared" si="0"/>
        <v>#REF!</v>
      </c>
      <c r="L20" s="10"/>
      <c r="M20" s="10"/>
      <c r="N20" s="10"/>
      <c r="O20" s="10"/>
      <c r="P20" s="10"/>
      <c r="Q20" s="13"/>
      <c r="R20" s="13"/>
      <c r="S20" s="13"/>
      <c r="T20" s="195"/>
    </row>
    <row r="21" spans="1:21">
      <c r="C21" s="15">
        <f>SUM(C13:C20)</f>
        <v>557.75871999999993</v>
      </c>
      <c r="D21" s="216" t="e">
        <f>SUM(D13:D20)</f>
        <v>#N/A</v>
      </c>
      <c r="E21" s="15" t="e">
        <f>SUM(E13:E20)</f>
        <v>#N/A</v>
      </c>
      <c r="F21" s="247" t="e">
        <f>SUM(F13:F20)</f>
        <v>#N/A</v>
      </c>
      <c r="G21" s="156" t="e">
        <f>SUM(G13:G20)</f>
        <v>#N/A</v>
      </c>
      <c r="H21" s="252">
        <f>+SUM(H13:H20)</f>
        <v>8.3333333333333329E-2</v>
      </c>
      <c r="I21" s="252">
        <f>+SUM(I13:I20)</f>
        <v>0.31249999999999994</v>
      </c>
      <c r="Q21" s="10"/>
      <c r="R21" s="10"/>
      <c r="S21" s="10"/>
      <c r="T21" s="10"/>
    </row>
    <row r="22" spans="1:21">
      <c r="R22" s="10"/>
      <c r="S22" s="10"/>
      <c r="T22" s="10"/>
      <c r="U22" s="10"/>
    </row>
    <row r="23" spans="1:21">
      <c r="G23" s="72"/>
    </row>
    <row r="24" spans="1:21">
      <c r="G24" s="72"/>
      <c r="H24" s="72"/>
    </row>
    <row r="25" spans="1:21" ht="24" customHeight="1">
      <c r="G25" s="72"/>
    </row>
    <row r="26" spans="1:21" ht="10.5" customHeight="1">
      <c r="A26" s="47" t="s">
        <v>564</v>
      </c>
    </row>
    <row r="27" spans="1:21" ht="10.5" customHeight="1"/>
    <row r="28" spans="1:21">
      <c r="C28" s="1" t="s">
        <v>565</v>
      </c>
    </row>
    <row r="30" spans="1:21" ht="13.5" thickBot="1"/>
    <row r="31" spans="1:21">
      <c r="A31" s="688" t="s">
        <v>92</v>
      </c>
      <c r="B31" s="689"/>
      <c r="C31" s="690" t="e">
        <f>+C5</f>
        <v>#REF!</v>
      </c>
      <c r="D31" s="691"/>
      <c r="E31" s="3"/>
      <c r="F31" s="3"/>
      <c r="G31" s="24" t="s">
        <v>93</v>
      </c>
      <c r="H31" s="200">
        <f>+H5</f>
        <v>3.9895833333333335</v>
      </c>
    </row>
    <row r="32" spans="1:21" ht="13.5" thickBot="1">
      <c r="A32" s="692" t="s">
        <v>94</v>
      </c>
      <c r="B32" s="693"/>
      <c r="C32" s="694" t="e">
        <f>+K39</f>
        <v>#REF!</v>
      </c>
      <c r="D32" s="695"/>
      <c r="E32" s="3"/>
      <c r="F32" s="3"/>
      <c r="G32" s="26" t="s">
        <v>95</v>
      </c>
      <c r="H32" s="171">
        <v>0</v>
      </c>
      <c r="I32" s="3"/>
      <c r="K32" s="635"/>
    </row>
    <row r="33" spans="1:20" ht="13.5" thickBot="1">
      <c r="G33" s="132" t="s">
        <v>96</v>
      </c>
      <c r="H33" s="172">
        <v>0</v>
      </c>
    </row>
    <row r="35" spans="1:20">
      <c r="A35" s="696" t="s">
        <v>97</v>
      </c>
      <c r="B35" s="696"/>
      <c r="C35" s="168" t="e">
        <f>+G13</f>
        <v>#N/A</v>
      </c>
      <c r="D35" s="558" t="s">
        <v>98</v>
      </c>
      <c r="E35" s="169" t="e">
        <f>+C35*60</f>
        <v>#N/A</v>
      </c>
      <c r="F35" s="558" t="s">
        <v>99</v>
      </c>
      <c r="G35" s="173" t="e">
        <f>+G53</f>
        <v>#N/A</v>
      </c>
      <c r="H35" s="558" t="s">
        <v>100</v>
      </c>
      <c r="I35" s="168" t="e">
        <f>+E35/G35</f>
        <v>#N/A</v>
      </c>
    </row>
    <row r="37" spans="1:20" ht="13.5" thickBot="1"/>
    <row r="38" spans="1:20" s="391" customFormat="1" ht="12" thickBot="1">
      <c r="A38" s="388" t="s">
        <v>102</v>
      </c>
      <c r="B38" s="389" t="s">
        <v>566</v>
      </c>
      <c r="C38" s="389" t="s">
        <v>104</v>
      </c>
      <c r="D38" s="390" t="s">
        <v>567</v>
      </c>
      <c r="E38" s="390" t="s">
        <v>568</v>
      </c>
      <c r="F38" s="389" t="s">
        <v>569</v>
      </c>
      <c r="G38" s="389" t="s">
        <v>570</v>
      </c>
      <c r="H38" s="385" t="s">
        <v>304</v>
      </c>
      <c r="I38" s="385" t="s">
        <v>110</v>
      </c>
      <c r="J38" s="385" t="s">
        <v>156</v>
      </c>
      <c r="K38" s="385" t="s">
        <v>157</v>
      </c>
      <c r="L38" s="385" t="s">
        <v>114</v>
      </c>
      <c r="M38" s="386" t="s">
        <v>158</v>
      </c>
      <c r="N38" s="385" t="s">
        <v>116</v>
      </c>
      <c r="O38" s="385" t="s">
        <v>117</v>
      </c>
      <c r="P38" s="385" t="s">
        <v>118</v>
      </c>
      <c r="Q38" s="385" t="s">
        <v>119</v>
      </c>
      <c r="R38" s="385" t="s">
        <v>120</v>
      </c>
      <c r="S38" s="385" t="s">
        <v>121</v>
      </c>
      <c r="T38" s="387" t="s">
        <v>122</v>
      </c>
    </row>
    <row r="39" spans="1:20" ht="13.5" thickTop="1">
      <c r="A39" s="133">
        <v>7</v>
      </c>
      <c r="B39" s="52">
        <v>1214</v>
      </c>
      <c r="C39" s="52">
        <v>207</v>
      </c>
      <c r="D39" s="44">
        <v>2.2414000000000001</v>
      </c>
      <c r="E39" s="44">
        <f>IF((VLOOKUP(O39,deuda!A$1:H$550,4,0))=1,D39,0)</f>
        <v>2.2414000000000001</v>
      </c>
      <c r="F39" s="52" t="s">
        <v>571</v>
      </c>
      <c r="G39" s="103">
        <f>E39</f>
        <v>2.2414000000000001</v>
      </c>
      <c r="H39" s="629" t="e">
        <f t="shared" ref="H39:H52" si="4">G39*$I$35</f>
        <v>#N/A</v>
      </c>
      <c r="I39" s="580" t="e">
        <f t="shared" ref="I39:I52" si="5">+H39/60</f>
        <v>#N/A</v>
      </c>
      <c r="J39" s="125" t="e">
        <f t="shared" ref="J39:J50" si="6">+K40</f>
        <v>#REF!</v>
      </c>
      <c r="K39" s="174" t="e">
        <f t="shared" ref="K39:K51" si="7">+J39+I39</f>
        <v>#REF!</v>
      </c>
      <c r="L39" s="52"/>
      <c r="M39" s="52"/>
      <c r="N39" s="52"/>
      <c r="O39" s="52" t="str">
        <f t="shared" ref="O39:O52" si="8">+CONCATENATE(B39,C39)</f>
        <v>1214207</v>
      </c>
      <c r="P39" s="150">
        <f>VLOOKUP(O39,deuda!A$1:H$550,4,0)</f>
        <v>1</v>
      </c>
      <c r="Q39" s="150">
        <f>VLOOKUP(O39,deuda!A$1:H$550,5,0)</f>
        <v>0</v>
      </c>
      <c r="R39" s="150">
        <f>IF(VLOOKUP(O39,deuda!A$1:H$550,6,0)=0,"",VLOOKUP(O39,deuda!A$1:H$550,6,0))</f>
        <v>2051.7399999999998</v>
      </c>
      <c r="S39" s="151" t="str">
        <f>IF((VLOOKUP(O39,deuda!A$1:H$550,7,0))=0,"",VLOOKUP(O39,deuda!A$1:H$550,7,0))</f>
        <v/>
      </c>
      <c r="T39" s="152" t="str">
        <f>IF((VLOOKUP(O39,deuda!A$1:H$550,8,0))=0,"",VLOOKUP(O39,deuda!A$1:H$550,8,0))</f>
        <v/>
      </c>
    </row>
    <row r="40" spans="1:20">
      <c r="A40" s="26">
        <v>6</v>
      </c>
      <c r="B40" s="5">
        <v>1214</v>
      </c>
      <c r="C40" s="5">
        <v>155</v>
      </c>
      <c r="D40" s="21">
        <v>0.25</v>
      </c>
      <c r="E40" s="21">
        <f>IF((VLOOKUP(O40,deuda!A$1:H$550,4,0))=1,D40,0)</f>
        <v>0.25</v>
      </c>
      <c r="F40" s="5" t="s">
        <v>572</v>
      </c>
      <c r="G40" s="9">
        <v>0</v>
      </c>
      <c r="H40" s="620" t="e">
        <f t="shared" si="4"/>
        <v>#N/A</v>
      </c>
      <c r="I40" s="618" t="e">
        <f t="shared" si="5"/>
        <v>#N/A</v>
      </c>
      <c r="J40" s="125" t="e">
        <f t="shared" si="6"/>
        <v>#REF!</v>
      </c>
      <c r="K40" s="125" t="e">
        <f t="shared" si="7"/>
        <v>#REF!</v>
      </c>
      <c r="L40" s="5"/>
      <c r="M40" s="5"/>
      <c r="N40" s="5"/>
      <c r="O40" s="5" t="str">
        <f t="shared" si="8"/>
        <v>1214155</v>
      </c>
      <c r="P40" s="6">
        <f>VLOOKUP(O40,deuda!A$1:H$550,4,0)</f>
        <v>1</v>
      </c>
      <c r="Q40" s="6">
        <f>VLOOKUP(O40,deuda!A$1:H$550,5,0)</f>
        <v>0</v>
      </c>
      <c r="R40" s="6" t="str">
        <f>IF(VLOOKUP(O40,deuda!A$1:H$550,6,0)=0,"",VLOOKUP(O40,deuda!A$1:H$550,6,0))</f>
        <v/>
      </c>
      <c r="S40" s="149" t="str">
        <f>IF((VLOOKUP(O40,deuda!A$1:H$550,7,0))=0,"",VLOOKUP(O40,deuda!A$1:H$550,7,0))</f>
        <v/>
      </c>
      <c r="T40" s="153" t="str">
        <f>IF((VLOOKUP(O40,deuda!A$1:H$550,8,0))=0,"",VLOOKUP(O40,deuda!A$1:H$550,8,0))</f>
        <v/>
      </c>
    </row>
    <row r="41" spans="1:20">
      <c r="A41" s="26">
        <v>5</v>
      </c>
      <c r="B41" s="5">
        <v>1214</v>
      </c>
      <c r="C41" s="5">
        <v>52</v>
      </c>
      <c r="D41" s="21">
        <v>11.8202</v>
      </c>
      <c r="E41" s="21">
        <f>IF((VLOOKUP(O41,deuda!A$1:H$550,4,0))=1,D41,0)</f>
        <v>11.8202</v>
      </c>
      <c r="F41" s="5" t="s">
        <v>573</v>
      </c>
      <c r="G41" s="86">
        <f t="shared" ref="G41:G47" si="9">E41</f>
        <v>11.8202</v>
      </c>
      <c r="H41" s="620" t="e">
        <f t="shared" si="4"/>
        <v>#N/A</v>
      </c>
      <c r="I41" s="618" t="e">
        <f t="shared" si="5"/>
        <v>#N/A</v>
      </c>
      <c r="J41" s="125" t="e">
        <f t="shared" si="6"/>
        <v>#REF!</v>
      </c>
      <c r="K41" s="125" t="e">
        <f t="shared" si="7"/>
        <v>#REF!</v>
      </c>
      <c r="L41" s="5"/>
      <c r="M41" s="5"/>
      <c r="N41" s="5"/>
      <c r="O41" s="5" t="str">
        <f t="shared" si="8"/>
        <v>121452</v>
      </c>
      <c r="P41" s="6">
        <f>VLOOKUP(O41,deuda!A$1:H$550,4,0)</f>
        <v>1</v>
      </c>
      <c r="Q41" s="6">
        <f>VLOOKUP(O41,deuda!A$1:H$550,5,0)</f>
        <v>0</v>
      </c>
      <c r="R41" s="6" t="str">
        <f>IF(VLOOKUP(O41,deuda!A$1:H$550,6,0)=0,"",VLOOKUP(O41,deuda!A$1:H$550,6,0))</f>
        <v/>
      </c>
      <c r="S41" s="149" t="str">
        <f>IF((VLOOKUP(O41,deuda!A$1:H$550,7,0))=0,"",VLOOKUP(O41,deuda!A$1:H$550,7,0))</f>
        <v/>
      </c>
      <c r="T41" s="153" t="str">
        <f>IF((VLOOKUP(O41,deuda!A$1:H$550,8,0))=0,"",VLOOKUP(O41,deuda!A$1:H$550,8,0))</f>
        <v/>
      </c>
    </row>
    <row r="42" spans="1:20">
      <c r="A42" s="26">
        <v>4</v>
      </c>
      <c r="B42" s="5">
        <v>1214</v>
      </c>
      <c r="C42" s="5">
        <v>55</v>
      </c>
      <c r="D42" s="21">
        <v>8.1720000000000006</v>
      </c>
      <c r="E42" s="21">
        <f>IF((VLOOKUP(O42,deuda!A$1:H$550,4,0))=1,D42,0)</f>
        <v>8.1720000000000006</v>
      </c>
      <c r="F42" s="5" t="s">
        <v>574</v>
      </c>
      <c r="G42" s="86">
        <f t="shared" si="9"/>
        <v>8.1720000000000006</v>
      </c>
      <c r="H42" s="620" t="e">
        <f t="shared" si="4"/>
        <v>#N/A</v>
      </c>
      <c r="I42" s="618" t="e">
        <f t="shared" si="5"/>
        <v>#N/A</v>
      </c>
      <c r="J42" s="125" t="e">
        <f t="shared" si="6"/>
        <v>#REF!</v>
      </c>
      <c r="K42" s="125" t="e">
        <f t="shared" si="7"/>
        <v>#REF!</v>
      </c>
      <c r="L42" s="5"/>
      <c r="M42" s="5"/>
      <c r="N42" s="5"/>
      <c r="O42" s="5" t="str">
        <f t="shared" si="8"/>
        <v>121455</v>
      </c>
      <c r="P42" s="6">
        <f>VLOOKUP(O42,deuda!A$1:H$550,4,0)</f>
        <v>1</v>
      </c>
      <c r="Q42" s="6">
        <f>VLOOKUP(O42,deuda!A$1:H$550,5,0)</f>
        <v>0</v>
      </c>
      <c r="R42" s="6">
        <f>IF(VLOOKUP(O42,deuda!A$1:H$550,6,0)=0,"",VLOOKUP(O42,deuda!A$1:H$550,6,0))</f>
        <v>-1474.85</v>
      </c>
      <c r="S42" s="149" t="str">
        <f>IF((VLOOKUP(O42,deuda!A$1:H$550,7,0))=0,"",VLOOKUP(O42,deuda!A$1:H$550,7,0))</f>
        <v/>
      </c>
      <c r="T42" s="153" t="str">
        <f>IF((VLOOKUP(O42,deuda!A$1:H$550,8,0))=0,"",VLOOKUP(O42,deuda!A$1:H$550,8,0))</f>
        <v/>
      </c>
    </row>
    <row r="43" spans="1:20">
      <c r="A43" s="26">
        <v>4</v>
      </c>
      <c r="B43" s="5">
        <v>1214</v>
      </c>
      <c r="C43" s="5">
        <v>209</v>
      </c>
      <c r="D43" s="21">
        <v>4.5278</v>
      </c>
      <c r="E43" s="21">
        <f>IF((VLOOKUP(O43,deuda!A$1:H$550,4,0))=1,D43,0)</f>
        <v>4.5278</v>
      </c>
      <c r="F43" s="5" t="s">
        <v>575</v>
      </c>
      <c r="G43" s="86">
        <f t="shared" si="9"/>
        <v>4.5278</v>
      </c>
      <c r="H43" s="620" t="e">
        <f t="shared" si="4"/>
        <v>#N/A</v>
      </c>
      <c r="I43" s="618" t="e">
        <f t="shared" si="5"/>
        <v>#N/A</v>
      </c>
      <c r="J43" s="125" t="e">
        <f t="shared" si="6"/>
        <v>#REF!</v>
      </c>
      <c r="K43" s="125" t="e">
        <f t="shared" si="7"/>
        <v>#REF!</v>
      </c>
      <c r="L43" s="5"/>
      <c r="M43" s="5"/>
      <c r="N43" s="5"/>
      <c r="O43" s="5" t="str">
        <f t="shared" si="8"/>
        <v>1214209</v>
      </c>
      <c r="P43" s="6">
        <f>VLOOKUP(O43,deuda!A$1:H$550,4,0)</f>
        <v>1</v>
      </c>
      <c r="Q43" s="6">
        <f>VLOOKUP(O43,deuda!A$1:H$550,5,0)</f>
        <v>0</v>
      </c>
      <c r="R43" s="6" t="str">
        <f>IF(VLOOKUP(O43,deuda!A$1:H$550,6,0)=0,"",VLOOKUP(O43,deuda!A$1:H$550,6,0))</f>
        <v/>
      </c>
      <c r="S43" s="149" t="str">
        <f>IF((VLOOKUP(O43,deuda!A$1:H$550,7,0))=0,"",VLOOKUP(O43,deuda!A$1:H$550,7,0))</f>
        <v/>
      </c>
      <c r="T43" s="153" t="str">
        <f>IF((VLOOKUP(O43,deuda!A$1:H$550,8,0))=0,"",VLOOKUP(O43,deuda!A$1:H$550,8,0))</f>
        <v/>
      </c>
    </row>
    <row r="44" spans="1:20">
      <c r="A44" s="26">
        <v>4</v>
      </c>
      <c r="B44" s="5">
        <v>1214</v>
      </c>
      <c r="C44" s="5">
        <v>283</v>
      </c>
      <c r="D44" s="21">
        <v>30.800799999999999</v>
      </c>
      <c r="E44" s="21" t="e">
        <f>IF((VLOOKUP(O44,deuda!A$1:H$550,4,0))=1,D44,0)</f>
        <v>#N/A</v>
      </c>
      <c r="F44" s="5" t="s">
        <v>575</v>
      </c>
      <c r="G44" s="86" t="e">
        <f t="shared" si="9"/>
        <v>#N/A</v>
      </c>
      <c r="H44" s="620" t="e">
        <f t="shared" si="4"/>
        <v>#N/A</v>
      </c>
      <c r="I44" s="618" t="e">
        <f t="shared" si="5"/>
        <v>#N/A</v>
      </c>
      <c r="J44" s="125" t="e">
        <f t="shared" si="6"/>
        <v>#REF!</v>
      </c>
      <c r="K44" s="125" t="e">
        <f t="shared" si="7"/>
        <v>#REF!</v>
      </c>
      <c r="L44" s="5"/>
      <c r="M44" s="5"/>
      <c r="N44" s="5"/>
      <c r="O44" s="5" t="str">
        <f t="shared" si="8"/>
        <v>1214283</v>
      </c>
      <c r="P44" s="6" t="e">
        <f>VLOOKUP(O44,deuda!A$1:H$550,4,0)</f>
        <v>#N/A</v>
      </c>
      <c r="Q44" s="6" t="e">
        <f>VLOOKUP(O44,deuda!A$1:H$550,5,0)</f>
        <v>#N/A</v>
      </c>
      <c r="R44" s="6" t="e">
        <f>IF(VLOOKUP(O44,deuda!A$1:H$550,6,0)=0,"",VLOOKUP(O44,deuda!A$1:H$550,6,0))</f>
        <v>#N/A</v>
      </c>
      <c r="S44" s="149" t="e">
        <f>IF((VLOOKUP(O44,deuda!A$1:H$550,7,0))=0,"",VLOOKUP(O44,deuda!A$1:H$550,7,0))</f>
        <v>#N/A</v>
      </c>
      <c r="T44" s="153" t="e">
        <f>IF((VLOOKUP(O44,deuda!A$1:H$550,8,0))=0,"",VLOOKUP(O44,deuda!A$1:H$550,8,0))</f>
        <v>#N/A</v>
      </c>
    </row>
    <row r="45" spans="1:20">
      <c r="A45" s="26">
        <v>4</v>
      </c>
      <c r="B45" s="5">
        <v>1214</v>
      </c>
      <c r="C45" s="5">
        <v>259</v>
      </c>
      <c r="D45" s="21">
        <v>51.166699999999999</v>
      </c>
      <c r="E45" s="21" t="e">
        <f>IF((VLOOKUP(O45,deuda!A$1:H$550,4,0))=1,D45,0)</f>
        <v>#N/A</v>
      </c>
      <c r="F45" s="5" t="s">
        <v>576</v>
      </c>
      <c r="G45" s="86" t="e">
        <f t="shared" si="9"/>
        <v>#N/A</v>
      </c>
      <c r="H45" s="620" t="e">
        <f t="shared" si="4"/>
        <v>#N/A</v>
      </c>
      <c r="I45" s="618" t="e">
        <f t="shared" si="5"/>
        <v>#N/A</v>
      </c>
      <c r="J45" s="125" t="e">
        <f t="shared" si="6"/>
        <v>#REF!</v>
      </c>
      <c r="K45" s="125" t="e">
        <f t="shared" si="7"/>
        <v>#REF!</v>
      </c>
      <c r="L45" s="5"/>
      <c r="M45" s="5"/>
      <c r="N45" s="5"/>
      <c r="O45" s="5" t="str">
        <f t="shared" si="8"/>
        <v>1214259</v>
      </c>
      <c r="P45" s="6" t="e">
        <f>VLOOKUP(O45,deuda!A$1:H$550,4,0)</f>
        <v>#N/A</v>
      </c>
      <c r="Q45" s="6" t="e">
        <f>VLOOKUP(O45,deuda!A$1:H$550,5,0)</f>
        <v>#N/A</v>
      </c>
      <c r="R45" s="6" t="e">
        <f>IF(VLOOKUP(O45,deuda!A$1:H$550,6,0)=0,"",VLOOKUP(O45,deuda!A$1:H$550,6,0))</f>
        <v>#N/A</v>
      </c>
      <c r="S45" s="149" t="e">
        <f>IF((VLOOKUP(O45,deuda!A$1:H$550,7,0))=0,"",VLOOKUP(O45,deuda!A$1:H$550,7,0))</f>
        <v>#N/A</v>
      </c>
      <c r="T45" s="153" t="e">
        <f>IF((VLOOKUP(O45,deuda!A$1:H$550,8,0))=0,"",VLOOKUP(O45,deuda!A$1:H$550,8,0))</f>
        <v>#N/A</v>
      </c>
    </row>
    <row r="46" spans="1:20">
      <c r="A46" s="26">
        <v>4</v>
      </c>
      <c r="B46" s="5">
        <v>1214</v>
      </c>
      <c r="C46" s="5">
        <v>260</v>
      </c>
      <c r="D46" s="21">
        <v>54.8035</v>
      </c>
      <c r="E46" s="21" t="e">
        <f>IF((VLOOKUP(O46,deuda!A$1:H$550,4,0))=1,D46,0)</f>
        <v>#N/A</v>
      </c>
      <c r="F46" s="5" t="s">
        <v>575</v>
      </c>
      <c r="G46" s="86" t="e">
        <f t="shared" si="9"/>
        <v>#N/A</v>
      </c>
      <c r="H46" s="620" t="e">
        <f t="shared" si="4"/>
        <v>#N/A</v>
      </c>
      <c r="I46" s="618" t="e">
        <f t="shared" si="5"/>
        <v>#N/A</v>
      </c>
      <c r="J46" s="125" t="e">
        <f t="shared" si="6"/>
        <v>#REF!</v>
      </c>
      <c r="K46" s="125" t="e">
        <f t="shared" si="7"/>
        <v>#REF!</v>
      </c>
      <c r="L46" s="5"/>
      <c r="M46" s="5"/>
      <c r="N46" s="5"/>
      <c r="O46" s="5" t="str">
        <f t="shared" si="8"/>
        <v>1214260</v>
      </c>
      <c r="P46" s="6" t="e">
        <f>VLOOKUP(O46,deuda!A$1:H$550,4,0)</f>
        <v>#N/A</v>
      </c>
      <c r="Q46" s="6" t="e">
        <f>VLOOKUP(O46,deuda!A$1:H$550,5,0)</f>
        <v>#N/A</v>
      </c>
      <c r="R46" s="6" t="e">
        <f>IF(VLOOKUP(O46,deuda!A$1:H$550,6,0)=0,"",VLOOKUP(O46,deuda!A$1:H$550,6,0))</f>
        <v>#N/A</v>
      </c>
      <c r="S46" s="149" t="e">
        <f>IF((VLOOKUP(O46,deuda!A$1:H$550,7,0))=0,"",VLOOKUP(O46,deuda!A$1:H$550,7,0))</f>
        <v>#N/A</v>
      </c>
      <c r="T46" s="153" t="e">
        <f>IF((VLOOKUP(O46,deuda!A$1:H$550,8,0))=0,"",VLOOKUP(O46,deuda!A$1:H$550,8,0))</f>
        <v>#N/A</v>
      </c>
    </row>
    <row r="47" spans="1:20">
      <c r="A47" s="26">
        <v>3</v>
      </c>
      <c r="B47" s="5">
        <v>1214</v>
      </c>
      <c r="C47" s="5">
        <v>60</v>
      </c>
      <c r="D47" s="21">
        <v>20</v>
      </c>
      <c r="E47" s="21">
        <f>IF((VLOOKUP(O47,deuda!A$1:H$550,4,0))=1,D47,0)</f>
        <v>20</v>
      </c>
      <c r="F47" s="5" t="s">
        <v>505</v>
      </c>
      <c r="G47" s="9">
        <f t="shared" si="9"/>
        <v>20</v>
      </c>
      <c r="H47" s="620" t="e">
        <f t="shared" si="4"/>
        <v>#N/A</v>
      </c>
      <c r="I47" s="618" t="e">
        <f t="shared" si="5"/>
        <v>#N/A</v>
      </c>
      <c r="J47" s="125" t="e">
        <f t="shared" si="6"/>
        <v>#REF!</v>
      </c>
      <c r="K47" s="125" t="e">
        <f t="shared" si="7"/>
        <v>#REF!</v>
      </c>
      <c r="L47" s="5"/>
      <c r="M47" s="5"/>
      <c r="N47" s="5"/>
      <c r="O47" s="5" t="str">
        <f t="shared" si="8"/>
        <v>121460</v>
      </c>
      <c r="P47" s="6">
        <f>VLOOKUP(O47,deuda!A$1:H$550,4,0)</f>
        <v>1</v>
      </c>
      <c r="Q47" s="6">
        <f>VLOOKUP(O47,deuda!A$1:H$550,5,0)</f>
        <v>2</v>
      </c>
      <c r="R47" s="6">
        <f>IF(VLOOKUP(O47,deuda!A$1:H$550,6,0)=0,"",VLOOKUP(O47,deuda!A$1:H$550,6,0))</f>
        <v>8652.2000000000007</v>
      </c>
      <c r="S47" s="149" t="str">
        <f>IF((VLOOKUP(O47,deuda!A$1:H$550,7,0))=0,"",VLOOKUP(O47,deuda!A$1:H$550,7,0))</f>
        <v/>
      </c>
      <c r="T47" s="153" t="str">
        <f>IF((VLOOKUP(O47,deuda!A$1:H$550,8,0))=0,"",VLOOKUP(O47,deuda!A$1:H$550,8,0))</f>
        <v/>
      </c>
    </row>
    <row r="48" spans="1:20">
      <c r="A48" s="26">
        <v>3</v>
      </c>
      <c r="B48" s="5">
        <v>1214</v>
      </c>
      <c r="C48" s="5">
        <v>69</v>
      </c>
      <c r="D48" s="21">
        <v>11.9414</v>
      </c>
      <c r="E48" s="21">
        <f>IF((VLOOKUP(O48,deuda!A$1:H$550,4,0))=1,D48,0)</f>
        <v>11.9414</v>
      </c>
      <c r="F48" s="5" t="s">
        <v>505</v>
      </c>
      <c r="G48" s="9">
        <v>0</v>
      </c>
      <c r="H48" s="620" t="e">
        <f t="shared" si="4"/>
        <v>#N/A</v>
      </c>
      <c r="I48" s="618" t="e">
        <f t="shared" si="5"/>
        <v>#N/A</v>
      </c>
      <c r="J48" s="125" t="e">
        <f t="shared" si="6"/>
        <v>#REF!</v>
      </c>
      <c r="K48" s="125" t="e">
        <f t="shared" si="7"/>
        <v>#REF!</v>
      </c>
      <c r="L48" s="5"/>
      <c r="M48" s="5"/>
      <c r="N48" s="5"/>
      <c r="O48" s="5" t="str">
        <f t="shared" si="8"/>
        <v>121469</v>
      </c>
      <c r="P48" s="6">
        <f>VLOOKUP(O48,deuda!A$1:H$550,4,0)</f>
        <v>1</v>
      </c>
      <c r="Q48" s="6">
        <f>VLOOKUP(O48,deuda!A$1:H$550,5,0)</f>
        <v>2</v>
      </c>
      <c r="R48" s="6">
        <f>IF(VLOOKUP(O48,deuda!A$1:H$550,6,0)=0,"",VLOOKUP(O48,deuda!A$1:H$550,6,0))</f>
        <v>11731.39</v>
      </c>
      <c r="S48" s="149" t="str">
        <f>IF((VLOOKUP(O48,deuda!A$1:H$550,7,0))=0,"",VLOOKUP(O48,deuda!A$1:H$550,7,0))</f>
        <v/>
      </c>
      <c r="T48" s="153" t="str">
        <f>IF((VLOOKUP(O48,deuda!A$1:H$550,8,0))=0,"",VLOOKUP(O48,deuda!A$1:H$550,8,0))</f>
        <v/>
      </c>
    </row>
    <row r="49" spans="1:20">
      <c r="A49" s="26">
        <v>2</v>
      </c>
      <c r="B49" s="5">
        <v>1214</v>
      </c>
      <c r="C49" s="5">
        <v>64</v>
      </c>
      <c r="D49" s="21">
        <v>5.1536</v>
      </c>
      <c r="E49" s="21">
        <f>IF((VLOOKUP(O49,deuda!A$1:H$550,4,0))=1,D49,0)</f>
        <v>5.1536</v>
      </c>
      <c r="F49" s="5" t="s">
        <v>577</v>
      </c>
      <c r="G49" s="86">
        <f>E49</f>
        <v>5.1536</v>
      </c>
      <c r="H49" s="620" t="e">
        <f t="shared" si="4"/>
        <v>#N/A</v>
      </c>
      <c r="I49" s="618" t="e">
        <f t="shared" si="5"/>
        <v>#N/A</v>
      </c>
      <c r="J49" s="125" t="e">
        <f t="shared" si="6"/>
        <v>#REF!</v>
      </c>
      <c r="K49" s="125" t="e">
        <f t="shared" si="7"/>
        <v>#REF!</v>
      </c>
      <c r="L49" s="5"/>
      <c r="M49" s="5"/>
      <c r="N49" s="5"/>
      <c r="O49" s="5" t="str">
        <f t="shared" si="8"/>
        <v>121464</v>
      </c>
      <c r="P49" s="6">
        <f>VLOOKUP(O49,deuda!A$1:H$550,4,0)</f>
        <v>1</v>
      </c>
      <c r="Q49" s="6">
        <f>VLOOKUP(O49,deuda!A$1:H$550,5,0)</f>
        <v>1</v>
      </c>
      <c r="R49" s="6">
        <f>IF(VLOOKUP(O49,deuda!A$1:H$550,6,0)=0,"",VLOOKUP(O49,deuda!A$1:H$550,6,0))</f>
        <v>1181.99</v>
      </c>
      <c r="S49" s="149" t="str">
        <f>IF((VLOOKUP(O49,deuda!A$1:H$550,7,0))=0,"",VLOOKUP(O49,deuda!A$1:H$550,7,0))</f>
        <v/>
      </c>
      <c r="T49" s="153" t="str">
        <f>IF((VLOOKUP(O49,deuda!A$1:H$550,8,0))=0,"",VLOOKUP(O49,deuda!A$1:H$550,8,0))</f>
        <v/>
      </c>
    </row>
    <row r="50" spans="1:20">
      <c r="A50" s="26">
        <v>2</v>
      </c>
      <c r="B50" s="5">
        <v>1214</v>
      </c>
      <c r="C50" s="5">
        <v>87</v>
      </c>
      <c r="D50" s="21">
        <v>4.2420999999999998</v>
      </c>
      <c r="E50" s="21">
        <f>IF((VLOOKUP(O50,deuda!A$1:H$550,4,0))=1,D50,0)</f>
        <v>4.2420999999999998</v>
      </c>
      <c r="F50" s="5" t="s">
        <v>577</v>
      </c>
      <c r="G50" s="86">
        <f>E50</f>
        <v>4.2420999999999998</v>
      </c>
      <c r="H50" s="620" t="e">
        <f t="shared" si="4"/>
        <v>#N/A</v>
      </c>
      <c r="I50" s="618" t="e">
        <f t="shared" si="5"/>
        <v>#N/A</v>
      </c>
      <c r="J50" s="125" t="e">
        <f t="shared" si="6"/>
        <v>#REF!</v>
      </c>
      <c r="K50" s="125" t="e">
        <f t="shared" si="7"/>
        <v>#REF!</v>
      </c>
      <c r="L50" s="5"/>
      <c r="M50" s="5"/>
      <c r="N50" s="5"/>
      <c r="O50" s="5" t="str">
        <f t="shared" si="8"/>
        <v>121487</v>
      </c>
      <c r="P50" s="6">
        <f>VLOOKUP(O50,deuda!A$1:H$550,4,0)</f>
        <v>1</v>
      </c>
      <c r="Q50" s="6">
        <f>VLOOKUP(O50,deuda!A$1:H$550,5,0)</f>
        <v>1</v>
      </c>
      <c r="R50" s="6">
        <f>IF(VLOOKUP(O50,deuda!A$1:H$550,6,0)=0,"",VLOOKUP(O50,deuda!A$1:H$550,6,0))</f>
        <v>988.97</v>
      </c>
      <c r="S50" s="149" t="str">
        <f>IF((VLOOKUP(O50,deuda!A$1:H$550,7,0))=0,"",VLOOKUP(O50,deuda!A$1:H$550,7,0))</f>
        <v/>
      </c>
      <c r="T50" s="153" t="str">
        <f>IF((VLOOKUP(O50,deuda!A$1:H$550,8,0))=0,"",VLOOKUP(O50,deuda!A$1:H$550,8,0))</f>
        <v/>
      </c>
    </row>
    <row r="51" spans="1:20">
      <c r="A51" s="26">
        <v>1</v>
      </c>
      <c r="B51" s="5">
        <v>1214</v>
      </c>
      <c r="C51" s="5">
        <v>263</v>
      </c>
      <c r="D51" s="21">
        <v>16.8264</v>
      </c>
      <c r="E51" s="21" t="e">
        <f>IF((VLOOKUP(O51,deuda!A$1:H$550,4,0))=1,D51,0)</f>
        <v>#N/A</v>
      </c>
      <c r="F51" s="5" t="s">
        <v>578</v>
      </c>
      <c r="G51" s="86" t="e">
        <f>E51</f>
        <v>#N/A</v>
      </c>
      <c r="H51" s="620" t="e">
        <f t="shared" si="4"/>
        <v>#N/A</v>
      </c>
      <c r="I51" s="618" t="e">
        <f t="shared" si="5"/>
        <v>#N/A</v>
      </c>
      <c r="J51" s="125" t="e">
        <f>+K52</f>
        <v>#REF!</v>
      </c>
      <c r="K51" s="125" t="e">
        <f t="shared" si="7"/>
        <v>#REF!</v>
      </c>
      <c r="L51" s="5"/>
      <c r="M51" s="5"/>
      <c r="N51" s="5"/>
      <c r="O51" s="5" t="str">
        <f t="shared" si="8"/>
        <v>1214263</v>
      </c>
      <c r="P51" s="6" t="e">
        <f>VLOOKUP(O51,deuda!A$1:H$550,4,0)</f>
        <v>#N/A</v>
      </c>
      <c r="Q51" s="6" t="e">
        <f>VLOOKUP(O51,deuda!A$1:H$550,5,0)</f>
        <v>#N/A</v>
      </c>
      <c r="R51" s="6" t="e">
        <f>IF(VLOOKUP(O51,deuda!A$1:H$550,6,0)=0,"",VLOOKUP(O51,deuda!A$1:H$550,6,0))</f>
        <v>#N/A</v>
      </c>
      <c r="S51" s="149" t="e">
        <f>IF((VLOOKUP(O51,deuda!A$1:H$550,7,0))=0,"",VLOOKUP(O51,deuda!A$1:H$550,7,0))</f>
        <v>#N/A</v>
      </c>
      <c r="T51" s="153" t="e">
        <f>IF((VLOOKUP(O51,deuda!A$1:H$550,8,0))=0,"",VLOOKUP(O51,deuda!A$1:H$550,8,0))</f>
        <v>#N/A</v>
      </c>
    </row>
    <row r="52" spans="1:20" ht="13.5" thickBot="1">
      <c r="A52" s="132">
        <v>1</v>
      </c>
      <c r="B52" s="29">
        <v>1214</v>
      </c>
      <c r="C52" s="29">
        <v>264</v>
      </c>
      <c r="D52" s="46">
        <v>1</v>
      </c>
      <c r="E52" s="46" t="e">
        <f>IF((VLOOKUP(O52,deuda!A$1:H$550,4,0))=1,D52,0)</f>
        <v>#N/A</v>
      </c>
      <c r="F52" s="29" t="s">
        <v>578</v>
      </c>
      <c r="G52" s="136" t="e">
        <f>E52</f>
        <v>#N/A</v>
      </c>
      <c r="H52" s="630" t="e">
        <f t="shared" si="4"/>
        <v>#N/A</v>
      </c>
      <c r="I52" s="621" t="e">
        <f t="shared" si="5"/>
        <v>#N/A</v>
      </c>
      <c r="J52" s="127" t="e">
        <f>+C31+H6+H7</f>
        <v>#REF!</v>
      </c>
      <c r="K52" s="127" t="e">
        <f>+J52+I52</f>
        <v>#REF!</v>
      </c>
      <c r="L52" s="29"/>
      <c r="M52" s="29"/>
      <c r="N52" s="29"/>
      <c r="O52" s="29" t="str">
        <f t="shared" si="8"/>
        <v>1214264</v>
      </c>
      <c r="P52" s="33" t="e">
        <f>VLOOKUP(O52,deuda!A$1:H$550,4,0)</f>
        <v>#N/A</v>
      </c>
      <c r="Q52" s="33" t="e">
        <f>VLOOKUP(O52,deuda!A$1:H$550,5,0)</f>
        <v>#N/A</v>
      </c>
      <c r="R52" s="33" t="e">
        <f>IF(VLOOKUP(O52,deuda!A$1:H$550,6,0)=0,"",VLOOKUP(O52,deuda!A$1:H$550,6,0))</f>
        <v>#N/A</v>
      </c>
      <c r="S52" s="154" t="e">
        <f>IF((VLOOKUP(O52,deuda!A$1:H$550,7,0))=0,"",VLOOKUP(O52,deuda!A$1:H$550,7,0))</f>
        <v>#N/A</v>
      </c>
      <c r="T52" s="155" t="e">
        <f>IF((VLOOKUP(O52,deuda!A$1:H$550,8,0))=0,"",VLOOKUP(O52,deuda!A$1:H$550,8,0))</f>
        <v>#N/A</v>
      </c>
    </row>
    <row r="53" spans="1:20">
      <c r="A53" s="10"/>
      <c r="B53" s="10"/>
      <c r="D53" s="85">
        <f>SUM(D39:D52)</f>
        <v>222.94589999999999</v>
      </c>
      <c r="E53" s="85" t="e">
        <f>SUM(E39:E52)</f>
        <v>#N/A</v>
      </c>
      <c r="G53" s="97" t="e">
        <f>+SUM(G39:G52)</f>
        <v>#N/A</v>
      </c>
      <c r="H53" s="629" t="e">
        <f>+SUM(H39:H52)</f>
        <v>#N/A</v>
      </c>
      <c r="I53" s="580" t="e">
        <f>+SUM(I39:I52)</f>
        <v>#N/A</v>
      </c>
      <c r="J53" s="10"/>
      <c r="K53" s="181"/>
      <c r="L53" s="181"/>
      <c r="M53" s="10"/>
    </row>
    <row r="54" spans="1:20">
      <c r="A54" s="10"/>
      <c r="B54" s="10"/>
      <c r="C54" s="10"/>
      <c r="D54" s="10"/>
      <c r="E54" s="85"/>
      <c r="F54" s="85"/>
      <c r="G54" s="97"/>
      <c r="H54" s="98"/>
      <c r="I54" s="89"/>
      <c r="J54" s="10"/>
      <c r="K54" s="10"/>
      <c r="L54" s="10"/>
      <c r="M54" s="10"/>
    </row>
    <row r="55" spans="1:20" s="10" customFormat="1" ht="13.5" customHeight="1">
      <c r="E55" s="85"/>
      <c r="F55" s="85"/>
      <c r="G55" s="73"/>
      <c r="H55" s="102"/>
    </row>
    <row r="56" spans="1:20" s="10" customFormat="1" ht="13.5" customHeight="1">
      <c r="A56" s="47" t="s">
        <v>579</v>
      </c>
      <c r="E56" s="85"/>
      <c r="F56" s="85"/>
      <c r="G56" s="73"/>
      <c r="H56" s="102"/>
    </row>
    <row r="57" spans="1:20" s="10" customFormat="1" ht="13.5" customHeight="1">
      <c r="E57" s="85"/>
      <c r="F57" s="85"/>
      <c r="G57" s="73"/>
      <c r="H57" s="102"/>
    </row>
    <row r="58" spans="1:20" s="10" customFormat="1">
      <c r="A58"/>
      <c r="B58"/>
      <c r="C58" s="1" t="s">
        <v>565</v>
      </c>
      <c r="D58"/>
      <c r="E58"/>
      <c r="F58"/>
      <c r="G58"/>
      <c r="H58" s="78"/>
      <c r="I58"/>
    </row>
    <row r="59" spans="1:20" s="10" customFormat="1" ht="13.5" thickBot="1">
      <c r="A59"/>
      <c r="B59"/>
      <c r="C59"/>
      <c r="D59"/>
      <c r="E59"/>
      <c r="F59"/>
      <c r="G59"/>
      <c r="H59" s="78"/>
      <c r="I59"/>
    </row>
    <row r="60" spans="1:20">
      <c r="A60" s="688" t="s">
        <v>92</v>
      </c>
      <c r="B60" s="689"/>
      <c r="C60" s="690" t="e">
        <f>+C32</f>
        <v>#REF!</v>
      </c>
      <c r="D60" s="691"/>
      <c r="E60" s="3"/>
      <c r="F60" s="3"/>
      <c r="G60" s="24" t="s">
        <v>93</v>
      </c>
      <c r="H60" s="200" t="e">
        <f>+G19+G20</f>
        <v>#N/A</v>
      </c>
    </row>
    <row r="61" spans="1:20" ht="13.5" thickBot="1">
      <c r="A61" s="692" t="s">
        <v>94</v>
      </c>
      <c r="B61" s="693"/>
      <c r="C61" s="694" t="e">
        <f>+K68</f>
        <v>#REF!</v>
      </c>
      <c r="D61" s="695"/>
      <c r="E61" s="3"/>
      <c r="F61" s="3"/>
      <c r="G61" s="26" t="s">
        <v>95</v>
      </c>
      <c r="H61" s="171">
        <v>0</v>
      </c>
      <c r="I61" s="3"/>
      <c r="K61" s="635"/>
    </row>
    <row r="62" spans="1:20" ht="13.5" thickBot="1">
      <c r="G62" s="132" t="s">
        <v>96</v>
      </c>
      <c r="H62" s="201">
        <v>6.25E-2</v>
      </c>
    </row>
    <row r="63" spans="1:20">
      <c r="H63" s="78"/>
    </row>
    <row r="64" spans="1:20">
      <c r="A64" s="696" t="s">
        <v>97</v>
      </c>
      <c r="B64" s="696"/>
      <c r="C64" s="89" t="e">
        <f>+H60-H62</f>
        <v>#N/A</v>
      </c>
      <c r="D64" s="558" t="s">
        <v>98</v>
      </c>
      <c r="E64" s="169" t="e">
        <f>+C64*60</f>
        <v>#N/A</v>
      </c>
      <c r="F64" s="558" t="s">
        <v>99</v>
      </c>
      <c r="G64" s="167" t="e">
        <f>+G82</f>
        <v>#N/A</v>
      </c>
      <c r="H64" s="202" t="s">
        <v>100</v>
      </c>
      <c r="I64" s="168" t="e">
        <f>+E64/G64</f>
        <v>#N/A</v>
      </c>
    </row>
    <row r="65" spans="1:20">
      <c r="H65" s="78"/>
    </row>
    <row r="66" spans="1:20" ht="13.5" thickBot="1">
      <c r="H66" s="78"/>
    </row>
    <row r="67" spans="1:20" s="10" customFormat="1" ht="13.5" thickBot="1">
      <c r="A67" s="22" t="s">
        <v>102</v>
      </c>
      <c r="B67" s="182" t="s">
        <v>566</v>
      </c>
      <c r="C67" s="182" t="s">
        <v>104</v>
      </c>
      <c r="D67" s="182" t="s">
        <v>567</v>
      </c>
      <c r="E67" s="182" t="s">
        <v>568</v>
      </c>
      <c r="F67" s="182" t="s">
        <v>569</v>
      </c>
      <c r="G67" s="182" t="s">
        <v>570</v>
      </c>
      <c r="H67" s="203" t="s">
        <v>304</v>
      </c>
      <c r="I67" s="32" t="s">
        <v>110</v>
      </c>
      <c r="J67" s="25" t="s">
        <v>156</v>
      </c>
      <c r="K67" s="25" t="s">
        <v>157</v>
      </c>
      <c r="L67" s="32" t="s">
        <v>114</v>
      </c>
      <c r="M67" s="184" t="s">
        <v>158</v>
      </c>
      <c r="N67" s="32" t="s">
        <v>116</v>
      </c>
      <c r="O67" s="32" t="s">
        <v>117</v>
      </c>
      <c r="P67" s="32" t="s">
        <v>118</v>
      </c>
      <c r="Q67" s="32" t="s">
        <v>119</v>
      </c>
      <c r="R67" s="32" t="s">
        <v>120</v>
      </c>
      <c r="S67" s="32" t="s">
        <v>121</v>
      </c>
      <c r="T67" s="185" t="s">
        <v>122</v>
      </c>
    </row>
    <row r="68" spans="1:20" s="10" customFormat="1">
      <c r="A68" s="26">
        <v>11</v>
      </c>
      <c r="B68" s="5">
        <v>1214</v>
      </c>
      <c r="C68" s="5">
        <v>226</v>
      </c>
      <c r="D68" s="21">
        <v>0.95</v>
      </c>
      <c r="E68" s="21" t="e">
        <f>IF((VLOOKUP(O68,deuda!A$1:H$550,4,0))=1,D68,0)</f>
        <v>#N/A</v>
      </c>
      <c r="F68" s="5" t="s">
        <v>580</v>
      </c>
      <c r="G68" s="101" t="e">
        <f t="shared" ref="G68:G80" si="10">E68</f>
        <v>#N/A</v>
      </c>
      <c r="H68" s="620" t="e">
        <f>+$I$64*G68</f>
        <v>#N/A</v>
      </c>
      <c r="I68" s="618" t="e">
        <f>+H68/60</f>
        <v>#N/A</v>
      </c>
      <c r="J68" s="125" t="e">
        <f t="shared" ref="J68:J79" si="11">+K69</f>
        <v>#REF!</v>
      </c>
      <c r="K68" s="125" t="e">
        <f>+J68+I68</f>
        <v>#REF!</v>
      </c>
      <c r="L68" s="5"/>
      <c r="M68" s="5"/>
      <c r="N68" s="5"/>
      <c r="O68" s="5" t="str">
        <f>+CONCATENATE(B68,C68)</f>
        <v>1214226</v>
      </c>
      <c r="P68" s="6" t="e">
        <f>VLOOKUP(O68,deuda!A$1:H$550,4,0)</f>
        <v>#N/A</v>
      </c>
      <c r="Q68" s="6" t="e">
        <f>VLOOKUP(O68,deuda!A$1:H$550,5,0)</f>
        <v>#N/A</v>
      </c>
      <c r="R68" s="6" t="e">
        <f>IF(VLOOKUP(O68,deuda!A$1:H$550,6,0)=0,"",VLOOKUP(O68,deuda!A$1:H$550,6,0))</f>
        <v>#N/A</v>
      </c>
      <c r="S68" s="149" t="e">
        <f>IF((VLOOKUP(O68,deuda!A$1:H$550,7,0))=0,"",VLOOKUP(O68,deuda!A$1:H$550,7,0))</f>
        <v>#N/A</v>
      </c>
      <c r="T68" s="153" t="e">
        <f>IF((VLOOKUP(O68,deuda!A$1:H$550,8,0))=0,"",VLOOKUP(O68,deuda!A$1:H$550,8,0))</f>
        <v>#N/A</v>
      </c>
    </row>
    <row r="69" spans="1:20" s="10" customFormat="1">
      <c r="A69" s="26">
        <v>10</v>
      </c>
      <c r="B69" s="5">
        <v>1214</v>
      </c>
      <c r="C69" s="5">
        <v>277</v>
      </c>
      <c r="D69" s="21">
        <v>4.7595999999999998</v>
      </c>
      <c r="E69" s="21" t="e">
        <f>IF((VLOOKUP(O69,deuda!A$1:H$550,4,0))=1,D69,0)</f>
        <v>#N/A</v>
      </c>
      <c r="F69" s="5" t="s">
        <v>581</v>
      </c>
      <c r="G69" s="9" t="e">
        <f t="shared" si="10"/>
        <v>#N/A</v>
      </c>
      <c r="H69" s="620" t="e">
        <f t="shared" ref="H69:H81" si="12">+$I$64*G69</f>
        <v>#N/A</v>
      </c>
      <c r="I69" s="618" t="e">
        <f t="shared" ref="I69:I81" si="13">+H69/60</f>
        <v>#N/A</v>
      </c>
      <c r="J69" s="125" t="e">
        <f t="shared" si="11"/>
        <v>#REF!</v>
      </c>
      <c r="K69" s="125" t="e">
        <f>+J69+I69</f>
        <v>#REF!</v>
      </c>
      <c r="L69" s="5"/>
      <c r="M69" s="5"/>
      <c r="N69" s="5"/>
      <c r="O69" s="5" t="str">
        <f>+CONCATENATE(B69,C69)</f>
        <v>1214277</v>
      </c>
      <c r="P69" s="6" t="e">
        <f>VLOOKUP(O69,deuda!A$1:H$550,4,0)</f>
        <v>#N/A</v>
      </c>
      <c r="Q69" s="6" t="e">
        <f>VLOOKUP(O69,deuda!A$1:H$550,5,0)</f>
        <v>#N/A</v>
      </c>
      <c r="R69" s="6" t="e">
        <f>IF(VLOOKUP(O69,deuda!A$1:H$550,6,0)=0,"",VLOOKUP(O69,deuda!A$1:H$550,6,0))</f>
        <v>#N/A</v>
      </c>
      <c r="S69" s="149" t="e">
        <f>IF((VLOOKUP(O69,deuda!A$1:H$550,7,0))=0,"",VLOOKUP(O69,deuda!A$1:H$550,7,0))</f>
        <v>#N/A</v>
      </c>
      <c r="T69" s="153" t="e">
        <f>IF((VLOOKUP(O69,deuda!A$1:H$550,8,0))=0,"",VLOOKUP(O69,deuda!A$1:H$550,8,0))</f>
        <v>#N/A</v>
      </c>
    </row>
    <row r="70" spans="1:20" s="10" customFormat="1">
      <c r="A70" s="26">
        <v>9</v>
      </c>
      <c r="B70" s="5">
        <v>1214</v>
      </c>
      <c r="C70" s="5">
        <v>25</v>
      </c>
      <c r="D70" s="21">
        <v>3.8498999999999999</v>
      </c>
      <c r="E70" s="21">
        <f>IF((VLOOKUP(O70,deuda!A$1:H$550,4,0))=1,D70,0)</f>
        <v>0</v>
      </c>
      <c r="F70" s="5" t="s">
        <v>582</v>
      </c>
      <c r="G70" s="9">
        <f t="shared" si="10"/>
        <v>0</v>
      </c>
      <c r="H70" s="620" t="e">
        <f t="shared" si="12"/>
        <v>#N/A</v>
      </c>
      <c r="I70" s="618" t="e">
        <f t="shared" si="13"/>
        <v>#N/A</v>
      </c>
      <c r="J70" s="125" t="e">
        <f t="shared" si="11"/>
        <v>#REF!</v>
      </c>
      <c r="K70" s="125" t="e">
        <f t="shared" ref="K70:K80" si="14">+J70+I70</f>
        <v>#REF!</v>
      </c>
      <c r="L70" s="5"/>
      <c r="M70" s="5"/>
      <c r="N70" s="5"/>
      <c r="O70" s="5" t="str">
        <f t="shared" ref="O70:O81" si="15">+CONCATENATE(B70,C70)</f>
        <v>121425</v>
      </c>
      <c r="P70" s="6">
        <f>VLOOKUP(O70,deuda!A$1:H$550,4,0)</f>
        <v>0</v>
      </c>
      <c r="Q70" s="6">
        <f>VLOOKUP(O70,deuda!A$1:H$550,5,0)</f>
        <v>4</v>
      </c>
      <c r="R70" s="6">
        <f>IF(VLOOKUP(O70,deuda!A$1:H$550,6,0)=0,"",VLOOKUP(O70,deuda!A$1:H$550,6,0))</f>
        <v>3496.02</v>
      </c>
      <c r="S70" s="149" t="str">
        <f>IF((VLOOKUP(O70,deuda!A$1:H$550,7,0))=0,"",VLOOKUP(O70,deuda!A$1:H$550,7,0))</f>
        <v/>
      </c>
      <c r="T70" s="153" t="str">
        <f>IF((VLOOKUP(O70,deuda!A$1:H$550,8,0))=0,"",VLOOKUP(O70,deuda!A$1:H$550,8,0))</f>
        <v/>
      </c>
    </row>
    <row r="71" spans="1:20" s="10" customFormat="1">
      <c r="A71" s="135">
        <v>8</v>
      </c>
      <c r="B71" s="5">
        <v>1214</v>
      </c>
      <c r="C71" s="5">
        <v>19</v>
      </c>
      <c r="D71" s="642">
        <v>3.4218000000000002</v>
      </c>
      <c r="E71" s="21">
        <f>IF((VLOOKUP(O71,deuda!A$1:H$550,4,0))=1,D71,0)</f>
        <v>3.4218000000000002</v>
      </c>
      <c r="F71" s="5" t="s">
        <v>583</v>
      </c>
      <c r="G71" s="9">
        <f t="shared" si="10"/>
        <v>3.4218000000000002</v>
      </c>
      <c r="H71" s="620" t="e">
        <f t="shared" si="12"/>
        <v>#N/A</v>
      </c>
      <c r="I71" s="618" t="e">
        <f t="shared" si="13"/>
        <v>#N/A</v>
      </c>
      <c r="J71" s="125" t="e">
        <f t="shared" si="11"/>
        <v>#REF!</v>
      </c>
      <c r="K71" s="125" t="e">
        <f t="shared" si="14"/>
        <v>#REF!</v>
      </c>
      <c r="L71" s="5"/>
      <c r="M71" s="5"/>
      <c r="N71" s="5"/>
      <c r="O71" s="5" t="str">
        <f t="shared" si="15"/>
        <v>121419</v>
      </c>
      <c r="P71" s="6">
        <f>VLOOKUP(O71,deuda!A$1:H$550,4,0)</f>
        <v>1</v>
      </c>
      <c r="Q71" s="6">
        <f>VLOOKUP(O71,deuda!A$1:H$550,5,0)</f>
        <v>1</v>
      </c>
      <c r="R71" s="6">
        <f>IF(VLOOKUP(O71,deuda!A$1:H$550,6,0)=0,"",VLOOKUP(O71,deuda!A$1:H$550,6,0))</f>
        <v>813.9</v>
      </c>
      <c r="S71" s="149" t="str">
        <f>IF((VLOOKUP(O71,deuda!A$1:H$550,7,0))=0,"",VLOOKUP(O71,deuda!A$1:H$550,7,0))</f>
        <v/>
      </c>
      <c r="T71" s="153" t="str">
        <f>IF((VLOOKUP(O71,deuda!A$1:H$550,8,0))=0,"",VLOOKUP(O71,deuda!A$1:H$550,8,0))</f>
        <v/>
      </c>
    </row>
    <row r="72" spans="1:20" s="10" customFormat="1">
      <c r="A72" s="135">
        <v>8</v>
      </c>
      <c r="B72" s="5">
        <v>1214</v>
      </c>
      <c r="C72" s="5">
        <v>151</v>
      </c>
      <c r="D72" s="21">
        <v>1.6245000000000001</v>
      </c>
      <c r="E72" s="21">
        <f>IF((VLOOKUP(O72,deuda!A$1:H$550,4,0))=1,D72,0)</f>
        <v>1.6245000000000001</v>
      </c>
      <c r="F72" s="5" t="s">
        <v>584</v>
      </c>
      <c r="G72" s="9">
        <f t="shared" si="10"/>
        <v>1.6245000000000001</v>
      </c>
      <c r="H72" s="620" t="e">
        <f t="shared" si="12"/>
        <v>#N/A</v>
      </c>
      <c r="I72" s="618" t="e">
        <f t="shared" si="13"/>
        <v>#N/A</v>
      </c>
      <c r="J72" s="125" t="e">
        <f t="shared" si="11"/>
        <v>#REF!</v>
      </c>
      <c r="K72" s="125" t="e">
        <f t="shared" si="14"/>
        <v>#REF!</v>
      </c>
      <c r="L72" s="5"/>
      <c r="M72" s="5"/>
      <c r="N72" s="5"/>
      <c r="O72" s="5" t="str">
        <f t="shared" si="15"/>
        <v>1214151</v>
      </c>
      <c r="P72" s="6">
        <f>VLOOKUP(O72,deuda!A$1:H$550,4,0)</f>
        <v>1</v>
      </c>
      <c r="Q72" s="6">
        <f>VLOOKUP(O72,deuda!A$1:H$550,5,0)</f>
        <v>1</v>
      </c>
      <c r="R72" s="6">
        <f>IF(VLOOKUP(O72,deuda!A$1:H$550,6,0)=0,"",VLOOKUP(O72,deuda!A$1:H$550,6,0))</f>
        <v>417.95</v>
      </c>
      <c r="S72" s="149" t="str">
        <f>IF((VLOOKUP(O72,deuda!A$1:H$550,7,0))=0,"",VLOOKUP(O72,deuda!A$1:H$550,7,0))</f>
        <v/>
      </c>
      <c r="T72" s="153" t="str">
        <f>IF((VLOOKUP(O72,deuda!A$1:H$550,8,0))=0,"",VLOOKUP(O72,deuda!A$1:H$550,8,0))</f>
        <v/>
      </c>
    </row>
    <row r="73" spans="1:20" s="10" customFormat="1">
      <c r="A73" s="135">
        <v>8</v>
      </c>
      <c r="B73" s="5">
        <v>1214</v>
      </c>
      <c r="C73" s="165">
        <v>216</v>
      </c>
      <c r="D73" s="21">
        <v>1.6E-2</v>
      </c>
      <c r="E73" s="21">
        <f>IF((VLOOKUP(O73,deuda!A$1:H$550,4,0))=1,D73,0)</f>
        <v>0</v>
      </c>
      <c r="F73" s="5" t="s">
        <v>584</v>
      </c>
      <c r="G73" s="9">
        <f t="shared" si="10"/>
        <v>0</v>
      </c>
      <c r="H73" s="620" t="e">
        <f t="shared" si="12"/>
        <v>#N/A</v>
      </c>
      <c r="I73" s="618" t="e">
        <f t="shared" si="13"/>
        <v>#N/A</v>
      </c>
      <c r="J73" s="125" t="e">
        <f t="shared" si="11"/>
        <v>#REF!</v>
      </c>
      <c r="K73" s="125" t="e">
        <f t="shared" si="14"/>
        <v>#REF!</v>
      </c>
      <c r="L73" s="5"/>
      <c r="M73" s="5"/>
      <c r="N73" s="5"/>
      <c r="O73" s="5" t="str">
        <f t="shared" si="15"/>
        <v>1214216</v>
      </c>
      <c r="P73" s="6">
        <f>VLOOKUP(O73,deuda!A$1:H$550,4,0)</f>
        <v>0</v>
      </c>
      <c r="Q73" s="6">
        <f>VLOOKUP(O73,deuda!A$1:H$550,5,0)</f>
        <v>19</v>
      </c>
      <c r="R73" s="6">
        <f>IF(VLOOKUP(O73,deuda!A$1:H$550,6,0)=0,"",VLOOKUP(O73,deuda!A$1:H$550,6,0))</f>
        <v>13813.3</v>
      </c>
      <c r="S73" s="149" t="str">
        <f>IF((VLOOKUP(O73,deuda!A$1:H$550,7,0))=0,"",VLOOKUP(O73,deuda!A$1:H$550,7,0))</f>
        <v/>
      </c>
      <c r="T73" s="153" t="str">
        <f>IF((VLOOKUP(O73,deuda!A$1:H$550,8,0))=0,"",VLOOKUP(O73,deuda!A$1:H$550,8,0))</f>
        <v/>
      </c>
    </row>
    <row r="74" spans="1:20" s="10" customFormat="1">
      <c r="A74" s="135">
        <v>8</v>
      </c>
      <c r="B74" s="5">
        <v>1214</v>
      </c>
      <c r="C74" s="165">
        <v>217</v>
      </c>
      <c r="D74" s="21">
        <v>3.4217</v>
      </c>
      <c r="E74" s="21">
        <f>IF((VLOOKUP(O74,deuda!A$1:H$550,4,0))=1,D74,0)</f>
        <v>3.4217</v>
      </c>
      <c r="F74" s="5" t="s">
        <v>584</v>
      </c>
      <c r="G74" s="9">
        <f t="shared" si="10"/>
        <v>3.4217</v>
      </c>
      <c r="H74" s="620" t="e">
        <f t="shared" si="12"/>
        <v>#N/A</v>
      </c>
      <c r="I74" s="618" t="e">
        <f t="shared" si="13"/>
        <v>#N/A</v>
      </c>
      <c r="J74" s="125" t="e">
        <f t="shared" si="11"/>
        <v>#REF!</v>
      </c>
      <c r="K74" s="125" t="e">
        <f t="shared" si="14"/>
        <v>#REF!</v>
      </c>
      <c r="L74" s="5"/>
      <c r="M74" s="5"/>
      <c r="N74" s="5"/>
      <c r="O74" s="5" t="str">
        <f t="shared" si="15"/>
        <v>1214217</v>
      </c>
      <c r="P74" s="6">
        <f>VLOOKUP(O74,deuda!A$1:H$550,4,0)</f>
        <v>1</v>
      </c>
      <c r="Q74" s="6">
        <f>VLOOKUP(O74,deuda!A$1:H$550,5,0)</f>
        <v>1</v>
      </c>
      <c r="R74" s="6">
        <f>IF(VLOOKUP(O74,deuda!A$1:H$550,6,0)=0,"",VLOOKUP(O74,deuda!A$1:H$550,6,0))</f>
        <v>813.9</v>
      </c>
      <c r="S74" s="149" t="str">
        <f>IF((VLOOKUP(O74,deuda!A$1:H$550,7,0))=0,"",VLOOKUP(O74,deuda!A$1:H$550,7,0))</f>
        <v/>
      </c>
      <c r="T74" s="153" t="str">
        <f>IF((VLOOKUP(O74,deuda!A$1:H$550,8,0))=0,"",VLOOKUP(O74,deuda!A$1:H$550,8,0))</f>
        <v/>
      </c>
    </row>
    <row r="75" spans="1:20" s="10" customFormat="1">
      <c r="A75" s="26">
        <v>7</v>
      </c>
      <c r="B75" s="5">
        <v>1214</v>
      </c>
      <c r="C75" s="5">
        <v>115</v>
      </c>
      <c r="D75" s="21">
        <v>1.8146</v>
      </c>
      <c r="E75" s="21" t="e">
        <f>IF((VLOOKUP(O75,deuda!A$1:H$550,4,0))=1,D75,0)</f>
        <v>#N/A</v>
      </c>
      <c r="F75" s="5" t="s">
        <v>585</v>
      </c>
      <c r="G75" s="9" t="e">
        <f t="shared" si="10"/>
        <v>#N/A</v>
      </c>
      <c r="H75" s="620" t="e">
        <f t="shared" si="12"/>
        <v>#N/A</v>
      </c>
      <c r="I75" s="618" t="e">
        <f t="shared" si="13"/>
        <v>#N/A</v>
      </c>
      <c r="J75" s="125" t="e">
        <f t="shared" si="11"/>
        <v>#REF!</v>
      </c>
      <c r="K75" s="125" t="e">
        <f t="shared" si="14"/>
        <v>#REF!</v>
      </c>
      <c r="L75" s="5"/>
      <c r="M75" s="5"/>
      <c r="N75" s="5"/>
      <c r="O75" s="5" t="str">
        <f t="shared" si="15"/>
        <v>1214115</v>
      </c>
      <c r="P75" s="6" t="e">
        <f>VLOOKUP(O75,deuda!A$1:H$550,4,0)</f>
        <v>#N/A</v>
      </c>
      <c r="Q75" s="6" t="e">
        <f>VLOOKUP(O75,deuda!A$1:H$550,5,0)</f>
        <v>#N/A</v>
      </c>
      <c r="R75" s="6" t="e">
        <f>IF(VLOOKUP(O75,deuda!A$1:H$550,6,0)=0,"",VLOOKUP(O75,deuda!A$1:H$550,6,0))</f>
        <v>#N/A</v>
      </c>
      <c r="S75" s="149" t="e">
        <f>IF((VLOOKUP(O75,deuda!A$1:H$550,7,0))=0,"",VLOOKUP(O75,deuda!A$1:H$550,7,0))</f>
        <v>#N/A</v>
      </c>
      <c r="T75" s="153" t="e">
        <f>IF((VLOOKUP(O75,deuda!A$1:H$550,8,0))=0,"",VLOOKUP(O75,deuda!A$1:H$550,8,0))</f>
        <v>#N/A</v>
      </c>
    </row>
    <row r="76" spans="1:20">
      <c r="A76" s="26">
        <v>6</v>
      </c>
      <c r="B76" s="5">
        <v>1214</v>
      </c>
      <c r="C76" s="5">
        <v>274</v>
      </c>
      <c r="D76" s="21">
        <v>2.6815000000000002</v>
      </c>
      <c r="E76" s="21" t="e">
        <f>IF((VLOOKUP(O76,deuda!A$1:H$550,4,0))=1,D76,0)</f>
        <v>#N/A</v>
      </c>
      <c r="F76" s="5" t="s">
        <v>586</v>
      </c>
      <c r="G76" s="9" t="e">
        <f t="shared" si="10"/>
        <v>#N/A</v>
      </c>
      <c r="H76" s="620" t="e">
        <f t="shared" si="12"/>
        <v>#N/A</v>
      </c>
      <c r="I76" s="618" t="e">
        <f t="shared" si="13"/>
        <v>#N/A</v>
      </c>
      <c r="J76" s="125" t="e">
        <f t="shared" si="11"/>
        <v>#REF!</v>
      </c>
      <c r="K76" s="125" t="e">
        <f t="shared" si="14"/>
        <v>#REF!</v>
      </c>
      <c r="L76" s="5"/>
      <c r="M76" s="5"/>
      <c r="N76" s="5"/>
      <c r="O76" s="5" t="str">
        <f t="shared" si="15"/>
        <v>1214274</v>
      </c>
      <c r="P76" s="6" t="e">
        <f>VLOOKUP(O76,deuda!A$1:H$550,4,0)</f>
        <v>#N/A</v>
      </c>
      <c r="Q76" s="6" t="e">
        <f>VLOOKUP(O76,deuda!A$1:H$550,5,0)</f>
        <v>#N/A</v>
      </c>
      <c r="R76" s="6" t="e">
        <f>IF(VLOOKUP(O76,deuda!A$1:H$550,6,0)=0,"",VLOOKUP(O76,deuda!A$1:H$550,6,0))</f>
        <v>#N/A</v>
      </c>
      <c r="S76" s="149" t="e">
        <f>IF((VLOOKUP(O76,deuda!A$1:H$550,7,0))=0,"",VLOOKUP(O76,deuda!A$1:H$550,7,0))</f>
        <v>#N/A</v>
      </c>
      <c r="T76" s="153" t="e">
        <f>IF((VLOOKUP(O76,deuda!A$1:H$550,8,0))=0,"",VLOOKUP(O76,deuda!A$1:H$550,8,0))</f>
        <v>#N/A</v>
      </c>
    </row>
    <row r="77" spans="1:20">
      <c r="A77" s="26">
        <v>5</v>
      </c>
      <c r="B77" s="5">
        <v>1214</v>
      </c>
      <c r="C77" s="5">
        <v>267</v>
      </c>
      <c r="D77" s="21">
        <v>2.6991000000000001</v>
      </c>
      <c r="E77" s="21" t="e">
        <f>IF((VLOOKUP(O77,deuda!A$1:H$550,4,0))=1,D77,0)</f>
        <v>#N/A</v>
      </c>
      <c r="F77" s="5" t="s">
        <v>587</v>
      </c>
      <c r="G77" s="9" t="e">
        <f t="shared" si="10"/>
        <v>#N/A</v>
      </c>
      <c r="H77" s="620" t="e">
        <f t="shared" si="12"/>
        <v>#N/A</v>
      </c>
      <c r="I77" s="618" t="e">
        <f t="shared" si="13"/>
        <v>#N/A</v>
      </c>
      <c r="J77" s="125" t="e">
        <f t="shared" si="11"/>
        <v>#REF!</v>
      </c>
      <c r="K77" s="125" t="e">
        <f t="shared" si="14"/>
        <v>#REF!</v>
      </c>
      <c r="L77" s="5"/>
      <c r="M77" s="5"/>
      <c r="N77" s="5"/>
      <c r="O77" s="5" t="str">
        <f t="shared" si="15"/>
        <v>1214267</v>
      </c>
      <c r="P77" s="6" t="e">
        <f>VLOOKUP(O77,deuda!A$1:H$550,4,0)</f>
        <v>#N/A</v>
      </c>
      <c r="Q77" s="6" t="e">
        <f>VLOOKUP(O77,deuda!A$1:H$550,5,0)</f>
        <v>#N/A</v>
      </c>
      <c r="R77" s="6" t="e">
        <f>IF(VLOOKUP(O77,deuda!A$1:H$550,6,0)=0,"",VLOOKUP(O77,deuda!A$1:H$550,6,0))</f>
        <v>#N/A</v>
      </c>
      <c r="S77" s="149" t="e">
        <f>IF((VLOOKUP(O77,deuda!A$1:H$550,7,0))=0,"",VLOOKUP(O77,deuda!A$1:H$550,7,0))</f>
        <v>#N/A</v>
      </c>
      <c r="T77" s="153" t="e">
        <f>IF((VLOOKUP(O77,deuda!A$1:H$550,8,0))=0,"",VLOOKUP(O77,deuda!A$1:H$550,8,0))</f>
        <v>#N/A</v>
      </c>
    </row>
    <row r="78" spans="1:20">
      <c r="A78" s="26">
        <v>4</v>
      </c>
      <c r="B78" s="5">
        <v>1214</v>
      </c>
      <c r="C78" s="5">
        <v>219</v>
      </c>
      <c r="D78" s="21">
        <v>7.44</v>
      </c>
      <c r="E78" s="21">
        <f>IF((VLOOKUP(O78,deuda!A$1:H$550,4,0))=1,D78,0)</f>
        <v>7.44</v>
      </c>
      <c r="F78" s="5" t="s">
        <v>417</v>
      </c>
      <c r="G78" s="9">
        <f t="shared" si="10"/>
        <v>7.44</v>
      </c>
      <c r="H78" s="620" t="e">
        <f t="shared" si="12"/>
        <v>#N/A</v>
      </c>
      <c r="I78" s="618" t="e">
        <f t="shared" si="13"/>
        <v>#N/A</v>
      </c>
      <c r="J78" s="125" t="e">
        <f t="shared" si="11"/>
        <v>#REF!</v>
      </c>
      <c r="K78" s="125" t="e">
        <f t="shared" si="14"/>
        <v>#REF!</v>
      </c>
      <c r="L78" s="5"/>
      <c r="M78" s="5"/>
      <c r="N78" s="5"/>
      <c r="O78" s="5" t="str">
        <f t="shared" si="15"/>
        <v>1214219</v>
      </c>
      <c r="P78" s="6">
        <f>VLOOKUP(O78,deuda!A$1:H$550,4,0)</f>
        <v>1</v>
      </c>
      <c r="Q78" s="6">
        <f>VLOOKUP(O78,deuda!A$1:H$550,5,0)</f>
        <v>0</v>
      </c>
      <c r="R78" s="6" t="str">
        <f>IF(VLOOKUP(O78,deuda!A$1:H$550,6,0)=0,"",VLOOKUP(O78,deuda!A$1:H$550,6,0))</f>
        <v/>
      </c>
      <c r="S78" s="149" t="str">
        <f>IF((VLOOKUP(O78,deuda!A$1:H$550,7,0))=0,"",VLOOKUP(O78,deuda!A$1:H$550,7,0))</f>
        <v/>
      </c>
      <c r="T78" s="153" t="str">
        <f>IF((VLOOKUP(O78,deuda!A$1:H$550,8,0))=0,"",VLOOKUP(O78,deuda!A$1:H$550,8,0))</f>
        <v/>
      </c>
    </row>
    <row r="79" spans="1:20">
      <c r="A79" s="26">
        <v>3</v>
      </c>
      <c r="B79" s="5">
        <v>1214</v>
      </c>
      <c r="C79" s="5">
        <v>187</v>
      </c>
      <c r="D79" s="21">
        <v>5.2191999999999998</v>
      </c>
      <c r="E79" s="21" t="e">
        <f>IF((VLOOKUP(O79,deuda!A$1:H$550,4,0))=1,D79,0)</f>
        <v>#N/A</v>
      </c>
      <c r="F79" s="5" t="s">
        <v>588</v>
      </c>
      <c r="G79" s="9" t="e">
        <f t="shared" si="10"/>
        <v>#N/A</v>
      </c>
      <c r="H79" s="620" t="e">
        <f t="shared" si="12"/>
        <v>#N/A</v>
      </c>
      <c r="I79" s="618" t="e">
        <f t="shared" si="13"/>
        <v>#N/A</v>
      </c>
      <c r="J79" s="125" t="e">
        <f t="shared" si="11"/>
        <v>#REF!</v>
      </c>
      <c r="K79" s="125" t="e">
        <f t="shared" si="14"/>
        <v>#REF!</v>
      </c>
      <c r="L79" s="5"/>
      <c r="M79" s="5"/>
      <c r="N79" s="5"/>
      <c r="O79" s="5" t="str">
        <f t="shared" si="15"/>
        <v>1214187</v>
      </c>
      <c r="P79" s="6" t="e">
        <f>VLOOKUP(O79,deuda!A$1:H$550,4,0)</f>
        <v>#N/A</v>
      </c>
      <c r="Q79" s="6" t="e">
        <f>VLOOKUP(O79,deuda!A$1:H$550,5,0)</f>
        <v>#N/A</v>
      </c>
      <c r="R79" s="6" t="e">
        <f>IF(VLOOKUP(O79,deuda!A$1:H$550,6,0)=0,"",VLOOKUP(O79,deuda!A$1:H$550,6,0))</f>
        <v>#N/A</v>
      </c>
      <c r="S79" s="149" t="e">
        <f>IF((VLOOKUP(O79,deuda!A$1:H$550,7,0))=0,"",VLOOKUP(O79,deuda!A$1:H$550,7,0))</f>
        <v>#N/A</v>
      </c>
      <c r="T79" s="153" t="e">
        <f>IF((VLOOKUP(O79,deuda!A$1:H$550,8,0))=0,"",VLOOKUP(O79,deuda!A$1:H$550,8,0))</f>
        <v>#N/A</v>
      </c>
    </row>
    <row r="80" spans="1:20">
      <c r="A80" s="26">
        <v>2</v>
      </c>
      <c r="B80" s="5">
        <v>1214</v>
      </c>
      <c r="C80" s="5">
        <v>32</v>
      </c>
      <c r="D80" s="21">
        <v>0.56000000000000005</v>
      </c>
      <c r="E80" s="21">
        <f>IF((VLOOKUP(O80,deuda!A$1:H$550,4,0))=1,D80,0)</f>
        <v>0</v>
      </c>
      <c r="F80" s="5" t="s">
        <v>589</v>
      </c>
      <c r="G80" s="9">
        <f t="shared" si="10"/>
        <v>0</v>
      </c>
      <c r="H80" s="620" t="e">
        <f t="shared" si="12"/>
        <v>#N/A</v>
      </c>
      <c r="I80" s="618" t="e">
        <f t="shared" si="13"/>
        <v>#N/A</v>
      </c>
      <c r="J80" s="125" t="e">
        <f>+K81</f>
        <v>#REF!</v>
      </c>
      <c r="K80" s="125" t="e">
        <f t="shared" si="14"/>
        <v>#REF!</v>
      </c>
      <c r="L80" s="5"/>
      <c r="M80" s="5"/>
      <c r="N80" s="5"/>
      <c r="O80" s="5" t="str">
        <f t="shared" si="15"/>
        <v>121432</v>
      </c>
      <c r="P80" s="6">
        <f>VLOOKUP(O80,deuda!A$1:H$550,4,0)</f>
        <v>0</v>
      </c>
      <c r="Q80" s="6">
        <f>VLOOKUP(O80,deuda!A$1:H$550,5,0)</f>
        <v>3</v>
      </c>
      <c r="R80" s="6">
        <f>IF(VLOOKUP(O80,deuda!A$1:H$550,6,0)=0,"",VLOOKUP(O80,deuda!A$1:H$550,6,0))</f>
        <v>728.7</v>
      </c>
      <c r="S80" s="149" t="str">
        <f>IF((VLOOKUP(O80,deuda!A$1:H$550,7,0))=0,"",VLOOKUP(O80,deuda!A$1:H$550,7,0))</f>
        <v/>
      </c>
      <c r="T80" s="153" t="str">
        <f>IF((VLOOKUP(O80,deuda!A$1:H$550,8,0))=0,"",VLOOKUP(O80,deuda!A$1:H$550,8,0))</f>
        <v/>
      </c>
    </row>
    <row r="81" spans="1:20" ht="13.5" thickBot="1">
      <c r="A81" s="132">
        <v>1</v>
      </c>
      <c r="B81" s="29">
        <v>1214</v>
      </c>
      <c r="C81" s="29">
        <v>126</v>
      </c>
      <c r="D81" s="46">
        <v>3.8416999999999999</v>
      </c>
      <c r="E81" s="46">
        <f>IF((VLOOKUP(O81,deuda!A$1:H$550,4,0))=1,D81,0)</f>
        <v>3.8416999999999999</v>
      </c>
      <c r="F81" s="29" t="s">
        <v>590</v>
      </c>
      <c r="G81" s="40">
        <f>+E81*0.8</f>
        <v>3.0733600000000001</v>
      </c>
      <c r="H81" s="630" t="e">
        <f t="shared" si="12"/>
        <v>#N/A</v>
      </c>
      <c r="I81" s="621" t="e">
        <f t="shared" si="13"/>
        <v>#N/A</v>
      </c>
      <c r="J81" s="127" t="e">
        <f>+C60+H62</f>
        <v>#REF!</v>
      </c>
      <c r="K81" s="127" t="e">
        <f>+J81+I81</f>
        <v>#REF!</v>
      </c>
      <c r="L81" s="29"/>
      <c r="M81" s="29"/>
      <c r="N81" s="29"/>
      <c r="O81" s="29" t="str">
        <f t="shared" si="15"/>
        <v>1214126</v>
      </c>
      <c r="P81" s="33">
        <f>VLOOKUP(O81,deuda!A$1:H$550,4,0)</f>
        <v>1</v>
      </c>
      <c r="Q81" s="33">
        <f>VLOOKUP(O81,deuda!A$1:H$550,5,0)</f>
        <v>2</v>
      </c>
      <c r="R81" s="33">
        <f>IF(VLOOKUP(O81,deuda!A$1:H$550,6,0)=0,"",VLOOKUP(O81,deuda!A$1:H$550,6,0))</f>
        <v>1777.22</v>
      </c>
      <c r="S81" s="154" t="str">
        <f>IF((VLOOKUP(O81,deuda!A$1:H$550,7,0))=0,"",VLOOKUP(O81,deuda!A$1:H$550,7,0))</f>
        <v/>
      </c>
      <c r="T81" s="155" t="str">
        <f>IF((VLOOKUP(O81,deuda!A$1:H$550,8,0))=0,"",VLOOKUP(O81,deuda!A$1:H$550,8,0))</f>
        <v/>
      </c>
    </row>
    <row r="82" spans="1:20">
      <c r="A82" s="10"/>
      <c r="B82" s="10"/>
      <c r="C82" s="10"/>
      <c r="D82" s="84">
        <f>SUM(D68:D81)</f>
        <v>42.299600000000005</v>
      </c>
      <c r="E82" s="85" t="e">
        <f>SUM(E68:E81)</f>
        <v>#N/A</v>
      </c>
      <c r="G82" s="73" t="e">
        <f>SUM(G68:G81)</f>
        <v>#N/A</v>
      </c>
      <c r="H82" s="88" t="e">
        <f>SUM(H68:H81)</f>
        <v>#N/A</v>
      </c>
      <c r="I82" s="89" t="e">
        <f>SUM(I68:I81)</f>
        <v>#N/A</v>
      </c>
      <c r="J82" s="10"/>
      <c r="K82" s="10"/>
      <c r="L82" s="10"/>
      <c r="M82" s="10"/>
    </row>
    <row r="83" spans="1:20">
      <c r="A83" s="10"/>
      <c r="B83" s="10"/>
      <c r="C83" s="10"/>
      <c r="D83" s="10"/>
      <c r="E83" s="84"/>
      <c r="F83" s="84"/>
      <c r="G83" s="10"/>
      <c r="H83" s="98"/>
      <c r="I83" s="10"/>
    </row>
    <row r="84" spans="1:20">
      <c r="A84" s="10"/>
      <c r="B84" s="10"/>
      <c r="C84" s="10"/>
      <c r="E84" s="84"/>
      <c r="F84" s="84"/>
      <c r="G84" s="10"/>
      <c r="H84" s="10"/>
      <c r="I84" s="10"/>
      <c r="J84" s="102"/>
      <c r="K84" s="102"/>
      <c r="L84" s="102"/>
      <c r="M84" s="102"/>
    </row>
    <row r="85" spans="1:20">
      <c r="A85" s="10"/>
      <c r="B85" s="10"/>
      <c r="C85" s="10"/>
      <c r="E85" s="84"/>
      <c r="F85" s="84"/>
      <c r="G85" s="10"/>
      <c r="H85" s="102"/>
      <c r="I85" s="10"/>
    </row>
    <row r="86" spans="1:20">
      <c r="A86" s="10"/>
      <c r="B86" s="10"/>
      <c r="C86" s="10"/>
      <c r="D86" s="10"/>
      <c r="E86" s="84"/>
      <c r="F86" s="84"/>
      <c r="G86" s="10"/>
      <c r="H86" s="102"/>
      <c r="I86" s="10"/>
    </row>
    <row r="87" spans="1:20">
      <c r="A87" s="47" t="s">
        <v>591</v>
      </c>
      <c r="B87" s="10"/>
      <c r="C87" s="10"/>
      <c r="D87" s="10"/>
      <c r="E87" s="84"/>
      <c r="F87" s="84"/>
      <c r="G87" s="10"/>
      <c r="H87" s="102"/>
      <c r="I87" s="10"/>
    </row>
    <row r="88" spans="1:20">
      <c r="A88" s="10"/>
      <c r="B88" s="10"/>
      <c r="C88" s="10"/>
      <c r="D88" s="10"/>
      <c r="E88" s="84"/>
      <c r="F88" s="84"/>
      <c r="G88" s="10"/>
      <c r="H88" s="102"/>
      <c r="I88" s="10"/>
    </row>
    <row r="89" spans="1:20">
      <c r="C89" s="1" t="s">
        <v>565</v>
      </c>
      <c r="H89" s="78"/>
      <c r="J89" s="10"/>
      <c r="K89" s="10"/>
      <c r="L89" s="10"/>
      <c r="M89" s="10"/>
    </row>
    <row r="90" spans="1:20" ht="13.5" thickBot="1">
      <c r="H90" s="78"/>
      <c r="J90" s="10"/>
      <c r="K90" s="10"/>
      <c r="L90" s="10"/>
      <c r="M90" s="10"/>
    </row>
    <row r="91" spans="1:20">
      <c r="A91" s="688" t="s">
        <v>92</v>
      </c>
      <c r="B91" s="689"/>
      <c r="C91" s="690" t="e">
        <f>+C60</f>
        <v>#REF!</v>
      </c>
      <c r="D91" s="691"/>
      <c r="E91" s="3"/>
      <c r="F91" s="3"/>
      <c r="G91" s="24" t="s">
        <v>93</v>
      </c>
      <c r="H91" s="200" t="e">
        <f>+H60</f>
        <v>#N/A</v>
      </c>
    </row>
    <row r="92" spans="1:20" ht="13.5" thickBot="1">
      <c r="A92" s="692" t="s">
        <v>94</v>
      </c>
      <c r="B92" s="693"/>
      <c r="C92" s="694" t="e">
        <f>+K99</f>
        <v>#REF!</v>
      </c>
      <c r="D92" s="695"/>
      <c r="E92" s="3"/>
      <c r="F92" s="3"/>
      <c r="G92" s="26" t="s">
        <v>95</v>
      </c>
      <c r="H92" s="171">
        <v>0</v>
      </c>
      <c r="I92" s="3"/>
      <c r="K92" s="635"/>
    </row>
    <row r="93" spans="1:20" ht="13.5" thickBot="1">
      <c r="G93" s="132" t="s">
        <v>96</v>
      </c>
      <c r="H93" s="172">
        <v>6.25E-2</v>
      </c>
    </row>
    <row r="95" spans="1:20">
      <c r="A95" s="696" t="s">
        <v>97</v>
      </c>
      <c r="B95" s="696"/>
      <c r="C95" s="168" t="e">
        <f>H91-(H92+H93)</f>
        <v>#N/A</v>
      </c>
      <c r="D95" s="558" t="s">
        <v>98</v>
      </c>
      <c r="E95" s="169" t="e">
        <f>+C95*60</f>
        <v>#N/A</v>
      </c>
      <c r="F95" s="558" t="s">
        <v>99</v>
      </c>
      <c r="G95" s="167" t="e">
        <f>+G117</f>
        <v>#N/A</v>
      </c>
      <c r="H95" s="558" t="s">
        <v>100</v>
      </c>
      <c r="I95" s="168" t="e">
        <f>+E95/G95</f>
        <v>#N/A</v>
      </c>
    </row>
    <row r="97" spans="1:20" ht="13.5" thickBot="1"/>
    <row r="98" spans="1:20" s="397" customFormat="1" ht="13.5" thickBot="1">
      <c r="A98" s="395" t="s">
        <v>102</v>
      </c>
      <c r="B98" s="396" t="s">
        <v>566</v>
      </c>
      <c r="C98" s="396" t="s">
        <v>104</v>
      </c>
      <c r="D98" s="396" t="s">
        <v>567</v>
      </c>
      <c r="E98" s="396" t="s">
        <v>568</v>
      </c>
      <c r="F98" s="396" t="s">
        <v>569</v>
      </c>
      <c r="G98" s="396" t="s">
        <v>570</v>
      </c>
      <c r="H98" s="372" t="s">
        <v>304</v>
      </c>
      <c r="I98" s="372" t="s">
        <v>110</v>
      </c>
      <c r="J98" s="372" t="s">
        <v>156</v>
      </c>
      <c r="K98" s="372" t="s">
        <v>157</v>
      </c>
      <c r="L98" s="372" t="s">
        <v>114</v>
      </c>
      <c r="M98" s="393" t="s">
        <v>158</v>
      </c>
      <c r="N98" s="372" t="s">
        <v>116</v>
      </c>
      <c r="O98" s="372" t="s">
        <v>117</v>
      </c>
      <c r="P98" s="372" t="s">
        <v>118</v>
      </c>
      <c r="Q98" s="372" t="s">
        <v>119</v>
      </c>
      <c r="R98" s="372" t="s">
        <v>120</v>
      </c>
      <c r="S98" s="372" t="s">
        <v>121</v>
      </c>
      <c r="T98" s="394" t="s">
        <v>122</v>
      </c>
    </row>
    <row r="99" spans="1:20" ht="13.5" thickTop="1">
      <c r="A99" s="133">
        <v>8</v>
      </c>
      <c r="B99" s="52">
        <v>1214</v>
      </c>
      <c r="C99" s="52">
        <v>40</v>
      </c>
      <c r="D99" s="44">
        <v>0.7177</v>
      </c>
      <c r="E99" s="44">
        <f>IF((VLOOKUP(O99,deuda!A$1:H$550,4,0))=1,D99,0)</f>
        <v>0.7177</v>
      </c>
      <c r="F99" s="52" t="s">
        <v>592</v>
      </c>
      <c r="G99" s="392">
        <f>E99</f>
        <v>0.7177</v>
      </c>
      <c r="H99" s="629" t="e">
        <f>+$I$95*G99</f>
        <v>#N/A</v>
      </c>
      <c r="I99" s="580" t="e">
        <f>+H99/60</f>
        <v>#N/A</v>
      </c>
      <c r="J99" s="174" t="e">
        <f t="shared" ref="J99:J114" si="16">+K100</f>
        <v>#REF!</v>
      </c>
      <c r="K99" s="174" t="e">
        <f>+J99+I99</f>
        <v>#REF!</v>
      </c>
      <c r="L99" s="52"/>
      <c r="M99" s="52"/>
      <c r="N99" s="52"/>
      <c r="O99" s="52" t="str">
        <f>+CONCATENATE(B99,C99)</f>
        <v>121440</v>
      </c>
      <c r="P99" s="150">
        <f>VLOOKUP(O99,deuda!A$1:H$550,4,0)</f>
        <v>1</v>
      </c>
      <c r="Q99" s="150">
        <f>VLOOKUP(O99,deuda!A$1:H$550,5,0)</f>
        <v>0</v>
      </c>
      <c r="R99" s="150" t="str">
        <f>IF(VLOOKUP(O99,deuda!A$1:H$550,6,0)=0,"",VLOOKUP(O99,deuda!A$1:H$550,6,0))</f>
        <v/>
      </c>
      <c r="S99" s="151" t="str">
        <f>IF((VLOOKUP(O99,deuda!A$1:H$550,7,0))=0,"",VLOOKUP(O99,deuda!A$1:H$550,7,0))</f>
        <v/>
      </c>
      <c r="T99" s="152" t="str">
        <f>IF((VLOOKUP(O99,deuda!A$1:H$550,8,0))=0,"",VLOOKUP(O99,deuda!A$1:H$550,8,0))</f>
        <v/>
      </c>
    </row>
    <row r="100" spans="1:20">
      <c r="A100" s="26">
        <v>8</v>
      </c>
      <c r="B100" s="5">
        <v>1214</v>
      </c>
      <c r="C100" s="5">
        <v>224</v>
      </c>
      <c r="D100" s="21">
        <v>0.95</v>
      </c>
      <c r="E100" s="21">
        <f>IF((VLOOKUP(O100,deuda!A$1:H$550,4,0))=1,D100,0)</f>
        <v>0.95</v>
      </c>
      <c r="F100" s="5" t="s">
        <v>593</v>
      </c>
      <c r="G100" s="101">
        <f>E100</f>
        <v>0.95</v>
      </c>
      <c r="H100" s="620" t="e">
        <f t="shared" ref="H100:H116" si="17">+$I$95*G100</f>
        <v>#N/A</v>
      </c>
      <c r="I100" s="618" t="e">
        <f t="shared" ref="I100:I116" si="18">+H100/60</f>
        <v>#N/A</v>
      </c>
      <c r="J100" s="125" t="e">
        <f t="shared" si="16"/>
        <v>#REF!</v>
      </c>
      <c r="K100" s="125" t="e">
        <f>+J100+I100</f>
        <v>#REF!</v>
      </c>
      <c r="L100" s="5"/>
      <c r="M100" s="5"/>
      <c r="N100" s="5"/>
      <c r="O100" s="5" t="str">
        <f>+CONCATENATE(B100,C100)</f>
        <v>1214224</v>
      </c>
      <c r="P100" s="6">
        <f>VLOOKUP(O100,deuda!A$1:H$550,4,0)</f>
        <v>1</v>
      </c>
      <c r="Q100" s="6">
        <f>VLOOKUP(O100,deuda!A$1:H$550,5,0)</f>
        <v>0</v>
      </c>
      <c r="R100" s="6" t="str">
        <f>IF(VLOOKUP(O100,deuda!A$1:H$550,6,0)=0,"",VLOOKUP(O100,deuda!A$1:H$550,6,0))</f>
        <v/>
      </c>
      <c r="S100" s="149" t="str">
        <f>IF((VLOOKUP(O100,deuda!A$1:H$550,7,0))=0,"",VLOOKUP(O100,deuda!A$1:H$550,7,0))</f>
        <v/>
      </c>
      <c r="T100" s="153" t="str">
        <f>IF((VLOOKUP(O100,deuda!A$1:H$550,8,0))=0,"",VLOOKUP(O100,deuda!A$1:H$550,8,0))</f>
        <v/>
      </c>
    </row>
    <row r="101" spans="1:20">
      <c r="A101" s="26">
        <v>8</v>
      </c>
      <c r="B101" s="5">
        <v>1214</v>
      </c>
      <c r="C101" s="5">
        <v>225</v>
      </c>
      <c r="D101" s="21">
        <v>0.95</v>
      </c>
      <c r="E101" s="21">
        <f>IF((VLOOKUP(O101,deuda!A$1:H$550,4,0))=1,D101,0)</f>
        <v>0.95</v>
      </c>
      <c r="F101" s="5" t="s">
        <v>593</v>
      </c>
      <c r="G101" s="9">
        <v>0</v>
      </c>
      <c r="H101" s="620" t="e">
        <f t="shared" si="17"/>
        <v>#N/A</v>
      </c>
      <c r="I101" s="618" t="e">
        <f t="shared" si="18"/>
        <v>#N/A</v>
      </c>
      <c r="J101" s="125" t="e">
        <f t="shared" si="16"/>
        <v>#REF!</v>
      </c>
      <c r="K101" s="125" t="e">
        <f t="shared" ref="K101:K115" si="19">+J101+I101</f>
        <v>#REF!</v>
      </c>
      <c r="L101" s="5"/>
      <c r="M101" s="5"/>
      <c r="N101" s="5"/>
      <c r="O101" s="5" t="str">
        <f t="shared" ref="O101:O116" si="20">+CONCATENATE(B101,C101)</f>
        <v>1214225</v>
      </c>
      <c r="P101" s="6">
        <f>VLOOKUP(O101,deuda!A$1:H$550,4,0)</f>
        <v>1</v>
      </c>
      <c r="Q101" s="6">
        <f>VLOOKUP(O101,deuda!A$1:H$550,5,0)</f>
        <v>2</v>
      </c>
      <c r="R101" s="6">
        <f>IF(VLOOKUP(O101,deuda!A$1:H$550,6,0)=0,"",VLOOKUP(O101,deuda!A$1:H$550,6,0))</f>
        <v>477.6</v>
      </c>
      <c r="S101" s="149" t="str">
        <f>IF((VLOOKUP(O101,deuda!A$1:H$550,7,0))=0,"",VLOOKUP(O101,deuda!A$1:H$550,7,0))</f>
        <v/>
      </c>
      <c r="T101" s="153" t="str">
        <f>IF((VLOOKUP(O101,deuda!A$1:H$550,8,0))=0,"",VLOOKUP(O101,deuda!A$1:H$550,8,0))</f>
        <v/>
      </c>
    </row>
    <row r="102" spans="1:20">
      <c r="A102" s="26">
        <v>8</v>
      </c>
      <c r="B102" s="5">
        <v>1214</v>
      </c>
      <c r="C102" s="5">
        <v>227</v>
      </c>
      <c r="D102" s="21">
        <v>0.95</v>
      </c>
      <c r="E102" s="21" t="e">
        <f>IF((VLOOKUP(O102,deuda!A$1:H$550,4,0))=1,D102,0)</f>
        <v>#N/A</v>
      </c>
      <c r="F102" s="5" t="s">
        <v>593</v>
      </c>
      <c r="G102" s="101" t="e">
        <f t="shared" ref="G102:G114" si="21">E102</f>
        <v>#N/A</v>
      </c>
      <c r="H102" s="620" t="e">
        <f t="shared" si="17"/>
        <v>#N/A</v>
      </c>
      <c r="I102" s="618" t="e">
        <f t="shared" si="18"/>
        <v>#N/A</v>
      </c>
      <c r="J102" s="125" t="e">
        <f t="shared" si="16"/>
        <v>#REF!</v>
      </c>
      <c r="K102" s="125" t="e">
        <f t="shared" si="19"/>
        <v>#REF!</v>
      </c>
      <c r="L102" s="5"/>
      <c r="M102" s="5"/>
      <c r="N102" s="5"/>
      <c r="O102" s="5" t="str">
        <f t="shared" si="20"/>
        <v>1214227</v>
      </c>
      <c r="P102" s="6" t="e">
        <f>VLOOKUP(O102,deuda!A$1:H$550,4,0)</f>
        <v>#N/A</v>
      </c>
      <c r="Q102" s="6" t="e">
        <f>VLOOKUP(O102,deuda!A$1:H$550,5,0)</f>
        <v>#N/A</v>
      </c>
      <c r="R102" s="6" t="e">
        <f>IF(VLOOKUP(O102,deuda!A$1:H$550,6,0)=0,"",VLOOKUP(O102,deuda!A$1:H$550,6,0))</f>
        <v>#N/A</v>
      </c>
      <c r="S102" s="149" t="e">
        <f>IF((VLOOKUP(O102,deuda!A$1:H$550,7,0))=0,"",VLOOKUP(O102,deuda!A$1:H$550,7,0))</f>
        <v>#N/A</v>
      </c>
      <c r="T102" s="153" t="e">
        <f>IF((VLOOKUP(O102,deuda!A$1:H$550,8,0))=0,"",VLOOKUP(O102,deuda!A$1:H$550,8,0))</f>
        <v>#N/A</v>
      </c>
    </row>
    <row r="103" spans="1:20">
      <c r="A103" s="26">
        <v>8</v>
      </c>
      <c r="B103" s="5">
        <v>1214</v>
      </c>
      <c r="C103" s="5">
        <v>228</v>
      </c>
      <c r="D103" s="21">
        <v>0.95</v>
      </c>
      <c r="E103" s="21" t="e">
        <f>IF((VLOOKUP(O103,deuda!A$1:H$550,4,0))=1,D103,0)</f>
        <v>#N/A</v>
      </c>
      <c r="F103" s="5" t="s">
        <v>593</v>
      </c>
      <c r="G103" s="101" t="e">
        <f t="shared" si="21"/>
        <v>#N/A</v>
      </c>
      <c r="H103" s="620" t="e">
        <f t="shared" si="17"/>
        <v>#N/A</v>
      </c>
      <c r="I103" s="618" t="e">
        <f t="shared" si="18"/>
        <v>#N/A</v>
      </c>
      <c r="J103" s="125" t="e">
        <f t="shared" si="16"/>
        <v>#REF!</v>
      </c>
      <c r="K103" s="125" t="e">
        <f t="shared" si="19"/>
        <v>#REF!</v>
      </c>
      <c r="L103" s="5"/>
      <c r="M103" s="5"/>
      <c r="N103" s="5"/>
      <c r="O103" s="5" t="str">
        <f t="shared" si="20"/>
        <v>1214228</v>
      </c>
      <c r="P103" s="6" t="e">
        <f>VLOOKUP(O103,deuda!A$1:H$550,4,0)</f>
        <v>#N/A</v>
      </c>
      <c r="Q103" s="6" t="e">
        <f>VLOOKUP(O103,deuda!A$1:H$550,5,0)</f>
        <v>#N/A</v>
      </c>
      <c r="R103" s="6" t="e">
        <f>IF(VLOOKUP(O103,deuda!A$1:H$550,6,0)=0,"",VLOOKUP(O103,deuda!A$1:H$550,6,0))</f>
        <v>#N/A</v>
      </c>
      <c r="S103" s="149" t="e">
        <f>IF((VLOOKUP(O103,deuda!A$1:H$550,7,0))=0,"",VLOOKUP(O103,deuda!A$1:H$550,7,0))</f>
        <v>#N/A</v>
      </c>
      <c r="T103" s="153" t="e">
        <f>IF((VLOOKUP(O103,deuda!A$1:H$550,8,0))=0,"",VLOOKUP(O103,deuda!A$1:H$550,8,0))</f>
        <v>#N/A</v>
      </c>
    </row>
    <row r="104" spans="1:20">
      <c r="A104" s="26">
        <v>8</v>
      </c>
      <c r="B104" s="5">
        <v>1214</v>
      </c>
      <c r="C104" s="5">
        <v>229</v>
      </c>
      <c r="D104" s="21">
        <v>0.95</v>
      </c>
      <c r="E104" s="21" t="e">
        <f>IF((VLOOKUP(O104,deuda!A$1:H$550,4,0))=1,D104,0)</f>
        <v>#N/A</v>
      </c>
      <c r="F104" s="5" t="s">
        <v>593</v>
      </c>
      <c r="G104" s="101" t="e">
        <f t="shared" si="21"/>
        <v>#N/A</v>
      </c>
      <c r="H104" s="620" t="e">
        <f t="shared" si="17"/>
        <v>#N/A</v>
      </c>
      <c r="I104" s="618" t="e">
        <f t="shared" si="18"/>
        <v>#N/A</v>
      </c>
      <c r="J104" s="125" t="e">
        <f t="shared" si="16"/>
        <v>#REF!</v>
      </c>
      <c r="K104" s="125" t="e">
        <f t="shared" si="19"/>
        <v>#REF!</v>
      </c>
      <c r="L104" s="5"/>
      <c r="M104" s="5"/>
      <c r="N104" s="5"/>
      <c r="O104" s="5" t="str">
        <f t="shared" si="20"/>
        <v>1214229</v>
      </c>
      <c r="P104" s="6" t="e">
        <f>VLOOKUP(O104,deuda!A$1:H$550,4,0)</f>
        <v>#N/A</v>
      </c>
      <c r="Q104" s="6" t="e">
        <f>VLOOKUP(O104,deuda!A$1:H$550,5,0)</f>
        <v>#N/A</v>
      </c>
      <c r="R104" s="6" t="e">
        <f>IF(VLOOKUP(O104,deuda!A$1:H$550,6,0)=0,"",VLOOKUP(O104,deuda!A$1:H$550,6,0))</f>
        <v>#N/A</v>
      </c>
      <c r="S104" s="149" t="e">
        <f>IF((VLOOKUP(O104,deuda!A$1:H$550,7,0))=0,"",VLOOKUP(O104,deuda!A$1:H$550,7,0))</f>
        <v>#N/A</v>
      </c>
      <c r="T104" s="153" t="e">
        <f>IF((VLOOKUP(O104,deuda!A$1:H$550,8,0))=0,"",VLOOKUP(O104,deuda!A$1:H$550,8,0))</f>
        <v>#N/A</v>
      </c>
    </row>
    <row r="105" spans="1:20">
      <c r="A105" s="26">
        <v>7</v>
      </c>
      <c r="B105" s="5">
        <v>1214</v>
      </c>
      <c r="C105" s="5">
        <v>203</v>
      </c>
      <c r="D105" s="21">
        <v>2.6972999999999998</v>
      </c>
      <c r="E105" s="21">
        <f>IF((VLOOKUP(O105,deuda!A$1:H$550,4,0))=1,D105,0)</f>
        <v>2.6972999999999998</v>
      </c>
      <c r="F105" s="5" t="s">
        <v>594</v>
      </c>
      <c r="G105" s="101">
        <f t="shared" si="21"/>
        <v>2.6972999999999998</v>
      </c>
      <c r="H105" s="620" t="e">
        <f t="shared" si="17"/>
        <v>#N/A</v>
      </c>
      <c r="I105" s="618" t="e">
        <f t="shared" si="18"/>
        <v>#N/A</v>
      </c>
      <c r="J105" s="125" t="e">
        <f t="shared" si="16"/>
        <v>#REF!</v>
      </c>
      <c r="K105" s="125" t="e">
        <f t="shared" si="19"/>
        <v>#REF!</v>
      </c>
      <c r="L105" s="5"/>
      <c r="M105" s="5"/>
      <c r="N105" s="5"/>
      <c r="O105" s="5" t="str">
        <f t="shared" si="20"/>
        <v>1214203</v>
      </c>
      <c r="P105" s="6">
        <f>VLOOKUP(O105,deuda!A$1:H$550,4,0)</f>
        <v>1</v>
      </c>
      <c r="Q105" s="6">
        <f>VLOOKUP(O105,deuda!A$1:H$550,5,0)</f>
        <v>0</v>
      </c>
      <c r="R105" s="6" t="str">
        <f>IF(VLOOKUP(O105,deuda!A$1:H$550,6,0)=0,"",VLOOKUP(O105,deuda!A$1:H$550,6,0))</f>
        <v/>
      </c>
      <c r="S105" s="149" t="str">
        <f>IF((VLOOKUP(O105,deuda!A$1:H$550,7,0))=0,"",VLOOKUP(O105,deuda!A$1:H$550,7,0))</f>
        <v/>
      </c>
      <c r="T105" s="153" t="str">
        <f>IF((VLOOKUP(O105,deuda!A$1:H$550,8,0))=0,"",VLOOKUP(O105,deuda!A$1:H$550,8,0))</f>
        <v/>
      </c>
    </row>
    <row r="106" spans="1:20">
      <c r="A106" s="26">
        <v>7</v>
      </c>
      <c r="B106" s="5">
        <v>1214</v>
      </c>
      <c r="C106" s="5">
        <v>204</v>
      </c>
      <c r="D106" s="21">
        <v>1.9891000000000001</v>
      </c>
      <c r="E106" s="21">
        <f>IF((VLOOKUP(O106,deuda!A$1:H$550,4,0))=1,D106,0)</f>
        <v>1.9891000000000001</v>
      </c>
      <c r="F106" s="5" t="s">
        <v>259</v>
      </c>
      <c r="G106" s="101">
        <f t="shared" si="21"/>
        <v>1.9891000000000001</v>
      </c>
      <c r="H106" s="620" t="e">
        <f t="shared" si="17"/>
        <v>#N/A</v>
      </c>
      <c r="I106" s="618" t="e">
        <f t="shared" si="18"/>
        <v>#N/A</v>
      </c>
      <c r="J106" s="125" t="e">
        <f t="shared" si="16"/>
        <v>#REF!</v>
      </c>
      <c r="K106" s="125" t="e">
        <f t="shared" si="19"/>
        <v>#REF!</v>
      </c>
      <c r="L106" s="5"/>
      <c r="M106" s="5"/>
      <c r="N106" s="5"/>
      <c r="O106" s="5" t="str">
        <f t="shared" si="20"/>
        <v>1214204</v>
      </c>
      <c r="P106" s="6">
        <f>VLOOKUP(O106,deuda!A$1:H$550,4,0)</f>
        <v>1</v>
      </c>
      <c r="Q106" s="6">
        <f>VLOOKUP(O106,deuda!A$1:H$550,5,0)</f>
        <v>0</v>
      </c>
      <c r="R106" s="6" t="str">
        <f>IF(VLOOKUP(O106,deuda!A$1:H$550,6,0)=0,"",VLOOKUP(O106,deuda!A$1:H$550,6,0))</f>
        <v/>
      </c>
      <c r="S106" s="149" t="str">
        <f>IF((VLOOKUP(O106,deuda!A$1:H$550,7,0))=0,"",VLOOKUP(O106,deuda!A$1:H$550,7,0))</f>
        <v/>
      </c>
      <c r="T106" s="153" t="str">
        <f>IF((VLOOKUP(O106,deuda!A$1:H$550,8,0))=0,"",VLOOKUP(O106,deuda!A$1:H$550,8,0))</f>
        <v/>
      </c>
    </row>
    <row r="107" spans="1:20">
      <c r="A107" s="26">
        <v>7</v>
      </c>
      <c r="B107" s="5">
        <v>1214</v>
      </c>
      <c r="C107" s="5">
        <v>206</v>
      </c>
      <c r="D107" s="21">
        <v>1.9145000000000001</v>
      </c>
      <c r="E107" s="21">
        <f>IF((VLOOKUP(O107,deuda!A$1:H$550,4,0))=1,D107,0)</f>
        <v>1.9145000000000001</v>
      </c>
      <c r="F107" s="5" t="s">
        <v>595</v>
      </c>
      <c r="G107" s="101">
        <f t="shared" si="21"/>
        <v>1.9145000000000001</v>
      </c>
      <c r="H107" s="620" t="e">
        <f t="shared" si="17"/>
        <v>#N/A</v>
      </c>
      <c r="I107" s="618" t="e">
        <f t="shared" si="18"/>
        <v>#N/A</v>
      </c>
      <c r="J107" s="125" t="e">
        <f t="shared" si="16"/>
        <v>#REF!</v>
      </c>
      <c r="K107" s="125" t="e">
        <f t="shared" si="19"/>
        <v>#REF!</v>
      </c>
      <c r="L107" s="5"/>
      <c r="M107" s="5"/>
      <c r="N107" s="5"/>
      <c r="O107" s="5" t="str">
        <f t="shared" si="20"/>
        <v>1214206</v>
      </c>
      <c r="P107" s="6">
        <f>VLOOKUP(O107,deuda!A$1:H$550,4,0)</f>
        <v>1</v>
      </c>
      <c r="Q107" s="6">
        <f>VLOOKUP(O107,deuda!A$1:H$550,5,0)</f>
        <v>0</v>
      </c>
      <c r="R107" s="6" t="str">
        <f>IF(VLOOKUP(O107,deuda!A$1:H$550,6,0)=0,"",VLOOKUP(O107,deuda!A$1:H$550,6,0))</f>
        <v/>
      </c>
      <c r="S107" s="149" t="str">
        <f>IF((VLOOKUP(O107,deuda!A$1:H$550,7,0))=0,"",VLOOKUP(O107,deuda!A$1:H$550,7,0))</f>
        <v/>
      </c>
      <c r="T107" s="153" t="str">
        <f>IF((VLOOKUP(O107,deuda!A$1:H$550,8,0))=0,"",VLOOKUP(O107,deuda!A$1:H$550,8,0))</f>
        <v/>
      </c>
    </row>
    <row r="108" spans="1:20">
      <c r="A108" s="26">
        <v>7</v>
      </c>
      <c r="B108" s="5">
        <v>1214</v>
      </c>
      <c r="C108" s="5">
        <v>205</v>
      </c>
      <c r="D108" s="21">
        <v>1.9797</v>
      </c>
      <c r="E108" s="21">
        <f>IF((VLOOKUP(O108,deuda!A$1:H$550,4,0))=1,D108,0)</f>
        <v>1.9797</v>
      </c>
      <c r="F108" s="5" t="s">
        <v>596</v>
      </c>
      <c r="G108" s="101">
        <f t="shared" si="21"/>
        <v>1.9797</v>
      </c>
      <c r="H108" s="620" t="e">
        <f t="shared" si="17"/>
        <v>#N/A</v>
      </c>
      <c r="I108" s="618" t="e">
        <f t="shared" si="18"/>
        <v>#N/A</v>
      </c>
      <c r="J108" s="125" t="e">
        <f t="shared" si="16"/>
        <v>#REF!</v>
      </c>
      <c r="K108" s="125" t="e">
        <f t="shared" si="19"/>
        <v>#REF!</v>
      </c>
      <c r="L108" s="5"/>
      <c r="M108" s="5"/>
      <c r="N108" s="5"/>
      <c r="O108" s="5" t="str">
        <f t="shared" si="20"/>
        <v>1214205</v>
      </c>
      <c r="P108" s="6">
        <f>VLOOKUP(O108,deuda!A$1:H$550,4,0)</f>
        <v>1</v>
      </c>
      <c r="Q108" s="6">
        <f>VLOOKUP(O108,deuda!A$1:H$550,5,0)</f>
        <v>0</v>
      </c>
      <c r="R108" s="6" t="str">
        <f>IF(VLOOKUP(O108,deuda!A$1:H$550,6,0)=0,"",VLOOKUP(O108,deuda!A$1:H$550,6,0))</f>
        <v/>
      </c>
      <c r="S108" s="149" t="str">
        <f>IF((VLOOKUP(O108,deuda!A$1:H$550,7,0))=0,"",VLOOKUP(O108,deuda!A$1:H$550,7,0))</f>
        <v/>
      </c>
      <c r="T108" s="153" t="str">
        <f>IF((VLOOKUP(O108,deuda!A$1:H$550,8,0))=0,"",VLOOKUP(O108,deuda!A$1:H$550,8,0))</f>
        <v/>
      </c>
    </row>
    <row r="109" spans="1:20">
      <c r="A109" s="26">
        <v>7</v>
      </c>
      <c r="B109" s="5">
        <v>1214</v>
      </c>
      <c r="C109" s="5">
        <v>44</v>
      </c>
      <c r="D109" s="21">
        <v>6.0808999999999997</v>
      </c>
      <c r="E109" s="21">
        <f>IF((VLOOKUP(O109,deuda!A$1:H$550,4,0))=1,D109,0)</f>
        <v>6.0808999999999997</v>
      </c>
      <c r="F109" s="5" t="s">
        <v>259</v>
      </c>
      <c r="G109" s="9">
        <f t="shared" si="21"/>
        <v>6.0808999999999997</v>
      </c>
      <c r="H109" s="620" t="e">
        <f t="shared" si="17"/>
        <v>#N/A</v>
      </c>
      <c r="I109" s="618" t="e">
        <f t="shared" si="18"/>
        <v>#N/A</v>
      </c>
      <c r="J109" s="125" t="e">
        <f t="shared" si="16"/>
        <v>#REF!</v>
      </c>
      <c r="K109" s="125" t="e">
        <f t="shared" si="19"/>
        <v>#REF!</v>
      </c>
      <c r="L109" s="5"/>
      <c r="M109" s="5"/>
      <c r="N109" s="5"/>
      <c r="O109" s="5" t="str">
        <f t="shared" si="20"/>
        <v>121444</v>
      </c>
      <c r="P109" s="6">
        <f>VLOOKUP(O109,deuda!A$1:H$550,4,0)</f>
        <v>1</v>
      </c>
      <c r="Q109" s="6">
        <f>VLOOKUP(O109,deuda!A$1:H$550,5,0)</f>
        <v>0</v>
      </c>
      <c r="R109" s="6" t="str">
        <f>IF(VLOOKUP(O109,deuda!A$1:H$550,6,0)=0,"",VLOOKUP(O109,deuda!A$1:H$550,6,0))</f>
        <v/>
      </c>
      <c r="S109" s="149" t="str">
        <f>IF((VLOOKUP(O109,deuda!A$1:H$550,7,0))=0,"",VLOOKUP(O109,deuda!A$1:H$550,7,0))</f>
        <v/>
      </c>
      <c r="T109" s="153" t="str">
        <f>IF((VLOOKUP(O109,deuda!A$1:H$550,8,0))=0,"",VLOOKUP(O109,deuda!A$1:H$550,8,0))</f>
        <v/>
      </c>
    </row>
    <row r="110" spans="1:20">
      <c r="A110" s="26">
        <v>6</v>
      </c>
      <c r="B110" s="5">
        <v>1214</v>
      </c>
      <c r="C110" s="5">
        <v>201</v>
      </c>
      <c r="D110" s="21">
        <v>10.5222</v>
      </c>
      <c r="E110" s="21">
        <f>IF((VLOOKUP(O110,deuda!A$1:H$550,4,0))=1,D110,0)</f>
        <v>10.5222</v>
      </c>
      <c r="F110" s="5" t="s">
        <v>597</v>
      </c>
      <c r="G110" s="101">
        <f t="shared" si="21"/>
        <v>10.5222</v>
      </c>
      <c r="H110" s="620" t="e">
        <f t="shared" si="17"/>
        <v>#N/A</v>
      </c>
      <c r="I110" s="618" t="e">
        <f t="shared" si="18"/>
        <v>#N/A</v>
      </c>
      <c r="J110" s="125" t="e">
        <f t="shared" si="16"/>
        <v>#REF!</v>
      </c>
      <c r="K110" s="125" t="e">
        <f t="shared" si="19"/>
        <v>#REF!</v>
      </c>
      <c r="L110" s="5"/>
      <c r="M110" s="5"/>
      <c r="N110" s="5"/>
      <c r="O110" s="5" t="str">
        <f t="shared" si="20"/>
        <v>1214201</v>
      </c>
      <c r="P110" s="6">
        <f>VLOOKUP(O110,deuda!A$1:H$550,4,0)</f>
        <v>1</v>
      </c>
      <c r="Q110" s="6">
        <f>VLOOKUP(O110,deuda!A$1:H$550,5,0)</f>
        <v>0</v>
      </c>
      <c r="R110" s="6" t="str">
        <f>IF(VLOOKUP(O110,deuda!A$1:H$550,6,0)=0,"",VLOOKUP(O110,deuda!A$1:H$550,6,0))</f>
        <v/>
      </c>
      <c r="S110" s="149" t="str">
        <f>IF((VLOOKUP(O110,deuda!A$1:H$550,7,0))=0,"",VLOOKUP(O110,deuda!A$1:H$550,7,0))</f>
        <v/>
      </c>
      <c r="T110" s="153" t="str">
        <f>IF((VLOOKUP(O110,deuda!A$1:H$550,8,0))=0,"",VLOOKUP(O110,deuda!A$1:H$550,8,0))</f>
        <v/>
      </c>
    </row>
    <row r="111" spans="1:20">
      <c r="A111" s="26">
        <v>6</v>
      </c>
      <c r="B111" s="5">
        <v>1214</v>
      </c>
      <c r="C111" s="5">
        <v>165</v>
      </c>
      <c r="D111" s="21">
        <v>4.9797000000000002</v>
      </c>
      <c r="E111" s="21">
        <f>IF((VLOOKUP(O111,deuda!A$1:H$550,4,0))=1,D111,0)</f>
        <v>4.9797000000000002</v>
      </c>
      <c r="F111" s="5" t="s">
        <v>598</v>
      </c>
      <c r="G111" s="9">
        <f t="shared" si="21"/>
        <v>4.9797000000000002</v>
      </c>
      <c r="H111" s="620" t="e">
        <f t="shared" si="17"/>
        <v>#N/A</v>
      </c>
      <c r="I111" s="618" t="e">
        <f t="shared" si="18"/>
        <v>#N/A</v>
      </c>
      <c r="J111" s="125" t="e">
        <f t="shared" si="16"/>
        <v>#REF!</v>
      </c>
      <c r="K111" s="125" t="e">
        <f t="shared" si="19"/>
        <v>#REF!</v>
      </c>
      <c r="L111" s="5"/>
      <c r="M111" s="5"/>
      <c r="N111" s="5"/>
      <c r="O111" s="5" t="str">
        <f t="shared" si="20"/>
        <v>1214165</v>
      </c>
      <c r="P111" s="6">
        <f>VLOOKUP(O111,deuda!A$1:H$550,4,0)</f>
        <v>1</v>
      </c>
      <c r="Q111" s="6">
        <f>VLOOKUP(O111,deuda!A$1:H$550,5,0)</f>
        <v>0</v>
      </c>
      <c r="R111" s="6" t="str">
        <f>IF(VLOOKUP(O111,deuda!A$1:H$550,6,0)=0,"",VLOOKUP(O111,deuda!A$1:H$550,6,0))</f>
        <v/>
      </c>
      <c r="S111" s="149" t="str">
        <f>IF((VLOOKUP(O111,deuda!A$1:H$550,7,0))=0,"",VLOOKUP(O111,deuda!A$1:H$550,7,0))</f>
        <v/>
      </c>
      <c r="T111" s="153" t="str">
        <f>IF((VLOOKUP(O111,deuda!A$1:H$550,8,0))=0,"",VLOOKUP(O111,deuda!A$1:H$550,8,0))</f>
        <v/>
      </c>
    </row>
    <row r="112" spans="1:20">
      <c r="A112" s="26">
        <v>5</v>
      </c>
      <c r="B112" s="5">
        <v>1214</v>
      </c>
      <c r="C112" s="5">
        <v>266</v>
      </c>
      <c r="D112" s="21">
        <v>8.4106000000000005</v>
      </c>
      <c r="E112" s="21" t="e">
        <f>IF((VLOOKUP(O112,deuda!A$1:H$550,4,0))=1,D112,0)</f>
        <v>#N/A</v>
      </c>
      <c r="F112" s="5" t="s">
        <v>581</v>
      </c>
      <c r="G112" s="9" t="e">
        <f t="shared" si="21"/>
        <v>#N/A</v>
      </c>
      <c r="H112" s="620" t="e">
        <f t="shared" si="17"/>
        <v>#N/A</v>
      </c>
      <c r="I112" s="618" t="e">
        <f t="shared" si="18"/>
        <v>#N/A</v>
      </c>
      <c r="J112" s="125" t="e">
        <f t="shared" si="16"/>
        <v>#REF!</v>
      </c>
      <c r="K112" s="125" t="e">
        <f t="shared" si="19"/>
        <v>#REF!</v>
      </c>
      <c r="L112" s="5"/>
      <c r="M112" s="5"/>
      <c r="N112" s="5"/>
      <c r="O112" s="5" t="str">
        <f t="shared" si="20"/>
        <v>1214266</v>
      </c>
      <c r="P112" s="6" t="e">
        <f>VLOOKUP(O112,deuda!A$1:H$550,4,0)</f>
        <v>#N/A</v>
      </c>
      <c r="Q112" s="6" t="e">
        <f>VLOOKUP(O112,deuda!A$1:H$550,5,0)</f>
        <v>#N/A</v>
      </c>
      <c r="R112" s="6" t="e">
        <f>IF(VLOOKUP(O112,deuda!A$1:H$550,6,0)=0,"",VLOOKUP(O112,deuda!A$1:H$550,6,0))</f>
        <v>#N/A</v>
      </c>
      <c r="S112" s="149" t="e">
        <f>IF((VLOOKUP(O112,deuda!A$1:H$550,7,0))=0,"",VLOOKUP(O112,deuda!A$1:H$550,7,0))</f>
        <v>#N/A</v>
      </c>
      <c r="T112" s="153" t="e">
        <f>IF((VLOOKUP(O112,deuda!A$1:H$550,8,0))=0,"",VLOOKUP(O112,deuda!A$1:H$550,8,0))</f>
        <v>#N/A</v>
      </c>
    </row>
    <row r="113" spans="1:20">
      <c r="A113" s="26">
        <v>4</v>
      </c>
      <c r="B113" s="5">
        <v>1214</v>
      </c>
      <c r="C113" s="5">
        <v>272</v>
      </c>
      <c r="D113" s="21">
        <v>18.773900000000001</v>
      </c>
      <c r="E113" s="21" t="e">
        <f>IF((VLOOKUP(O113,deuda!A$1:H$550,4,0))=1,D113,0)</f>
        <v>#N/A</v>
      </c>
      <c r="F113" s="5" t="s">
        <v>582</v>
      </c>
      <c r="G113" s="9" t="e">
        <f t="shared" si="21"/>
        <v>#N/A</v>
      </c>
      <c r="H113" s="620" t="e">
        <f t="shared" si="17"/>
        <v>#N/A</v>
      </c>
      <c r="I113" s="618" t="e">
        <f t="shared" si="18"/>
        <v>#N/A</v>
      </c>
      <c r="J113" s="125" t="e">
        <f t="shared" si="16"/>
        <v>#REF!</v>
      </c>
      <c r="K113" s="125" t="e">
        <f t="shared" si="19"/>
        <v>#REF!</v>
      </c>
      <c r="L113" s="5"/>
      <c r="M113" s="5"/>
      <c r="N113" s="5"/>
      <c r="O113" s="5" t="str">
        <f t="shared" si="20"/>
        <v>1214272</v>
      </c>
      <c r="P113" s="6" t="e">
        <f>VLOOKUP(O113,deuda!A$1:H$550,4,0)</f>
        <v>#N/A</v>
      </c>
      <c r="Q113" s="6" t="e">
        <f>VLOOKUP(O113,deuda!A$1:H$550,5,0)</f>
        <v>#N/A</v>
      </c>
      <c r="R113" s="6" t="e">
        <f>IF(VLOOKUP(O113,deuda!A$1:H$550,6,0)=0,"",VLOOKUP(O113,deuda!A$1:H$550,6,0))</f>
        <v>#N/A</v>
      </c>
      <c r="S113" s="149" t="e">
        <f>IF((VLOOKUP(O113,deuda!A$1:H$550,7,0))=0,"",VLOOKUP(O113,deuda!A$1:H$550,7,0))</f>
        <v>#N/A</v>
      </c>
      <c r="T113" s="153" t="e">
        <f>IF((VLOOKUP(O113,deuda!A$1:H$550,8,0))=0,"",VLOOKUP(O113,deuda!A$1:H$550,8,0))</f>
        <v>#N/A</v>
      </c>
    </row>
    <row r="114" spans="1:20">
      <c r="A114" s="26">
        <v>3</v>
      </c>
      <c r="B114" s="5">
        <v>1214</v>
      </c>
      <c r="C114" s="5">
        <v>123</v>
      </c>
      <c r="D114" s="21">
        <v>5.0808</v>
      </c>
      <c r="E114" s="21">
        <f>IF((VLOOKUP(O114,deuda!A$1:H$550,4,0))=1,D114,0)</f>
        <v>5.0808</v>
      </c>
      <c r="F114" s="5" t="s">
        <v>599</v>
      </c>
      <c r="G114" s="9">
        <f t="shared" si="21"/>
        <v>5.0808</v>
      </c>
      <c r="H114" s="620" t="e">
        <f t="shared" si="17"/>
        <v>#N/A</v>
      </c>
      <c r="I114" s="618" t="e">
        <f t="shared" si="18"/>
        <v>#N/A</v>
      </c>
      <c r="J114" s="125" t="e">
        <f t="shared" si="16"/>
        <v>#REF!</v>
      </c>
      <c r="K114" s="125" t="e">
        <f t="shared" si="19"/>
        <v>#REF!</v>
      </c>
      <c r="L114" s="5"/>
      <c r="M114" s="5"/>
      <c r="N114" s="5"/>
      <c r="O114" s="5" t="str">
        <f t="shared" si="20"/>
        <v>1214123</v>
      </c>
      <c r="P114" s="6">
        <f>VLOOKUP(O114,deuda!A$1:H$550,4,0)</f>
        <v>1</v>
      </c>
      <c r="Q114" s="6">
        <f>VLOOKUP(O114,deuda!A$1:H$550,5,0)</f>
        <v>0</v>
      </c>
      <c r="R114" s="6">
        <f>IF(VLOOKUP(O114,deuda!A$1:H$550,6,0)=0,"",VLOOKUP(O114,deuda!A$1:H$550,6,0))</f>
        <v>13.01</v>
      </c>
      <c r="S114" s="149" t="str">
        <f>IF((VLOOKUP(O114,deuda!A$1:H$550,7,0))=0,"",VLOOKUP(O114,deuda!A$1:H$550,7,0))</f>
        <v/>
      </c>
      <c r="T114" s="153" t="str">
        <f>IF((VLOOKUP(O114,deuda!A$1:H$550,8,0))=0,"",VLOOKUP(O114,deuda!A$1:H$550,8,0))</f>
        <v/>
      </c>
    </row>
    <row r="115" spans="1:20">
      <c r="A115" s="26">
        <v>2</v>
      </c>
      <c r="B115" s="5">
        <v>1214</v>
      </c>
      <c r="C115" s="5">
        <v>124</v>
      </c>
      <c r="D115" s="21">
        <v>0.15479999999999999</v>
      </c>
      <c r="E115" s="21">
        <f>IF((VLOOKUP(O115,deuda!A$1:H$550,4,0))=1,D115,0)</f>
        <v>0</v>
      </c>
      <c r="F115" s="5" t="s">
        <v>600</v>
      </c>
      <c r="G115" s="9">
        <v>0</v>
      </c>
      <c r="H115" s="620" t="e">
        <f t="shared" si="17"/>
        <v>#N/A</v>
      </c>
      <c r="I115" s="618" t="e">
        <f t="shared" si="18"/>
        <v>#N/A</v>
      </c>
      <c r="J115" s="125" t="e">
        <f>+K116</f>
        <v>#REF!</v>
      </c>
      <c r="K115" s="125" t="e">
        <f t="shared" si="19"/>
        <v>#REF!</v>
      </c>
      <c r="L115" s="5"/>
      <c r="M115" s="5"/>
      <c r="N115" s="5"/>
      <c r="O115" s="5" t="str">
        <f t="shared" si="20"/>
        <v>1214124</v>
      </c>
      <c r="P115" s="6">
        <f>VLOOKUP(O115,deuda!A$1:H$550,4,0)</f>
        <v>0</v>
      </c>
      <c r="Q115" s="6">
        <f>VLOOKUP(O115,deuda!A$1:H$550,5,0)</f>
        <v>206</v>
      </c>
      <c r="R115" s="6">
        <f>IF(VLOOKUP(O115,deuda!A$1:H$550,6,0)=0,"",VLOOKUP(O115,deuda!A$1:H$550,6,0))</f>
        <v>47588.22</v>
      </c>
      <c r="S115" s="149" t="str">
        <f>IF((VLOOKUP(O115,deuda!A$1:H$550,7,0))=0,"",VLOOKUP(O115,deuda!A$1:H$550,7,0))</f>
        <v/>
      </c>
      <c r="T115" s="153" t="str">
        <f>IF((VLOOKUP(O115,deuda!A$1:H$550,8,0))=0,"",VLOOKUP(O115,deuda!A$1:H$550,8,0))</f>
        <v/>
      </c>
    </row>
    <row r="116" spans="1:20" ht="13.5" thickBot="1">
      <c r="A116" s="132">
        <v>1</v>
      </c>
      <c r="B116" s="29">
        <v>1214</v>
      </c>
      <c r="C116" s="29">
        <v>273</v>
      </c>
      <c r="D116" s="46">
        <v>9.9250000000000007</v>
      </c>
      <c r="E116" s="46" t="e">
        <f>IF((VLOOKUP(O116,deuda!A$1:H$550,4,0))=1,D116,0)</f>
        <v>#N/A</v>
      </c>
      <c r="F116" s="29" t="s">
        <v>601</v>
      </c>
      <c r="G116" s="40" t="e">
        <f>E116</f>
        <v>#N/A</v>
      </c>
      <c r="H116" s="620" t="e">
        <f t="shared" si="17"/>
        <v>#N/A</v>
      </c>
      <c r="I116" s="621" t="e">
        <f t="shared" si="18"/>
        <v>#N/A</v>
      </c>
      <c r="J116" s="127" t="e">
        <f>+C91+H93</f>
        <v>#REF!</v>
      </c>
      <c r="K116" s="127" t="e">
        <f>+J116+I116</f>
        <v>#REF!</v>
      </c>
      <c r="L116" s="29"/>
      <c r="M116" s="29"/>
      <c r="N116" s="29"/>
      <c r="O116" s="29" t="str">
        <f t="shared" si="20"/>
        <v>1214273</v>
      </c>
      <c r="P116" s="33" t="e">
        <f>VLOOKUP(O116,deuda!A$1:H$550,4,0)</f>
        <v>#N/A</v>
      </c>
      <c r="Q116" s="33" t="e">
        <f>VLOOKUP(O116,deuda!A$1:H$550,5,0)</f>
        <v>#N/A</v>
      </c>
      <c r="R116" s="33" t="e">
        <f>IF(VLOOKUP(O116,deuda!A$1:H$550,6,0)=0,"",VLOOKUP(O116,deuda!A$1:H$550,6,0))</f>
        <v>#N/A</v>
      </c>
      <c r="S116" s="154" t="e">
        <f>IF((VLOOKUP(O116,deuda!A$1:H$550,7,0))=0,"",VLOOKUP(O116,deuda!A$1:H$550,7,0))</f>
        <v>#N/A</v>
      </c>
      <c r="T116" s="155" t="e">
        <f>IF((VLOOKUP(O116,deuda!A$1:H$550,8,0))=0,"",VLOOKUP(O116,deuda!A$1:H$550,8,0))</f>
        <v>#N/A</v>
      </c>
    </row>
    <row r="117" spans="1:20">
      <c r="A117" s="10"/>
      <c r="B117" s="10"/>
      <c r="C117" s="10"/>
      <c r="D117" s="84">
        <f>SUM(D100:D116)</f>
        <v>77.258499999999998</v>
      </c>
      <c r="E117" s="160" t="e">
        <f>SUM(E100:E116)</f>
        <v>#N/A</v>
      </c>
      <c r="F117" s="158"/>
      <c r="G117" s="187" t="e">
        <f>SUM(G99:G116)</f>
        <v>#N/A</v>
      </c>
      <c r="H117" s="163" t="e">
        <f>SUM(H100:H116)</f>
        <v>#N/A</v>
      </c>
      <c r="I117" s="162" t="e">
        <f>SUM(I100:I116)</f>
        <v>#N/A</v>
      </c>
    </row>
    <row r="118" spans="1:20">
      <c r="A118" s="10"/>
      <c r="B118" s="10"/>
      <c r="C118" s="10"/>
      <c r="D118" s="10"/>
      <c r="E118" s="85"/>
      <c r="F118" s="85"/>
      <c r="G118" s="97"/>
      <c r="H118" s="98"/>
      <c r="I118" s="89"/>
      <c r="J118" s="10"/>
      <c r="K118" s="10"/>
      <c r="L118" s="10"/>
      <c r="M118" s="10"/>
    </row>
    <row r="119" spans="1:20">
      <c r="A119" s="10"/>
      <c r="B119" s="10"/>
      <c r="C119" s="10"/>
      <c r="D119" s="10"/>
      <c r="E119" s="85"/>
      <c r="F119" s="85"/>
      <c r="G119" s="97"/>
      <c r="H119" s="98"/>
      <c r="I119" s="89"/>
      <c r="J119" s="10"/>
      <c r="K119" s="10"/>
      <c r="L119" s="10"/>
      <c r="M119" s="10"/>
    </row>
    <row r="120" spans="1:20">
      <c r="A120" s="10"/>
      <c r="B120" s="10"/>
      <c r="C120" s="10"/>
      <c r="D120" s="10"/>
      <c r="E120" s="85"/>
      <c r="F120" s="85"/>
      <c r="G120" s="97"/>
      <c r="H120" s="98"/>
      <c r="I120" s="89"/>
      <c r="J120" s="10"/>
      <c r="K120" s="10"/>
      <c r="L120" s="10"/>
      <c r="M120" s="10"/>
    </row>
    <row r="121" spans="1:20">
      <c r="A121" s="47" t="s">
        <v>602</v>
      </c>
      <c r="B121" s="10"/>
      <c r="C121" s="10"/>
      <c r="D121" s="10"/>
      <c r="E121" s="85"/>
      <c r="F121" s="85"/>
      <c r="G121" s="97"/>
      <c r="H121" s="98"/>
      <c r="I121" s="89"/>
      <c r="J121" s="10"/>
      <c r="K121" s="10"/>
      <c r="L121" s="10"/>
      <c r="M121" s="10"/>
    </row>
    <row r="122" spans="1:20">
      <c r="A122" s="10"/>
      <c r="B122" s="10"/>
      <c r="C122" s="10"/>
      <c r="D122" s="10"/>
      <c r="E122" s="85"/>
      <c r="F122" s="85"/>
      <c r="G122" s="97"/>
      <c r="H122" s="98"/>
      <c r="I122" s="89"/>
      <c r="J122" s="10"/>
      <c r="K122" s="10"/>
      <c r="L122" s="10"/>
      <c r="M122" s="10"/>
    </row>
    <row r="123" spans="1:20">
      <c r="C123" s="1" t="s">
        <v>565</v>
      </c>
    </row>
    <row r="125" spans="1:20" ht="13.5" thickBot="1"/>
    <row r="126" spans="1:20">
      <c r="A126" s="688" t="s">
        <v>92</v>
      </c>
      <c r="B126" s="689"/>
      <c r="C126" s="690" t="e">
        <f>+J14</f>
        <v>#REF!</v>
      </c>
      <c r="D126" s="691"/>
      <c r="E126" s="3"/>
      <c r="F126" s="3"/>
      <c r="G126" s="24" t="s">
        <v>93</v>
      </c>
      <c r="H126" s="200">
        <f>+H5</f>
        <v>3.9895833333333335</v>
      </c>
    </row>
    <row r="127" spans="1:20" ht="13.5" thickBot="1">
      <c r="A127" s="692" t="s">
        <v>94</v>
      </c>
      <c r="B127" s="693"/>
      <c r="C127" s="694" t="e">
        <f>+K156</f>
        <v>#REF!</v>
      </c>
      <c r="D127" s="695"/>
      <c r="E127" s="3"/>
      <c r="F127" s="3"/>
      <c r="G127" s="26" t="s">
        <v>95</v>
      </c>
      <c r="H127" s="171">
        <f>+H14</f>
        <v>0</v>
      </c>
      <c r="I127" s="3"/>
      <c r="K127" s="635"/>
    </row>
    <row r="128" spans="1:20" ht="13.5" thickBot="1">
      <c r="G128" s="132" t="s">
        <v>96</v>
      </c>
      <c r="H128" s="172">
        <v>0</v>
      </c>
    </row>
    <row r="130" spans="1:20">
      <c r="A130" s="696" t="s">
        <v>97</v>
      </c>
      <c r="B130" s="696"/>
      <c r="C130" s="168" t="e">
        <f>+E130/60</f>
        <v>#N/A</v>
      </c>
      <c r="D130" s="558" t="s">
        <v>98</v>
      </c>
      <c r="E130" s="169" t="e">
        <f>+F14+F17+F18+60</f>
        <v>#N/A</v>
      </c>
      <c r="F130" s="558" t="s">
        <v>99</v>
      </c>
      <c r="G130" s="167" t="e">
        <f>+G157</f>
        <v>#N/A</v>
      </c>
      <c r="H130" s="558" t="s">
        <v>100</v>
      </c>
      <c r="I130" s="168" t="e">
        <f>+E130/G130</f>
        <v>#N/A</v>
      </c>
    </row>
    <row r="132" spans="1:20" ht="13.5" thickBot="1"/>
    <row r="133" spans="1:20" ht="13.5" thickBot="1">
      <c r="A133" s="22" t="s">
        <v>102</v>
      </c>
      <c r="B133" s="182" t="s">
        <v>566</v>
      </c>
      <c r="C133" s="182" t="s">
        <v>104</v>
      </c>
      <c r="D133" s="183" t="s">
        <v>567</v>
      </c>
      <c r="E133" s="183" t="s">
        <v>568</v>
      </c>
      <c r="F133" s="182" t="s">
        <v>569</v>
      </c>
      <c r="G133" s="182" t="s">
        <v>570</v>
      </c>
      <c r="H133" s="25" t="s">
        <v>304</v>
      </c>
      <c r="I133" s="32" t="s">
        <v>110</v>
      </c>
      <c r="J133" s="25" t="s">
        <v>156</v>
      </c>
      <c r="K133" s="25" t="s">
        <v>157</v>
      </c>
      <c r="L133" s="32" t="s">
        <v>114</v>
      </c>
      <c r="M133" s="184" t="s">
        <v>158</v>
      </c>
      <c r="N133" s="32" t="s">
        <v>116</v>
      </c>
      <c r="O133" s="32" t="s">
        <v>117</v>
      </c>
      <c r="P133" s="32" t="s">
        <v>118</v>
      </c>
      <c r="Q133" s="32" t="s">
        <v>119</v>
      </c>
      <c r="R133" s="32" t="s">
        <v>120</v>
      </c>
      <c r="S133" s="32" t="s">
        <v>121</v>
      </c>
      <c r="T133" s="185" t="s">
        <v>122</v>
      </c>
    </row>
    <row r="134" spans="1:20">
      <c r="A134" s="26">
        <v>1</v>
      </c>
      <c r="B134" s="5">
        <v>1214</v>
      </c>
      <c r="C134" s="5">
        <v>152</v>
      </c>
      <c r="D134" s="21">
        <v>2.5</v>
      </c>
      <c r="E134" s="21">
        <f>IF((VLOOKUP(O134,deuda!A$1:H$550,4,0))=1,D134,0)</f>
        <v>2.5</v>
      </c>
      <c r="F134" s="5" t="s">
        <v>603</v>
      </c>
      <c r="G134" s="86">
        <f>E134</f>
        <v>2.5</v>
      </c>
      <c r="H134" s="620" t="e">
        <f>G134*$I$130</f>
        <v>#N/A</v>
      </c>
      <c r="I134" s="618" t="e">
        <f>+H134/60</f>
        <v>#N/A</v>
      </c>
      <c r="J134" s="125" t="e">
        <f>+C126+H127+H128</f>
        <v>#REF!</v>
      </c>
      <c r="K134" s="125" t="e">
        <f>+J134+I134</f>
        <v>#REF!</v>
      </c>
      <c r="L134" s="5"/>
      <c r="M134" s="5"/>
      <c r="N134" s="5"/>
      <c r="O134" s="5" t="str">
        <f>+CONCATENATE(B134,C134)</f>
        <v>1214152</v>
      </c>
      <c r="P134" s="6">
        <f>VLOOKUP(O134,deuda!A$1:H$550,4,0)</f>
        <v>1</v>
      </c>
      <c r="Q134" s="6">
        <f>VLOOKUP(O134,deuda!A$1:H$550,5,0)</f>
        <v>0</v>
      </c>
      <c r="R134" s="6" t="str">
        <f>IF(VLOOKUP(O134,deuda!A$1:H$550,6,0)=0,"",VLOOKUP(O134,deuda!A$1:H$550,6,0))</f>
        <v/>
      </c>
      <c r="S134" s="149" t="str">
        <f>IF((VLOOKUP(O134,deuda!A$1:H$550,7,0))=0,"",VLOOKUP(O134,deuda!A$1:H$550,7,0))</f>
        <v/>
      </c>
      <c r="T134" s="153" t="str">
        <f>IF((VLOOKUP(O134,deuda!A$1:H$550,8,0))=0,"",VLOOKUP(O134,deuda!A$1:H$550,8,0))</f>
        <v/>
      </c>
    </row>
    <row r="135" spans="1:20">
      <c r="A135" s="26">
        <v>2</v>
      </c>
      <c r="B135" s="5">
        <v>1214</v>
      </c>
      <c r="C135" s="5">
        <v>185</v>
      </c>
      <c r="D135" s="21">
        <v>4.3146000000000004</v>
      </c>
      <c r="E135" s="21">
        <f>IF((VLOOKUP(O135,deuda!A$1:H$550,4,0))=1,D135,0)</f>
        <v>4.3146000000000004</v>
      </c>
      <c r="F135" s="5" t="s">
        <v>588</v>
      </c>
      <c r="G135" s="86">
        <f>E135</f>
        <v>4.3146000000000004</v>
      </c>
      <c r="H135" s="620" t="e">
        <f t="shared" ref="H135:H156" si="22">G135*$I$130</f>
        <v>#N/A</v>
      </c>
      <c r="I135" s="618" t="e">
        <f t="shared" ref="I135:I156" si="23">+H135/60</f>
        <v>#N/A</v>
      </c>
      <c r="J135" s="125" t="e">
        <f>+K134</f>
        <v>#REF!</v>
      </c>
      <c r="K135" s="125" t="e">
        <f>+J135+I135</f>
        <v>#REF!</v>
      </c>
      <c r="L135" s="5"/>
      <c r="M135" s="5"/>
      <c r="N135" s="5"/>
      <c r="O135" s="5" t="str">
        <f>+CONCATENATE(B135,C135)</f>
        <v>1214185</v>
      </c>
      <c r="P135" s="6">
        <f>VLOOKUP(O135,deuda!A$1:H$550,4,0)</f>
        <v>1</v>
      </c>
      <c r="Q135" s="6">
        <f>VLOOKUP(O135,deuda!A$1:H$550,5,0)</f>
        <v>0</v>
      </c>
      <c r="R135" s="6">
        <f>IF(VLOOKUP(O135,deuda!A$1:H$550,6,0)=0,"",VLOOKUP(O135,deuda!A$1:H$550,6,0))</f>
        <v>9.6199999999999992</v>
      </c>
      <c r="S135" s="149" t="str">
        <f>IF((VLOOKUP(O135,deuda!A$1:H$550,7,0))=0,"",VLOOKUP(O135,deuda!A$1:H$550,7,0))</f>
        <v/>
      </c>
      <c r="T135" s="153" t="str">
        <f>IF((VLOOKUP(O135,deuda!A$1:H$550,8,0))=0,"",VLOOKUP(O135,deuda!A$1:H$550,8,0))</f>
        <v/>
      </c>
    </row>
    <row r="136" spans="1:20">
      <c r="A136" s="26">
        <v>2</v>
      </c>
      <c r="B136" s="5">
        <v>1214</v>
      </c>
      <c r="C136" s="5">
        <v>186</v>
      </c>
      <c r="D136" s="21">
        <v>3.0249000000000001</v>
      </c>
      <c r="E136" s="21">
        <f>IF((VLOOKUP(O136,deuda!A$1:H$550,4,0))=1,D136,0)</f>
        <v>3.0249000000000001</v>
      </c>
      <c r="F136" s="5" t="s">
        <v>588</v>
      </c>
      <c r="G136" s="86">
        <f>E136</f>
        <v>3.0249000000000001</v>
      </c>
      <c r="H136" s="620" t="e">
        <f t="shared" si="22"/>
        <v>#N/A</v>
      </c>
      <c r="I136" s="618" t="e">
        <f t="shared" si="23"/>
        <v>#N/A</v>
      </c>
      <c r="J136" s="125" t="e">
        <f t="shared" ref="J136:J156" si="24">+K135</f>
        <v>#REF!</v>
      </c>
      <c r="K136" s="125" t="e">
        <f t="shared" ref="K136:K156" si="25">+J136+I136</f>
        <v>#REF!</v>
      </c>
      <c r="L136" s="5"/>
      <c r="M136" s="5"/>
      <c r="N136" s="5"/>
      <c r="O136" s="5" t="str">
        <f t="shared" ref="O136:O156" si="26">+CONCATENATE(B136,C136)</f>
        <v>1214186</v>
      </c>
      <c r="P136" s="6">
        <f>VLOOKUP(O136,deuda!A$1:H$550,4,0)</f>
        <v>1</v>
      </c>
      <c r="Q136" s="6">
        <f>VLOOKUP(O136,deuda!A$1:H$550,5,0)</f>
        <v>0</v>
      </c>
      <c r="R136" s="6">
        <f>IF(VLOOKUP(O136,deuda!A$1:H$550,6,0)=0,"",VLOOKUP(O136,deuda!A$1:H$550,6,0))</f>
        <v>7.74</v>
      </c>
      <c r="S136" s="149" t="str">
        <f>IF((VLOOKUP(O136,deuda!A$1:H$550,7,0))=0,"",VLOOKUP(O136,deuda!A$1:H$550,7,0))</f>
        <v/>
      </c>
      <c r="T136" s="153" t="str">
        <f>IF((VLOOKUP(O136,deuda!A$1:H$550,8,0))=0,"",VLOOKUP(O136,deuda!A$1:H$550,8,0))</f>
        <v/>
      </c>
    </row>
    <row r="137" spans="1:20">
      <c r="A137" s="26">
        <v>2</v>
      </c>
      <c r="B137" s="5">
        <v>1214</v>
      </c>
      <c r="C137" s="5">
        <v>246</v>
      </c>
      <c r="D137" s="21">
        <v>0.04</v>
      </c>
      <c r="E137" s="21" t="e">
        <f>IF((VLOOKUP(O137,deuda!A$1:H$550,4,0))=1,D137,0)</f>
        <v>#N/A</v>
      </c>
      <c r="F137" s="5" t="s">
        <v>588</v>
      </c>
      <c r="G137" s="9">
        <v>0</v>
      </c>
      <c r="H137" s="620" t="e">
        <f t="shared" si="22"/>
        <v>#N/A</v>
      </c>
      <c r="I137" s="618" t="e">
        <f t="shared" si="23"/>
        <v>#N/A</v>
      </c>
      <c r="J137" s="125" t="e">
        <f t="shared" si="24"/>
        <v>#REF!</v>
      </c>
      <c r="K137" s="125" t="e">
        <f t="shared" si="25"/>
        <v>#REF!</v>
      </c>
      <c r="L137" s="5"/>
      <c r="M137" s="5"/>
      <c r="N137" s="5"/>
      <c r="O137" s="5" t="str">
        <f t="shared" si="26"/>
        <v>1214246</v>
      </c>
      <c r="P137" s="6" t="e">
        <f>VLOOKUP(O137,deuda!A$1:H$550,4,0)</f>
        <v>#N/A</v>
      </c>
      <c r="Q137" s="6" t="e">
        <f>VLOOKUP(O137,deuda!A$1:H$550,5,0)</f>
        <v>#N/A</v>
      </c>
      <c r="R137" s="6" t="e">
        <f>IF(VLOOKUP(O137,deuda!A$1:H$550,6,0)=0,"",VLOOKUP(O137,deuda!A$1:H$550,6,0))</f>
        <v>#N/A</v>
      </c>
      <c r="S137" s="149" t="e">
        <f>IF((VLOOKUP(O137,deuda!A$1:H$550,7,0))=0,"",VLOOKUP(O137,deuda!A$1:H$550,7,0))</f>
        <v>#N/A</v>
      </c>
      <c r="T137" s="153" t="e">
        <f>IF((VLOOKUP(O137,deuda!A$1:H$550,8,0))=0,"",VLOOKUP(O137,deuda!A$1:H$550,8,0))</f>
        <v>#N/A</v>
      </c>
    </row>
    <row r="138" spans="1:20">
      <c r="A138" s="26">
        <v>2</v>
      </c>
      <c r="B138" s="5">
        <v>1214</v>
      </c>
      <c r="C138" s="5">
        <v>252</v>
      </c>
      <c r="D138" s="21">
        <v>3.27E-2</v>
      </c>
      <c r="E138" s="21" t="e">
        <f>IF((VLOOKUP(O138,deuda!A$1:H$550,4,0))=1,D138,0)</f>
        <v>#N/A</v>
      </c>
      <c r="F138" s="5" t="s">
        <v>588</v>
      </c>
      <c r="G138" s="9">
        <v>0</v>
      </c>
      <c r="H138" s="620" t="e">
        <f t="shared" si="22"/>
        <v>#N/A</v>
      </c>
      <c r="I138" s="618" t="e">
        <f t="shared" si="23"/>
        <v>#N/A</v>
      </c>
      <c r="J138" s="125" t="e">
        <f t="shared" si="24"/>
        <v>#REF!</v>
      </c>
      <c r="K138" s="125" t="e">
        <f t="shared" si="25"/>
        <v>#REF!</v>
      </c>
      <c r="L138" s="5"/>
      <c r="M138" s="5"/>
      <c r="N138" s="5"/>
      <c r="O138" s="5" t="str">
        <f t="shared" si="26"/>
        <v>1214252</v>
      </c>
      <c r="P138" s="6" t="e">
        <f>VLOOKUP(O138,deuda!A$1:H$550,4,0)</f>
        <v>#N/A</v>
      </c>
      <c r="Q138" s="6" t="e">
        <f>VLOOKUP(O138,deuda!A$1:H$550,5,0)</f>
        <v>#N/A</v>
      </c>
      <c r="R138" s="6" t="e">
        <f>IF(VLOOKUP(O138,deuda!A$1:H$550,6,0)=0,"",VLOOKUP(O138,deuda!A$1:H$550,6,0))</f>
        <v>#N/A</v>
      </c>
      <c r="S138" s="149" t="e">
        <f>IF((VLOOKUP(O138,deuda!A$1:H$550,7,0))=0,"",VLOOKUP(O138,deuda!A$1:H$550,7,0))</f>
        <v>#N/A</v>
      </c>
      <c r="T138" s="153" t="e">
        <f>IF((VLOOKUP(O138,deuda!A$1:H$550,8,0))=0,"",VLOOKUP(O138,deuda!A$1:H$550,8,0))</f>
        <v>#N/A</v>
      </c>
    </row>
    <row r="139" spans="1:20">
      <c r="A139" s="26">
        <v>2</v>
      </c>
      <c r="B139" s="5">
        <v>1214</v>
      </c>
      <c r="C139" s="5">
        <v>255</v>
      </c>
      <c r="D139" s="21">
        <v>0.14899999999999999</v>
      </c>
      <c r="E139" s="21" t="e">
        <f>IF((VLOOKUP(O139,deuda!A$1:H$550,4,0))=1,D139,0)</f>
        <v>#N/A</v>
      </c>
      <c r="F139" s="5" t="s">
        <v>588</v>
      </c>
      <c r="G139" s="86" t="e">
        <f>E139</f>
        <v>#N/A</v>
      </c>
      <c r="H139" s="620" t="e">
        <f t="shared" si="22"/>
        <v>#N/A</v>
      </c>
      <c r="I139" s="618" t="e">
        <f t="shared" si="23"/>
        <v>#N/A</v>
      </c>
      <c r="J139" s="125" t="e">
        <f t="shared" si="24"/>
        <v>#REF!</v>
      </c>
      <c r="K139" s="125" t="e">
        <f t="shared" si="25"/>
        <v>#REF!</v>
      </c>
      <c r="L139" s="5"/>
      <c r="M139" s="5"/>
      <c r="N139" s="5"/>
      <c r="O139" s="5" t="str">
        <f t="shared" si="26"/>
        <v>1214255</v>
      </c>
      <c r="P139" s="6" t="e">
        <f>VLOOKUP(O139,deuda!A$1:H$550,4,0)</f>
        <v>#N/A</v>
      </c>
      <c r="Q139" s="6" t="e">
        <f>VLOOKUP(O139,deuda!A$1:H$550,5,0)</f>
        <v>#N/A</v>
      </c>
      <c r="R139" s="6" t="e">
        <f>IF(VLOOKUP(O139,deuda!A$1:H$550,6,0)=0,"",VLOOKUP(O139,deuda!A$1:H$550,6,0))</f>
        <v>#N/A</v>
      </c>
      <c r="S139" s="149" t="e">
        <f>IF((VLOOKUP(O139,deuda!A$1:H$550,7,0))=0,"",VLOOKUP(O139,deuda!A$1:H$550,7,0))</f>
        <v>#N/A</v>
      </c>
      <c r="T139" s="153" t="e">
        <f>IF((VLOOKUP(O139,deuda!A$1:H$550,8,0))=0,"",VLOOKUP(O139,deuda!A$1:H$550,8,0))</f>
        <v>#N/A</v>
      </c>
    </row>
    <row r="140" spans="1:20">
      <c r="A140" s="26">
        <v>2</v>
      </c>
      <c r="B140" s="5">
        <v>1214</v>
      </c>
      <c r="C140" s="5">
        <v>75</v>
      </c>
      <c r="D140" s="21">
        <v>4.6795999999999998</v>
      </c>
      <c r="E140" s="21">
        <f>IF((VLOOKUP(O140,deuda!A$1:H$550,4,0))=1,D140,0)</f>
        <v>4.6795999999999998</v>
      </c>
      <c r="F140" s="5" t="s">
        <v>588</v>
      </c>
      <c r="G140" s="86">
        <f>E140</f>
        <v>4.6795999999999998</v>
      </c>
      <c r="H140" s="620" t="e">
        <f t="shared" si="22"/>
        <v>#N/A</v>
      </c>
      <c r="I140" s="618" t="e">
        <f t="shared" si="23"/>
        <v>#N/A</v>
      </c>
      <c r="J140" s="125" t="e">
        <f t="shared" si="24"/>
        <v>#REF!</v>
      </c>
      <c r="K140" s="125" t="e">
        <f t="shared" si="25"/>
        <v>#REF!</v>
      </c>
      <c r="L140" s="5"/>
      <c r="M140" s="5"/>
      <c r="N140" s="5"/>
      <c r="O140" s="5" t="str">
        <f t="shared" si="26"/>
        <v>121475</v>
      </c>
      <c r="P140" s="6">
        <f>VLOOKUP(O140,deuda!A$1:H$550,4,0)</f>
        <v>1</v>
      </c>
      <c r="Q140" s="6">
        <f>VLOOKUP(O140,deuda!A$1:H$550,5,0)</f>
        <v>0</v>
      </c>
      <c r="R140" s="6" t="str">
        <f>IF(VLOOKUP(O140,deuda!A$1:H$550,6,0)=0,"",VLOOKUP(O140,deuda!A$1:H$550,6,0))</f>
        <v/>
      </c>
      <c r="S140" s="149" t="str">
        <f>IF((VLOOKUP(O140,deuda!A$1:H$550,7,0))=0,"",VLOOKUP(O140,deuda!A$1:H$550,7,0))</f>
        <v/>
      </c>
      <c r="T140" s="153" t="str">
        <f>IF((VLOOKUP(O140,deuda!A$1:H$550,8,0))=0,"",VLOOKUP(O140,deuda!A$1:H$550,8,0))</f>
        <v/>
      </c>
    </row>
    <row r="141" spans="1:20">
      <c r="A141" s="26">
        <v>3</v>
      </c>
      <c r="B141" s="5">
        <v>1214</v>
      </c>
      <c r="C141" s="5">
        <v>113</v>
      </c>
      <c r="D141" s="21">
        <v>0.92490000000000006</v>
      </c>
      <c r="E141" s="21">
        <f>IF((VLOOKUP(O141,deuda!A$1:H$550,4,0))=1,D141,0)</f>
        <v>0</v>
      </c>
      <c r="F141" s="5" t="s">
        <v>418</v>
      </c>
      <c r="G141" s="86">
        <f>E141</f>
        <v>0</v>
      </c>
      <c r="H141" s="620" t="e">
        <f t="shared" si="22"/>
        <v>#N/A</v>
      </c>
      <c r="I141" s="618" t="e">
        <f t="shared" si="23"/>
        <v>#N/A</v>
      </c>
      <c r="J141" s="125" t="e">
        <f t="shared" si="24"/>
        <v>#REF!</v>
      </c>
      <c r="K141" s="125" t="e">
        <f t="shared" si="25"/>
        <v>#REF!</v>
      </c>
      <c r="L141" s="5"/>
      <c r="M141" s="5"/>
      <c r="N141" s="5"/>
      <c r="O141" s="5" t="str">
        <f t="shared" si="26"/>
        <v>1214113</v>
      </c>
      <c r="P141" s="6">
        <f>VLOOKUP(O141,deuda!A$1:H$550,4,0)</f>
        <v>0</v>
      </c>
      <c r="Q141" s="6">
        <f>VLOOKUP(O141,deuda!A$1:H$550,5,0)</f>
        <v>7</v>
      </c>
      <c r="R141" s="6">
        <f>IF(VLOOKUP(O141,deuda!A$1:H$550,6,0)=0,"",VLOOKUP(O141,deuda!A$1:H$550,6,0))</f>
        <v>1756.25</v>
      </c>
      <c r="S141" s="149" t="str">
        <f>IF((VLOOKUP(O141,deuda!A$1:H$550,7,0))=0,"",VLOOKUP(O141,deuda!A$1:H$550,7,0))</f>
        <v/>
      </c>
      <c r="T141" s="153" t="str">
        <f>IF((VLOOKUP(O141,deuda!A$1:H$550,8,0))=0,"",VLOOKUP(O141,deuda!A$1:H$550,8,0))</f>
        <v/>
      </c>
    </row>
    <row r="142" spans="1:20">
      <c r="A142" s="26">
        <v>4</v>
      </c>
      <c r="B142" s="5">
        <v>1214</v>
      </c>
      <c r="C142" s="5">
        <v>102</v>
      </c>
      <c r="D142" s="21">
        <v>0.40250000000000002</v>
      </c>
      <c r="E142" s="21">
        <f>IF((VLOOKUP(O142,deuda!A$1:H$550,4,0))=1,D142,0)</f>
        <v>0.40250000000000002</v>
      </c>
      <c r="F142" s="5" t="s">
        <v>604</v>
      </c>
      <c r="G142" s="86">
        <f>E142</f>
        <v>0.40250000000000002</v>
      </c>
      <c r="H142" s="620" t="e">
        <f t="shared" si="22"/>
        <v>#N/A</v>
      </c>
      <c r="I142" s="618" t="e">
        <f t="shared" si="23"/>
        <v>#N/A</v>
      </c>
      <c r="J142" s="125" t="e">
        <f t="shared" si="24"/>
        <v>#REF!</v>
      </c>
      <c r="K142" s="125" t="e">
        <f t="shared" si="25"/>
        <v>#REF!</v>
      </c>
      <c r="L142" s="5"/>
      <c r="M142" s="5"/>
      <c r="N142" s="5"/>
      <c r="O142" s="5" t="str">
        <f t="shared" si="26"/>
        <v>1214102</v>
      </c>
      <c r="P142" s="6">
        <f>VLOOKUP(O142,deuda!A$1:H$550,4,0)</f>
        <v>1</v>
      </c>
      <c r="Q142" s="6">
        <f>VLOOKUP(O142,deuda!A$1:H$550,5,0)</f>
        <v>2</v>
      </c>
      <c r="R142" s="6">
        <f>IF(VLOOKUP(O142,deuda!A$1:H$550,6,0)=0,"",VLOOKUP(O142,deuda!A$1:H$550,6,0))</f>
        <v>491.17</v>
      </c>
      <c r="S142" s="149" t="str">
        <f>IF((VLOOKUP(O142,deuda!A$1:H$550,7,0))=0,"",VLOOKUP(O142,deuda!A$1:H$550,7,0))</f>
        <v/>
      </c>
      <c r="T142" s="153" t="str">
        <f>IF((VLOOKUP(O142,deuda!A$1:H$550,8,0))=0,"",VLOOKUP(O142,deuda!A$1:H$550,8,0))</f>
        <v/>
      </c>
    </row>
    <row r="143" spans="1:20">
      <c r="A143" s="26">
        <v>5</v>
      </c>
      <c r="B143" s="5">
        <v>1214</v>
      </c>
      <c r="C143" s="5">
        <v>163</v>
      </c>
      <c r="D143" s="21">
        <v>0.4027</v>
      </c>
      <c r="E143" s="21">
        <f>IF((VLOOKUP(O143,deuda!A$1:H$550,4,0))=1,D143,0)</f>
        <v>0</v>
      </c>
      <c r="F143" s="5" t="s">
        <v>605</v>
      </c>
      <c r="G143" s="9">
        <v>0</v>
      </c>
      <c r="H143" s="620" t="e">
        <f t="shared" si="22"/>
        <v>#N/A</v>
      </c>
      <c r="I143" s="618" t="e">
        <f t="shared" si="23"/>
        <v>#N/A</v>
      </c>
      <c r="J143" s="125" t="e">
        <f t="shared" si="24"/>
        <v>#REF!</v>
      </c>
      <c r="K143" s="125" t="e">
        <f t="shared" si="25"/>
        <v>#REF!</v>
      </c>
      <c r="L143" s="5"/>
      <c r="M143" s="5"/>
      <c r="N143" s="5"/>
      <c r="O143" s="5" t="str">
        <f t="shared" si="26"/>
        <v>1214163</v>
      </c>
      <c r="P143" s="6">
        <f>VLOOKUP(O143,deuda!A$1:H$550,4,0)</f>
        <v>0</v>
      </c>
      <c r="Q143" s="6">
        <f>VLOOKUP(O143,deuda!A$1:H$550,5,0)</f>
        <v>32</v>
      </c>
      <c r="R143" s="6">
        <f>IF(VLOOKUP(O143,deuda!A$1:H$550,6,0)=0,"",VLOOKUP(O143,deuda!A$1:H$550,6,0))</f>
        <v>8726.59</v>
      </c>
      <c r="S143" s="149" t="str">
        <f>IF((VLOOKUP(O143,deuda!A$1:H$550,7,0))=0,"",VLOOKUP(O143,deuda!A$1:H$550,7,0))</f>
        <v/>
      </c>
      <c r="T143" s="153" t="str">
        <f>IF((VLOOKUP(O143,deuda!A$1:H$550,8,0))=0,"",VLOOKUP(O143,deuda!A$1:H$550,8,0))</f>
        <v/>
      </c>
    </row>
    <row r="144" spans="1:20">
      <c r="A144" s="26">
        <v>6</v>
      </c>
      <c r="B144" s="5">
        <v>1214</v>
      </c>
      <c r="C144" s="5">
        <v>162</v>
      </c>
      <c r="D144" s="21">
        <v>0.29809999999999998</v>
      </c>
      <c r="E144" s="21">
        <f>IF((VLOOKUP(O144,deuda!A$1:H$550,4,0))=1,D144,0)</f>
        <v>0.29809999999999998</v>
      </c>
      <c r="F144" s="5" t="s">
        <v>606</v>
      </c>
      <c r="G144" s="86">
        <f t="shared" ref="G144:G153" si="27">E144</f>
        <v>0.29809999999999998</v>
      </c>
      <c r="H144" s="620" t="e">
        <f t="shared" si="22"/>
        <v>#N/A</v>
      </c>
      <c r="I144" s="618" t="e">
        <f t="shared" si="23"/>
        <v>#N/A</v>
      </c>
      <c r="J144" s="125" t="e">
        <f t="shared" si="24"/>
        <v>#REF!</v>
      </c>
      <c r="K144" s="125" t="e">
        <f t="shared" si="25"/>
        <v>#REF!</v>
      </c>
      <c r="L144" s="5"/>
      <c r="M144" s="5"/>
      <c r="N144" s="5"/>
      <c r="O144" s="5" t="str">
        <f t="shared" si="26"/>
        <v>1214162</v>
      </c>
      <c r="P144" s="6">
        <f>VLOOKUP(O144,deuda!A$1:H$550,4,0)</f>
        <v>1</v>
      </c>
      <c r="Q144" s="6">
        <f>VLOOKUP(O144,deuda!A$1:H$550,5,0)</f>
        <v>2</v>
      </c>
      <c r="R144" s="6">
        <f>IF(VLOOKUP(O144,deuda!A$1:H$550,6,0)=0,"",VLOOKUP(O144,deuda!A$1:H$550,6,0))</f>
        <v>477.6</v>
      </c>
      <c r="S144" s="149" t="str">
        <f>IF((VLOOKUP(O144,deuda!A$1:H$550,7,0))=0,"",VLOOKUP(O144,deuda!A$1:H$550,7,0))</f>
        <v/>
      </c>
      <c r="T144" s="153" t="str">
        <f>IF((VLOOKUP(O144,deuda!A$1:H$550,8,0))=0,"",VLOOKUP(O144,deuda!A$1:H$550,8,0))</f>
        <v/>
      </c>
    </row>
    <row r="145" spans="1:20">
      <c r="A145" s="26">
        <v>7</v>
      </c>
      <c r="B145" s="5">
        <v>1214</v>
      </c>
      <c r="C145" s="5">
        <v>275</v>
      </c>
      <c r="D145" s="21">
        <v>1.4</v>
      </c>
      <c r="E145" s="21" t="e">
        <f>IF((VLOOKUP(O145,deuda!A$1:H$550,4,0))=1,D145,0)</f>
        <v>#N/A</v>
      </c>
      <c r="F145" s="5" t="s">
        <v>607</v>
      </c>
      <c r="G145" s="86" t="e">
        <f t="shared" si="27"/>
        <v>#N/A</v>
      </c>
      <c r="H145" s="620" t="e">
        <f t="shared" si="22"/>
        <v>#N/A</v>
      </c>
      <c r="I145" s="618" t="e">
        <f t="shared" si="23"/>
        <v>#N/A</v>
      </c>
      <c r="J145" s="125" t="e">
        <f t="shared" si="24"/>
        <v>#REF!</v>
      </c>
      <c r="K145" s="125" t="e">
        <f t="shared" si="25"/>
        <v>#REF!</v>
      </c>
      <c r="L145" s="5"/>
      <c r="M145" s="5"/>
      <c r="N145" s="5"/>
      <c r="O145" s="5" t="str">
        <f t="shared" si="26"/>
        <v>1214275</v>
      </c>
      <c r="P145" s="6" t="e">
        <f>VLOOKUP(O145,deuda!A$1:H$550,4,0)</f>
        <v>#N/A</v>
      </c>
      <c r="Q145" s="6" t="e">
        <f>VLOOKUP(O145,deuda!A$1:H$550,5,0)</f>
        <v>#N/A</v>
      </c>
      <c r="R145" s="6" t="e">
        <f>IF(VLOOKUP(O145,deuda!A$1:H$550,6,0)=0,"",VLOOKUP(O145,deuda!A$1:H$550,6,0))</f>
        <v>#N/A</v>
      </c>
      <c r="S145" s="149" t="e">
        <f>IF((VLOOKUP(O145,deuda!A$1:H$550,7,0))=0,"",VLOOKUP(O145,deuda!A$1:H$550,7,0))</f>
        <v>#N/A</v>
      </c>
      <c r="T145" s="153" t="e">
        <f>IF((VLOOKUP(O145,deuda!A$1:H$550,8,0))=0,"",VLOOKUP(O145,deuda!A$1:H$550,8,0))</f>
        <v>#N/A</v>
      </c>
    </row>
    <row r="146" spans="1:20">
      <c r="A146" s="26">
        <v>8</v>
      </c>
      <c r="B146" s="5">
        <v>1214</v>
      </c>
      <c r="C146" s="5">
        <v>194</v>
      </c>
      <c r="D146" s="21">
        <v>1.7544999999999999</v>
      </c>
      <c r="E146" s="21">
        <f>IF((VLOOKUP(O146,deuda!A$1:H$550,4,0))=1,D146,0)</f>
        <v>1.7544999999999999</v>
      </c>
      <c r="F146" s="5" t="s">
        <v>608</v>
      </c>
      <c r="G146" s="86">
        <f t="shared" si="27"/>
        <v>1.7544999999999999</v>
      </c>
      <c r="H146" s="620" t="e">
        <f t="shared" si="22"/>
        <v>#N/A</v>
      </c>
      <c r="I146" s="618" t="e">
        <f t="shared" si="23"/>
        <v>#N/A</v>
      </c>
      <c r="J146" s="125" t="e">
        <f t="shared" si="24"/>
        <v>#REF!</v>
      </c>
      <c r="K146" s="125" t="e">
        <f t="shared" si="25"/>
        <v>#REF!</v>
      </c>
      <c r="L146" s="5"/>
      <c r="M146" s="5"/>
      <c r="N146" s="5"/>
      <c r="O146" s="5" t="str">
        <f t="shared" si="26"/>
        <v>1214194</v>
      </c>
      <c r="P146" s="6">
        <f>VLOOKUP(O146,deuda!A$1:H$550,4,0)</f>
        <v>1</v>
      </c>
      <c r="Q146" s="6">
        <f>VLOOKUP(O146,deuda!A$1:H$550,5,0)</f>
        <v>1</v>
      </c>
      <c r="R146" s="6">
        <f>IF(VLOOKUP(O146,deuda!A$1:H$550,6,0)=0,"",VLOOKUP(O146,deuda!A$1:H$550,6,0))</f>
        <v>475.37</v>
      </c>
      <c r="S146" s="149" t="str">
        <f>IF((VLOOKUP(O146,deuda!A$1:H$550,7,0))=0,"",VLOOKUP(O146,deuda!A$1:H$550,7,0))</f>
        <v/>
      </c>
      <c r="T146" s="153" t="str">
        <f>IF((VLOOKUP(O146,deuda!A$1:H$550,8,0))=0,"",VLOOKUP(O146,deuda!A$1:H$550,8,0))</f>
        <v/>
      </c>
    </row>
    <row r="147" spans="1:20">
      <c r="A147" s="26">
        <v>8</v>
      </c>
      <c r="B147" s="5">
        <v>1214</v>
      </c>
      <c r="C147" s="5">
        <v>195</v>
      </c>
      <c r="D147" s="21">
        <v>1.7742</v>
      </c>
      <c r="E147" s="21">
        <f>IF((VLOOKUP(O147,deuda!A$1:H$550,4,0))=1,D147,0)</f>
        <v>1.7742</v>
      </c>
      <c r="F147" s="5" t="s">
        <v>608</v>
      </c>
      <c r="G147" s="86">
        <f t="shared" si="27"/>
        <v>1.7742</v>
      </c>
      <c r="H147" s="620" t="e">
        <f t="shared" si="22"/>
        <v>#N/A</v>
      </c>
      <c r="I147" s="618" t="e">
        <f t="shared" si="23"/>
        <v>#N/A</v>
      </c>
      <c r="J147" s="125" t="e">
        <f t="shared" si="24"/>
        <v>#REF!</v>
      </c>
      <c r="K147" s="125" t="e">
        <f t="shared" si="25"/>
        <v>#REF!</v>
      </c>
      <c r="L147" s="5"/>
      <c r="M147" s="5"/>
      <c r="N147" s="5"/>
      <c r="O147" s="5" t="str">
        <f t="shared" si="26"/>
        <v>1214195</v>
      </c>
      <c r="P147" s="6">
        <f>VLOOKUP(O147,deuda!A$1:H$550,4,0)</f>
        <v>1</v>
      </c>
      <c r="Q147" s="6">
        <f>VLOOKUP(O147,deuda!A$1:H$550,5,0)</f>
        <v>1</v>
      </c>
      <c r="R147" s="6">
        <f>IF(VLOOKUP(O147,deuda!A$1:H$550,6,0)=0,"",VLOOKUP(O147,deuda!A$1:H$550,6,0))</f>
        <v>475.37</v>
      </c>
      <c r="S147" s="149" t="str">
        <f>IF((VLOOKUP(O147,deuda!A$1:H$550,7,0))=0,"",VLOOKUP(O147,deuda!A$1:H$550,7,0))</f>
        <v/>
      </c>
      <c r="T147" s="153" t="str">
        <f>IF((VLOOKUP(O147,deuda!A$1:H$550,8,0))=0,"",VLOOKUP(O147,deuda!A$1:H$550,8,0))</f>
        <v/>
      </c>
    </row>
    <row r="148" spans="1:20">
      <c r="A148" s="26">
        <v>9</v>
      </c>
      <c r="B148" s="5">
        <v>1214</v>
      </c>
      <c r="C148" s="5">
        <v>192</v>
      </c>
      <c r="D148" s="21">
        <v>1.0530999999999999</v>
      </c>
      <c r="E148" s="21">
        <f>IF((VLOOKUP(O148,deuda!A$1:H$550,4,0))=1,D148,0)</f>
        <v>1.0530999999999999</v>
      </c>
      <c r="F148" s="5" t="s">
        <v>609</v>
      </c>
      <c r="G148" s="86">
        <f t="shared" si="27"/>
        <v>1.0530999999999999</v>
      </c>
      <c r="H148" s="620" t="e">
        <f t="shared" si="22"/>
        <v>#N/A</v>
      </c>
      <c r="I148" s="618" t="e">
        <f t="shared" si="23"/>
        <v>#N/A</v>
      </c>
      <c r="J148" s="125" t="e">
        <f t="shared" si="24"/>
        <v>#REF!</v>
      </c>
      <c r="K148" s="125" t="e">
        <f t="shared" si="25"/>
        <v>#REF!</v>
      </c>
      <c r="L148" s="5"/>
      <c r="M148" s="5"/>
      <c r="N148" s="5"/>
      <c r="O148" s="5" t="str">
        <f t="shared" si="26"/>
        <v>1214192</v>
      </c>
      <c r="P148" s="6">
        <f>VLOOKUP(O148,deuda!A$1:H$550,4,0)</f>
        <v>1</v>
      </c>
      <c r="Q148" s="6">
        <f>VLOOKUP(O148,deuda!A$1:H$550,5,0)</f>
        <v>1</v>
      </c>
      <c r="R148" s="6">
        <f>IF(VLOOKUP(O148,deuda!A$1:H$550,6,0)=0,"",VLOOKUP(O148,deuda!A$1:H$550,6,0))</f>
        <v>420.56</v>
      </c>
      <c r="S148" s="149" t="str">
        <f>IF((VLOOKUP(O148,deuda!A$1:H$550,7,0))=0,"",VLOOKUP(O148,deuda!A$1:H$550,7,0))</f>
        <v/>
      </c>
      <c r="T148" s="153" t="str">
        <f>IF((VLOOKUP(O148,deuda!A$1:H$550,8,0))=0,"",VLOOKUP(O148,deuda!A$1:H$550,8,0))</f>
        <v/>
      </c>
    </row>
    <row r="149" spans="1:20">
      <c r="A149" s="26">
        <v>10</v>
      </c>
      <c r="B149" s="5">
        <v>1214</v>
      </c>
      <c r="C149" s="5">
        <v>191</v>
      </c>
      <c r="D149" s="21">
        <v>1.5046999999999999</v>
      </c>
      <c r="E149" s="21">
        <f>IF((VLOOKUP(O149,deuda!A$1:H$550,4,0))=1,D149,0)</f>
        <v>1.5046999999999999</v>
      </c>
      <c r="F149" s="5" t="s">
        <v>610</v>
      </c>
      <c r="G149" s="86">
        <f t="shared" si="27"/>
        <v>1.5046999999999999</v>
      </c>
      <c r="H149" s="620" t="e">
        <f t="shared" si="22"/>
        <v>#N/A</v>
      </c>
      <c r="I149" s="618" t="e">
        <f t="shared" si="23"/>
        <v>#N/A</v>
      </c>
      <c r="J149" s="125" t="e">
        <f t="shared" si="24"/>
        <v>#REF!</v>
      </c>
      <c r="K149" s="125" t="e">
        <f t="shared" si="25"/>
        <v>#REF!</v>
      </c>
      <c r="L149" s="5"/>
      <c r="M149" s="5"/>
      <c r="N149" s="5"/>
      <c r="O149" s="5" t="str">
        <f t="shared" si="26"/>
        <v>1214191</v>
      </c>
      <c r="P149" s="6">
        <f>VLOOKUP(O149,deuda!A$1:H$550,4,0)</f>
        <v>1</v>
      </c>
      <c r="Q149" s="6">
        <f>VLOOKUP(O149,deuda!A$1:H$550,5,0)</f>
        <v>0</v>
      </c>
      <c r="R149" s="6" t="str">
        <f>IF(VLOOKUP(O149,deuda!A$1:H$550,6,0)=0,"",VLOOKUP(O149,deuda!A$1:H$550,6,0))</f>
        <v/>
      </c>
      <c r="S149" s="149" t="str">
        <f>IF((VLOOKUP(O149,deuda!A$1:H$550,7,0))=0,"",VLOOKUP(O149,deuda!A$1:H$550,7,0))</f>
        <v/>
      </c>
      <c r="T149" s="153" t="str">
        <f>IF((VLOOKUP(O149,deuda!A$1:H$550,8,0))=0,"",VLOOKUP(O149,deuda!A$1:H$550,8,0))</f>
        <v/>
      </c>
    </row>
    <row r="150" spans="1:20">
      <c r="A150" s="26">
        <v>11</v>
      </c>
      <c r="B150" s="5">
        <v>1214</v>
      </c>
      <c r="C150" s="5">
        <v>38</v>
      </c>
      <c r="D150" s="21">
        <v>1.5511999999999999</v>
      </c>
      <c r="E150" s="21">
        <f>IF((VLOOKUP(O150,deuda!A$1:H$550,4,0))=1,D150,0)</f>
        <v>1.5511999999999999</v>
      </c>
      <c r="F150" s="5" t="s">
        <v>611</v>
      </c>
      <c r="G150" s="9">
        <f t="shared" si="27"/>
        <v>1.5511999999999999</v>
      </c>
      <c r="H150" s="620" t="e">
        <f t="shared" si="22"/>
        <v>#N/A</v>
      </c>
      <c r="I150" s="618" t="e">
        <f t="shared" si="23"/>
        <v>#N/A</v>
      </c>
      <c r="J150" s="125" t="e">
        <f t="shared" si="24"/>
        <v>#REF!</v>
      </c>
      <c r="K150" s="125" t="e">
        <f t="shared" si="25"/>
        <v>#REF!</v>
      </c>
      <c r="L150" s="5"/>
      <c r="M150" s="5"/>
      <c r="N150" s="5"/>
      <c r="O150" s="5" t="str">
        <f t="shared" si="26"/>
        <v>121438</v>
      </c>
      <c r="P150" s="6">
        <f>VLOOKUP(O150,deuda!A$1:H$550,4,0)</f>
        <v>1</v>
      </c>
      <c r="Q150" s="6">
        <f>VLOOKUP(O150,deuda!A$1:H$550,5,0)</f>
        <v>0</v>
      </c>
      <c r="R150" s="6" t="str">
        <f>IF(VLOOKUP(O150,deuda!A$1:H$550,6,0)=0,"",VLOOKUP(O150,deuda!A$1:H$550,6,0))</f>
        <v/>
      </c>
      <c r="S150" s="149" t="str">
        <f>IF((VLOOKUP(O150,deuda!A$1:H$550,7,0))=0,"",VLOOKUP(O150,deuda!A$1:H$550,7,0))</f>
        <v/>
      </c>
      <c r="T150" s="153" t="str">
        <f>IF((VLOOKUP(O150,deuda!A$1:H$550,8,0))=0,"",VLOOKUP(O150,deuda!A$1:H$550,8,0))</f>
        <v/>
      </c>
    </row>
    <row r="151" spans="1:20">
      <c r="A151" s="26">
        <v>12</v>
      </c>
      <c r="B151" s="5">
        <v>1214</v>
      </c>
      <c r="C151" s="5">
        <v>282</v>
      </c>
      <c r="D151" s="21">
        <v>0.65169999999999995</v>
      </c>
      <c r="E151" s="21" t="e">
        <f>IF((VLOOKUP(O151,deuda!A$1:H$550,4,0))=1,D151,0)</f>
        <v>#N/A</v>
      </c>
      <c r="F151" s="5" t="s">
        <v>612</v>
      </c>
      <c r="G151" s="86" t="e">
        <f t="shared" si="27"/>
        <v>#N/A</v>
      </c>
      <c r="H151" s="620" t="e">
        <f t="shared" si="22"/>
        <v>#N/A</v>
      </c>
      <c r="I151" s="618" t="e">
        <f t="shared" si="23"/>
        <v>#N/A</v>
      </c>
      <c r="J151" s="125" t="e">
        <f t="shared" si="24"/>
        <v>#REF!</v>
      </c>
      <c r="K151" s="125" t="e">
        <f t="shared" si="25"/>
        <v>#REF!</v>
      </c>
      <c r="L151" s="5"/>
      <c r="M151" s="5"/>
      <c r="N151" s="5"/>
      <c r="O151" s="5" t="str">
        <f t="shared" si="26"/>
        <v>1214282</v>
      </c>
      <c r="P151" s="6" t="e">
        <f>VLOOKUP(O151,deuda!A$1:H$550,4,0)</f>
        <v>#N/A</v>
      </c>
      <c r="Q151" s="6" t="e">
        <f>VLOOKUP(O151,deuda!A$1:H$550,5,0)</f>
        <v>#N/A</v>
      </c>
      <c r="R151" s="6" t="e">
        <f>IF(VLOOKUP(O151,deuda!A$1:H$550,6,0)=0,"",VLOOKUP(O151,deuda!A$1:H$550,6,0))</f>
        <v>#N/A</v>
      </c>
      <c r="S151" s="149" t="e">
        <f>IF((VLOOKUP(O151,deuda!A$1:H$550,7,0))=0,"",VLOOKUP(O151,deuda!A$1:H$550,7,0))</f>
        <v>#N/A</v>
      </c>
      <c r="T151" s="153" t="e">
        <f>IF((VLOOKUP(O151,deuda!A$1:H$550,8,0))=0,"",VLOOKUP(O151,deuda!A$1:H$550,8,0))</f>
        <v>#N/A</v>
      </c>
    </row>
    <row r="152" spans="1:20">
      <c r="A152" s="26">
        <v>13</v>
      </c>
      <c r="B152" s="5">
        <v>1214</v>
      </c>
      <c r="C152" s="5">
        <v>279</v>
      </c>
      <c r="D152" s="21">
        <v>9.5399999999999999E-2</v>
      </c>
      <c r="E152" s="21" t="e">
        <f>IF((VLOOKUP(O152,deuda!A$1:H$550,4,0))=1,D152,0)</f>
        <v>#N/A</v>
      </c>
      <c r="F152" s="5" t="s">
        <v>613</v>
      </c>
      <c r="G152" s="86" t="e">
        <f t="shared" si="27"/>
        <v>#N/A</v>
      </c>
      <c r="H152" s="620" t="e">
        <f t="shared" si="22"/>
        <v>#N/A</v>
      </c>
      <c r="I152" s="618" t="e">
        <f t="shared" si="23"/>
        <v>#N/A</v>
      </c>
      <c r="J152" s="125" t="e">
        <f t="shared" si="24"/>
        <v>#REF!</v>
      </c>
      <c r="K152" s="125" t="e">
        <f t="shared" si="25"/>
        <v>#REF!</v>
      </c>
      <c r="L152" s="5"/>
      <c r="M152" s="5"/>
      <c r="N152" s="5"/>
      <c r="O152" s="5" t="str">
        <f t="shared" si="26"/>
        <v>1214279</v>
      </c>
      <c r="P152" s="6" t="e">
        <f>VLOOKUP(O152,deuda!A$1:H$550,4,0)</f>
        <v>#N/A</v>
      </c>
      <c r="Q152" s="6" t="e">
        <f>VLOOKUP(O152,deuda!A$1:H$550,5,0)</f>
        <v>#N/A</v>
      </c>
      <c r="R152" s="6" t="e">
        <f>IF(VLOOKUP(O152,deuda!A$1:H$550,6,0)=0,"",VLOOKUP(O152,deuda!A$1:H$550,6,0))</f>
        <v>#N/A</v>
      </c>
      <c r="S152" s="149" t="e">
        <f>IF((VLOOKUP(O152,deuda!A$1:H$550,7,0))=0,"",VLOOKUP(O152,deuda!A$1:H$550,7,0))</f>
        <v>#N/A</v>
      </c>
      <c r="T152" s="153" t="e">
        <f>IF((VLOOKUP(O152,deuda!A$1:H$550,8,0))=0,"",VLOOKUP(O152,deuda!A$1:H$550,8,0))</f>
        <v>#N/A</v>
      </c>
    </row>
    <row r="153" spans="1:20">
      <c r="A153" s="26">
        <v>13</v>
      </c>
      <c r="B153" s="5">
        <v>1214</v>
      </c>
      <c r="C153" s="5">
        <v>215</v>
      </c>
      <c r="D153" s="21">
        <v>0.28821999999999998</v>
      </c>
      <c r="E153" s="21">
        <f>IF((VLOOKUP(O153,deuda!A$1:H$550,4,0))=1,D153,0)</f>
        <v>0.28821999999999998</v>
      </c>
      <c r="F153" s="5" t="s">
        <v>614</v>
      </c>
      <c r="G153" s="86">
        <f t="shared" si="27"/>
        <v>0.28821999999999998</v>
      </c>
      <c r="H153" s="620" t="e">
        <f t="shared" si="22"/>
        <v>#N/A</v>
      </c>
      <c r="I153" s="618" t="e">
        <f t="shared" si="23"/>
        <v>#N/A</v>
      </c>
      <c r="J153" s="125" t="e">
        <f t="shared" si="24"/>
        <v>#REF!</v>
      </c>
      <c r="K153" s="125" t="e">
        <f t="shared" si="25"/>
        <v>#REF!</v>
      </c>
      <c r="L153" s="5"/>
      <c r="M153" s="5"/>
      <c r="N153" s="5"/>
      <c r="O153" s="5" t="str">
        <f t="shared" si="26"/>
        <v>1214215</v>
      </c>
      <c r="P153" s="6">
        <f>VLOOKUP(O153,deuda!A$1:H$550,4,0)</f>
        <v>1</v>
      </c>
      <c r="Q153" s="6">
        <f>VLOOKUP(O153,deuda!A$1:H$550,5,0)</f>
        <v>0</v>
      </c>
      <c r="R153" s="6">
        <f>IF(VLOOKUP(O153,deuda!A$1:H$550,6,0)=0,"",VLOOKUP(O153,deuda!A$1:H$550,6,0))</f>
        <v>10.1</v>
      </c>
      <c r="S153" s="149" t="str">
        <f>IF((VLOOKUP(O153,deuda!A$1:H$550,7,0))=0,"",VLOOKUP(O153,deuda!A$1:H$550,7,0))</f>
        <v/>
      </c>
      <c r="T153" s="153" t="str">
        <f>IF((VLOOKUP(O153,deuda!A$1:H$550,8,0))=0,"",VLOOKUP(O153,deuda!A$1:H$550,8,0))</f>
        <v/>
      </c>
    </row>
    <row r="154" spans="1:20">
      <c r="A154" s="26">
        <v>14</v>
      </c>
      <c r="B154" s="5">
        <v>1214</v>
      </c>
      <c r="C154" s="5">
        <v>190</v>
      </c>
      <c r="D154" s="21">
        <v>0.87180000000000002</v>
      </c>
      <c r="E154" s="21">
        <f>IF((VLOOKUP(O154,deuda!A$1:H$550,4,0))=1,D154,0)</f>
        <v>0</v>
      </c>
      <c r="F154" s="5" t="s">
        <v>615</v>
      </c>
      <c r="G154" s="9">
        <v>0</v>
      </c>
      <c r="H154" s="620" t="e">
        <f t="shared" si="22"/>
        <v>#N/A</v>
      </c>
      <c r="I154" s="618" t="e">
        <f t="shared" si="23"/>
        <v>#N/A</v>
      </c>
      <c r="J154" s="125" t="e">
        <f t="shared" si="24"/>
        <v>#REF!</v>
      </c>
      <c r="K154" s="125" t="e">
        <f t="shared" si="25"/>
        <v>#REF!</v>
      </c>
      <c r="L154" s="5"/>
      <c r="M154" s="5"/>
      <c r="N154" s="5"/>
      <c r="O154" s="5" t="str">
        <f t="shared" si="26"/>
        <v>1214190</v>
      </c>
      <c r="P154" s="6">
        <f>VLOOKUP(O154,deuda!A$1:H$550,4,0)</f>
        <v>0</v>
      </c>
      <c r="Q154" s="6">
        <f>VLOOKUP(O154,deuda!A$1:H$550,5,0)</f>
        <v>76</v>
      </c>
      <c r="R154" s="6">
        <f>IF(VLOOKUP(O154,deuda!A$1:H$550,6,0)=0,"",VLOOKUP(O154,deuda!A$1:H$550,6,0))</f>
        <v>28949.31</v>
      </c>
      <c r="S154" s="149" t="str">
        <f>IF((VLOOKUP(O154,deuda!A$1:H$550,7,0))=0,"",VLOOKUP(O154,deuda!A$1:H$550,7,0))</f>
        <v/>
      </c>
      <c r="T154" s="153" t="str">
        <f>IF((VLOOKUP(O154,deuda!A$1:H$550,8,0))=0,"",VLOOKUP(O154,deuda!A$1:H$550,8,0))</f>
        <v/>
      </c>
    </row>
    <row r="155" spans="1:20">
      <c r="A155" s="26">
        <v>15</v>
      </c>
      <c r="B155" s="5">
        <v>1214</v>
      </c>
      <c r="C155" s="5">
        <v>213</v>
      </c>
      <c r="D155" s="21">
        <v>0.25</v>
      </c>
      <c r="E155" s="21">
        <f>IF((VLOOKUP(O155,deuda!A$1:H$550,4,0))=1,D155,0)</f>
        <v>0.25</v>
      </c>
      <c r="F155" s="5" t="s">
        <v>611</v>
      </c>
      <c r="G155" s="9">
        <v>0</v>
      </c>
      <c r="H155" s="620" t="e">
        <f t="shared" si="22"/>
        <v>#N/A</v>
      </c>
      <c r="I155" s="618" t="e">
        <f t="shared" si="23"/>
        <v>#N/A</v>
      </c>
      <c r="J155" s="125" t="e">
        <f t="shared" si="24"/>
        <v>#REF!</v>
      </c>
      <c r="K155" s="125" t="e">
        <f t="shared" si="25"/>
        <v>#REF!</v>
      </c>
      <c r="L155" s="5"/>
      <c r="M155" s="5"/>
      <c r="N155" s="5"/>
      <c r="O155" s="5" t="str">
        <f t="shared" si="26"/>
        <v>1214213</v>
      </c>
      <c r="P155" s="6">
        <f>VLOOKUP(O155,deuda!A$1:H$550,4,0)</f>
        <v>1</v>
      </c>
      <c r="Q155" s="6">
        <f>VLOOKUP(O155,deuda!A$1:H$550,5,0)</f>
        <v>0</v>
      </c>
      <c r="R155" s="6" t="str">
        <f>IF(VLOOKUP(O155,deuda!A$1:H$550,6,0)=0,"",VLOOKUP(O155,deuda!A$1:H$550,6,0))</f>
        <v/>
      </c>
      <c r="S155" s="149" t="str">
        <f>IF((VLOOKUP(O155,deuda!A$1:H$550,7,0))=0,"",VLOOKUP(O155,deuda!A$1:H$550,7,0))</f>
        <v/>
      </c>
      <c r="T155" s="153" t="str">
        <f>IF((VLOOKUP(O155,deuda!A$1:H$550,8,0))=0,"",VLOOKUP(O155,deuda!A$1:H$550,8,0))</f>
        <v/>
      </c>
    </row>
    <row r="156" spans="1:20" ht="13.5" thickBot="1">
      <c r="A156" s="132">
        <v>16</v>
      </c>
      <c r="B156" s="29">
        <v>1214</v>
      </c>
      <c r="C156" s="29">
        <v>24</v>
      </c>
      <c r="D156" s="46">
        <v>4.8715999999999999</v>
      </c>
      <c r="E156" s="46">
        <f>IF((VLOOKUP(O156,deuda!A$1:H$550,4,0))=1,D156,0)</f>
        <v>4.8715999999999999</v>
      </c>
      <c r="F156" s="29" t="s">
        <v>259</v>
      </c>
      <c r="G156" s="136">
        <f>E156</f>
        <v>4.8715999999999999</v>
      </c>
      <c r="H156" s="630" t="e">
        <f t="shared" si="22"/>
        <v>#N/A</v>
      </c>
      <c r="I156" s="621" t="e">
        <f t="shared" si="23"/>
        <v>#N/A</v>
      </c>
      <c r="J156" s="127" t="e">
        <f t="shared" si="24"/>
        <v>#REF!</v>
      </c>
      <c r="K156" s="127" t="e">
        <f t="shared" si="25"/>
        <v>#REF!</v>
      </c>
      <c r="L156" s="29"/>
      <c r="M156" s="29"/>
      <c r="N156" s="29"/>
      <c r="O156" s="29" t="str">
        <f t="shared" si="26"/>
        <v>121424</v>
      </c>
      <c r="P156" s="33">
        <f>VLOOKUP(O156,deuda!A$1:H$550,4,0)</f>
        <v>1</v>
      </c>
      <c r="Q156" s="33">
        <f>VLOOKUP(O156,deuda!A$1:H$550,5,0)</f>
        <v>0</v>
      </c>
      <c r="R156" s="33" t="str">
        <f>IF(VLOOKUP(O156,deuda!A$1:H$550,6,0)=0,"",VLOOKUP(O156,deuda!A$1:H$550,6,0))</f>
        <v/>
      </c>
      <c r="S156" s="154" t="str">
        <f>IF((VLOOKUP(O156,deuda!A$1:H$550,7,0))=0,"",VLOOKUP(O156,deuda!A$1:H$550,7,0))</f>
        <v/>
      </c>
      <c r="T156" s="155" t="str">
        <f>IF((VLOOKUP(O156,deuda!A$1:H$550,8,0))=0,"",VLOOKUP(O156,deuda!A$1:H$550,8,0))</f>
        <v/>
      </c>
    </row>
    <row r="157" spans="1:20">
      <c r="A157" s="10"/>
      <c r="B157" s="10"/>
      <c r="C157" s="10"/>
      <c r="D157" s="85">
        <f>SUM(D134:D156)</f>
        <v>32.835420000000006</v>
      </c>
      <c r="E157" s="85" t="e">
        <f>SUM(E134:E156)</f>
        <v>#N/A</v>
      </c>
      <c r="G157" s="73" t="e">
        <f>SUM(G134:G156)</f>
        <v>#N/A</v>
      </c>
      <c r="H157" s="629" t="e">
        <f>+SUM(H134:H156)</f>
        <v>#N/A</v>
      </c>
      <c r="I157" s="229" t="e">
        <f>+SUM(I134:I156)</f>
        <v>#N/A</v>
      </c>
      <c r="J157" s="10"/>
      <c r="K157" s="181"/>
      <c r="L157" s="181"/>
      <c r="M157" s="10"/>
      <c r="P157" t="str">
        <f>+CONCATENATE(B157,C157)</f>
        <v/>
      </c>
    </row>
    <row r="158" spans="1:20">
      <c r="A158" s="10"/>
      <c r="B158" s="10"/>
      <c r="C158" s="10"/>
      <c r="D158" s="10"/>
      <c r="E158" s="85"/>
      <c r="F158" s="99"/>
      <c r="G158" s="164"/>
      <c r="H158" s="98"/>
      <c r="I158" s="89"/>
      <c r="J158" s="10"/>
      <c r="K158" s="10"/>
      <c r="L158" s="10"/>
      <c r="M158" s="10"/>
    </row>
    <row r="159" spans="1:20">
      <c r="A159" s="10"/>
      <c r="B159" s="10"/>
      <c r="C159" s="10"/>
      <c r="D159" s="10"/>
      <c r="E159" s="85"/>
      <c r="F159" s="99"/>
      <c r="G159" s="164"/>
      <c r="H159" s="10"/>
      <c r="I159" s="10"/>
      <c r="J159" s="10"/>
      <c r="K159" s="10"/>
      <c r="L159" s="10"/>
      <c r="M159" s="10"/>
    </row>
    <row r="160" spans="1:20">
      <c r="A160" s="10"/>
      <c r="B160" s="10"/>
      <c r="C160" s="10"/>
      <c r="D160" s="10"/>
      <c r="E160" s="84"/>
      <c r="F160" s="84"/>
      <c r="G160" s="10"/>
      <c r="H160" s="10"/>
      <c r="I160" s="10"/>
      <c r="J160" s="10"/>
      <c r="K160" s="10"/>
      <c r="L160" s="10"/>
      <c r="M160" s="10"/>
    </row>
    <row r="161" spans="1:20">
      <c r="A161" s="10"/>
      <c r="B161" s="10"/>
      <c r="C161" s="10"/>
      <c r="D161" s="10"/>
      <c r="E161" s="84"/>
      <c r="F161" s="84"/>
      <c r="G161" s="10"/>
      <c r="H161" s="10"/>
      <c r="I161" s="10"/>
      <c r="J161" s="10"/>
      <c r="K161" s="10"/>
      <c r="L161" s="10"/>
      <c r="M161" s="10"/>
    </row>
    <row r="162" spans="1:20">
      <c r="A162" s="47" t="s">
        <v>616</v>
      </c>
      <c r="B162" s="10"/>
      <c r="C162" s="10"/>
      <c r="D162" s="10"/>
      <c r="E162" s="84"/>
      <c r="F162" s="84"/>
      <c r="G162" s="10"/>
      <c r="H162" s="10"/>
      <c r="I162" s="10"/>
      <c r="J162" s="10"/>
      <c r="K162" s="10"/>
      <c r="L162" s="10"/>
      <c r="M162" s="10"/>
    </row>
    <row r="163" spans="1:20">
      <c r="A163" s="10"/>
      <c r="B163" s="10"/>
      <c r="C163" s="10"/>
      <c r="D163" s="10"/>
      <c r="E163" s="84"/>
      <c r="F163" s="84"/>
      <c r="G163" s="10"/>
      <c r="H163" s="10"/>
      <c r="I163" s="10"/>
      <c r="J163" s="10"/>
      <c r="K163" s="10"/>
      <c r="L163" s="10"/>
      <c r="M163" s="10"/>
    </row>
    <row r="164" spans="1:20">
      <c r="C164" s="1" t="s">
        <v>565</v>
      </c>
      <c r="J164" s="10"/>
      <c r="K164" s="10"/>
      <c r="L164" s="10"/>
      <c r="M164" s="10"/>
    </row>
    <row r="165" spans="1:20" ht="13.5" thickBot="1">
      <c r="J165" s="10"/>
      <c r="K165" s="10"/>
      <c r="L165" s="10"/>
      <c r="M165" s="10"/>
    </row>
    <row r="166" spans="1:20">
      <c r="A166" s="688" t="s">
        <v>92</v>
      </c>
      <c r="B166" s="689"/>
      <c r="C166" s="690" t="e">
        <f>+J15</f>
        <v>#REF!</v>
      </c>
      <c r="D166" s="691"/>
      <c r="E166" s="3"/>
      <c r="F166" s="3"/>
      <c r="G166" s="24" t="s">
        <v>93</v>
      </c>
      <c r="H166" s="200">
        <f>+H5</f>
        <v>3.9895833333333335</v>
      </c>
    </row>
    <row r="167" spans="1:20" ht="13.5" thickBot="1">
      <c r="A167" s="692" t="s">
        <v>94</v>
      </c>
      <c r="B167" s="693"/>
      <c r="C167" s="694" t="e">
        <f>+K186</f>
        <v>#REF!</v>
      </c>
      <c r="D167" s="695"/>
      <c r="E167" s="3"/>
      <c r="F167" s="3"/>
      <c r="G167" s="26" t="s">
        <v>95</v>
      </c>
      <c r="H167" s="171">
        <f>+H15</f>
        <v>0</v>
      </c>
      <c r="I167" s="3"/>
      <c r="K167" s="635"/>
    </row>
    <row r="168" spans="1:20" ht="13.5" thickBot="1">
      <c r="G168" s="132" t="s">
        <v>96</v>
      </c>
      <c r="H168" s="172">
        <f>+I15</f>
        <v>4.1666666666666664E-2</v>
      </c>
    </row>
    <row r="170" spans="1:20">
      <c r="A170" s="696" t="s">
        <v>97</v>
      </c>
      <c r="B170" s="696"/>
      <c r="C170" s="168" t="e">
        <f>+E170/60</f>
        <v>#N/A</v>
      </c>
      <c r="D170" s="558" t="s">
        <v>98</v>
      </c>
      <c r="E170" s="169" t="e">
        <f>+F15+F16</f>
        <v>#N/A</v>
      </c>
      <c r="F170" s="558" t="s">
        <v>99</v>
      </c>
      <c r="G170" s="167" t="e">
        <f>+G187</f>
        <v>#N/A</v>
      </c>
      <c r="H170" s="558" t="s">
        <v>100</v>
      </c>
      <c r="I170" s="168" t="e">
        <f>+E170/G170</f>
        <v>#N/A</v>
      </c>
    </row>
    <row r="172" spans="1:20" ht="13.5" thickBot="1"/>
    <row r="173" spans="1:20" ht="21" customHeight="1" thickBot="1">
      <c r="A173" s="22" t="s">
        <v>102</v>
      </c>
      <c r="B173" s="182" t="s">
        <v>566</v>
      </c>
      <c r="C173" s="182" t="s">
        <v>104</v>
      </c>
      <c r="D173" s="182" t="s">
        <v>567</v>
      </c>
      <c r="E173" s="182" t="s">
        <v>568</v>
      </c>
      <c r="F173" s="182" t="s">
        <v>569</v>
      </c>
      <c r="G173" s="182" t="s">
        <v>570</v>
      </c>
      <c r="H173" s="25" t="s">
        <v>304</v>
      </c>
      <c r="I173" s="32" t="s">
        <v>110</v>
      </c>
      <c r="J173" s="25" t="s">
        <v>156</v>
      </c>
      <c r="K173" s="25" t="s">
        <v>157</v>
      </c>
      <c r="L173" s="32" t="s">
        <v>114</v>
      </c>
      <c r="M173" s="184" t="s">
        <v>158</v>
      </c>
      <c r="N173" s="32" t="s">
        <v>116</v>
      </c>
      <c r="O173" s="32" t="s">
        <v>117</v>
      </c>
      <c r="P173" s="32" t="s">
        <v>118</v>
      </c>
      <c r="Q173" s="32" t="s">
        <v>119</v>
      </c>
      <c r="R173" s="32" t="s">
        <v>120</v>
      </c>
      <c r="S173" s="32" t="s">
        <v>121</v>
      </c>
      <c r="T173" s="185" t="s">
        <v>122</v>
      </c>
    </row>
    <row r="174" spans="1:20">
      <c r="A174" s="26">
        <v>1</v>
      </c>
      <c r="B174" s="5">
        <v>1214</v>
      </c>
      <c r="C174" s="5">
        <v>10</v>
      </c>
      <c r="D174" s="21">
        <v>2.5811000000000002</v>
      </c>
      <c r="E174" s="21">
        <f>IF((VLOOKUP(O174,deuda!A$1:H$550,4,0))=1,D174,0)</f>
        <v>2.5811000000000002</v>
      </c>
      <c r="F174" s="5" t="s">
        <v>617</v>
      </c>
      <c r="G174" s="27">
        <f>E174</f>
        <v>2.5811000000000002</v>
      </c>
      <c r="H174" s="620" t="e">
        <f>G174*$I$9</f>
        <v>#N/A</v>
      </c>
      <c r="I174" s="618" t="e">
        <f>+H174/60</f>
        <v>#N/A</v>
      </c>
      <c r="J174" s="125" t="e">
        <f>+C166+H167+H168</f>
        <v>#REF!</v>
      </c>
      <c r="K174" s="125" t="e">
        <f>+J174+I174</f>
        <v>#REF!</v>
      </c>
      <c r="L174" s="5"/>
      <c r="M174" s="5"/>
      <c r="N174" s="5"/>
      <c r="O174" s="5" t="str">
        <f>+CONCATENATE(B174,C174)</f>
        <v>121410</v>
      </c>
      <c r="P174" s="6">
        <f>VLOOKUP(O174,deuda!A$1:H$550,4,0)</f>
        <v>1</v>
      </c>
      <c r="Q174" s="6">
        <f>VLOOKUP(O174,deuda!A$1:H$550,5,0)</f>
        <v>0</v>
      </c>
      <c r="R174" s="6" t="str">
        <f>IF(VLOOKUP(O174,deuda!A$1:H$550,6,0)=0,"",VLOOKUP(O174,deuda!A$1:H$550,6,0))</f>
        <v/>
      </c>
      <c r="S174" s="149" t="str">
        <f>IF((VLOOKUP(O174,deuda!A$1:H$550,7,0))=0,"",VLOOKUP(O174,deuda!A$1:H$550,7,0))</f>
        <v/>
      </c>
      <c r="T174" s="153" t="str">
        <f>IF((VLOOKUP(O174,deuda!A$1:H$550,8,0))=0,"",VLOOKUP(O174,deuda!A$1:H$550,8,0))</f>
        <v/>
      </c>
    </row>
    <row r="175" spans="1:20">
      <c r="A175" s="26">
        <v>2</v>
      </c>
      <c r="B175" s="5">
        <v>1214</v>
      </c>
      <c r="C175" s="5">
        <v>177</v>
      </c>
      <c r="D175" s="21">
        <v>1.0367</v>
      </c>
      <c r="E175" s="21" t="e">
        <f>IF((VLOOKUP(O175,deuda!A$1:H$550,4,0))=1,D175,0)</f>
        <v>#N/A</v>
      </c>
      <c r="F175" s="5" t="s">
        <v>618</v>
      </c>
      <c r="G175" s="175" t="e">
        <f>+E175*0.8</f>
        <v>#N/A</v>
      </c>
      <c r="H175" s="620" t="e">
        <f t="shared" ref="H175:H186" si="28">+G175*$I$9</f>
        <v>#N/A</v>
      </c>
      <c r="I175" s="618" t="e">
        <f t="shared" ref="I175:I186" si="29">+H175/60</f>
        <v>#N/A</v>
      </c>
      <c r="J175" s="125" t="e">
        <f>+K174</f>
        <v>#REF!</v>
      </c>
      <c r="K175" s="125" t="e">
        <f>+J175+I175</f>
        <v>#REF!</v>
      </c>
      <c r="L175" s="5"/>
      <c r="M175" s="5"/>
      <c r="N175" s="5"/>
      <c r="O175" s="5" t="str">
        <f>+CONCATENATE(B175,C175)</f>
        <v>1214177</v>
      </c>
      <c r="P175" s="6" t="e">
        <f>VLOOKUP(O175,deuda!A$1:H$550,4,0)</f>
        <v>#N/A</v>
      </c>
      <c r="Q175" s="6" t="e">
        <f>VLOOKUP(O175,deuda!A$1:H$550,5,0)</f>
        <v>#N/A</v>
      </c>
      <c r="R175" s="6" t="e">
        <f>IF(VLOOKUP(O175,deuda!A$1:H$550,6,0)=0,"",VLOOKUP(O175,deuda!A$1:H$550,6,0))</f>
        <v>#N/A</v>
      </c>
      <c r="S175" s="149" t="e">
        <f>IF((VLOOKUP(O175,deuda!A$1:H$550,7,0))=0,"",VLOOKUP(O175,deuda!A$1:H$550,7,0))</f>
        <v>#N/A</v>
      </c>
      <c r="T175" s="153" t="e">
        <f>IF((VLOOKUP(O175,deuda!A$1:H$550,8,0))=0,"",VLOOKUP(O175,deuda!A$1:H$550,8,0))</f>
        <v>#N/A</v>
      </c>
    </row>
    <row r="176" spans="1:20">
      <c r="A176" s="26">
        <v>3</v>
      </c>
      <c r="B176" s="5">
        <v>1214</v>
      </c>
      <c r="C176" s="5">
        <v>271</v>
      </c>
      <c r="D176" s="21">
        <v>3.5</v>
      </c>
      <c r="E176" s="21" t="e">
        <f>IF((VLOOKUP(O176,deuda!A$1:H$550,4,0))=1,D176,0)</f>
        <v>#N/A</v>
      </c>
      <c r="F176" s="5" t="s">
        <v>619</v>
      </c>
      <c r="G176" s="27" t="e">
        <f t="shared" ref="G176:G186" si="30">E176</f>
        <v>#N/A</v>
      </c>
      <c r="H176" s="620" t="e">
        <f t="shared" si="28"/>
        <v>#N/A</v>
      </c>
      <c r="I176" s="618" t="e">
        <f t="shared" si="29"/>
        <v>#N/A</v>
      </c>
      <c r="J176" s="125" t="e">
        <f t="shared" ref="J176:J186" si="31">+K175</f>
        <v>#REF!</v>
      </c>
      <c r="K176" s="125" t="e">
        <f t="shared" ref="K176:K186" si="32">+J176+I176</f>
        <v>#REF!</v>
      </c>
      <c r="L176" s="5"/>
      <c r="M176" s="5"/>
      <c r="N176" s="5"/>
      <c r="O176" s="5" t="str">
        <f t="shared" ref="O176:O186" si="33">+CONCATENATE(B176,C176)</f>
        <v>1214271</v>
      </c>
      <c r="P176" s="6" t="e">
        <f>VLOOKUP(O176,deuda!A$1:H$550,4,0)</f>
        <v>#N/A</v>
      </c>
      <c r="Q176" s="6" t="e">
        <f>VLOOKUP(O176,deuda!A$1:H$550,5,0)</f>
        <v>#N/A</v>
      </c>
      <c r="R176" s="6" t="e">
        <f>IF(VLOOKUP(O176,deuda!A$1:H$550,6,0)=0,"",VLOOKUP(O176,deuda!A$1:H$550,6,0))</f>
        <v>#N/A</v>
      </c>
      <c r="S176" s="149" t="e">
        <f>IF((VLOOKUP(O176,deuda!A$1:H$550,7,0))=0,"",VLOOKUP(O176,deuda!A$1:H$550,7,0))</f>
        <v>#N/A</v>
      </c>
      <c r="T176" s="153" t="e">
        <f>IF((VLOOKUP(O176,deuda!A$1:H$550,8,0))=0,"",VLOOKUP(O176,deuda!A$1:H$550,8,0))</f>
        <v>#N/A</v>
      </c>
    </row>
    <row r="177" spans="1:20">
      <c r="A177" s="26">
        <v>4</v>
      </c>
      <c r="B177" s="5">
        <v>1214</v>
      </c>
      <c r="C177" s="5">
        <v>11</v>
      </c>
      <c r="D177" s="21">
        <v>0.23680000000000001</v>
      </c>
      <c r="E177" s="21">
        <f>IF((VLOOKUP(O177,deuda!A$1:H$550,4,0))=1,D177,0)</f>
        <v>0.23680000000000001</v>
      </c>
      <c r="F177" s="5" t="s">
        <v>620</v>
      </c>
      <c r="G177" s="27">
        <f t="shared" si="30"/>
        <v>0.23680000000000001</v>
      </c>
      <c r="H177" s="620" t="e">
        <f t="shared" si="28"/>
        <v>#N/A</v>
      </c>
      <c r="I177" s="618" t="e">
        <f t="shared" si="29"/>
        <v>#N/A</v>
      </c>
      <c r="J177" s="125" t="e">
        <f t="shared" si="31"/>
        <v>#REF!</v>
      </c>
      <c r="K177" s="125" t="e">
        <f t="shared" si="32"/>
        <v>#REF!</v>
      </c>
      <c r="L177" s="5"/>
      <c r="M177" s="5"/>
      <c r="N177" s="5"/>
      <c r="O177" s="5" t="str">
        <f t="shared" si="33"/>
        <v>121411</v>
      </c>
      <c r="P177" s="6">
        <f>VLOOKUP(O177,deuda!A$1:H$550,4,0)</f>
        <v>1</v>
      </c>
      <c r="Q177" s="6">
        <f>VLOOKUP(O177,deuda!A$1:H$550,5,0)</f>
        <v>0</v>
      </c>
      <c r="R177" s="6" t="str">
        <f>IF(VLOOKUP(O177,deuda!A$1:H$550,6,0)=0,"",VLOOKUP(O177,deuda!A$1:H$550,6,0))</f>
        <v/>
      </c>
      <c r="S177" s="149" t="str">
        <f>IF((VLOOKUP(O177,deuda!A$1:H$550,7,0))=0,"",VLOOKUP(O177,deuda!A$1:H$550,7,0))</f>
        <v/>
      </c>
      <c r="T177" s="153" t="str">
        <f>IF((VLOOKUP(O177,deuda!A$1:H$550,8,0))=0,"",VLOOKUP(O177,deuda!A$1:H$550,8,0))</f>
        <v/>
      </c>
    </row>
    <row r="178" spans="1:20">
      <c r="A178" s="26">
        <v>4</v>
      </c>
      <c r="B178" s="5">
        <v>1214</v>
      </c>
      <c r="C178" s="5">
        <v>257</v>
      </c>
      <c r="D178" s="21">
        <v>8.0580999999999996</v>
      </c>
      <c r="E178" s="21" t="e">
        <f>IF((VLOOKUP(O178,deuda!A$1:H$550,4,0))=1,D178,0)</f>
        <v>#N/A</v>
      </c>
      <c r="F178" s="5" t="s">
        <v>621</v>
      </c>
      <c r="G178" s="27" t="e">
        <f t="shared" si="30"/>
        <v>#N/A</v>
      </c>
      <c r="H178" s="620" t="e">
        <f t="shared" si="28"/>
        <v>#N/A</v>
      </c>
      <c r="I178" s="618" t="e">
        <f t="shared" si="29"/>
        <v>#N/A</v>
      </c>
      <c r="J178" s="125" t="e">
        <f t="shared" si="31"/>
        <v>#REF!</v>
      </c>
      <c r="K178" s="125" t="e">
        <f t="shared" si="32"/>
        <v>#REF!</v>
      </c>
      <c r="L178" s="5"/>
      <c r="M178" s="5"/>
      <c r="N178" s="5"/>
      <c r="O178" s="5" t="str">
        <f t="shared" si="33"/>
        <v>1214257</v>
      </c>
      <c r="P178" s="6" t="e">
        <f>VLOOKUP(O178,deuda!A$1:H$550,4,0)</f>
        <v>#N/A</v>
      </c>
      <c r="Q178" s="6" t="e">
        <f>VLOOKUP(O178,deuda!A$1:H$550,5,0)</f>
        <v>#N/A</v>
      </c>
      <c r="R178" s="6" t="e">
        <f>IF(VLOOKUP(O178,deuda!A$1:H$550,6,0)=0,"",VLOOKUP(O178,deuda!A$1:H$550,6,0))</f>
        <v>#N/A</v>
      </c>
      <c r="S178" s="149" t="e">
        <f>IF((VLOOKUP(O178,deuda!A$1:H$550,7,0))=0,"",VLOOKUP(O178,deuda!A$1:H$550,7,0))</f>
        <v>#N/A</v>
      </c>
      <c r="T178" s="153" t="e">
        <f>IF((VLOOKUP(O178,deuda!A$1:H$550,8,0))=0,"",VLOOKUP(O178,deuda!A$1:H$550,8,0))</f>
        <v>#N/A</v>
      </c>
    </row>
    <row r="179" spans="1:20">
      <c r="A179" s="26">
        <v>5</v>
      </c>
      <c r="B179" s="5">
        <v>1214</v>
      </c>
      <c r="C179" s="5">
        <v>12</v>
      </c>
      <c r="D179" s="21">
        <v>2.8075999999999999</v>
      </c>
      <c r="E179" s="21">
        <f>IF((VLOOKUP(O179,deuda!A$1:H$550,4,0))=1,D179,0)</f>
        <v>2.8075999999999999</v>
      </c>
      <c r="F179" s="5" t="s">
        <v>622</v>
      </c>
      <c r="G179" s="27">
        <f t="shared" si="30"/>
        <v>2.8075999999999999</v>
      </c>
      <c r="H179" s="620" t="e">
        <f t="shared" si="28"/>
        <v>#N/A</v>
      </c>
      <c r="I179" s="618" t="e">
        <f t="shared" si="29"/>
        <v>#N/A</v>
      </c>
      <c r="J179" s="125" t="e">
        <f t="shared" si="31"/>
        <v>#REF!</v>
      </c>
      <c r="K179" s="125" t="e">
        <f t="shared" si="32"/>
        <v>#REF!</v>
      </c>
      <c r="L179" s="5"/>
      <c r="M179" s="5"/>
      <c r="N179" s="5"/>
      <c r="O179" s="5" t="str">
        <f t="shared" si="33"/>
        <v>121412</v>
      </c>
      <c r="P179" s="6">
        <f>VLOOKUP(O179,deuda!A$1:H$550,4,0)</f>
        <v>1</v>
      </c>
      <c r="Q179" s="6">
        <f>VLOOKUP(O179,deuda!A$1:H$550,5,0)</f>
        <v>0</v>
      </c>
      <c r="R179" s="6" t="str">
        <f>IF(VLOOKUP(O179,deuda!A$1:H$550,6,0)=0,"",VLOOKUP(O179,deuda!A$1:H$550,6,0))</f>
        <v/>
      </c>
      <c r="S179" s="149" t="str">
        <f>IF((VLOOKUP(O179,deuda!A$1:H$550,7,0))=0,"",VLOOKUP(O179,deuda!A$1:H$550,7,0))</f>
        <v/>
      </c>
      <c r="T179" s="153" t="str">
        <f>IF((VLOOKUP(O179,deuda!A$1:H$550,8,0))=0,"",VLOOKUP(O179,deuda!A$1:H$550,8,0))</f>
        <v/>
      </c>
    </row>
    <row r="180" spans="1:20">
      <c r="A180" s="26">
        <v>5</v>
      </c>
      <c r="B180" s="5">
        <v>1214</v>
      </c>
      <c r="C180" s="5">
        <v>181</v>
      </c>
      <c r="D180" s="21">
        <v>2.1231</v>
      </c>
      <c r="E180" s="21">
        <f>IF((VLOOKUP(O180,deuda!A$1:H$550,4,0))=1,D180,0)</f>
        <v>2.1231</v>
      </c>
      <c r="F180" s="5" t="s">
        <v>622</v>
      </c>
      <c r="G180" s="27">
        <f t="shared" si="30"/>
        <v>2.1231</v>
      </c>
      <c r="H180" s="620" t="e">
        <f t="shared" si="28"/>
        <v>#N/A</v>
      </c>
      <c r="I180" s="618" t="e">
        <f t="shared" si="29"/>
        <v>#N/A</v>
      </c>
      <c r="J180" s="125" t="e">
        <f t="shared" si="31"/>
        <v>#REF!</v>
      </c>
      <c r="K180" s="125" t="e">
        <f t="shared" si="32"/>
        <v>#REF!</v>
      </c>
      <c r="L180" s="5"/>
      <c r="M180" s="5"/>
      <c r="N180" s="5"/>
      <c r="O180" s="5" t="str">
        <f t="shared" si="33"/>
        <v>1214181</v>
      </c>
      <c r="P180" s="6">
        <f>VLOOKUP(O180,deuda!A$1:H$550,4,0)</f>
        <v>1</v>
      </c>
      <c r="Q180" s="6">
        <f>VLOOKUP(O180,deuda!A$1:H$550,5,0)</f>
        <v>0</v>
      </c>
      <c r="R180" s="6" t="str">
        <f>IF(VLOOKUP(O180,deuda!A$1:H$550,6,0)=0,"",VLOOKUP(O180,deuda!A$1:H$550,6,0))</f>
        <v/>
      </c>
      <c r="S180" s="149" t="str">
        <f>IF((VLOOKUP(O180,deuda!A$1:H$550,7,0))=0,"",VLOOKUP(O180,deuda!A$1:H$550,7,0))</f>
        <v/>
      </c>
      <c r="T180" s="153" t="str">
        <f>IF((VLOOKUP(O180,deuda!A$1:H$550,8,0))=0,"",VLOOKUP(O180,deuda!A$1:H$550,8,0))</f>
        <v/>
      </c>
    </row>
    <row r="181" spans="1:20">
      <c r="A181" s="26">
        <v>6</v>
      </c>
      <c r="B181" s="5">
        <v>1214</v>
      </c>
      <c r="C181" s="5">
        <v>13</v>
      </c>
      <c r="D181" s="21">
        <v>2.0049999999999999</v>
      </c>
      <c r="E181" s="21">
        <f>IF((VLOOKUP(O181,deuda!A$1:H$550,4,0))=1,D181,0)</f>
        <v>2.0049999999999999</v>
      </c>
      <c r="F181" s="5" t="s">
        <v>623</v>
      </c>
      <c r="G181" s="27">
        <f t="shared" si="30"/>
        <v>2.0049999999999999</v>
      </c>
      <c r="H181" s="620" t="e">
        <f t="shared" si="28"/>
        <v>#N/A</v>
      </c>
      <c r="I181" s="618" t="e">
        <f t="shared" si="29"/>
        <v>#N/A</v>
      </c>
      <c r="J181" s="125" t="e">
        <f t="shared" si="31"/>
        <v>#REF!</v>
      </c>
      <c r="K181" s="125" t="e">
        <f t="shared" si="32"/>
        <v>#REF!</v>
      </c>
      <c r="L181" s="5"/>
      <c r="M181" s="5"/>
      <c r="N181" s="5"/>
      <c r="O181" s="5" t="str">
        <f t="shared" si="33"/>
        <v>121413</v>
      </c>
      <c r="P181" s="6">
        <f>VLOOKUP(O181,deuda!A$1:H$550,4,0)</f>
        <v>1</v>
      </c>
      <c r="Q181" s="6">
        <f>VLOOKUP(O181,deuda!A$1:H$550,5,0)</f>
        <v>0</v>
      </c>
      <c r="R181" s="6" t="str">
        <f>IF(VLOOKUP(O181,deuda!A$1:H$550,6,0)=0,"",VLOOKUP(O181,deuda!A$1:H$550,6,0))</f>
        <v/>
      </c>
      <c r="S181" s="149" t="str">
        <f>IF((VLOOKUP(O181,deuda!A$1:H$550,7,0))=0,"",VLOOKUP(O181,deuda!A$1:H$550,7,0))</f>
        <v/>
      </c>
      <c r="T181" s="153" t="str">
        <f>IF((VLOOKUP(O181,deuda!A$1:H$550,8,0))=0,"",VLOOKUP(O181,deuda!A$1:H$550,8,0))</f>
        <v/>
      </c>
    </row>
    <row r="182" spans="1:20">
      <c r="A182" s="26">
        <v>6</v>
      </c>
      <c r="B182" s="5">
        <v>1214</v>
      </c>
      <c r="C182" s="5">
        <v>281</v>
      </c>
      <c r="D182" s="21">
        <v>2.9257</v>
      </c>
      <c r="E182" s="21" t="e">
        <f>IF((VLOOKUP(O182,deuda!A$1:H$550,4,0))=1,D182,0)</f>
        <v>#N/A</v>
      </c>
      <c r="F182" s="5" t="s">
        <v>623</v>
      </c>
      <c r="G182" s="27" t="e">
        <f t="shared" si="30"/>
        <v>#N/A</v>
      </c>
      <c r="H182" s="620" t="e">
        <f t="shared" si="28"/>
        <v>#N/A</v>
      </c>
      <c r="I182" s="618" t="e">
        <f t="shared" si="29"/>
        <v>#N/A</v>
      </c>
      <c r="J182" s="125" t="e">
        <f t="shared" si="31"/>
        <v>#REF!</v>
      </c>
      <c r="K182" s="125" t="e">
        <f t="shared" si="32"/>
        <v>#REF!</v>
      </c>
      <c r="L182" s="5"/>
      <c r="M182" s="5"/>
      <c r="N182" s="5"/>
      <c r="O182" s="5" t="str">
        <f t="shared" si="33"/>
        <v>1214281</v>
      </c>
      <c r="P182" s="6" t="e">
        <f>VLOOKUP(O182,deuda!A$1:H$550,4,0)</f>
        <v>#N/A</v>
      </c>
      <c r="Q182" s="6" t="e">
        <f>VLOOKUP(O182,deuda!A$1:H$550,5,0)</f>
        <v>#N/A</v>
      </c>
      <c r="R182" s="6" t="e">
        <f>IF(VLOOKUP(O182,deuda!A$1:H$550,6,0)=0,"",VLOOKUP(O182,deuda!A$1:H$550,6,0))</f>
        <v>#N/A</v>
      </c>
      <c r="S182" s="149" t="e">
        <f>IF((VLOOKUP(O182,deuda!A$1:H$550,7,0))=0,"",VLOOKUP(O182,deuda!A$1:H$550,7,0))</f>
        <v>#N/A</v>
      </c>
      <c r="T182" s="153" t="e">
        <f>IF((VLOOKUP(O182,deuda!A$1:H$550,8,0))=0,"",VLOOKUP(O182,deuda!A$1:H$550,8,0))</f>
        <v>#N/A</v>
      </c>
    </row>
    <row r="183" spans="1:20">
      <c r="A183" s="26">
        <v>7</v>
      </c>
      <c r="B183" s="5">
        <v>1214</v>
      </c>
      <c r="C183" s="5">
        <v>14</v>
      </c>
      <c r="D183" s="21">
        <v>0.69220000000000004</v>
      </c>
      <c r="E183" s="21">
        <f>IF((VLOOKUP(O183,deuda!A$1:H$550,4,0))=1,D183,0)</f>
        <v>0.69220000000000004</v>
      </c>
      <c r="F183" s="5" t="s">
        <v>624</v>
      </c>
      <c r="G183" s="27">
        <f t="shared" si="30"/>
        <v>0.69220000000000004</v>
      </c>
      <c r="H183" s="620" t="e">
        <f t="shared" si="28"/>
        <v>#N/A</v>
      </c>
      <c r="I183" s="618" t="e">
        <f t="shared" si="29"/>
        <v>#N/A</v>
      </c>
      <c r="J183" s="125" t="e">
        <f t="shared" si="31"/>
        <v>#REF!</v>
      </c>
      <c r="K183" s="125" t="e">
        <f t="shared" si="32"/>
        <v>#REF!</v>
      </c>
      <c r="L183" s="5"/>
      <c r="M183" s="5"/>
      <c r="N183" s="5"/>
      <c r="O183" s="5" t="str">
        <f t="shared" si="33"/>
        <v>121414</v>
      </c>
      <c r="P183" s="6">
        <f>VLOOKUP(O183,deuda!A$1:H$550,4,0)</f>
        <v>1</v>
      </c>
      <c r="Q183" s="6">
        <f>VLOOKUP(O183,deuda!A$1:H$550,5,0)</f>
        <v>0</v>
      </c>
      <c r="R183" s="6" t="str">
        <f>IF(VLOOKUP(O183,deuda!A$1:H$550,6,0)=0,"",VLOOKUP(O183,deuda!A$1:H$550,6,0))</f>
        <v/>
      </c>
      <c r="S183" s="149" t="str">
        <f>IF((VLOOKUP(O183,deuda!A$1:H$550,7,0))=0,"",VLOOKUP(O183,deuda!A$1:H$550,7,0))</f>
        <v/>
      </c>
      <c r="T183" s="153" t="str">
        <f>IF((VLOOKUP(O183,deuda!A$1:H$550,8,0))=0,"",VLOOKUP(O183,deuda!A$1:H$550,8,0))</f>
        <v/>
      </c>
    </row>
    <row r="184" spans="1:20">
      <c r="A184" s="26">
        <v>8</v>
      </c>
      <c r="B184" s="5">
        <v>1214</v>
      </c>
      <c r="C184" s="5">
        <v>15</v>
      </c>
      <c r="D184" s="21">
        <v>0.42399999999999999</v>
      </c>
      <c r="E184" s="21">
        <f>IF((VLOOKUP(O184,deuda!A$1:H$550,4,0))=1,D184,0)</f>
        <v>0.42399999999999999</v>
      </c>
      <c r="F184" s="5" t="s">
        <v>625</v>
      </c>
      <c r="G184" s="27">
        <f t="shared" si="30"/>
        <v>0.42399999999999999</v>
      </c>
      <c r="H184" s="620" t="e">
        <f t="shared" si="28"/>
        <v>#N/A</v>
      </c>
      <c r="I184" s="618" t="e">
        <f t="shared" si="29"/>
        <v>#N/A</v>
      </c>
      <c r="J184" s="125" t="e">
        <f t="shared" si="31"/>
        <v>#REF!</v>
      </c>
      <c r="K184" s="125" t="e">
        <f t="shared" si="32"/>
        <v>#REF!</v>
      </c>
      <c r="L184" s="5"/>
      <c r="M184" s="5"/>
      <c r="N184" s="5"/>
      <c r="O184" s="5" t="str">
        <f t="shared" si="33"/>
        <v>121415</v>
      </c>
      <c r="P184" s="6">
        <f>VLOOKUP(O184,deuda!A$1:H$550,4,0)</f>
        <v>1</v>
      </c>
      <c r="Q184" s="6">
        <f>VLOOKUP(O184,deuda!A$1:H$550,5,0)</f>
        <v>0</v>
      </c>
      <c r="R184" s="6" t="str">
        <f>IF(VLOOKUP(O184,deuda!A$1:H$550,6,0)=0,"",VLOOKUP(O184,deuda!A$1:H$550,6,0))</f>
        <v/>
      </c>
      <c r="S184" s="149" t="str">
        <f>IF((VLOOKUP(O184,deuda!A$1:H$550,7,0))=0,"",VLOOKUP(O184,deuda!A$1:H$550,7,0))</f>
        <v/>
      </c>
      <c r="T184" s="153" t="str">
        <f>IF((VLOOKUP(O184,deuda!A$1:H$550,8,0))=0,"",VLOOKUP(O184,deuda!A$1:H$550,8,0))</f>
        <v/>
      </c>
    </row>
    <row r="185" spans="1:20">
      <c r="A185" s="26">
        <v>9</v>
      </c>
      <c r="B185" s="5">
        <v>1214</v>
      </c>
      <c r="C185" s="5">
        <v>166</v>
      </c>
      <c r="D185" s="21">
        <v>4.2385000000000002</v>
      </c>
      <c r="E185" s="21">
        <f>IF((VLOOKUP(O185,deuda!A$1:H$550,4,0))=1,D185,0)</f>
        <v>4.2385000000000002</v>
      </c>
      <c r="F185" s="5" t="s">
        <v>624</v>
      </c>
      <c r="G185" s="27">
        <f t="shared" si="30"/>
        <v>4.2385000000000002</v>
      </c>
      <c r="H185" s="620" t="e">
        <f t="shared" si="28"/>
        <v>#N/A</v>
      </c>
      <c r="I185" s="618" t="e">
        <f t="shared" si="29"/>
        <v>#N/A</v>
      </c>
      <c r="J185" s="125" t="e">
        <f t="shared" si="31"/>
        <v>#REF!</v>
      </c>
      <c r="K185" s="125" t="e">
        <f t="shared" si="32"/>
        <v>#REF!</v>
      </c>
      <c r="L185" s="5"/>
      <c r="M185" s="5"/>
      <c r="N185" s="5"/>
      <c r="O185" s="5" t="str">
        <f t="shared" si="33"/>
        <v>1214166</v>
      </c>
      <c r="P185" s="6">
        <f>VLOOKUP(O185,deuda!A$1:H$550,4,0)</f>
        <v>1</v>
      </c>
      <c r="Q185" s="6">
        <f>VLOOKUP(O185,deuda!A$1:H$550,5,0)</f>
        <v>0</v>
      </c>
      <c r="R185" s="6" t="str">
        <f>IF(VLOOKUP(O185,deuda!A$1:H$550,6,0)=0,"",VLOOKUP(O185,deuda!A$1:H$550,6,0))</f>
        <v/>
      </c>
      <c r="S185" s="149" t="str">
        <f>IF((VLOOKUP(O185,deuda!A$1:H$550,7,0))=0,"",VLOOKUP(O185,deuda!A$1:H$550,7,0))</f>
        <v/>
      </c>
      <c r="T185" s="153" t="str">
        <f>IF((VLOOKUP(O185,deuda!A$1:H$550,8,0))=0,"",VLOOKUP(O185,deuda!A$1:H$550,8,0))</f>
        <v/>
      </c>
    </row>
    <row r="186" spans="1:20" ht="13.5" thickBot="1">
      <c r="A186" s="132">
        <v>10</v>
      </c>
      <c r="B186" s="29">
        <v>1214</v>
      </c>
      <c r="C186" s="29">
        <v>182</v>
      </c>
      <c r="D186" s="46">
        <v>4.5067000000000004</v>
      </c>
      <c r="E186" s="46">
        <f>IF((VLOOKUP(O186,deuda!A$1:H$550,4,0))=1,D186,0)</f>
        <v>4.5067000000000004</v>
      </c>
      <c r="F186" s="29" t="s">
        <v>625</v>
      </c>
      <c r="G186" s="30">
        <f t="shared" si="30"/>
        <v>4.5067000000000004</v>
      </c>
      <c r="H186" s="630" t="e">
        <f t="shared" si="28"/>
        <v>#N/A</v>
      </c>
      <c r="I186" s="621" t="e">
        <f t="shared" si="29"/>
        <v>#N/A</v>
      </c>
      <c r="J186" s="127" t="e">
        <f t="shared" si="31"/>
        <v>#REF!</v>
      </c>
      <c r="K186" s="127" t="e">
        <f t="shared" si="32"/>
        <v>#REF!</v>
      </c>
      <c r="L186" s="29"/>
      <c r="M186" s="29"/>
      <c r="N186" s="29"/>
      <c r="O186" s="29" t="str">
        <f t="shared" si="33"/>
        <v>1214182</v>
      </c>
      <c r="P186" s="33">
        <f>VLOOKUP(O186,deuda!A$1:H$550,4,0)</f>
        <v>1</v>
      </c>
      <c r="Q186" s="33">
        <f>VLOOKUP(O186,deuda!A$1:H$550,5,0)</f>
        <v>0</v>
      </c>
      <c r="R186" s="33" t="str">
        <f>IF(VLOOKUP(O186,deuda!A$1:H$550,6,0)=0,"",VLOOKUP(O186,deuda!A$1:H$550,6,0))</f>
        <v/>
      </c>
      <c r="S186" s="154" t="str">
        <f>IF((VLOOKUP(O186,deuda!A$1:H$550,7,0))=0,"",VLOOKUP(O186,deuda!A$1:H$550,7,0))</f>
        <v/>
      </c>
      <c r="T186" s="155" t="str">
        <f>IF((VLOOKUP(O186,deuda!A$1:H$550,8,0))=0,"",VLOOKUP(O186,deuda!A$1:H$550,8,0))</f>
        <v/>
      </c>
    </row>
    <row r="187" spans="1:20">
      <c r="A187" s="10"/>
      <c r="B187" s="10"/>
      <c r="C187" s="10"/>
      <c r="D187" s="84">
        <f>SUM(D174:D186)</f>
        <v>35.1355</v>
      </c>
      <c r="E187" s="85" t="e">
        <f>SUM(E174:E186)</f>
        <v>#N/A</v>
      </c>
      <c r="G187" s="73" t="e">
        <f>SUM(G174:G186)</f>
        <v>#N/A</v>
      </c>
      <c r="H187" s="253" t="e">
        <f>+SUM(H174:H186)</f>
        <v>#N/A</v>
      </c>
      <c r="I187" s="229" t="e">
        <f>+SUM(I174:I186)</f>
        <v>#N/A</v>
      </c>
      <c r="J187" s="10"/>
      <c r="K187" s="181"/>
      <c r="L187" s="181"/>
      <c r="M187" s="10"/>
      <c r="P187" t="str">
        <f>+CONCATENATE(B187,C187)</f>
        <v/>
      </c>
    </row>
    <row r="188" spans="1:20">
      <c r="A188" s="10"/>
      <c r="B188" s="10"/>
      <c r="C188" s="10"/>
      <c r="E188" s="84"/>
      <c r="F188" s="84"/>
      <c r="G188" s="10"/>
      <c r="H188" s="10"/>
      <c r="I188" s="10"/>
    </row>
    <row r="189" spans="1:20">
      <c r="A189" s="10"/>
      <c r="B189" s="10"/>
      <c r="C189" s="10"/>
      <c r="E189" s="84"/>
      <c r="F189" s="84"/>
      <c r="G189" s="10"/>
      <c r="H189" s="10"/>
      <c r="I189" s="10"/>
    </row>
    <row r="190" spans="1:20">
      <c r="A190" s="10"/>
      <c r="B190" s="10"/>
      <c r="C190" s="10"/>
      <c r="D190" s="10"/>
      <c r="E190" s="84"/>
      <c r="F190" s="84"/>
      <c r="G190" s="10"/>
      <c r="H190" s="10"/>
      <c r="I190" s="10"/>
      <c r="J190" s="10"/>
      <c r="K190" s="10"/>
      <c r="L190" s="10"/>
      <c r="M190" s="10"/>
    </row>
    <row r="191" spans="1:20">
      <c r="A191" s="10"/>
      <c r="B191" s="10"/>
      <c r="C191" s="10"/>
      <c r="D191" s="10"/>
      <c r="E191" s="84"/>
      <c r="F191" s="84"/>
      <c r="G191" s="10"/>
      <c r="H191" s="10"/>
      <c r="I191" s="10"/>
      <c r="J191" s="10"/>
      <c r="K191" s="10"/>
      <c r="L191" s="10"/>
      <c r="M191" s="10"/>
    </row>
    <row r="192" spans="1:20">
      <c r="A192" s="47" t="s">
        <v>626</v>
      </c>
      <c r="B192" s="10"/>
      <c r="C192" s="10"/>
      <c r="D192" s="10"/>
      <c r="E192" s="84"/>
      <c r="F192" s="84"/>
      <c r="G192" s="10"/>
      <c r="H192" s="10"/>
      <c r="I192" s="10"/>
      <c r="J192" s="10"/>
      <c r="K192" s="10"/>
      <c r="L192" s="10"/>
      <c r="M192" s="10"/>
    </row>
    <row r="193" spans="1:20">
      <c r="A193" s="10"/>
      <c r="B193" s="10"/>
      <c r="C193" s="10"/>
      <c r="D193" s="10"/>
      <c r="E193" s="84"/>
      <c r="F193" s="84"/>
      <c r="G193" s="10"/>
      <c r="H193" s="10"/>
      <c r="I193" s="10"/>
      <c r="J193" s="10"/>
      <c r="K193" s="10"/>
      <c r="L193" s="10"/>
      <c r="M193" s="10"/>
    </row>
    <row r="194" spans="1:20">
      <c r="C194" s="1" t="s">
        <v>565</v>
      </c>
      <c r="J194" s="10"/>
      <c r="K194" s="10"/>
      <c r="L194" s="10"/>
      <c r="M194" s="10"/>
    </row>
    <row r="195" spans="1:20" ht="13.5" thickBot="1">
      <c r="H195" s="78"/>
      <c r="J195" s="10"/>
      <c r="K195" s="10"/>
      <c r="L195" s="10"/>
      <c r="M195" s="10"/>
    </row>
    <row r="196" spans="1:20">
      <c r="A196" s="688" t="s">
        <v>92</v>
      </c>
      <c r="B196" s="689"/>
      <c r="C196" s="690" t="e">
        <f>+J16</f>
        <v>#REF!</v>
      </c>
      <c r="D196" s="691"/>
      <c r="E196" s="3"/>
      <c r="F196" s="3"/>
      <c r="G196" s="24" t="s">
        <v>93</v>
      </c>
      <c r="H196" s="200">
        <f>+Hijuelas!$G$6</f>
        <v>3.9895833333333335</v>
      </c>
    </row>
    <row r="197" spans="1:20" ht="13.5" thickBot="1">
      <c r="A197" s="692" t="s">
        <v>94</v>
      </c>
      <c r="B197" s="693"/>
      <c r="C197" s="694" t="e">
        <f>+K222</f>
        <v>#REF!</v>
      </c>
      <c r="D197" s="695"/>
      <c r="E197" s="3"/>
      <c r="F197" s="3"/>
      <c r="G197" s="26" t="s">
        <v>95</v>
      </c>
      <c r="H197" s="171">
        <f>+$I$16</f>
        <v>4.1666666666666664E-2</v>
      </c>
      <c r="I197" s="3"/>
      <c r="K197" s="635"/>
    </row>
    <row r="198" spans="1:20" ht="13.5" thickBot="1">
      <c r="G198" s="132" t="s">
        <v>96</v>
      </c>
      <c r="H198" s="201">
        <v>0</v>
      </c>
    </row>
    <row r="199" spans="1:20">
      <c r="H199" s="78"/>
    </row>
    <row r="200" spans="1:20">
      <c r="A200" s="696" t="s">
        <v>97</v>
      </c>
      <c r="B200" s="696"/>
      <c r="C200" s="168" t="e">
        <f>+E200/60</f>
        <v>#N/A</v>
      </c>
      <c r="D200" s="558" t="s">
        <v>98</v>
      </c>
      <c r="E200" s="169" t="e">
        <f>+F15+F16</f>
        <v>#N/A</v>
      </c>
      <c r="F200" s="558" t="s">
        <v>99</v>
      </c>
      <c r="G200" s="167" t="e">
        <f>+G223</f>
        <v>#N/A</v>
      </c>
      <c r="H200" s="558" t="s">
        <v>100</v>
      </c>
      <c r="I200" s="168" t="e">
        <f>+E200/G200</f>
        <v>#N/A</v>
      </c>
    </row>
    <row r="202" spans="1:20" ht="13.5" thickBot="1"/>
    <row r="203" spans="1:20" ht="13.5" thickBot="1">
      <c r="A203" s="22" t="s">
        <v>102</v>
      </c>
      <c r="B203" s="182" t="s">
        <v>566</v>
      </c>
      <c r="C203" s="182" t="s">
        <v>104</v>
      </c>
      <c r="D203" s="182" t="s">
        <v>567</v>
      </c>
      <c r="E203" s="182" t="s">
        <v>568</v>
      </c>
      <c r="F203" s="182" t="s">
        <v>569</v>
      </c>
      <c r="G203" s="182" t="s">
        <v>570</v>
      </c>
      <c r="H203" s="25" t="s">
        <v>304</v>
      </c>
      <c r="I203" s="32" t="s">
        <v>110</v>
      </c>
      <c r="J203" s="25" t="s">
        <v>156</v>
      </c>
      <c r="K203" s="25" t="s">
        <v>157</v>
      </c>
      <c r="L203" s="32" t="s">
        <v>114</v>
      </c>
      <c r="M203" s="184" t="s">
        <v>158</v>
      </c>
      <c r="N203" s="32" t="s">
        <v>116</v>
      </c>
      <c r="O203" s="32" t="s">
        <v>117</v>
      </c>
      <c r="P203" s="32" t="s">
        <v>118</v>
      </c>
      <c r="Q203" s="32" t="s">
        <v>119</v>
      </c>
      <c r="R203" s="32" t="s">
        <v>120</v>
      </c>
      <c r="S203" s="32" t="s">
        <v>121</v>
      </c>
      <c r="T203" s="185" t="s">
        <v>122</v>
      </c>
    </row>
    <row r="204" spans="1:20">
      <c r="A204" s="26">
        <v>1</v>
      </c>
      <c r="B204" s="5">
        <v>1214</v>
      </c>
      <c r="C204" s="5">
        <v>103</v>
      </c>
      <c r="D204" s="21">
        <v>11.617699999999999</v>
      </c>
      <c r="E204" s="21">
        <f>IF((VLOOKUP(O204,deuda!A$1:H$550,4,0))=1,D204,0)</f>
        <v>11.617699999999999</v>
      </c>
      <c r="F204" s="5" t="s">
        <v>627</v>
      </c>
      <c r="G204" s="21">
        <f t="shared" ref="G204:G222" si="34">E204</f>
        <v>11.617699999999999</v>
      </c>
      <c r="H204" s="620" t="e">
        <f>G204*$I$9</f>
        <v>#N/A</v>
      </c>
      <c r="I204" s="618" t="e">
        <f>+H204/60</f>
        <v>#N/A</v>
      </c>
      <c r="J204" s="125" t="e">
        <f>+C196+H197</f>
        <v>#REF!</v>
      </c>
      <c r="K204" s="125" t="e">
        <f>+J204+I204</f>
        <v>#REF!</v>
      </c>
      <c r="L204" s="5"/>
      <c r="M204" s="5"/>
      <c r="N204" s="5"/>
      <c r="O204" s="5" t="str">
        <f>+CONCATENATE(B204,C204)</f>
        <v>1214103</v>
      </c>
      <c r="P204" s="6">
        <f>VLOOKUP(O204,deuda!A$1:H$550,4,0)</f>
        <v>1</v>
      </c>
      <c r="Q204" s="6">
        <f>VLOOKUP(O204,deuda!A$1:H$550,5,0)</f>
        <v>1</v>
      </c>
      <c r="R204" s="6">
        <f>IF(VLOOKUP(O204,deuda!A$1:H$550,6,0)=0,"",VLOOKUP(O204,deuda!A$1:H$550,6,0))</f>
        <v>6431.7</v>
      </c>
      <c r="S204" s="149" t="str">
        <f>IF((VLOOKUP(O204,deuda!A$1:H$550,7,0))=0,"",VLOOKUP(O204,deuda!A$1:H$550,7,0))</f>
        <v/>
      </c>
      <c r="T204" s="153" t="str">
        <f>IF((VLOOKUP(O204,deuda!A$1:H$550,8,0))=0,"",VLOOKUP(O204,deuda!A$1:H$550,8,0))</f>
        <v/>
      </c>
    </row>
    <row r="205" spans="1:20">
      <c r="A205" s="26">
        <v>2</v>
      </c>
      <c r="B205" s="5">
        <v>1214</v>
      </c>
      <c r="C205" s="5">
        <v>93</v>
      </c>
      <c r="D205" s="21">
        <v>4.5</v>
      </c>
      <c r="E205" s="21">
        <f>IF((VLOOKUP(O205,deuda!A$1:H$550,4,0))=1,D205,0)</f>
        <v>4.5</v>
      </c>
      <c r="F205" s="5" t="s">
        <v>628</v>
      </c>
      <c r="G205" s="21">
        <f t="shared" si="34"/>
        <v>4.5</v>
      </c>
      <c r="H205" s="620" t="e">
        <f t="shared" ref="H205:H222" si="35">+G205*$I$9</f>
        <v>#N/A</v>
      </c>
      <c r="I205" s="618" t="e">
        <f t="shared" ref="I205:I222" si="36">+H205/60</f>
        <v>#N/A</v>
      </c>
      <c r="J205" s="125" t="e">
        <f>+K204</f>
        <v>#REF!</v>
      </c>
      <c r="K205" s="125" t="e">
        <f>+J205+I205</f>
        <v>#REF!</v>
      </c>
      <c r="L205" s="5"/>
      <c r="M205" s="5"/>
      <c r="N205" s="5"/>
      <c r="O205" s="5" t="str">
        <f>+CONCATENATE(B205,C205)</f>
        <v>121493</v>
      </c>
      <c r="P205" s="6">
        <f>VLOOKUP(O205,deuda!A$1:H$550,4,0)</f>
        <v>1</v>
      </c>
      <c r="Q205" s="6">
        <f>VLOOKUP(O205,deuda!A$1:H$550,5,0)</f>
        <v>0</v>
      </c>
      <c r="R205" s="6" t="str">
        <f>IF(VLOOKUP(O205,deuda!A$1:H$550,6,0)=0,"",VLOOKUP(O205,deuda!A$1:H$550,6,0))</f>
        <v/>
      </c>
      <c r="S205" s="149" t="str">
        <f>IF((VLOOKUP(O205,deuda!A$1:H$550,7,0))=0,"",VLOOKUP(O205,deuda!A$1:H$550,7,0))</f>
        <v/>
      </c>
      <c r="T205" s="153" t="str">
        <f>IF((VLOOKUP(O205,deuda!A$1:H$550,8,0))=0,"",VLOOKUP(O205,deuda!A$1:H$550,8,0))</f>
        <v/>
      </c>
    </row>
    <row r="206" spans="1:20">
      <c r="A206" s="26">
        <v>3</v>
      </c>
      <c r="B206" s="5">
        <v>1214</v>
      </c>
      <c r="C206" s="5">
        <v>119</v>
      </c>
      <c r="D206" s="21">
        <v>4.4119000000000002</v>
      </c>
      <c r="E206" s="21" t="e">
        <f>IF((VLOOKUP(O206,deuda!A$1:H$550,4,0))=1,D206,0)</f>
        <v>#N/A</v>
      </c>
      <c r="F206" s="5" t="s">
        <v>629</v>
      </c>
      <c r="G206" s="21" t="e">
        <f t="shared" si="34"/>
        <v>#N/A</v>
      </c>
      <c r="H206" s="620" t="e">
        <f t="shared" si="35"/>
        <v>#N/A</v>
      </c>
      <c r="I206" s="618" t="e">
        <f t="shared" si="36"/>
        <v>#N/A</v>
      </c>
      <c r="J206" s="125" t="e">
        <f t="shared" ref="J206:J222" si="37">+K205</f>
        <v>#REF!</v>
      </c>
      <c r="K206" s="125" t="e">
        <f t="shared" ref="K206:K222" si="38">+J206+I206</f>
        <v>#REF!</v>
      </c>
      <c r="L206" s="5"/>
      <c r="M206" s="5"/>
      <c r="N206" s="5"/>
      <c r="O206" s="5" t="str">
        <f t="shared" ref="O206:O222" si="39">+CONCATENATE(B206,C206)</f>
        <v>1214119</v>
      </c>
      <c r="P206" s="6" t="e">
        <f>VLOOKUP(O206,deuda!A$1:H$550,4,0)</f>
        <v>#N/A</v>
      </c>
      <c r="Q206" s="6" t="e">
        <f>VLOOKUP(O206,deuda!A$1:H$550,5,0)</f>
        <v>#N/A</v>
      </c>
      <c r="R206" s="6" t="e">
        <f>IF(VLOOKUP(O206,deuda!A$1:H$550,6,0)=0,"",VLOOKUP(O206,deuda!A$1:H$550,6,0))</f>
        <v>#N/A</v>
      </c>
      <c r="S206" s="149" t="e">
        <f>IF((VLOOKUP(O206,deuda!A$1:H$550,7,0))=0,"",VLOOKUP(O206,deuda!A$1:H$550,7,0))</f>
        <v>#N/A</v>
      </c>
      <c r="T206" s="153" t="e">
        <f>IF((VLOOKUP(O206,deuda!A$1:H$550,8,0))=0,"",VLOOKUP(O206,deuda!A$1:H$550,8,0))</f>
        <v>#N/A</v>
      </c>
    </row>
    <row r="207" spans="1:20">
      <c r="A207" s="26">
        <v>4</v>
      </c>
      <c r="B207" s="5">
        <v>1214</v>
      </c>
      <c r="C207" s="5">
        <v>101</v>
      </c>
      <c r="D207" s="21">
        <v>1.1788000000000001</v>
      </c>
      <c r="E207" s="21" t="e">
        <f>IF((VLOOKUP(O207,deuda!A$1:H$550,4,0))=1,D207,0)</f>
        <v>#N/A</v>
      </c>
      <c r="F207" s="5" t="s">
        <v>630</v>
      </c>
      <c r="G207" s="21" t="e">
        <f t="shared" si="34"/>
        <v>#N/A</v>
      </c>
      <c r="H207" s="620" t="e">
        <f t="shared" si="35"/>
        <v>#N/A</v>
      </c>
      <c r="I207" s="618" t="e">
        <f t="shared" si="36"/>
        <v>#N/A</v>
      </c>
      <c r="J207" s="125" t="e">
        <f t="shared" si="37"/>
        <v>#REF!</v>
      </c>
      <c r="K207" s="125" t="e">
        <f t="shared" si="38"/>
        <v>#REF!</v>
      </c>
      <c r="L207" s="5"/>
      <c r="M207" s="5"/>
      <c r="N207" s="5"/>
      <c r="O207" s="5" t="str">
        <f t="shared" si="39"/>
        <v>1214101</v>
      </c>
      <c r="P207" s="6" t="e">
        <f>VLOOKUP(O207,deuda!A$1:H$550,4,0)</f>
        <v>#N/A</v>
      </c>
      <c r="Q207" s="6" t="e">
        <f>VLOOKUP(O207,deuda!A$1:H$550,5,0)</f>
        <v>#N/A</v>
      </c>
      <c r="R207" s="6" t="e">
        <f>IF(VLOOKUP(O207,deuda!A$1:H$550,6,0)=0,"",VLOOKUP(O207,deuda!A$1:H$550,6,0))</f>
        <v>#N/A</v>
      </c>
      <c r="S207" s="149" t="e">
        <f>IF((VLOOKUP(O207,deuda!A$1:H$550,7,0))=0,"",VLOOKUP(O207,deuda!A$1:H$550,7,0))</f>
        <v>#N/A</v>
      </c>
      <c r="T207" s="153" t="e">
        <f>IF((VLOOKUP(O207,deuda!A$1:H$550,8,0))=0,"",VLOOKUP(O207,deuda!A$1:H$550,8,0))</f>
        <v>#N/A</v>
      </c>
    </row>
    <row r="208" spans="1:20">
      <c r="A208" s="26">
        <v>4</v>
      </c>
      <c r="B208" s="5">
        <v>1214</v>
      </c>
      <c r="C208" s="5">
        <v>112</v>
      </c>
      <c r="D208" s="21">
        <v>0.90269999999999995</v>
      </c>
      <c r="E208" s="21">
        <f>IF((VLOOKUP(O208,deuda!A$1:H$550,4,0))=1,D208,0)</f>
        <v>0.90269999999999995</v>
      </c>
      <c r="F208" s="5" t="s">
        <v>631</v>
      </c>
      <c r="G208" s="21">
        <f t="shared" si="34"/>
        <v>0.90269999999999995</v>
      </c>
      <c r="H208" s="620" t="e">
        <f t="shared" si="35"/>
        <v>#N/A</v>
      </c>
      <c r="I208" s="618" t="e">
        <f t="shared" si="36"/>
        <v>#N/A</v>
      </c>
      <c r="J208" s="125" t="e">
        <f t="shared" si="37"/>
        <v>#REF!</v>
      </c>
      <c r="K208" s="125" t="e">
        <f t="shared" si="38"/>
        <v>#REF!</v>
      </c>
      <c r="L208" s="5"/>
      <c r="M208" s="5"/>
      <c r="N208" s="5"/>
      <c r="O208" s="5" t="str">
        <f t="shared" si="39"/>
        <v>1214112</v>
      </c>
      <c r="P208" s="6">
        <f>VLOOKUP(O208,deuda!A$1:H$550,4,0)</f>
        <v>1</v>
      </c>
      <c r="Q208" s="6">
        <f>VLOOKUP(O208,deuda!A$1:H$550,5,0)</f>
        <v>0</v>
      </c>
      <c r="R208" s="6">
        <f>IF(VLOOKUP(O208,deuda!A$1:H$550,6,0)=0,"",VLOOKUP(O208,deuda!A$1:H$550,6,0))</f>
        <v>2.36</v>
      </c>
      <c r="S208" s="149" t="str">
        <f>IF((VLOOKUP(O208,deuda!A$1:H$550,7,0))=0,"",VLOOKUP(O208,deuda!A$1:H$550,7,0))</f>
        <v/>
      </c>
      <c r="T208" s="153" t="str">
        <f>IF((VLOOKUP(O208,deuda!A$1:H$550,8,0))=0,"",VLOOKUP(O208,deuda!A$1:H$550,8,0))</f>
        <v/>
      </c>
    </row>
    <row r="209" spans="1:20">
      <c r="A209" s="26">
        <v>4</v>
      </c>
      <c r="B209" s="5">
        <v>1214</v>
      </c>
      <c r="C209" s="5">
        <v>167</v>
      </c>
      <c r="D209" s="21">
        <v>2.6162000000000001</v>
      </c>
      <c r="E209" s="21">
        <f>IF((VLOOKUP(O209,deuda!A$1:H$550,4,0))=1,D209,0)</f>
        <v>2.6162000000000001</v>
      </c>
      <c r="F209" s="5" t="s">
        <v>607</v>
      </c>
      <c r="G209" s="21">
        <f t="shared" si="34"/>
        <v>2.6162000000000001</v>
      </c>
      <c r="H209" s="620" t="e">
        <f t="shared" si="35"/>
        <v>#N/A</v>
      </c>
      <c r="I209" s="618" t="e">
        <f t="shared" si="36"/>
        <v>#N/A</v>
      </c>
      <c r="J209" s="125" t="e">
        <f t="shared" si="37"/>
        <v>#REF!</v>
      </c>
      <c r="K209" s="125" t="e">
        <f t="shared" si="38"/>
        <v>#REF!</v>
      </c>
      <c r="L209" s="5"/>
      <c r="M209" s="5"/>
      <c r="N209" s="5"/>
      <c r="O209" s="5" t="str">
        <f t="shared" si="39"/>
        <v>1214167</v>
      </c>
      <c r="P209" s="6">
        <f>VLOOKUP(O209,deuda!A$1:H$550,4,0)</f>
        <v>1</v>
      </c>
      <c r="Q209" s="6">
        <f>VLOOKUP(O209,deuda!A$1:H$550,5,0)</f>
        <v>0</v>
      </c>
      <c r="R209" s="6">
        <f>IF(VLOOKUP(O209,deuda!A$1:H$550,6,0)=0,"",VLOOKUP(O209,deuda!A$1:H$550,6,0))</f>
        <v>6.61</v>
      </c>
      <c r="S209" s="149" t="str">
        <f>IF((VLOOKUP(O209,deuda!A$1:H$550,7,0))=0,"",VLOOKUP(O209,deuda!A$1:H$550,7,0))</f>
        <v/>
      </c>
      <c r="T209" s="153" t="str">
        <f>IF((VLOOKUP(O209,deuda!A$1:H$550,8,0))=0,"",VLOOKUP(O209,deuda!A$1:H$550,8,0))</f>
        <v/>
      </c>
    </row>
    <row r="210" spans="1:20">
      <c r="A210" s="26">
        <v>4</v>
      </c>
      <c r="B210" s="5">
        <v>1214</v>
      </c>
      <c r="C210" s="5">
        <v>169</v>
      </c>
      <c r="D210" s="21">
        <v>1.1953</v>
      </c>
      <c r="E210" s="21" t="e">
        <f>IF((VLOOKUP(O210,deuda!A$1:H$550,4,0))=1,D210,0)</f>
        <v>#N/A</v>
      </c>
      <c r="F210" s="5" t="s">
        <v>630</v>
      </c>
      <c r="G210" s="21" t="e">
        <f t="shared" si="34"/>
        <v>#N/A</v>
      </c>
      <c r="H210" s="620" t="e">
        <f t="shared" si="35"/>
        <v>#N/A</v>
      </c>
      <c r="I210" s="618" t="e">
        <f t="shared" si="36"/>
        <v>#N/A</v>
      </c>
      <c r="J210" s="125" t="e">
        <f t="shared" si="37"/>
        <v>#REF!</v>
      </c>
      <c r="K210" s="125" t="e">
        <f t="shared" si="38"/>
        <v>#REF!</v>
      </c>
      <c r="L210" s="5"/>
      <c r="M210" s="5"/>
      <c r="N210" s="5"/>
      <c r="O210" s="5" t="str">
        <f t="shared" si="39"/>
        <v>1214169</v>
      </c>
      <c r="P210" s="6" t="e">
        <f>VLOOKUP(O210,deuda!A$1:H$550,4,0)</f>
        <v>#N/A</v>
      </c>
      <c r="Q210" s="6" t="e">
        <f>VLOOKUP(O210,deuda!A$1:H$550,5,0)</f>
        <v>#N/A</v>
      </c>
      <c r="R210" s="6" t="e">
        <f>IF(VLOOKUP(O210,deuda!A$1:H$550,6,0)=0,"",VLOOKUP(O210,deuda!A$1:H$550,6,0))</f>
        <v>#N/A</v>
      </c>
      <c r="S210" s="149" t="e">
        <f>IF((VLOOKUP(O210,deuda!A$1:H$550,7,0))=0,"",VLOOKUP(O210,deuda!A$1:H$550,7,0))</f>
        <v>#N/A</v>
      </c>
      <c r="T210" s="153" t="e">
        <f>IF((VLOOKUP(O210,deuda!A$1:H$550,8,0))=0,"",VLOOKUP(O210,deuda!A$1:H$550,8,0))</f>
        <v>#N/A</v>
      </c>
    </row>
    <row r="211" spans="1:20">
      <c r="A211" s="26">
        <v>5</v>
      </c>
      <c r="B211" s="5">
        <v>1214</v>
      </c>
      <c r="C211" s="5">
        <v>262</v>
      </c>
      <c r="D211" s="21">
        <v>1.3715999999999999</v>
      </c>
      <c r="E211" s="21" t="e">
        <f>IF((VLOOKUP(O211,deuda!A$1:H$550,4,0))=1,D211,0)</f>
        <v>#N/A</v>
      </c>
      <c r="F211" s="5" t="s">
        <v>632</v>
      </c>
      <c r="G211" s="21" t="e">
        <f t="shared" si="34"/>
        <v>#N/A</v>
      </c>
      <c r="H211" s="620" t="e">
        <f t="shared" si="35"/>
        <v>#N/A</v>
      </c>
      <c r="I211" s="618" t="e">
        <f t="shared" si="36"/>
        <v>#N/A</v>
      </c>
      <c r="J211" s="125" t="e">
        <f t="shared" si="37"/>
        <v>#REF!</v>
      </c>
      <c r="K211" s="125" t="e">
        <f t="shared" si="38"/>
        <v>#REF!</v>
      </c>
      <c r="L211" s="5"/>
      <c r="M211" s="5"/>
      <c r="N211" s="5"/>
      <c r="O211" s="5" t="str">
        <f t="shared" si="39"/>
        <v>1214262</v>
      </c>
      <c r="P211" s="6" t="e">
        <f>VLOOKUP(O211,deuda!A$1:H$550,4,0)</f>
        <v>#N/A</v>
      </c>
      <c r="Q211" s="6" t="e">
        <f>VLOOKUP(O211,deuda!A$1:H$550,5,0)</f>
        <v>#N/A</v>
      </c>
      <c r="R211" s="6" t="e">
        <f>IF(VLOOKUP(O211,deuda!A$1:H$550,6,0)=0,"",VLOOKUP(O211,deuda!A$1:H$550,6,0))</f>
        <v>#N/A</v>
      </c>
      <c r="S211" s="149" t="e">
        <f>IF((VLOOKUP(O211,deuda!A$1:H$550,7,0))=0,"",VLOOKUP(O211,deuda!A$1:H$550,7,0))</f>
        <v>#N/A</v>
      </c>
      <c r="T211" s="153" t="e">
        <f>IF((VLOOKUP(O211,deuda!A$1:H$550,8,0))=0,"",VLOOKUP(O211,deuda!A$1:H$550,8,0))</f>
        <v>#N/A</v>
      </c>
    </row>
    <row r="212" spans="1:20">
      <c r="A212" s="26">
        <v>6</v>
      </c>
      <c r="B212" s="5">
        <v>1214</v>
      </c>
      <c r="C212" s="5">
        <v>95</v>
      </c>
      <c r="D212" s="21">
        <v>3.4832999999999998</v>
      </c>
      <c r="E212" s="21">
        <f>IF((VLOOKUP(O212,deuda!A$1:H$550,4,0))=1,D212,0)</f>
        <v>3.4832999999999998</v>
      </c>
      <c r="F212" s="5" t="s">
        <v>598</v>
      </c>
      <c r="G212" s="21">
        <f t="shared" si="34"/>
        <v>3.4832999999999998</v>
      </c>
      <c r="H212" s="620" t="e">
        <f t="shared" si="35"/>
        <v>#N/A</v>
      </c>
      <c r="I212" s="618" t="e">
        <f t="shared" si="36"/>
        <v>#N/A</v>
      </c>
      <c r="J212" s="125" t="e">
        <f t="shared" si="37"/>
        <v>#REF!</v>
      </c>
      <c r="K212" s="125" t="e">
        <f t="shared" si="38"/>
        <v>#REF!</v>
      </c>
      <c r="L212" s="5"/>
      <c r="M212" s="5"/>
      <c r="N212" s="5"/>
      <c r="O212" s="5" t="str">
        <f t="shared" si="39"/>
        <v>121495</v>
      </c>
      <c r="P212" s="6">
        <f>VLOOKUP(O212,deuda!A$1:H$550,4,0)</f>
        <v>1</v>
      </c>
      <c r="Q212" s="6">
        <f>VLOOKUP(O212,deuda!A$1:H$550,5,0)</f>
        <v>0</v>
      </c>
      <c r="R212" s="6" t="str">
        <f>IF(VLOOKUP(O212,deuda!A$1:H$550,6,0)=0,"",VLOOKUP(O212,deuda!A$1:H$550,6,0))</f>
        <v/>
      </c>
      <c r="S212" s="149" t="str">
        <f>IF((VLOOKUP(O212,deuda!A$1:H$550,7,0))=0,"",VLOOKUP(O212,deuda!A$1:H$550,7,0))</f>
        <v/>
      </c>
      <c r="T212" s="153" t="str">
        <f>IF((VLOOKUP(O212,deuda!A$1:H$550,8,0))=0,"",VLOOKUP(O212,deuda!A$1:H$550,8,0))</f>
        <v/>
      </c>
    </row>
    <row r="213" spans="1:20">
      <c r="A213" s="26">
        <v>7</v>
      </c>
      <c r="B213" s="5">
        <v>1214</v>
      </c>
      <c r="C213" s="5">
        <v>104</v>
      </c>
      <c r="D213" s="21">
        <v>1.3715999999999999</v>
      </c>
      <c r="E213" s="21">
        <f>IF((VLOOKUP(O213,deuda!A$1:H$550,4,0))=1,D213,0)</f>
        <v>1.3715999999999999</v>
      </c>
      <c r="F213" s="5" t="s">
        <v>632</v>
      </c>
      <c r="G213" s="21">
        <f t="shared" si="34"/>
        <v>1.3715999999999999</v>
      </c>
      <c r="H213" s="620" t="e">
        <f t="shared" si="35"/>
        <v>#N/A</v>
      </c>
      <c r="I213" s="618" t="e">
        <f t="shared" si="36"/>
        <v>#N/A</v>
      </c>
      <c r="J213" s="125" t="e">
        <f t="shared" si="37"/>
        <v>#REF!</v>
      </c>
      <c r="K213" s="125" t="e">
        <f t="shared" si="38"/>
        <v>#REF!</v>
      </c>
      <c r="L213" s="5"/>
      <c r="M213" s="5"/>
      <c r="N213" s="5"/>
      <c r="O213" s="5" t="str">
        <f t="shared" si="39"/>
        <v>1214104</v>
      </c>
      <c r="P213" s="6">
        <f>VLOOKUP(O213,deuda!A$1:H$550,4,0)</f>
        <v>1</v>
      </c>
      <c r="Q213" s="6">
        <f>VLOOKUP(O213,deuda!A$1:H$550,5,0)</f>
        <v>0</v>
      </c>
      <c r="R213" s="6">
        <f>IF(VLOOKUP(O213,deuda!A$1:H$550,6,0)=0,"",VLOOKUP(O213,deuda!A$1:H$550,6,0))</f>
        <v>2461.14</v>
      </c>
      <c r="S213" s="149" t="str">
        <f>IF((VLOOKUP(O213,deuda!A$1:H$550,7,0))=0,"",VLOOKUP(O213,deuda!A$1:H$550,7,0))</f>
        <v/>
      </c>
      <c r="T213" s="153" t="str">
        <f>IF((VLOOKUP(O213,deuda!A$1:H$550,8,0))=0,"",VLOOKUP(O213,deuda!A$1:H$550,8,0))</f>
        <v/>
      </c>
    </row>
    <row r="214" spans="1:20">
      <c r="A214" s="26">
        <v>8</v>
      </c>
      <c r="B214" s="5">
        <v>1214</v>
      </c>
      <c r="C214" s="5">
        <v>280</v>
      </c>
      <c r="D214" s="21">
        <v>1.0003</v>
      </c>
      <c r="E214" s="21" t="e">
        <f>IF((VLOOKUP(O214,deuda!A$1:H$550,4,0))=1,D214,0)</f>
        <v>#N/A</v>
      </c>
      <c r="F214" s="5" t="s">
        <v>633</v>
      </c>
      <c r="G214" s="258">
        <v>1.0029999999999999</v>
      </c>
      <c r="H214" s="620" t="e">
        <f t="shared" si="35"/>
        <v>#N/A</v>
      </c>
      <c r="I214" s="618" t="e">
        <f t="shared" si="36"/>
        <v>#N/A</v>
      </c>
      <c r="J214" s="125" t="e">
        <f t="shared" si="37"/>
        <v>#REF!</v>
      </c>
      <c r="K214" s="125" t="e">
        <f t="shared" si="38"/>
        <v>#REF!</v>
      </c>
      <c r="L214" s="5"/>
      <c r="M214" s="5"/>
      <c r="N214" s="5"/>
      <c r="O214" s="5" t="str">
        <f t="shared" si="39"/>
        <v>1214280</v>
      </c>
      <c r="P214" s="6" t="e">
        <f>VLOOKUP(O214,deuda!A$1:H$550,4,0)</f>
        <v>#N/A</v>
      </c>
      <c r="Q214" s="6" t="e">
        <f>VLOOKUP(O214,deuda!A$1:H$550,5,0)</f>
        <v>#N/A</v>
      </c>
      <c r="R214" s="6" t="e">
        <f>IF(VLOOKUP(O214,deuda!A$1:H$550,6,0)=0,"",VLOOKUP(O214,deuda!A$1:H$550,6,0))</f>
        <v>#N/A</v>
      </c>
      <c r="S214" s="149" t="e">
        <f>IF((VLOOKUP(O214,deuda!A$1:H$550,7,0))=0,"",VLOOKUP(O214,deuda!A$1:H$550,7,0))</f>
        <v>#N/A</v>
      </c>
      <c r="T214" s="153" t="e">
        <f>IF((VLOOKUP(O214,deuda!A$1:H$550,8,0))=0,"",VLOOKUP(O214,deuda!A$1:H$550,8,0))</f>
        <v>#N/A</v>
      </c>
    </row>
    <row r="215" spans="1:20">
      <c r="A215" s="26">
        <v>9</v>
      </c>
      <c r="B215" s="5">
        <v>1214</v>
      </c>
      <c r="C215" s="5">
        <v>127</v>
      </c>
      <c r="D215" s="21">
        <v>2.1029</v>
      </c>
      <c r="E215" s="21">
        <f>IF((VLOOKUP(O215,deuda!A$1:H$550,4,0))=1,D215,0)</f>
        <v>0</v>
      </c>
      <c r="F215" s="5" t="s">
        <v>634</v>
      </c>
      <c r="G215" s="21">
        <f t="shared" si="34"/>
        <v>0</v>
      </c>
      <c r="H215" s="620" t="e">
        <f t="shared" si="35"/>
        <v>#N/A</v>
      </c>
      <c r="I215" s="618" t="e">
        <f t="shared" si="36"/>
        <v>#N/A</v>
      </c>
      <c r="J215" s="125" t="e">
        <f t="shared" si="37"/>
        <v>#REF!</v>
      </c>
      <c r="K215" s="125" t="e">
        <f t="shared" si="38"/>
        <v>#REF!</v>
      </c>
      <c r="L215" s="5"/>
      <c r="M215" s="5"/>
      <c r="N215" s="5"/>
      <c r="O215" s="5" t="str">
        <f t="shared" si="39"/>
        <v>1214127</v>
      </c>
      <c r="P215" s="6">
        <f>VLOOKUP(O215,deuda!A$1:H$550,4,0)</f>
        <v>0</v>
      </c>
      <c r="Q215" s="6">
        <f>VLOOKUP(O215,deuda!A$1:H$550,5,0)</f>
        <v>4</v>
      </c>
      <c r="R215" s="6">
        <f>IF(VLOOKUP(O215,deuda!A$1:H$550,6,0)=0,"",VLOOKUP(O215,deuda!A$1:H$550,6,0))</f>
        <v>2441.1799999999998</v>
      </c>
      <c r="S215" s="149" t="str">
        <f>IF((VLOOKUP(O215,deuda!A$1:H$550,7,0))=0,"",VLOOKUP(O215,deuda!A$1:H$550,7,0))</f>
        <v/>
      </c>
      <c r="T215" s="153" t="str">
        <f>IF((VLOOKUP(O215,deuda!A$1:H$550,8,0))=0,"",VLOOKUP(O215,deuda!A$1:H$550,8,0))</f>
        <v/>
      </c>
    </row>
    <row r="216" spans="1:20">
      <c r="A216" s="26">
        <v>10</v>
      </c>
      <c r="B216" s="5">
        <v>1214</v>
      </c>
      <c r="C216" s="5">
        <v>128</v>
      </c>
      <c r="D216" s="21">
        <v>2.0718999999999999</v>
      </c>
      <c r="E216" s="21">
        <f>IF((VLOOKUP(O216,deuda!A$1:H$550,4,0))=1,D216,0)</f>
        <v>2.0718999999999999</v>
      </c>
      <c r="F216" s="5" t="s">
        <v>627</v>
      </c>
      <c r="G216" s="21">
        <f t="shared" si="34"/>
        <v>2.0718999999999999</v>
      </c>
      <c r="H216" s="620" t="e">
        <f t="shared" si="35"/>
        <v>#N/A</v>
      </c>
      <c r="I216" s="618" t="e">
        <f t="shared" si="36"/>
        <v>#N/A</v>
      </c>
      <c r="J216" s="125" t="e">
        <f t="shared" si="37"/>
        <v>#REF!</v>
      </c>
      <c r="K216" s="125" t="e">
        <f t="shared" si="38"/>
        <v>#REF!</v>
      </c>
      <c r="L216" s="5"/>
      <c r="M216" s="5"/>
      <c r="N216" s="5"/>
      <c r="O216" s="5" t="str">
        <f t="shared" si="39"/>
        <v>1214128</v>
      </c>
      <c r="P216" s="6">
        <f>VLOOKUP(O216,deuda!A$1:H$550,4,0)</f>
        <v>1</v>
      </c>
      <c r="Q216" s="6">
        <f>VLOOKUP(O216,deuda!A$1:H$550,5,0)</f>
        <v>0</v>
      </c>
      <c r="R216" s="6">
        <f>IF(VLOOKUP(O216,deuda!A$1:H$550,6,0)=0,"",VLOOKUP(O216,deuda!A$1:H$550,6,0))</f>
        <v>6.61</v>
      </c>
      <c r="S216" s="149" t="str">
        <f>IF((VLOOKUP(O216,deuda!A$1:H$550,7,0))=0,"",VLOOKUP(O216,deuda!A$1:H$550,7,0))</f>
        <v/>
      </c>
      <c r="T216" s="153" t="str">
        <f>IF((VLOOKUP(O216,deuda!A$1:H$550,8,0))=0,"",VLOOKUP(O216,deuda!A$1:H$550,8,0))</f>
        <v/>
      </c>
    </row>
    <row r="217" spans="1:20">
      <c r="A217" s="26">
        <v>11</v>
      </c>
      <c r="B217" s="5">
        <v>1214</v>
      </c>
      <c r="C217" s="5">
        <v>100</v>
      </c>
      <c r="D217" s="21">
        <v>8.4285999999999994</v>
      </c>
      <c r="E217" s="21">
        <f>IF((VLOOKUP(O217,deuda!A$1:H$550,4,0))=1,D217,0)</f>
        <v>8.4285999999999994</v>
      </c>
      <c r="F217" s="5" t="s">
        <v>624</v>
      </c>
      <c r="G217" s="21">
        <f t="shared" si="34"/>
        <v>8.4285999999999994</v>
      </c>
      <c r="H217" s="620" t="e">
        <f t="shared" si="35"/>
        <v>#N/A</v>
      </c>
      <c r="I217" s="618" t="e">
        <f t="shared" si="36"/>
        <v>#N/A</v>
      </c>
      <c r="J217" s="125" t="e">
        <f t="shared" si="37"/>
        <v>#REF!</v>
      </c>
      <c r="K217" s="125" t="e">
        <f t="shared" si="38"/>
        <v>#REF!</v>
      </c>
      <c r="L217" s="5"/>
      <c r="M217" s="5"/>
      <c r="N217" s="5"/>
      <c r="O217" s="5" t="str">
        <f t="shared" si="39"/>
        <v>1214100</v>
      </c>
      <c r="P217" s="6">
        <f>VLOOKUP(O217,deuda!A$1:H$550,4,0)</f>
        <v>1</v>
      </c>
      <c r="Q217" s="6">
        <f>VLOOKUP(O217,deuda!A$1:H$550,5,0)</f>
        <v>0</v>
      </c>
      <c r="R217" s="6" t="str">
        <f>IF(VLOOKUP(O217,deuda!A$1:H$550,6,0)=0,"",VLOOKUP(O217,deuda!A$1:H$550,6,0))</f>
        <v/>
      </c>
      <c r="S217" s="149" t="str">
        <f>IF((VLOOKUP(O217,deuda!A$1:H$550,7,0))=0,"",VLOOKUP(O217,deuda!A$1:H$550,7,0))</f>
        <v/>
      </c>
      <c r="T217" s="153" t="str">
        <f>IF((VLOOKUP(O217,deuda!A$1:H$550,8,0))=0,"",VLOOKUP(O217,deuda!A$1:H$550,8,0))</f>
        <v/>
      </c>
    </row>
    <row r="218" spans="1:20">
      <c r="A218" s="26">
        <v>12</v>
      </c>
      <c r="B218" s="5">
        <v>1214</v>
      </c>
      <c r="C218" s="5">
        <v>170</v>
      </c>
      <c r="D218" s="21">
        <v>1.0807</v>
      </c>
      <c r="E218" s="21">
        <f>IF((VLOOKUP(O218,deuda!A$1:H$550,4,0))=1,D218,0)</f>
        <v>1.0807</v>
      </c>
      <c r="F218" s="5" t="s">
        <v>625</v>
      </c>
      <c r="G218" s="21">
        <f t="shared" si="34"/>
        <v>1.0807</v>
      </c>
      <c r="H218" s="620" t="e">
        <f t="shared" si="35"/>
        <v>#N/A</v>
      </c>
      <c r="I218" s="618" t="e">
        <f t="shared" si="36"/>
        <v>#N/A</v>
      </c>
      <c r="J218" s="125" t="e">
        <f t="shared" si="37"/>
        <v>#REF!</v>
      </c>
      <c r="K218" s="125" t="e">
        <f t="shared" si="38"/>
        <v>#REF!</v>
      </c>
      <c r="L218" s="5"/>
      <c r="M218" s="5"/>
      <c r="N218" s="5"/>
      <c r="O218" s="5" t="str">
        <f t="shared" si="39"/>
        <v>1214170</v>
      </c>
      <c r="P218" s="6">
        <f>VLOOKUP(O218,deuda!A$1:H$550,4,0)</f>
        <v>1</v>
      </c>
      <c r="Q218" s="6">
        <f>VLOOKUP(O218,deuda!A$1:H$550,5,0)</f>
        <v>0</v>
      </c>
      <c r="R218" s="6" t="str">
        <f>IF(VLOOKUP(O218,deuda!A$1:H$550,6,0)=0,"",VLOOKUP(O218,deuda!A$1:H$550,6,0))</f>
        <v/>
      </c>
      <c r="S218" s="149" t="str">
        <f>IF((VLOOKUP(O218,deuda!A$1:H$550,7,0))=0,"",VLOOKUP(O218,deuda!A$1:H$550,7,0))</f>
        <v/>
      </c>
      <c r="T218" s="153" t="str">
        <f>IF((VLOOKUP(O218,deuda!A$1:H$550,8,0))=0,"",VLOOKUP(O218,deuda!A$1:H$550,8,0))</f>
        <v/>
      </c>
    </row>
    <row r="219" spans="1:20">
      <c r="A219" s="26">
        <v>12</v>
      </c>
      <c r="B219" s="5">
        <v>1214</v>
      </c>
      <c r="C219" s="5">
        <v>211</v>
      </c>
      <c r="D219" s="21">
        <v>5.1360000000000001</v>
      </c>
      <c r="E219" s="21">
        <f>IF((VLOOKUP(O219,deuda!A$1:H$550,4,0))=1,D219,0)</f>
        <v>5.1360000000000001</v>
      </c>
      <c r="F219" s="5" t="s">
        <v>635</v>
      </c>
      <c r="G219" s="21">
        <f t="shared" si="34"/>
        <v>5.1360000000000001</v>
      </c>
      <c r="H219" s="620" t="e">
        <f t="shared" si="35"/>
        <v>#N/A</v>
      </c>
      <c r="I219" s="618" t="e">
        <f t="shared" si="36"/>
        <v>#N/A</v>
      </c>
      <c r="J219" s="125" t="e">
        <f t="shared" si="37"/>
        <v>#REF!</v>
      </c>
      <c r="K219" s="125" t="e">
        <f t="shared" si="38"/>
        <v>#REF!</v>
      </c>
      <c r="L219" s="5"/>
      <c r="M219" s="5"/>
      <c r="N219" s="5"/>
      <c r="O219" s="5" t="str">
        <f t="shared" si="39"/>
        <v>1214211</v>
      </c>
      <c r="P219" s="6">
        <f>VLOOKUP(O219,deuda!A$1:H$550,4,0)</f>
        <v>1</v>
      </c>
      <c r="Q219" s="6">
        <f>VLOOKUP(O219,deuda!A$1:H$550,5,0)</f>
        <v>0</v>
      </c>
      <c r="R219" s="6" t="str">
        <f>IF(VLOOKUP(O219,deuda!A$1:H$550,6,0)=0,"",VLOOKUP(O219,deuda!A$1:H$550,6,0))</f>
        <v/>
      </c>
      <c r="S219" s="149" t="str">
        <f>IF((VLOOKUP(O219,deuda!A$1:H$550,7,0))=0,"",VLOOKUP(O219,deuda!A$1:H$550,7,0))</f>
        <v/>
      </c>
      <c r="T219" s="153" t="str">
        <f>IF((VLOOKUP(O219,deuda!A$1:H$550,8,0))=0,"",VLOOKUP(O219,deuda!A$1:H$550,8,0))</f>
        <v/>
      </c>
    </row>
    <row r="220" spans="1:20">
      <c r="A220" s="26">
        <v>13</v>
      </c>
      <c r="B220" s="5">
        <v>1214</v>
      </c>
      <c r="C220" s="5">
        <v>9</v>
      </c>
      <c r="D220" s="21">
        <v>3.3921999999999999</v>
      </c>
      <c r="E220" s="21">
        <f>IF((VLOOKUP(O220,deuda!A$1:H$550,4,0))=1,D220,0)</f>
        <v>3.3921999999999999</v>
      </c>
      <c r="F220" s="5" t="s">
        <v>636</v>
      </c>
      <c r="G220" s="21">
        <f t="shared" si="34"/>
        <v>3.3921999999999999</v>
      </c>
      <c r="H220" s="620" t="e">
        <f t="shared" si="35"/>
        <v>#N/A</v>
      </c>
      <c r="I220" s="618" t="e">
        <f t="shared" si="36"/>
        <v>#N/A</v>
      </c>
      <c r="J220" s="125" t="e">
        <f t="shared" si="37"/>
        <v>#REF!</v>
      </c>
      <c r="K220" s="125" t="e">
        <f t="shared" si="38"/>
        <v>#REF!</v>
      </c>
      <c r="L220" s="5"/>
      <c r="M220" s="5"/>
      <c r="N220" s="5"/>
      <c r="O220" s="5" t="str">
        <f t="shared" si="39"/>
        <v>12149</v>
      </c>
      <c r="P220" s="6">
        <f>VLOOKUP(O220,deuda!A$1:H$550,4,0)</f>
        <v>1</v>
      </c>
      <c r="Q220" s="6">
        <f>VLOOKUP(O220,deuda!A$1:H$550,5,0)</f>
        <v>1</v>
      </c>
      <c r="R220" s="6">
        <f>IF(VLOOKUP(O220,deuda!A$1:H$550,6,0)=0,"",VLOOKUP(O220,deuda!A$1:H$550,6,0))</f>
        <v>900.91</v>
      </c>
      <c r="S220" s="149" t="str">
        <f>IF((VLOOKUP(O220,deuda!A$1:H$550,7,0))=0,"",VLOOKUP(O220,deuda!A$1:H$550,7,0))</f>
        <v/>
      </c>
      <c r="T220" s="153" t="str">
        <f>IF((VLOOKUP(O220,deuda!A$1:H$550,8,0))=0,"",VLOOKUP(O220,deuda!A$1:H$550,8,0))</f>
        <v/>
      </c>
    </row>
    <row r="221" spans="1:20">
      <c r="A221" s="26">
        <v>13</v>
      </c>
      <c r="B221" s="5">
        <v>1214</v>
      </c>
      <c r="C221" s="5">
        <v>20</v>
      </c>
      <c r="D221" s="21">
        <v>3.2926000000000002</v>
      </c>
      <c r="E221" s="21">
        <f>IF((VLOOKUP(O221,deuda!A$1:H$550,4,0))=1,D221,0)</f>
        <v>3.2926000000000002</v>
      </c>
      <c r="F221" s="5" t="s">
        <v>636</v>
      </c>
      <c r="G221" s="21">
        <f t="shared" si="34"/>
        <v>3.2926000000000002</v>
      </c>
      <c r="H221" s="620" t="e">
        <f t="shared" si="35"/>
        <v>#N/A</v>
      </c>
      <c r="I221" s="618" t="e">
        <f t="shared" si="36"/>
        <v>#N/A</v>
      </c>
      <c r="J221" s="125" t="e">
        <f t="shared" si="37"/>
        <v>#REF!</v>
      </c>
      <c r="K221" s="125" t="e">
        <f t="shared" si="38"/>
        <v>#REF!</v>
      </c>
      <c r="L221" s="5"/>
      <c r="M221" s="5"/>
      <c r="N221" s="5"/>
      <c r="O221" s="5" t="str">
        <f t="shared" si="39"/>
        <v>121420</v>
      </c>
      <c r="P221" s="6">
        <f>VLOOKUP(O221,deuda!A$1:H$550,4,0)</f>
        <v>1</v>
      </c>
      <c r="Q221" s="6">
        <f>VLOOKUP(O221,deuda!A$1:H$550,5,0)</f>
        <v>0</v>
      </c>
      <c r="R221" s="6">
        <f>IF(VLOOKUP(O221,deuda!A$1:H$550,6,0)=0,"",VLOOKUP(O221,deuda!A$1:H$550,6,0))</f>
        <v>8.74</v>
      </c>
      <c r="S221" s="149" t="str">
        <f>IF((VLOOKUP(O221,deuda!A$1:H$550,7,0))=0,"",VLOOKUP(O221,deuda!A$1:H$550,7,0))</f>
        <v/>
      </c>
      <c r="T221" s="153" t="str">
        <f>IF((VLOOKUP(O221,deuda!A$1:H$550,8,0))=0,"",VLOOKUP(O221,deuda!A$1:H$550,8,0))</f>
        <v/>
      </c>
    </row>
    <row r="222" spans="1:20" ht="13.5" thickBot="1">
      <c r="A222" s="132">
        <v>14</v>
      </c>
      <c r="B222" s="29">
        <v>1214</v>
      </c>
      <c r="C222" s="29">
        <v>21</v>
      </c>
      <c r="D222" s="46">
        <v>12.1999</v>
      </c>
      <c r="E222" s="46">
        <f>IF((VLOOKUP(O222,deuda!A$1:H$550,4,0))=1,D222,0)</f>
        <v>0</v>
      </c>
      <c r="F222" s="29" t="s">
        <v>278</v>
      </c>
      <c r="G222" s="46">
        <f t="shared" si="34"/>
        <v>0</v>
      </c>
      <c r="H222" s="630" t="e">
        <f t="shared" si="35"/>
        <v>#N/A</v>
      </c>
      <c r="I222" s="621" t="e">
        <f t="shared" si="36"/>
        <v>#N/A</v>
      </c>
      <c r="J222" s="127" t="e">
        <f t="shared" si="37"/>
        <v>#REF!</v>
      </c>
      <c r="K222" s="127" t="e">
        <f t="shared" si="38"/>
        <v>#REF!</v>
      </c>
      <c r="L222" s="29"/>
      <c r="M222" s="29"/>
      <c r="N222" s="29"/>
      <c r="O222" s="29" t="str">
        <f t="shared" si="39"/>
        <v>121421</v>
      </c>
      <c r="P222" s="33">
        <f>VLOOKUP(O222,deuda!A$1:H$550,4,0)</f>
        <v>0</v>
      </c>
      <c r="Q222" s="33">
        <f>VLOOKUP(O222,deuda!A$1:H$550,5,0)</f>
        <v>4</v>
      </c>
      <c r="R222" s="33">
        <f>IF(VLOOKUP(O222,deuda!A$1:H$550,6,0)=0,"",VLOOKUP(O222,deuda!A$1:H$550,6,0))</f>
        <v>11890.71</v>
      </c>
      <c r="S222" s="154" t="str">
        <f>IF((VLOOKUP(O222,deuda!A$1:H$550,7,0))=0,"",VLOOKUP(O222,deuda!A$1:H$550,7,0))</f>
        <v/>
      </c>
      <c r="T222" s="155" t="str">
        <f>IF((VLOOKUP(O222,deuda!A$1:H$550,8,0))=0,"",VLOOKUP(O222,deuda!A$1:H$550,8,0))</f>
        <v/>
      </c>
    </row>
    <row r="223" spans="1:20">
      <c r="A223" s="10"/>
      <c r="B223" s="10"/>
      <c r="C223" s="10"/>
      <c r="D223" s="160">
        <f>+SUM(D204:D222)</f>
        <v>71.354199999999992</v>
      </c>
      <c r="E223" s="160">
        <f>D223</f>
        <v>71.354199999999992</v>
      </c>
      <c r="F223" s="158"/>
      <c r="G223" s="161" t="e">
        <f>SUM(G204:G222)</f>
        <v>#N/A</v>
      </c>
      <c r="H223" s="131" t="e">
        <f>G223*$I$201</f>
        <v>#N/A</v>
      </c>
      <c r="I223" s="162" t="e">
        <f>H223/24/60</f>
        <v>#N/A</v>
      </c>
      <c r="J223" s="158"/>
      <c r="K223" s="158"/>
      <c r="L223" s="158"/>
      <c r="M223" s="158"/>
      <c r="N223" s="158"/>
    </row>
    <row r="224" spans="1:20">
      <c r="A224" s="10"/>
      <c r="B224" s="10"/>
      <c r="C224" s="10"/>
      <c r="D224" s="10"/>
      <c r="E224" s="84"/>
      <c r="F224" s="84"/>
      <c r="G224" s="10"/>
      <c r="H224" s="10"/>
      <c r="I224" s="10"/>
    </row>
    <row r="225" spans="1:20">
      <c r="A225" s="10"/>
      <c r="B225" s="10"/>
      <c r="C225" s="10"/>
      <c r="D225" s="10"/>
      <c r="E225" s="84"/>
      <c r="F225" s="84"/>
      <c r="G225" s="10"/>
      <c r="H225" s="10"/>
      <c r="I225" s="10"/>
    </row>
    <row r="226" spans="1:20">
      <c r="A226" s="10"/>
      <c r="B226" s="10"/>
      <c r="C226" s="10"/>
      <c r="D226" s="10"/>
      <c r="E226" s="84"/>
      <c r="F226" s="84"/>
      <c r="G226" s="10"/>
      <c r="H226" s="10"/>
      <c r="I226" s="10"/>
    </row>
    <row r="227" spans="1:20">
      <c r="A227" s="10"/>
      <c r="B227" s="10"/>
      <c r="C227" s="10"/>
      <c r="D227" s="10"/>
      <c r="E227" s="84"/>
      <c r="F227" s="84"/>
      <c r="G227" s="10"/>
      <c r="H227" s="102"/>
      <c r="I227" s="10"/>
    </row>
    <row r="228" spans="1:20">
      <c r="A228" s="47" t="s">
        <v>637</v>
      </c>
      <c r="B228" s="10"/>
      <c r="C228" s="10"/>
      <c r="D228" s="10"/>
      <c r="E228" s="84"/>
      <c r="F228" s="84"/>
      <c r="G228" s="10"/>
      <c r="H228" s="102"/>
      <c r="I228" s="10"/>
    </row>
    <row r="229" spans="1:20">
      <c r="A229" s="10"/>
      <c r="B229" s="10"/>
      <c r="C229" s="10"/>
      <c r="D229" s="10"/>
      <c r="E229" s="84"/>
      <c r="F229" s="84"/>
      <c r="G229" s="10"/>
      <c r="H229" s="102"/>
      <c r="I229" s="10"/>
    </row>
    <row r="230" spans="1:20">
      <c r="C230" s="1" t="s">
        <v>565</v>
      </c>
      <c r="H230" s="78"/>
    </row>
    <row r="231" spans="1:20" ht="13.5" thickBot="1">
      <c r="H231" s="78"/>
    </row>
    <row r="232" spans="1:20">
      <c r="A232" s="688" t="s">
        <v>92</v>
      </c>
      <c r="B232" s="689"/>
      <c r="C232" s="690" t="e">
        <f>+J17</f>
        <v>#REF!</v>
      </c>
      <c r="D232" s="691"/>
      <c r="E232" s="3"/>
      <c r="F232" s="3"/>
      <c r="G232" s="24" t="s">
        <v>93</v>
      </c>
      <c r="H232" s="200">
        <f>+H5</f>
        <v>3.9895833333333335</v>
      </c>
    </row>
    <row r="233" spans="1:20" ht="13.5" thickBot="1">
      <c r="A233" s="692" t="s">
        <v>94</v>
      </c>
      <c r="B233" s="693"/>
      <c r="C233" s="694" t="e">
        <f>+K257</f>
        <v>#REF!</v>
      </c>
      <c r="D233" s="695"/>
      <c r="E233" s="3"/>
      <c r="F233" s="3"/>
      <c r="G233" s="26" t="s">
        <v>95</v>
      </c>
      <c r="H233" s="171">
        <f>+$I$17</f>
        <v>4.1666666666666664E-2</v>
      </c>
      <c r="I233" s="3"/>
      <c r="K233" s="635"/>
    </row>
    <row r="234" spans="1:20" ht="13.5" thickBot="1">
      <c r="G234" s="132" t="s">
        <v>96</v>
      </c>
      <c r="H234" s="201">
        <v>0</v>
      </c>
    </row>
    <row r="235" spans="1:20">
      <c r="H235" s="78"/>
    </row>
    <row r="236" spans="1:20">
      <c r="A236" s="696" t="s">
        <v>97</v>
      </c>
      <c r="B236" s="696"/>
      <c r="C236" s="168" t="e">
        <f>+E236/60</f>
        <v>#N/A</v>
      </c>
      <c r="D236" s="558" t="s">
        <v>98</v>
      </c>
      <c r="E236" s="169" t="e">
        <f>F17+F18</f>
        <v>#N/A</v>
      </c>
      <c r="F236" s="558" t="s">
        <v>99</v>
      </c>
      <c r="G236" s="167" t="e">
        <f>+G258</f>
        <v>#N/A</v>
      </c>
      <c r="H236" s="202" t="s">
        <v>100</v>
      </c>
      <c r="I236" s="168" t="e">
        <f>+E236/G236</f>
        <v>#N/A</v>
      </c>
    </row>
    <row r="237" spans="1:20">
      <c r="H237" s="78"/>
    </row>
    <row r="238" spans="1:20" ht="13.5" thickBot="1"/>
    <row r="239" spans="1:20" ht="13.5" thickBot="1">
      <c r="A239" s="22" t="s">
        <v>102</v>
      </c>
      <c r="B239" s="182" t="s">
        <v>566</v>
      </c>
      <c r="C239" s="182" t="s">
        <v>104</v>
      </c>
      <c r="D239" s="182" t="s">
        <v>567</v>
      </c>
      <c r="E239" s="182" t="s">
        <v>568</v>
      </c>
      <c r="F239" s="182" t="s">
        <v>569</v>
      </c>
      <c r="G239" s="182" t="s">
        <v>570</v>
      </c>
      <c r="H239" s="25" t="s">
        <v>304</v>
      </c>
      <c r="I239" s="32" t="s">
        <v>110</v>
      </c>
      <c r="J239" s="25" t="s">
        <v>156</v>
      </c>
      <c r="K239" s="25" t="s">
        <v>157</v>
      </c>
      <c r="L239" s="32" t="s">
        <v>114</v>
      </c>
      <c r="M239" s="184" t="s">
        <v>158</v>
      </c>
      <c r="N239" s="32" t="s">
        <v>116</v>
      </c>
      <c r="O239" s="32" t="s">
        <v>117</v>
      </c>
      <c r="P239" s="32" t="s">
        <v>118</v>
      </c>
      <c r="Q239" s="32" t="s">
        <v>119</v>
      </c>
      <c r="R239" s="32" t="s">
        <v>120</v>
      </c>
      <c r="S239" s="32" t="s">
        <v>121</v>
      </c>
      <c r="T239" s="185" t="s">
        <v>122</v>
      </c>
    </row>
    <row r="240" spans="1:20">
      <c r="A240" s="26">
        <v>1</v>
      </c>
      <c r="B240" s="5">
        <v>1214</v>
      </c>
      <c r="C240" s="5">
        <v>26</v>
      </c>
      <c r="D240" s="21">
        <v>0.20599999999999999</v>
      </c>
      <c r="E240" s="21">
        <f>IF((VLOOKUP(O240,deuda!A$1:H$550,4,0))=1,D240,0)</f>
        <v>0</v>
      </c>
      <c r="F240" s="5" t="s">
        <v>638</v>
      </c>
      <c r="G240" s="27">
        <v>0</v>
      </c>
      <c r="H240" s="620" t="e">
        <f>G240*$I$9</f>
        <v>#N/A</v>
      </c>
      <c r="I240" s="618" t="e">
        <f>+H240/60</f>
        <v>#N/A</v>
      </c>
      <c r="J240" s="125" t="e">
        <f>+C232+H233</f>
        <v>#REF!</v>
      </c>
      <c r="K240" s="125" t="e">
        <f>+J240+I240</f>
        <v>#REF!</v>
      </c>
      <c r="L240" s="5"/>
      <c r="M240" s="5"/>
      <c r="N240" s="5"/>
      <c r="O240" s="5" t="str">
        <f>+CONCATENATE(B240,C240)</f>
        <v>121426</v>
      </c>
      <c r="P240" s="6">
        <f>VLOOKUP(O240,deuda!A$1:H$550,4,0)</f>
        <v>0</v>
      </c>
      <c r="Q240" s="6">
        <f>VLOOKUP(O240,deuda!A$1:H$550,5,0)</f>
        <v>119</v>
      </c>
      <c r="R240" s="6">
        <f>IF(VLOOKUP(O240,deuda!A$1:H$550,6,0)=0,"",VLOOKUP(O240,deuda!A$1:H$550,6,0))</f>
        <v>32964.449999999997</v>
      </c>
      <c r="S240" s="149" t="str">
        <f>IF((VLOOKUP(O240,deuda!A$1:H$550,7,0))=0,"",VLOOKUP(O240,deuda!A$1:H$550,7,0))</f>
        <v/>
      </c>
      <c r="T240" s="153" t="str">
        <f>IF((VLOOKUP(O240,deuda!A$1:H$550,8,0))=0,"",VLOOKUP(O240,deuda!A$1:H$550,8,0))</f>
        <v/>
      </c>
    </row>
    <row r="241" spans="1:20">
      <c r="A241" s="26">
        <v>2</v>
      </c>
      <c r="B241" s="5">
        <v>1214</v>
      </c>
      <c r="C241" s="5">
        <v>31</v>
      </c>
      <c r="D241" s="21">
        <v>0.1346</v>
      </c>
      <c r="E241" s="21">
        <f>IF((VLOOKUP(O241,deuda!A$1:H$550,4,0))=1,D241,0)</f>
        <v>0</v>
      </c>
      <c r="F241" s="5" t="s">
        <v>639</v>
      </c>
      <c r="G241" s="27">
        <v>0</v>
      </c>
      <c r="H241" s="620" t="e">
        <f t="shared" ref="H241:H257" si="40">+G241*$I$9</f>
        <v>#N/A</v>
      </c>
      <c r="I241" s="618" t="e">
        <f t="shared" ref="I241:I257" si="41">+H241/60</f>
        <v>#N/A</v>
      </c>
      <c r="J241" s="125" t="e">
        <f>+K240</f>
        <v>#REF!</v>
      </c>
      <c r="K241" s="125" t="e">
        <f>+J241+I241</f>
        <v>#REF!</v>
      </c>
      <c r="L241" s="5"/>
      <c r="M241" s="5"/>
      <c r="N241" s="5"/>
      <c r="O241" s="5" t="str">
        <f>+CONCATENATE(B241,C241)</f>
        <v>121431</v>
      </c>
      <c r="P241" s="6">
        <f>VLOOKUP(O241,deuda!A$1:H$550,4,0)</f>
        <v>0</v>
      </c>
      <c r="Q241" s="6">
        <f>VLOOKUP(O241,deuda!A$1:H$550,5,0)</f>
        <v>166</v>
      </c>
      <c r="R241" s="6">
        <f>IF(VLOOKUP(O241,deuda!A$1:H$550,6,0)=0,"",VLOOKUP(O241,deuda!A$1:H$550,6,0))</f>
        <v>45446.48</v>
      </c>
      <c r="S241" s="149" t="str">
        <f>IF((VLOOKUP(O241,deuda!A$1:H$550,7,0))=0,"",VLOOKUP(O241,deuda!A$1:H$550,7,0))</f>
        <v/>
      </c>
      <c r="T241" s="153" t="str">
        <f>IF((VLOOKUP(O241,deuda!A$1:H$550,8,0))=0,"",VLOOKUP(O241,deuda!A$1:H$550,8,0))</f>
        <v/>
      </c>
    </row>
    <row r="242" spans="1:20">
      <c r="A242" s="26">
        <v>3</v>
      </c>
      <c r="B242" s="5">
        <v>1214</v>
      </c>
      <c r="C242" s="5">
        <v>42</v>
      </c>
      <c r="D242" s="21">
        <v>0.12</v>
      </c>
      <c r="E242" s="21">
        <f>IF((VLOOKUP(O242,deuda!A$1:H$550,4,0))=1,D242,0)</f>
        <v>0</v>
      </c>
      <c r="F242" s="5" t="s">
        <v>640</v>
      </c>
      <c r="G242" s="27">
        <f>E242</f>
        <v>0</v>
      </c>
      <c r="H242" s="620" t="e">
        <f t="shared" si="40"/>
        <v>#N/A</v>
      </c>
      <c r="I242" s="618" t="e">
        <f t="shared" si="41"/>
        <v>#N/A</v>
      </c>
      <c r="J242" s="125" t="e">
        <f t="shared" ref="J242:J257" si="42">+K241</f>
        <v>#REF!</v>
      </c>
      <c r="K242" s="125" t="e">
        <f t="shared" ref="K242:K257" si="43">+J242+I242</f>
        <v>#REF!</v>
      </c>
      <c r="L242" s="5"/>
      <c r="M242" s="5"/>
      <c r="N242" s="5"/>
      <c r="O242" s="5" t="str">
        <f t="shared" ref="O242:O257" si="44">+CONCATENATE(B242,C242)</f>
        <v>121442</v>
      </c>
      <c r="P242" s="6">
        <f>VLOOKUP(O242,deuda!A$1:H$550,4,0)</f>
        <v>0</v>
      </c>
      <c r="Q242" s="6">
        <f>VLOOKUP(O242,deuda!A$1:H$550,5,0)</f>
        <v>56</v>
      </c>
      <c r="R242" s="6">
        <f>IF(VLOOKUP(O242,deuda!A$1:H$550,6,0)=0,"",VLOOKUP(O242,deuda!A$1:H$550,6,0))</f>
        <v>24189.19</v>
      </c>
      <c r="S242" s="149" t="str">
        <f>IF((VLOOKUP(O242,deuda!A$1:H$550,7,0))=0,"",VLOOKUP(O242,deuda!A$1:H$550,7,0))</f>
        <v/>
      </c>
      <c r="T242" s="153" t="str">
        <f>IF((VLOOKUP(O242,deuda!A$1:H$550,8,0))=0,"",VLOOKUP(O242,deuda!A$1:H$550,8,0))</f>
        <v/>
      </c>
    </row>
    <row r="243" spans="1:20">
      <c r="A243" s="26">
        <v>4</v>
      </c>
      <c r="B243" s="5">
        <v>1214</v>
      </c>
      <c r="C243" s="5">
        <v>117</v>
      </c>
      <c r="D243" s="21">
        <v>1.0307999999999999</v>
      </c>
      <c r="E243" s="21">
        <f>IF((VLOOKUP(O243,deuda!A$1:H$550,4,0))=1,D243,0)</f>
        <v>1.0307999999999999</v>
      </c>
      <c r="F243" s="5" t="s">
        <v>631</v>
      </c>
      <c r="G243" s="27">
        <f>E243</f>
        <v>1.0307999999999999</v>
      </c>
      <c r="H243" s="620" t="e">
        <f t="shared" si="40"/>
        <v>#N/A</v>
      </c>
      <c r="I243" s="618" t="e">
        <f t="shared" si="41"/>
        <v>#N/A</v>
      </c>
      <c r="J243" s="125" t="e">
        <f t="shared" si="42"/>
        <v>#REF!</v>
      </c>
      <c r="K243" s="125" t="e">
        <f t="shared" si="43"/>
        <v>#REF!</v>
      </c>
      <c r="L243" s="5"/>
      <c r="M243" s="5"/>
      <c r="N243" s="5"/>
      <c r="O243" s="5" t="str">
        <f t="shared" si="44"/>
        <v>1214117</v>
      </c>
      <c r="P243" s="6">
        <f>VLOOKUP(O243,deuda!A$1:H$550,4,0)</f>
        <v>1</v>
      </c>
      <c r="Q243" s="6">
        <f>VLOOKUP(O243,deuda!A$1:H$550,5,0)</f>
        <v>0</v>
      </c>
      <c r="R243" s="6">
        <f>IF(VLOOKUP(O243,deuda!A$1:H$550,6,0)=0,"",VLOOKUP(O243,deuda!A$1:H$550,6,0))</f>
        <v>4.4800000000000004</v>
      </c>
      <c r="S243" s="149" t="str">
        <f>IF((VLOOKUP(O243,deuda!A$1:H$550,7,0))=0,"",VLOOKUP(O243,deuda!A$1:H$550,7,0))</f>
        <v/>
      </c>
      <c r="T243" s="153" t="str">
        <f>IF((VLOOKUP(O243,deuda!A$1:H$550,8,0))=0,"",VLOOKUP(O243,deuda!A$1:H$550,8,0))</f>
        <v/>
      </c>
    </row>
    <row r="244" spans="1:20">
      <c r="A244" s="26">
        <v>5</v>
      </c>
      <c r="B244" s="5">
        <v>1214</v>
      </c>
      <c r="C244" s="5">
        <v>175</v>
      </c>
      <c r="D244" s="21">
        <v>1</v>
      </c>
      <c r="E244" s="21">
        <f>IF((VLOOKUP(O244,deuda!A$1:H$550,4,0))=1,D244,0)</f>
        <v>0</v>
      </c>
      <c r="F244" s="5" t="s">
        <v>641</v>
      </c>
      <c r="G244" s="27">
        <f>D244</f>
        <v>1</v>
      </c>
      <c r="H244" s="620" t="e">
        <f t="shared" si="40"/>
        <v>#N/A</v>
      </c>
      <c r="I244" s="618" t="e">
        <f t="shared" si="41"/>
        <v>#N/A</v>
      </c>
      <c r="J244" s="125" t="e">
        <f t="shared" si="42"/>
        <v>#REF!</v>
      </c>
      <c r="K244" s="125" t="e">
        <f t="shared" si="43"/>
        <v>#REF!</v>
      </c>
      <c r="L244" s="5"/>
      <c r="M244" s="5"/>
      <c r="N244" s="5"/>
      <c r="O244" s="5" t="str">
        <f t="shared" si="44"/>
        <v>1214175</v>
      </c>
      <c r="P244" s="6">
        <f>VLOOKUP(O244,deuda!A$1:H$550,4,0)</f>
        <v>0</v>
      </c>
      <c r="Q244" s="6">
        <f>VLOOKUP(O244,deuda!A$1:H$550,5,0)</f>
        <v>6</v>
      </c>
      <c r="R244" s="6">
        <f>IF(VLOOKUP(O244,deuda!A$1:H$550,6,0)=0,"",VLOOKUP(O244,deuda!A$1:H$550,6,0))</f>
        <v>7828.94</v>
      </c>
      <c r="S244" s="149" t="str">
        <f>IF((VLOOKUP(O244,deuda!A$1:H$550,7,0))=0,"",VLOOKUP(O244,deuda!A$1:H$550,7,0))</f>
        <v/>
      </c>
      <c r="T244" s="153" t="str">
        <f>IF((VLOOKUP(O244,deuda!A$1:H$550,8,0))=0,"",VLOOKUP(O244,deuda!A$1:H$550,8,0))</f>
        <v/>
      </c>
    </row>
    <row r="245" spans="1:20" ht="15.75" customHeight="1">
      <c r="A245" s="26">
        <v>6</v>
      </c>
      <c r="B245" s="5">
        <v>1214</v>
      </c>
      <c r="C245" s="5">
        <v>202</v>
      </c>
      <c r="D245" s="21">
        <v>3.52</v>
      </c>
      <c r="E245" s="21">
        <f>IF((VLOOKUP(O245,deuda!A$1:H$550,4,0))=1,D245,0)</f>
        <v>0</v>
      </c>
      <c r="F245" s="5" t="s">
        <v>367</v>
      </c>
      <c r="G245" s="27">
        <v>0</v>
      </c>
      <c r="H245" s="620" t="e">
        <f t="shared" si="40"/>
        <v>#N/A</v>
      </c>
      <c r="I245" s="618" t="e">
        <f t="shared" si="41"/>
        <v>#N/A</v>
      </c>
      <c r="J245" s="125" t="e">
        <f t="shared" si="42"/>
        <v>#REF!</v>
      </c>
      <c r="K245" s="125" t="e">
        <f t="shared" si="43"/>
        <v>#REF!</v>
      </c>
      <c r="L245" s="5"/>
      <c r="M245" s="5"/>
      <c r="N245" s="5"/>
      <c r="O245" s="5" t="str">
        <f t="shared" si="44"/>
        <v>1214202</v>
      </c>
      <c r="P245" s="6">
        <f>VLOOKUP(O245,deuda!A$1:H$550,4,0)</f>
        <v>0</v>
      </c>
      <c r="Q245" s="6">
        <f>VLOOKUP(O245,deuda!A$1:H$550,5,0)</f>
        <v>4</v>
      </c>
      <c r="R245" s="6">
        <f>IF(VLOOKUP(O245,deuda!A$1:H$550,6,0)=0,"",VLOOKUP(O245,deuda!A$1:H$550,6,0))</f>
        <v>4767.3599999999997</v>
      </c>
      <c r="S245" s="149" t="str">
        <f>IF((VLOOKUP(O245,deuda!A$1:H$550,7,0))=0,"",VLOOKUP(O245,deuda!A$1:H$550,7,0))</f>
        <v/>
      </c>
      <c r="T245" s="153" t="str">
        <f>IF((VLOOKUP(O245,deuda!A$1:H$550,8,0))=0,"",VLOOKUP(O245,deuda!A$1:H$550,8,0))</f>
        <v/>
      </c>
    </row>
    <row r="246" spans="1:20" ht="15.75" customHeight="1">
      <c r="A246" s="26">
        <v>7</v>
      </c>
      <c r="B246" s="5">
        <v>1214</v>
      </c>
      <c r="C246" s="5">
        <v>158</v>
      </c>
      <c r="D246" s="21">
        <v>2.1621999999999999</v>
      </c>
      <c r="E246" s="21">
        <f>IF((VLOOKUP(O246,deuda!A$1:H$550,4,0))=1,D246,0)</f>
        <v>2.1621999999999999</v>
      </c>
      <c r="F246" s="5" t="s">
        <v>642</v>
      </c>
      <c r="G246" s="27">
        <v>0</v>
      </c>
      <c r="H246" s="620" t="e">
        <f t="shared" si="40"/>
        <v>#N/A</v>
      </c>
      <c r="I246" s="618" t="e">
        <f t="shared" si="41"/>
        <v>#N/A</v>
      </c>
      <c r="J246" s="125" t="e">
        <f t="shared" si="42"/>
        <v>#REF!</v>
      </c>
      <c r="K246" s="125" t="e">
        <f t="shared" si="43"/>
        <v>#REF!</v>
      </c>
      <c r="L246" s="5"/>
      <c r="M246" s="5"/>
      <c r="N246" s="5"/>
      <c r="O246" s="5" t="str">
        <f t="shared" si="44"/>
        <v>1214158</v>
      </c>
      <c r="P246" s="6">
        <f>VLOOKUP(O246,deuda!A$1:H$550,4,0)</f>
        <v>1</v>
      </c>
      <c r="Q246" s="6">
        <f>VLOOKUP(O246,deuda!A$1:H$550,5,0)</f>
        <v>0</v>
      </c>
      <c r="R246" s="6" t="str">
        <f>IF(VLOOKUP(O246,deuda!A$1:H$550,6,0)=0,"",VLOOKUP(O246,deuda!A$1:H$550,6,0))</f>
        <v/>
      </c>
      <c r="S246" s="149" t="str">
        <f>IF((VLOOKUP(O246,deuda!A$1:H$550,7,0))=0,"",VLOOKUP(O246,deuda!A$1:H$550,7,0))</f>
        <v/>
      </c>
      <c r="T246" s="153" t="str">
        <f>IF((VLOOKUP(O246,deuda!A$1:H$550,8,0))=0,"",VLOOKUP(O246,deuda!A$1:H$550,8,0))</f>
        <v/>
      </c>
    </row>
    <row r="247" spans="1:20" ht="15.75" customHeight="1">
      <c r="A247" s="26">
        <v>8</v>
      </c>
      <c r="B247" s="5">
        <v>1214</v>
      </c>
      <c r="C247" s="5">
        <v>176</v>
      </c>
      <c r="D247" s="21">
        <v>0.49630000000000002</v>
      </c>
      <c r="E247" s="21">
        <f>IF((VLOOKUP(O247,deuda!A$1:H$550,4,0))=1,D247,0)</f>
        <v>0</v>
      </c>
      <c r="F247" s="5" t="s">
        <v>643</v>
      </c>
      <c r="G247" s="27">
        <v>0</v>
      </c>
      <c r="H247" s="620" t="e">
        <f t="shared" si="40"/>
        <v>#N/A</v>
      </c>
      <c r="I247" s="618" t="e">
        <f t="shared" si="41"/>
        <v>#N/A</v>
      </c>
      <c r="J247" s="125" t="e">
        <f t="shared" si="42"/>
        <v>#REF!</v>
      </c>
      <c r="K247" s="125" t="e">
        <f t="shared" si="43"/>
        <v>#REF!</v>
      </c>
      <c r="L247" s="5"/>
      <c r="M247" s="5"/>
      <c r="N247" s="5"/>
      <c r="O247" s="5" t="str">
        <f t="shared" si="44"/>
        <v>1214176</v>
      </c>
      <c r="P247" s="6">
        <f>VLOOKUP(O247,deuda!A$1:H$550,4,0)</f>
        <v>0</v>
      </c>
      <c r="Q247" s="6">
        <f>VLOOKUP(O247,deuda!A$1:H$550,5,0)</f>
        <v>4</v>
      </c>
      <c r="R247" s="6">
        <f>IF(VLOOKUP(O247,deuda!A$1:H$550,6,0)=0,"",VLOOKUP(O247,deuda!A$1:H$550,6,0))</f>
        <v>947.31</v>
      </c>
      <c r="S247" s="149" t="str">
        <f>IF((VLOOKUP(O247,deuda!A$1:H$550,7,0))=0,"",VLOOKUP(O247,deuda!A$1:H$550,7,0))</f>
        <v/>
      </c>
      <c r="T247" s="153" t="str">
        <f>IF((VLOOKUP(O247,deuda!A$1:H$550,8,0))=0,"",VLOOKUP(O247,deuda!A$1:H$550,8,0))</f>
        <v/>
      </c>
    </row>
    <row r="248" spans="1:20">
      <c r="A248" s="26">
        <v>9</v>
      </c>
      <c r="B248" s="5">
        <v>1214</v>
      </c>
      <c r="C248" s="5">
        <v>180</v>
      </c>
      <c r="D248" s="21">
        <v>0.47089999999999999</v>
      </c>
      <c r="E248" s="21">
        <f>IF((VLOOKUP(O248,deuda!A$1:H$550,4,0))=1,D248,0)</f>
        <v>0.47089999999999999</v>
      </c>
      <c r="F248" s="5" t="s">
        <v>644</v>
      </c>
      <c r="G248" s="27">
        <f t="shared" ref="G248:G256" si="45">E248</f>
        <v>0.47089999999999999</v>
      </c>
      <c r="H248" s="620" t="e">
        <f t="shared" si="40"/>
        <v>#N/A</v>
      </c>
      <c r="I248" s="618" t="e">
        <f t="shared" si="41"/>
        <v>#N/A</v>
      </c>
      <c r="J248" s="125" t="e">
        <f t="shared" si="42"/>
        <v>#REF!</v>
      </c>
      <c r="K248" s="125" t="e">
        <f t="shared" si="43"/>
        <v>#REF!</v>
      </c>
      <c r="L248" s="5"/>
      <c r="M248" s="5"/>
      <c r="N248" s="5"/>
      <c r="O248" s="5" t="str">
        <f t="shared" si="44"/>
        <v>1214180</v>
      </c>
      <c r="P248" s="6">
        <f>VLOOKUP(O248,deuda!A$1:H$550,4,0)</f>
        <v>1</v>
      </c>
      <c r="Q248" s="6">
        <f>VLOOKUP(O248,deuda!A$1:H$550,5,0)</f>
        <v>0</v>
      </c>
      <c r="R248" s="6" t="str">
        <f>IF(VLOOKUP(O248,deuda!A$1:H$550,6,0)=0,"",VLOOKUP(O248,deuda!A$1:H$550,6,0))</f>
        <v/>
      </c>
      <c r="S248" s="149" t="str">
        <f>IF((VLOOKUP(O248,deuda!A$1:H$550,7,0))=0,"",VLOOKUP(O248,deuda!A$1:H$550,7,0))</f>
        <v/>
      </c>
      <c r="T248" s="153" t="str">
        <f>IF((VLOOKUP(O248,deuda!A$1:H$550,8,0))=0,"",VLOOKUP(O248,deuda!A$1:H$550,8,0))</f>
        <v/>
      </c>
    </row>
    <row r="249" spans="1:20">
      <c r="A249" s="26">
        <v>9</v>
      </c>
      <c r="B249" s="5">
        <v>1214</v>
      </c>
      <c r="C249" s="5">
        <v>233</v>
      </c>
      <c r="D249" s="21">
        <v>0.47210000000000002</v>
      </c>
      <c r="E249" s="21" t="e">
        <f>IF((VLOOKUP(O249,deuda!A$1:H$550,4,0))=1,D249,0)</f>
        <v>#N/A</v>
      </c>
      <c r="F249" s="5" t="s">
        <v>645</v>
      </c>
      <c r="G249" s="27" t="e">
        <f t="shared" si="45"/>
        <v>#N/A</v>
      </c>
      <c r="H249" s="620" t="e">
        <f t="shared" si="40"/>
        <v>#N/A</v>
      </c>
      <c r="I249" s="618" t="e">
        <f t="shared" si="41"/>
        <v>#N/A</v>
      </c>
      <c r="J249" s="125" t="e">
        <f t="shared" si="42"/>
        <v>#REF!</v>
      </c>
      <c r="K249" s="125" t="e">
        <f t="shared" si="43"/>
        <v>#REF!</v>
      </c>
      <c r="L249" s="5"/>
      <c r="M249" s="5"/>
      <c r="N249" s="5"/>
      <c r="O249" s="5" t="str">
        <f t="shared" si="44"/>
        <v>1214233</v>
      </c>
      <c r="P249" s="6" t="e">
        <f>VLOOKUP(O249,deuda!A$1:H$550,4,0)</f>
        <v>#N/A</v>
      </c>
      <c r="Q249" s="6" t="e">
        <f>VLOOKUP(O249,deuda!A$1:H$550,5,0)</f>
        <v>#N/A</v>
      </c>
      <c r="R249" s="6" t="e">
        <f>IF(VLOOKUP(O249,deuda!A$1:H$550,6,0)=0,"",VLOOKUP(O249,deuda!A$1:H$550,6,0))</f>
        <v>#N/A</v>
      </c>
      <c r="S249" s="149" t="e">
        <f>IF((VLOOKUP(O249,deuda!A$1:H$550,7,0))=0,"",VLOOKUP(O249,deuda!A$1:H$550,7,0))</f>
        <v>#N/A</v>
      </c>
      <c r="T249" s="153" t="e">
        <f>IF((VLOOKUP(O249,deuda!A$1:H$550,8,0))=0,"",VLOOKUP(O249,deuda!A$1:H$550,8,0))</f>
        <v>#N/A</v>
      </c>
    </row>
    <row r="250" spans="1:20">
      <c r="A250" s="26">
        <v>9</v>
      </c>
      <c r="B250" s="5">
        <v>1214</v>
      </c>
      <c r="C250" s="5">
        <v>234</v>
      </c>
      <c r="D250" s="21">
        <v>0.47920000000000001</v>
      </c>
      <c r="E250" s="21" t="e">
        <f>IF((VLOOKUP(O250,deuda!A$1:H$550,4,0))=1,D250,0)</f>
        <v>#N/A</v>
      </c>
      <c r="F250" s="5" t="s">
        <v>644</v>
      </c>
      <c r="G250" s="27" t="e">
        <f t="shared" si="45"/>
        <v>#N/A</v>
      </c>
      <c r="H250" s="620" t="e">
        <f t="shared" si="40"/>
        <v>#N/A</v>
      </c>
      <c r="I250" s="618" t="e">
        <f t="shared" si="41"/>
        <v>#N/A</v>
      </c>
      <c r="J250" s="125" t="e">
        <f t="shared" si="42"/>
        <v>#REF!</v>
      </c>
      <c r="K250" s="125" t="e">
        <f t="shared" si="43"/>
        <v>#REF!</v>
      </c>
      <c r="L250" s="5"/>
      <c r="M250" s="5"/>
      <c r="N250" s="5"/>
      <c r="O250" s="5" t="str">
        <f t="shared" si="44"/>
        <v>1214234</v>
      </c>
      <c r="P250" s="6" t="e">
        <f>VLOOKUP(O250,deuda!A$1:H$550,4,0)</f>
        <v>#N/A</v>
      </c>
      <c r="Q250" s="6" t="e">
        <f>VLOOKUP(O250,deuda!A$1:H$550,5,0)</f>
        <v>#N/A</v>
      </c>
      <c r="R250" s="6" t="e">
        <f>IF(VLOOKUP(O250,deuda!A$1:H$550,6,0)=0,"",VLOOKUP(O250,deuda!A$1:H$550,6,0))</f>
        <v>#N/A</v>
      </c>
      <c r="S250" s="149" t="e">
        <f>IF((VLOOKUP(O250,deuda!A$1:H$550,7,0))=0,"",VLOOKUP(O250,deuda!A$1:H$550,7,0))</f>
        <v>#N/A</v>
      </c>
      <c r="T250" s="153" t="e">
        <f>IF((VLOOKUP(O250,deuda!A$1:H$550,8,0))=0,"",VLOOKUP(O250,deuda!A$1:H$550,8,0))</f>
        <v>#N/A</v>
      </c>
    </row>
    <row r="251" spans="1:20">
      <c r="A251" s="26">
        <v>9</v>
      </c>
      <c r="B251" s="5">
        <v>1214</v>
      </c>
      <c r="C251" s="5">
        <v>235</v>
      </c>
      <c r="D251" s="21">
        <v>0.48620000000000002</v>
      </c>
      <c r="E251" s="21" t="e">
        <f>IF((VLOOKUP(O251,deuda!A$1:H$550,4,0))=1,D251,0)</f>
        <v>#N/A</v>
      </c>
      <c r="F251" s="5" t="s">
        <v>644</v>
      </c>
      <c r="G251" s="27" t="e">
        <f t="shared" si="45"/>
        <v>#N/A</v>
      </c>
      <c r="H251" s="620" t="e">
        <f t="shared" si="40"/>
        <v>#N/A</v>
      </c>
      <c r="I251" s="618" t="e">
        <f t="shared" si="41"/>
        <v>#N/A</v>
      </c>
      <c r="J251" s="125" t="e">
        <f t="shared" si="42"/>
        <v>#REF!</v>
      </c>
      <c r="K251" s="125" t="e">
        <f t="shared" si="43"/>
        <v>#REF!</v>
      </c>
      <c r="L251" s="5"/>
      <c r="M251" s="5"/>
      <c r="N251" s="5"/>
      <c r="O251" s="5" t="str">
        <f t="shared" si="44"/>
        <v>1214235</v>
      </c>
      <c r="P251" s="6" t="e">
        <f>VLOOKUP(O251,deuda!A$1:H$550,4,0)</f>
        <v>#N/A</v>
      </c>
      <c r="Q251" s="6" t="e">
        <f>VLOOKUP(O251,deuda!A$1:H$550,5,0)</f>
        <v>#N/A</v>
      </c>
      <c r="R251" s="6" t="e">
        <f>IF(VLOOKUP(O251,deuda!A$1:H$550,6,0)=0,"",VLOOKUP(O251,deuda!A$1:H$550,6,0))</f>
        <v>#N/A</v>
      </c>
      <c r="S251" s="149" t="e">
        <f>IF((VLOOKUP(O251,deuda!A$1:H$550,7,0))=0,"",VLOOKUP(O251,deuda!A$1:H$550,7,0))</f>
        <v>#N/A</v>
      </c>
      <c r="T251" s="153" t="e">
        <f>IF((VLOOKUP(O251,deuda!A$1:H$550,8,0))=0,"",VLOOKUP(O251,deuda!A$1:H$550,8,0))</f>
        <v>#N/A</v>
      </c>
    </row>
    <row r="252" spans="1:20">
      <c r="A252" s="26">
        <v>10</v>
      </c>
      <c r="B252" s="5">
        <v>1214</v>
      </c>
      <c r="C252" s="5">
        <v>269</v>
      </c>
      <c r="D252" s="21">
        <v>20.519300000000001</v>
      </c>
      <c r="E252" s="21" t="e">
        <f>IF((VLOOKUP(O252,deuda!A$1:H$550,4,0))=1,D252,0)</f>
        <v>#N/A</v>
      </c>
      <c r="F252" s="5" t="s">
        <v>646</v>
      </c>
      <c r="G252" s="27" t="e">
        <f t="shared" si="45"/>
        <v>#N/A</v>
      </c>
      <c r="H252" s="620" t="e">
        <f t="shared" si="40"/>
        <v>#N/A</v>
      </c>
      <c r="I252" s="618" t="e">
        <f t="shared" si="41"/>
        <v>#N/A</v>
      </c>
      <c r="J252" s="125" t="e">
        <f t="shared" si="42"/>
        <v>#REF!</v>
      </c>
      <c r="K252" s="125" t="e">
        <f t="shared" si="43"/>
        <v>#REF!</v>
      </c>
      <c r="L252" s="5"/>
      <c r="M252" s="5"/>
      <c r="N252" s="5"/>
      <c r="O252" s="5" t="str">
        <f t="shared" si="44"/>
        <v>1214269</v>
      </c>
      <c r="P252" s="6" t="e">
        <f>VLOOKUP(O252,deuda!A$1:H$550,4,0)</f>
        <v>#N/A</v>
      </c>
      <c r="Q252" s="6" t="e">
        <f>VLOOKUP(O252,deuda!A$1:H$550,5,0)</f>
        <v>#N/A</v>
      </c>
      <c r="R252" s="6" t="e">
        <f>IF(VLOOKUP(O252,deuda!A$1:H$550,6,0)=0,"",VLOOKUP(O252,deuda!A$1:H$550,6,0))</f>
        <v>#N/A</v>
      </c>
      <c r="S252" s="149" t="e">
        <f>IF((VLOOKUP(O252,deuda!A$1:H$550,7,0))=0,"",VLOOKUP(O252,deuda!A$1:H$550,7,0))</f>
        <v>#N/A</v>
      </c>
      <c r="T252" s="153" t="e">
        <f>IF((VLOOKUP(O252,deuda!A$1:H$550,8,0))=0,"",VLOOKUP(O252,deuda!A$1:H$550,8,0))</f>
        <v>#N/A</v>
      </c>
    </row>
    <row r="253" spans="1:20">
      <c r="A253" s="26">
        <v>10</v>
      </c>
      <c r="B253" s="5">
        <v>1214</v>
      </c>
      <c r="C253" s="5">
        <v>270</v>
      </c>
      <c r="D253" s="21">
        <v>0.95220000000000005</v>
      </c>
      <c r="E253" s="21" t="e">
        <f>IF((VLOOKUP(O253,deuda!A$1:H$550,4,0))=1,D253,0)</f>
        <v>#N/A</v>
      </c>
      <c r="F253" s="5" t="s">
        <v>646</v>
      </c>
      <c r="G253" s="27" t="e">
        <f t="shared" si="45"/>
        <v>#N/A</v>
      </c>
      <c r="H253" s="620" t="e">
        <f t="shared" si="40"/>
        <v>#N/A</v>
      </c>
      <c r="I253" s="618" t="e">
        <f t="shared" si="41"/>
        <v>#N/A</v>
      </c>
      <c r="J253" s="125" t="e">
        <f t="shared" si="42"/>
        <v>#REF!</v>
      </c>
      <c r="K253" s="125" t="e">
        <f t="shared" si="43"/>
        <v>#REF!</v>
      </c>
      <c r="L253" s="5"/>
      <c r="M253" s="5"/>
      <c r="N253" s="5"/>
      <c r="O253" s="5" t="str">
        <f t="shared" si="44"/>
        <v>1214270</v>
      </c>
      <c r="P253" s="6" t="e">
        <f>VLOOKUP(O253,deuda!A$1:H$550,4,0)</f>
        <v>#N/A</v>
      </c>
      <c r="Q253" s="6" t="e">
        <f>VLOOKUP(O253,deuda!A$1:H$550,5,0)</f>
        <v>#N/A</v>
      </c>
      <c r="R253" s="6" t="e">
        <f>IF(VLOOKUP(O253,deuda!A$1:H$550,6,0)=0,"",VLOOKUP(O253,deuda!A$1:H$550,6,0))</f>
        <v>#N/A</v>
      </c>
      <c r="S253" s="149" t="e">
        <f>IF((VLOOKUP(O253,deuda!A$1:H$550,7,0))=0,"",VLOOKUP(O253,deuda!A$1:H$550,7,0))</f>
        <v>#N/A</v>
      </c>
      <c r="T253" s="153" t="e">
        <f>IF((VLOOKUP(O253,deuda!A$1:H$550,8,0))=0,"",VLOOKUP(O253,deuda!A$1:H$550,8,0))</f>
        <v>#N/A</v>
      </c>
    </row>
    <row r="254" spans="1:20">
      <c r="A254" s="26">
        <v>11</v>
      </c>
      <c r="B254" s="5">
        <v>1214</v>
      </c>
      <c r="C254" s="5">
        <v>51</v>
      </c>
      <c r="D254" s="21">
        <v>1.3642000000000001</v>
      </c>
      <c r="E254" s="21" t="e">
        <f>IF((VLOOKUP(O254,deuda!A$1:H$550,4,0))=1,D254,0)</f>
        <v>#N/A</v>
      </c>
      <c r="F254" s="5" t="s">
        <v>647</v>
      </c>
      <c r="G254" s="27" t="e">
        <f t="shared" si="45"/>
        <v>#N/A</v>
      </c>
      <c r="H254" s="620" t="e">
        <f t="shared" si="40"/>
        <v>#N/A</v>
      </c>
      <c r="I254" s="618" t="e">
        <f t="shared" si="41"/>
        <v>#N/A</v>
      </c>
      <c r="J254" s="125" t="e">
        <f t="shared" si="42"/>
        <v>#REF!</v>
      </c>
      <c r="K254" s="125" t="e">
        <f t="shared" si="43"/>
        <v>#REF!</v>
      </c>
      <c r="L254" s="5"/>
      <c r="M254" s="5"/>
      <c r="N254" s="5"/>
      <c r="O254" s="5" t="str">
        <f t="shared" si="44"/>
        <v>121451</v>
      </c>
      <c r="P254" s="6" t="e">
        <f>VLOOKUP(O254,deuda!A$1:H$550,4,0)</f>
        <v>#N/A</v>
      </c>
      <c r="Q254" s="6" t="e">
        <f>VLOOKUP(O254,deuda!A$1:H$550,5,0)</f>
        <v>#N/A</v>
      </c>
      <c r="R254" s="6" t="e">
        <f>IF(VLOOKUP(O254,deuda!A$1:H$550,6,0)=0,"",VLOOKUP(O254,deuda!A$1:H$550,6,0))</f>
        <v>#N/A</v>
      </c>
      <c r="S254" s="149" t="e">
        <f>IF((VLOOKUP(O254,deuda!A$1:H$550,7,0))=0,"",VLOOKUP(O254,deuda!A$1:H$550,7,0))</f>
        <v>#N/A</v>
      </c>
      <c r="T254" s="153" t="e">
        <f>IF((VLOOKUP(O254,deuda!A$1:H$550,8,0))=0,"",VLOOKUP(O254,deuda!A$1:H$550,8,0))</f>
        <v>#N/A</v>
      </c>
    </row>
    <row r="255" spans="1:20">
      <c r="A255" s="26">
        <v>11</v>
      </c>
      <c r="B255" s="5">
        <v>1214</v>
      </c>
      <c r="C255" s="5">
        <v>86</v>
      </c>
      <c r="D255" s="21">
        <v>0.66259999999999997</v>
      </c>
      <c r="E255" s="21" t="e">
        <f>IF((VLOOKUP(O255,deuda!A$1:H$550,4,0))=1,D255,0)</f>
        <v>#N/A</v>
      </c>
      <c r="F255" s="5" t="s">
        <v>648</v>
      </c>
      <c r="G255" s="27" t="e">
        <f t="shared" si="45"/>
        <v>#N/A</v>
      </c>
      <c r="H255" s="620" t="e">
        <f t="shared" si="40"/>
        <v>#N/A</v>
      </c>
      <c r="I255" s="618" t="e">
        <f t="shared" si="41"/>
        <v>#N/A</v>
      </c>
      <c r="J255" s="125" t="e">
        <f t="shared" si="42"/>
        <v>#REF!</v>
      </c>
      <c r="K255" s="125" t="e">
        <f t="shared" si="43"/>
        <v>#REF!</v>
      </c>
      <c r="L255" s="5"/>
      <c r="M255" s="5"/>
      <c r="N255" s="5"/>
      <c r="O255" s="5" t="str">
        <f t="shared" si="44"/>
        <v>121486</v>
      </c>
      <c r="P255" s="6" t="e">
        <f>VLOOKUP(O255,deuda!A$1:H$550,4,0)</f>
        <v>#N/A</v>
      </c>
      <c r="Q255" s="6" t="e">
        <f>VLOOKUP(O255,deuda!A$1:H$550,5,0)</f>
        <v>#N/A</v>
      </c>
      <c r="R255" s="6" t="e">
        <f>IF(VLOOKUP(O255,deuda!A$1:H$550,6,0)=0,"",VLOOKUP(O255,deuda!A$1:H$550,6,0))</f>
        <v>#N/A</v>
      </c>
      <c r="S255" s="149" t="e">
        <f>IF((VLOOKUP(O255,deuda!A$1:H$550,7,0))=0,"",VLOOKUP(O255,deuda!A$1:H$550,7,0))</f>
        <v>#N/A</v>
      </c>
      <c r="T255" s="153" t="e">
        <f>IF((VLOOKUP(O255,deuda!A$1:H$550,8,0))=0,"",VLOOKUP(O255,deuda!A$1:H$550,8,0))</f>
        <v>#N/A</v>
      </c>
    </row>
    <row r="256" spans="1:20">
      <c r="A256" s="26">
        <v>12</v>
      </c>
      <c r="B256" s="5">
        <v>1214</v>
      </c>
      <c r="C256" s="5">
        <v>268</v>
      </c>
      <c r="D256" s="21">
        <v>5.8875000000000002</v>
      </c>
      <c r="E256" s="21" t="e">
        <f>IF((VLOOKUP(O256,deuda!A$1:H$550,4,0))=1,D256,0)</f>
        <v>#N/A</v>
      </c>
      <c r="F256" s="5" t="s">
        <v>649</v>
      </c>
      <c r="G256" s="21" t="e">
        <f t="shared" si="45"/>
        <v>#N/A</v>
      </c>
      <c r="H256" s="620" t="e">
        <f t="shared" si="40"/>
        <v>#N/A</v>
      </c>
      <c r="I256" s="618" t="e">
        <f t="shared" si="41"/>
        <v>#N/A</v>
      </c>
      <c r="J256" s="125" t="e">
        <f t="shared" si="42"/>
        <v>#REF!</v>
      </c>
      <c r="K256" s="125" t="e">
        <f t="shared" si="43"/>
        <v>#REF!</v>
      </c>
      <c r="L256" s="5"/>
      <c r="M256" s="5"/>
      <c r="N256" s="5"/>
      <c r="O256" s="5" t="str">
        <f t="shared" si="44"/>
        <v>1214268</v>
      </c>
      <c r="P256" s="6" t="e">
        <f>VLOOKUP(O256,deuda!A$1:H$550,4,0)</f>
        <v>#N/A</v>
      </c>
      <c r="Q256" s="6" t="e">
        <f>VLOOKUP(O256,deuda!A$1:H$550,5,0)</f>
        <v>#N/A</v>
      </c>
      <c r="R256" s="6" t="e">
        <f>IF(VLOOKUP(O256,deuda!A$1:H$550,6,0)=0,"",VLOOKUP(O256,deuda!A$1:H$550,6,0))</f>
        <v>#N/A</v>
      </c>
      <c r="S256" s="149" t="e">
        <f>IF((VLOOKUP(O256,deuda!A$1:H$550,7,0))=0,"",VLOOKUP(O256,deuda!A$1:H$550,7,0))</f>
        <v>#N/A</v>
      </c>
      <c r="T256" s="153" t="e">
        <f>IF((VLOOKUP(O256,deuda!A$1:H$550,8,0))=0,"",VLOOKUP(O256,deuda!A$1:H$550,8,0))</f>
        <v>#N/A</v>
      </c>
    </row>
    <row r="257" spans="1:20" ht="13.5" thickBot="1">
      <c r="A257" s="132">
        <v>13</v>
      </c>
      <c r="B257" s="29">
        <v>1214</v>
      </c>
      <c r="C257" s="29">
        <v>59</v>
      </c>
      <c r="D257" s="46">
        <v>6.5853000000000002</v>
      </c>
      <c r="E257" s="46">
        <f>IF((VLOOKUP(O257,deuda!A$1:H$550,4,0))=1,D257,0)</f>
        <v>6.5853000000000002</v>
      </c>
      <c r="F257" s="29" t="s">
        <v>650</v>
      </c>
      <c r="G257" s="30">
        <v>0</v>
      </c>
      <c r="H257" s="630" t="e">
        <f t="shared" si="40"/>
        <v>#N/A</v>
      </c>
      <c r="I257" s="621" t="e">
        <f t="shared" si="41"/>
        <v>#N/A</v>
      </c>
      <c r="J257" s="127" t="e">
        <f t="shared" si="42"/>
        <v>#REF!</v>
      </c>
      <c r="K257" s="127" t="e">
        <f t="shared" si="43"/>
        <v>#REF!</v>
      </c>
      <c r="L257" s="29"/>
      <c r="M257" s="29"/>
      <c r="N257" s="29"/>
      <c r="O257" s="29" t="str">
        <f t="shared" si="44"/>
        <v>121459</v>
      </c>
      <c r="P257" s="33">
        <f>VLOOKUP(O257,deuda!A$1:H$550,4,0)</f>
        <v>1</v>
      </c>
      <c r="Q257" s="33">
        <f>VLOOKUP(O257,deuda!A$1:H$550,5,0)</f>
        <v>0</v>
      </c>
      <c r="R257" s="33" t="str">
        <f>IF(VLOOKUP(O257,deuda!A$1:H$550,6,0)=0,"",VLOOKUP(O257,deuda!A$1:H$550,6,0))</f>
        <v/>
      </c>
      <c r="S257" s="154" t="str">
        <f>IF((VLOOKUP(O257,deuda!A$1:H$550,7,0))=0,"",VLOOKUP(O257,deuda!A$1:H$550,7,0))</f>
        <v/>
      </c>
      <c r="T257" s="155" t="str">
        <f>IF((VLOOKUP(O257,deuda!A$1:H$550,8,0))=0,"",VLOOKUP(O257,deuda!A$1:H$550,8,0))</f>
        <v/>
      </c>
    </row>
    <row r="258" spans="1:20">
      <c r="A258" s="158"/>
      <c r="B258" s="158"/>
      <c r="C258" s="158"/>
      <c r="D258" s="159">
        <f>SUM(D240:D257)</f>
        <v>46.549399999999991</v>
      </c>
      <c r="E258" s="160" t="e">
        <f>SUM(E240:E257)</f>
        <v>#N/A</v>
      </c>
      <c r="F258" s="158"/>
      <c r="G258" s="161" t="e">
        <f>SUM(G240:G257)</f>
        <v>#N/A</v>
      </c>
      <c r="H258" s="131" t="e">
        <f>SUM(H240:H257)</f>
        <v>#N/A</v>
      </c>
      <c r="I258" s="162" t="e">
        <f>SUM(I240:I257)</f>
        <v>#N/A</v>
      </c>
      <c r="J258" s="131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</row>
    <row r="259" spans="1:20">
      <c r="A259" s="10"/>
      <c r="B259" s="10"/>
      <c r="C259" s="10"/>
      <c r="E259" s="84"/>
      <c r="F259" s="84"/>
      <c r="G259" s="10"/>
      <c r="H259" s="10"/>
      <c r="I259" s="89"/>
    </row>
    <row r="260" spans="1:20">
      <c r="A260" s="10"/>
      <c r="B260" s="10"/>
      <c r="C260" s="10"/>
      <c r="E260" s="84"/>
      <c r="F260" s="84"/>
      <c r="G260" s="10"/>
      <c r="H260" s="10"/>
      <c r="I260" s="10"/>
    </row>
    <row r="261" spans="1:20">
      <c r="A261" s="10"/>
      <c r="B261" s="10"/>
      <c r="C261" s="10"/>
      <c r="E261" s="84"/>
      <c r="F261" s="84"/>
      <c r="G261" s="10"/>
      <c r="H261" s="10"/>
      <c r="I261" s="10"/>
    </row>
    <row r="262" spans="1:20">
      <c r="A262" s="10"/>
      <c r="B262" s="10"/>
      <c r="C262" s="10"/>
      <c r="E262" s="84"/>
      <c r="F262" s="84"/>
      <c r="G262" s="10"/>
      <c r="H262" s="10"/>
      <c r="I262" s="10"/>
      <c r="J262" s="10"/>
      <c r="K262" s="10"/>
      <c r="L262" s="10"/>
      <c r="M262" s="10"/>
    </row>
    <row r="263" spans="1:20">
      <c r="A263" s="47" t="s">
        <v>651</v>
      </c>
      <c r="B263" s="10"/>
      <c r="C263" s="10"/>
      <c r="E263" s="84"/>
      <c r="F263" s="84"/>
      <c r="G263" s="10"/>
      <c r="H263" s="10"/>
      <c r="I263" s="10"/>
      <c r="J263" s="10"/>
      <c r="K263" s="10"/>
      <c r="L263" s="10"/>
      <c r="M263" s="10"/>
    </row>
    <row r="264" spans="1:20">
      <c r="A264" s="10"/>
      <c r="B264" s="10"/>
      <c r="C264" s="10"/>
      <c r="E264" s="84"/>
      <c r="F264" s="84"/>
      <c r="G264" s="10"/>
      <c r="H264" s="10"/>
      <c r="I264" s="10"/>
      <c r="J264" s="10"/>
      <c r="K264" s="10"/>
      <c r="L264" s="10"/>
      <c r="M264" s="10"/>
    </row>
    <row r="265" spans="1:20">
      <c r="C265" s="1" t="s">
        <v>565</v>
      </c>
      <c r="J265" s="10"/>
      <c r="K265" s="10"/>
      <c r="L265" s="10"/>
      <c r="M265" s="10"/>
    </row>
    <row r="266" spans="1:20" ht="13.5" thickBot="1">
      <c r="J266" s="10"/>
      <c r="K266" s="10"/>
      <c r="L266" s="10"/>
      <c r="M266" s="10"/>
    </row>
    <row r="267" spans="1:20">
      <c r="A267" s="688" t="s">
        <v>92</v>
      </c>
      <c r="B267" s="689"/>
      <c r="C267" s="690" t="e">
        <f>+J18</f>
        <v>#REF!</v>
      </c>
      <c r="D267" s="691"/>
      <c r="E267" s="3"/>
      <c r="F267" s="3"/>
      <c r="G267" s="24" t="s">
        <v>93</v>
      </c>
      <c r="H267" s="200">
        <f>+H5</f>
        <v>3.9895833333333335</v>
      </c>
    </row>
    <row r="268" spans="1:20" ht="13.5" thickBot="1">
      <c r="A268" s="692" t="s">
        <v>94</v>
      </c>
      <c r="B268" s="693"/>
      <c r="C268" s="694" t="e">
        <f>+K285</f>
        <v>#REF!</v>
      </c>
      <c r="D268" s="695"/>
      <c r="E268" s="3"/>
      <c r="F268" s="3"/>
      <c r="G268" s="26" t="s">
        <v>95</v>
      </c>
      <c r="H268" s="171">
        <f>+$I$18</f>
        <v>4.1666666666666664E-2</v>
      </c>
      <c r="I268" s="3"/>
      <c r="K268" s="635"/>
    </row>
    <row r="269" spans="1:20" ht="13.5" thickBot="1">
      <c r="G269" s="132" t="s">
        <v>96</v>
      </c>
      <c r="H269" s="201">
        <v>0</v>
      </c>
    </row>
    <row r="270" spans="1:20">
      <c r="H270" s="78"/>
    </row>
    <row r="271" spans="1:20">
      <c r="A271" s="696" t="s">
        <v>97</v>
      </c>
      <c r="B271" s="696"/>
      <c r="C271" s="168" t="e">
        <f>+E271/60</f>
        <v>#N/A</v>
      </c>
      <c r="D271" s="558" t="s">
        <v>98</v>
      </c>
      <c r="E271" s="169" t="e">
        <f>+F17+F18</f>
        <v>#N/A</v>
      </c>
      <c r="F271" s="558" t="s">
        <v>99</v>
      </c>
      <c r="G271" s="167">
        <f>+G286</f>
        <v>18.683300000000003</v>
      </c>
      <c r="H271" s="202" t="s">
        <v>100</v>
      </c>
      <c r="I271" s="168" t="e">
        <f>+E271/60</f>
        <v>#N/A</v>
      </c>
    </row>
    <row r="272" spans="1:20">
      <c r="H272" s="78"/>
    </row>
    <row r="273" spans="1:20" ht="13.5" thickBot="1">
      <c r="H273" s="78"/>
    </row>
    <row r="274" spans="1:20" ht="13.5" customHeight="1" thickBot="1">
      <c r="A274" s="22" t="s">
        <v>102</v>
      </c>
      <c r="B274" s="259" t="s">
        <v>566</v>
      </c>
      <c r="C274" s="259" t="s">
        <v>104</v>
      </c>
      <c r="D274" s="259" t="s">
        <v>567</v>
      </c>
      <c r="E274" s="259" t="s">
        <v>568</v>
      </c>
      <c r="F274" s="260" t="s">
        <v>108</v>
      </c>
      <c r="G274" s="259" t="s">
        <v>570</v>
      </c>
      <c r="H274" s="261" t="s">
        <v>304</v>
      </c>
      <c r="I274" s="559" t="s">
        <v>110</v>
      </c>
      <c r="J274" s="129" t="s">
        <v>156</v>
      </c>
      <c r="K274" s="129" t="s">
        <v>157</v>
      </c>
      <c r="L274" s="130" t="s">
        <v>114</v>
      </c>
      <c r="M274" s="256" t="s">
        <v>158</v>
      </c>
      <c r="N274" s="32" t="s">
        <v>116</v>
      </c>
      <c r="O274" s="32" t="s">
        <v>117</v>
      </c>
      <c r="P274" s="32" t="s">
        <v>118</v>
      </c>
      <c r="Q274" s="32" t="s">
        <v>119</v>
      </c>
      <c r="R274" s="32" t="s">
        <v>120</v>
      </c>
      <c r="S274" s="32" t="s">
        <v>121</v>
      </c>
      <c r="T274" s="185" t="s">
        <v>122</v>
      </c>
    </row>
    <row r="275" spans="1:20">
      <c r="A275" s="133">
        <v>1</v>
      </c>
      <c r="B275" s="52">
        <v>1214</v>
      </c>
      <c r="C275" s="52">
        <v>193</v>
      </c>
      <c r="D275" s="44">
        <v>1.5048999999999999</v>
      </c>
      <c r="E275" s="44">
        <f>IF((VLOOKUP(O275,deuda!A$1:H$550,4,0))=1,D275,0)</f>
        <v>1.5048999999999999</v>
      </c>
      <c r="F275" s="52" t="s">
        <v>608</v>
      </c>
      <c r="G275" s="123">
        <f>E275</f>
        <v>1.5048999999999999</v>
      </c>
      <c r="H275" s="629" t="e">
        <f>G275*$I$9</f>
        <v>#N/A</v>
      </c>
      <c r="I275" s="580" t="e">
        <f>+H275/60</f>
        <v>#N/A</v>
      </c>
      <c r="J275" s="174" t="e">
        <f>+C267+H268</f>
        <v>#REF!</v>
      </c>
      <c r="K275" s="174" t="e">
        <f>+J275+I275</f>
        <v>#REF!</v>
      </c>
      <c r="L275" s="52"/>
      <c r="M275" s="5"/>
      <c r="N275" s="5"/>
      <c r="O275" s="5" t="str">
        <f>+CONCATENATE(B275,C275)</f>
        <v>1214193</v>
      </c>
      <c r="P275" s="6">
        <f>VLOOKUP(O275,deuda!A$1:H$550,4,0)</f>
        <v>1</v>
      </c>
      <c r="Q275" s="6">
        <f>VLOOKUP(O275,deuda!A$1:H$550,5,0)</f>
        <v>1</v>
      </c>
      <c r="R275" s="6">
        <f>IF(VLOOKUP(O275,deuda!A$1:H$550,6,0)=0,"",VLOOKUP(O275,deuda!A$1:H$550,6,0))</f>
        <v>475.37</v>
      </c>
      <c r="S275" s="149" t="str">
        <f>IF((VLOOKUP(O275,deuda!A$1:H$550,7,0))=0,"",VLOOKUP(O275,deuda!A$1:H$550,7,0))</f>
        <v/>
      </c>
      <c r="T275" s="153" t="str">
        <f>IF((VLOOKUP(O275,deuda!A$1:H$550,8,0))=0,"",VLOOKUP(O275,deuda!A$1:H$550,8,0))</f>
        <v/>
      </c>
    </row>
    <row r="276" spans="1:20">
      <c r="A276" s="26">
        <v>2</v>
      </c>
      <c r="B276" s="5">
        <v>1214</v>
      </c>
      <c r="C276" s="5">
        <v>197</v>
      </c>
      <c r="D276" s="21">
        <v>0.87529999999999997</v>
      </c>
      <c r="E276" s="21" t="e">
        <f>IF((VLOOKUP(O276,deuda!A$1:H$550,4,0))=1,D276,0)</f>
        <v>#N/A</v>
      </c>
      <c r="F276" s="5" t="s">
        <v>652</v>
      </c>
      <c r="G276" s="27">
        <f t="shared" ref="G276:G284" si="46">D276</f>
        <v>0.87529999999999997</v>
      </c>
      <c r="H276" s="620" t="e">
        <f t="shared" ref="H276:H285" si="47">+G276*$I$9</f>
        <v>#N/A</v>
      </c>
      <c r="I276" s="618" t="e">
        <f t="shared" ref="I276:I285" si="48">+H276/60</f>
        <v>#N/A</v>
      </c>
      <c r="J276" s="125" t="e">
        <f>+K275</f>
        <v>#REF!</v>
      </c>
      <c r="K276" s="125" t="e">
        <f>+J276+I276</f>
        <v>#REF!</v>
      </c>
      <c r="L276" s="5"/>
      <c r="M276" s="5"/>
      <c r="N276" s="5"/>
      <c r="O276" s="5" t="str">
        <f>+CONCATENATE(B276,C276)</f>
        <v>1214197</v>
      </c>
      <c r="P276" s="6" t="e">
        <f>VLOOKUP(O276,deuda!A$1:H$550,4,0)</f>
        <v>#N/A</v>
      </c>
      <c r="Q276" s="6" t="e">
        <f>VLOOKUP(O276,deuda!A$1:H$550,5,0)</f>
        <v>#N/A</v>
      </c>
      <c r="R276" s="6" t="e">
        <f>IF(VLOOKUP(O276,deuda!A$1:H$550,6,0)=0,"",VLOOKUP(O276,deuda!A$1:H$550,6,0))</f>
        <v>#N/A</v>
      </c>
      <c r="S276" s="149" t="e">
        <f>IF((VLOOKUP(O276,deuda!A$1:H$550,7,0))=0,"",VLOOKUP(O276,deuda!A$1:H$550,7,0))</f>
        <v>#N/A</v>
      </c>
      <c r="T276" s="153" t="e">
        <f>IF((VLOOKUP(O276,deuda!A$1:H$550,8,0))=0,"",VLOOKUP(O276,deuda!A$1:H$550,8,0))</f>
        <v>#N/A</v>
      </c>
    </row>
    <row r="277" spans="1:20">
      <c r="A277" s="26">
        <v>3</v>
      </c>
      <c r="B277" s="5">
        <v>1214</v>
      </c>
      <c r="C277" s="5">
        <v>196</v>
      </c>
      <c r="D277" s="21">
        <v>0.6714</v>
      </c>
      <c r="E277" s="21">
        <f>IF((VLOOKUP(O277,deuda!A$1:H$550,4,0))=1,D277,0)</f>
        <v>0.6714</v>
      </c>
      <c r="F277" s="5" t="s">
        <v>653</v>
      </c>
      <c r="G277" s="27">
        <f t="shared" si="46"/>
        <v>0.6714</v>
      </c>
      <c r="H277" s="620" t="e">
        <f t="shared" si="47"/>
        <v>#N/A</v>
      </c>
      <c r="I277" s="618" t="e">
        <f t="shared" si="48"/>
        <v>#N/A</v>
      </c>
      <c r="J277" s="125" t="e">
        <f t="shared" ref="J277:J285" si="49">+K276</f>
        <v>#REF!</v>
      </c>
      <c r="K277" s="125" t="e">
        <f t="shared" ref="K277:K285" si="50">+J277+I277</f>
        <v>#REF!</v>
      </c>
      <c r="L277" s="5"/>
      <c r="M277" s="5"/>
      <c r="N277" s="5"/>
      <c r="O277" s="5" t="str">
        <f t="shared" ref="O277:O285" si="51">+CONCATENATE(B277,C277)</f>
        <v>1214196</v>
      </c>
      <c r="P277" s="6">
        <f>VLOOKUP(O277,deuda!A$1:H$550,4,0)</f>
        <v>1</v>
      </c>
      <c r="Q277" s="6">
        <f>VLOOKUP(O277,deuda!A$1:H$550,5,0)</f>
        <v>1</v>
      </c>
      <c r="R277" s="6">
        <f>IF(VLOOKUP(O277,deuda!A$1:H$550,6,0)=0,"",VLOOKUP(O277,deuda!A$1:H$550,6,0))</f>
        <v>249.9</v>
      </c>
      <c r="S277" s="149" t="str">
        <f>IF((VLOOKUP(O277,deuda!A$1:H$550,7,0))=0,"",VLOOKUP(O277,deuda!A$1:H$550,7,0))</f>
        <v/>
      </c>
      <c r="T277" s="153" t="str">
        <f>IF((VLOOKUP(O277,deuda!A$1:H$550,8,0))=0,"",VLOOKUP(O277,deuda!A$1:H$550,8,0))</f>
        <v/>
      </c>
    </row>
    <row r="278" spans="1:20">
      <c r="A278" s="26">
        <v>4</v>
      </c>
      <c r="B278" s="5">
        <v>1214</v>
      </c>
      <c r="C278" s="5">
        <v>278</v>
      </c>
      <c r="D278" s="21">
        <v>1.4420999999999999</v>
      </c>
      <c r="E278" s="21" t="e">
        <f>IF((VLOOKUP(O278,deuda!A$1:H$550,4,0))=1,D278,0)</f>
        <v>#N/A</v>
      </c>
      <c r="F278" s="5" t="s">
        <v>654</v>
      </c>
      <c r="G278" s="27">
        <f t="shared" si="46"/>
        <v>1.4420999999999999</v>
      </c>
      <c r="H278" s="620" t="e">
        <f t="shared" si="47"/>
        <v>#N/A</v>
      </c>
      <c r="I278" s="618" t="e">
        <f t="shared" si="48"/>
        <v>#N/A</v>
      </c>
      <c r="J278" s="125" t="e">
        <f t="shared" si="49"/>
        <v>#REF!</v>
      </c>
      <c r="K278" s="125" t="e">
        <f t="shared" si="50"/>
        <v>#REF!</v>
      </c>
      <c r="L278" s="5"/>
      <c r="M278" s="5"/>
      <c r="N278" s="5"/>
      <c r="O278" s="5" t="str">
        <f t="shared" si="51"/>
        <v>1214278</v>
      </c>
      <c r="P278" s="6" t="e">
        <f>VLOOKUP(O278,deuda!A$1:H$550,4,0)</f>
        <v>#N/A</v>
      </c>
      <c r="Q278" s="6" t="e">
        <f>VLOOKUP(O278,deuda!A$1:H$550,5,0)</f>
        <v>#N/A</v>
      </c>
      <c r="R278" s="6" t="e">
        <f>IF(VLOOKUP(O278,deuda!A$1:H$550,6,0)=0,"",VLOOKUP(O278,deuda!A$1:H$550,6,0))</f>
        <v>#N/A</v>
      </c>
      <c r="S278" s="149" t="e">
        <f>IF((VLOOKUP(O278,deuda!A$1:H$550,7,0))=0,"",VLOOKUP(O278,deuda!A$1:H$550,7,0))</f>
        <v>#N/A</v>
      </c>
      <c r="T278" s="153" t="e">
        <f>IF((VLOOKUP(O278,deuda!A$1:H$550,8,0))=0,"",VLOOKUP(O278,deuda!A$1:H$550,8,0))</f>
        <v>#N/A</v>
      </c>
    </row>
    <row r="279" spans="1:20">
      <c r="A279" s="26">
        <v>5</v>
      </c>
      <c r="B279" s="5">
        <v>1214</v>
      </c>
      <c r="C279" s="5">
        <v>175</v>
      </c>
      <c r="D279" s="21">
        <v>4.8310000000000004</v>
      </c>
      <c r="E279" s="21">
        <f>IF((VLOOKUP(O279,deuda!A$1:H$550,4,0))=1,D279,0)</f>
        <v>0</v>
      </c>
      <c r="F279" s="5" t="s">
        <v>641</v>
      </c>
      <c r="G279" s="27">
        <f t="shared" si="46"/>
        <v>4.8310000000000004</v>
      </c>
      <c r="H279" s="620" t="e">
        <f t="shared" si="47"/>
        <v>#N/A</v>
      </c>
      <c r="I279" s="618" t="e">
        <f t="shared" si="48"/>
        <v>#N/A</v>
      </c>
      <c r="J279" s="125" t="e">
        <f t="shared" si="49"/>
        <v>#REF!</v>
      </c>
      <c r="K279" s="125" t="e">
        <f t="shared" si="50"/>
        <v>#REF!</v>
      </c>
      <c r="L279" s="5"/>
      <c r="M279" s="5"/>
      <c r="N279" s="5"/>
      <c r="O279" s="5" t="str">
        <f t="shared" si="51"/>
        <v>1214175</v>
      </c>
      <c r="P279" s="6">
        <f>VLOOKUP(O279,deuda!A$1:H$550,4,0)</f>
        <v>0</v>
      </c>
      <c r="Q279" s="6">
        <f>VLOOKUP(O279,deuda!A$1:H$550,5,0)</f>
        <v>6</v>
      </c>
      <c r="R279" s="6">
        <f>IF(VLOOKUP(O279,deuda!A$1:H$550,6,0)=0,"",VLOOKUP(O279,deuda!A$1:H$550,6,0))</f>
        <v>7828.94</v>
      </c>
      <c r="S279" s="149" t="str">
        <f>IF((VLOOKUP(O279,deuda!A$1:H$550,7,0))=0,"",VLOOKUP(O279,deuda!A$1:H$550,7,0))</f>
        <v/>
      </c>
      <c r="T279" s="153" t="str">
        <f>IF((VLOOKUP(O279,deuda!A$1:H$550,8,0))=0,"",VLOOKUP(O279,deuda!A$1:H$550,8,0))</f>
        <v/>
      </c>
    </row>
    <row r="280" spans="1:20">
      <c r="A280" s="26">
        <v>6</v>
      </c>
      <c r="B280" s="5">
        <v>1214</v>
      </c>
      <c r="C280" s="5">
        <v>220</v>
      </c>
      <c r="D280" s="21">
        <v>0.92049999999999998</v>
      </c>
      <c r="E280" s="21">
        <f>IF((VLOOKUP(O280,deuda!A$1:H$550,4,0))=1,D280,0)</f>
        <v>0.92049999999999998</v>
      </c>
      <c r="F280" s="5" t="s">
        <v>655</v>
      </c>
      <c r="G280" s="27">
        <f t="shared" si="46"/>
        <v>0.92049999999999998</v>
      </c>
      <c r="H280" s="620" t="e">
        <f t="shared" si="47"/>
        <v>#N/A</v>
      </c>
      <c r="I280" s="618" t="e">
        <f t="shared" si="48"/>
        <v>#N/A</v>
      </c>
      <c r="J280" s="125" t="e">
        <f t="shared" si="49"/>
        <v>#REF!</v>
      </c>
      <c r="K280" s="125" t="e">
        <f t="shared" si="50"/>
        <v>#REF!</v>
      </c>
      <c r="L280" s="5"/>
      <c r="M280" s="5"/>
      <c r="N280" s="5"/>
      <c r="O280" s="5" t="str">
        <f t="shared" si="51"/>
        <v>1214220</v>
      </c>
      <c r="P280" s="6">
        <f>VLOOKUP(O280,deuda!A$1:H$550,4,0)</f>
        <v>1</v>
      </c>
      <c r="Q280" s="6">
        <f>VLOOKUP(O280,deuda!A$1:H$550,5,0)</f>
        <v>2</v>
      </c>
      <c r="R280" s="6">
        <f>IF(VLOOKUP(O280,deuda!A$1:H$550,6,0)=0,"",VLOOKUP(O280,deuda!A$1:H$550,6,0))</f>
        <v>477.6</v>
      </c>
      <c r="S280" s="149" t="str">
        <f>IF((VLOOKUP(O280,deuda!A$1:H$550,7,0))=0,"",VLOOKUP(O280,deuda!A$1:H$550,7,0))</f>
        <v/>
      </c>
      <c r="T280" s="153" t="str">
        <f>IF((VLOOKUP(O280,deuda!A$1:H$550,8,0))=0,"",VLOOKUP(O280,deuda!A$1:H$550,8,0))</f>
        <v/>
      </c>
    </row>
    <row r="281" spans="1:20">
      <c r="A281" s="26">
        <v>7</v>
      </c>
      <c r="B281" s="5">
        <v>1214</v>
      </c>
      <c r="C281" s="5">
        <v>221</v>
      </c>
      <c r="D281" s="21">
        <v>1.4924999999999999</v>
      </c>
      <c r="E281" s="21">
        <f>IF((VLOOKUP(O281,deuda!A$1:H$550,4,0))=1,D281,0)</f>
        <v>1.4924999999999999</v>
      </c>
      <c r="F281" s="5" t="s">
        <v>656</v>
      </c>
      <c r="G281" s="27">
        <f t="shared" si="46"/>
        <v>1.4924999999999999</v>
      </c>
      <c r="H281" s="620" t="e">
        <f t="shared" si="47"/>
        <v>#N/A</v>
      </c>
      <c r="I281" s="618" t="e">
        <f t="shared" si="48"/>
        <v>#N/A</v>
      </c>
      <c r="J281" s="125" t="e">
        <f t="shared" si="49"/>
        <v>#REF!</v>
      </c>
      <c r="K281" s="125" t="e">
        <f t="shared" si="50"/>
        <v>#REF!</v>
      </c>
      <c r="L281" s="5"/>
      <c r="M281" s="5"/>
      <c r="N281" s="5"/>
      <c r="O281" s="5" t="str">
        <f t="shared" si="51"/>
        <v>1214221</v>
      </c>
      <c r="P281" s="6">
        <f>VLOOKUP(O281,deuda!A$1:H$550,4,0)</f>
        <v>1</v>
      </c>
      <c r="Q281" s="6">
        <f>VLOOKUP(O281,deuda!A$1:H$550,5,0)</f>
        <v>2</v>
      </c>
      <c r="R281" s="6">
        <f>IF(VLOOKUP(O281,deuda!A$1:H$550,6,0)=0,"",VLOOKUP(O281,deuda!A$1:H$550,6,0))</f>
        <v>904.25</v>
      </c>
      <c r="S281" s="149" t="str">
        <f>IF((VLOOKUP(O281,deuda!A$1:H$550,7,0))=0,"",VLOOKUP(O281,deuda!A$1:H$550,7,0))</f>
        <v/>
      </c>
      <c r="T281" s="153" t="str">
        <f>IF((VLOOKUP(O281,deuda!A$1:H$550,8,0))=0,"",VLOOKUP(O281,deuda!A$1:H$550,8,0))</f>
        <v/>
      </c>
    </row>
    <row r="282" spans="1:20">
      <c r="A282" s="26">
        <v>7</v>
      </c>
      <c r="B282" s="5">
        <v>1214</v>
      </c>
      <c r="C282" s="5">
        <v>222</v>
      </c>
      <c r="D282" s="21">
        <v>0.2727</v>
      </c>
      <c r="E282" s="21">
        <f>IF((VLOOKUP(O282,deuda!A$1:H$550,4,0))=1,D282,0)</f>
        <v>0</v>
      </c>
      <c r="F282" s="5" t="s">
        <v>656</v>
      </c>
      <c r="G282" s="27">
        <f t="shared" si="46"/>
        <v>0.2727</v>
      </c>
      <c r="H282" s="620" t="e">
        <f t="shared" si="47"/>
        <v>#N/A</v>
      </c>
      <c r="I282" s="618" t="e">
        <f t="shared" si="48"/>
        <v>#N/A</v>
      </c>
      <c r="J282" s="125" t="e">
        <f t="shared" si="49"/>
        <v>#REF!</v>
      </c>
      <c r="K282" s="125" t="e">
        <f t="shared" si="50"/>
        <v>#REF!</v>
      </c>
      <c r="L282" s="5"/>
      <c r="M282" s="5"/>
      <c r="N282" s="5"/>
      <c r="O282" s="5" t="str">
        <f t="shared" si="51"/>
        <v>1214222</v>
      </c>
      <c r="P282" s="6">
        <f>VLOOKUP(O282,deuda!A$1:H$550,4,0)</f>
        <v>0</v>
      </c>
      <c r="Q282" s="6">
        <f>VLOOKUP(O282,deuda!A$1:H$550,5,0)</f>
        <v>7</v>
      </c>
      <c r="R282" s="6">
        <f>IF(VLOOKUP(O282,deuda!A$1:H$550,6,0)=0,"",VLOOKUP(O282,deuda!A$1:H$550,6,0))</f>
        <v>1960.49</v>
      </c>
      <c r="S282" s="149" t="str">
        <f>IF((VLOOKUP(O282,deuda!A$1:H$550,7,0))=0,"",VLOOKUP(O282,deuda!A$1:H$550,7,0))</f>
        <v/>
      </c>
      <c r="T282" s="153" t="str">
        <f>IF((VLOOKUP(O282,deuda!A$1:H$550,8,0))=0,"",VLOOKUP(O282,deuda!A$1:H$550,8,0))</f>
        <v/>
      </c>
    </row>
    <row r="283" spans="1:20">
      <c r="A283" s="26">
        <v>8</v>
      </c>
      <c r="B283" s="5">
        <v>1214</v>
      </c>
      <c r="C283" s="5">
        <v>223</v>
      </c>
      <c r="D283" s="21">
        <v>0.91259999999999997</v>
      </c>
      <c r="E283" s="21">
        <f>IF((VLOOKUP(O283,deuda!A$1:H$550,4,0))=1,D283,0)</f>
        <v>0</v>
      </c>
      <c r="F283" s="5" t="s">
        <v>657</v>
      </c>
      <c r="G283" s="27">
        <f t="shared" si="46"/>
        <v>0.91259999999999997</v>
      </c>
      <c r="H283" s="620" t="e">
        <f t="shared" si="47"/>
        <v>#N/A</v>
      </c>
      <c r="I283" s="618" t="e">
        <f t="shared" si="48"/>
        <v>#N/A</v>
      </c>
      <c r="J283" s="125" t="e">
        <f t="shared" si="49"/>
        <v>#REF!</v>
      </c>
      <c r="K283" s="125" t="e">
        <f t="shared" si="50"/>
        <v>#REF!</v>
      </c>
      <c r="L283" s="5"/>
      <c r="M283" s="5"/>
      <c r="N283" s="5"/>
      <c r="O283" s="5" t="str">
        <f t="shared" si="51"/>
        <v>1214223</v>
      </c>
      <c r="P283" s="6">
        <f>VLOOKUP(O283,deuda!A$1:H$550,4,0)</f>
        <v>0</v>
      </c>
      <c r="Q283" s="6">
        <f>VLOOKUP(O283,deuda!A$1:H$550,5,0)</f>
        <v>3</v>
      </c>
      <c r="R283" s="6">
        <f>IF(VLOOKUP(O283,deuda!A$1:H$550,6,0)=0,"",VLOOKUP(O283,deuda!A$1:H$550,6,0))</f>
        <v>714.61</v>
      </c>
      <c r="S283" s="149" t="str">
        <f>IF((VLOOKUP(O283,deuda!A$1:H$550,7,0))=0,"",VLOOKUP(O283,deuda!A$1:H$550,7,0))</f>
        <v/>
      </c>
      <c r="T283" s="153" t="str">
        <f>IF((VLOOKUP(O283,deuda!A$1:H$550,8,0))=0,"",VLOOKUP(O283,deuda!A$1:H$550,8,0))</f>
        <v/>
      </c>
    </row>
    <row r="284" spans="1:20">
      <c r="A284" s="26">
        <v>9</v>
      </c>
      <c r="B284" s="5">
        <v>1214</v>
      </c>
      <c r="C284" s="5">
        <v>153</v>
      </c>
      <c r="D284" s="21">
        <v>7.2652000000000001</v>
      </c>
      <c r="E284" s="21">
        <f>IF((VLOOKUP(O284,deuda!A$1:H$550,4,0))=1,D284,0)</f>
        <v>0</v>
      </c>
      <c r="F284" s="5" t="s">
        <v>658</v>
      </c>
      <c r="G284" s="27">
        <f t="shared" si="46"/>
        <v>7.2652000000000001</v>
      </c>
      <c r="H284" s="620" t="e">
        <f t="shared" si="47"/>
        <v>#N/A</v>
      </c>
      <c r="I284" s="618" t="e">
        <f t="shared" si="48"/>
        <v>#N/A</v>
      </c>
      <c r="J284" s="125" t="e">
        <f t="shared" si="49"/>
        <v>#REF!</v>
      </c>
      <c r="K284" s="125" t="e">
        <f t="shared" si="50"/>
        <v>#REF!</v>
      </c>
      <c r="L284" s="5"/>
      <c r="M284" s="5"/>
      <c r="N284" s="5"/>
      <c r="O284" s="5" t="str">
        <f t="shared" si="51"/>
        <v>1214153</v>
      </c>
      <c r="P284" s="6">
        <f>VLOOKUP(O284,deuda!A$1:H$550,4,0)</f>
        <v>0</v>
      </c>
      <c r="Q284" s="6">
        <f>VLOOKUP(O284,deuda!A$1:H$550,5,0)</f>
        <v>3</v>
      </c>
      <c r="R284" s="6">
        <f>IF(VLOOKUP(O284,deuda!A$1:H$550,6,0)=0,"",VLOOKUP(O284,deuda!A$1:H$550,6,0))</f>
        <v>1829.05</v>
      </c>
      <c r="S284" s="149" t="str">
        <f>IF((VLOOKUP(O284,deuda!A$1:H$550,7,0))=0,"",VLOOKUP(O284,deuda!A$1:H$550,7,0))</f>
        <v/>
      </c>
      <c r="T284" s="153" t="str">
        <f>IF((VLOOKUP(O284,deuda!A$1:H$550,8,0))=0,"",VLOOKUP(O284,deuda!A$1:H$550,8,0))</f>
        <v/>
      </c>
    </row>
    <row r="285" spans="1:20" ht="13.5" thickBot="1">
      <c r="A285" s="132">
        <v>10</v>
      </c>
      <c r="B285" s="29">
        <v>1214</v>
      </c>
      <c r="C285" s="29">
        <v>156</v>
      </c>
      <c r="D285" s="46">
        <v>10.696899999999999</v>
      </c>
      <c r="E285" s="46">
        <f>IF((VLOOKUP(O285,deuda!A$1:H$550,4,0))=1,D285,0)</f>
        <v>0</v>
      </c>
      <c r="F285" s="29" t="s">
        <v>659</v>
      </c>
      <c r="G285" s="30">
        <v>0</v>
      </c>
      <c r="H285" s="630" t="e">
        <f t="shared" si="47"/>
        <v>#N/A</v>
      </c>
      <c r="I285" s="621" t="e">
        <f t="shared" si="48"/>
        <v>#N/A</v>
      </c>
      <c r="J285" s="127" t="e">
        <f t="shared" si="49"/>
        <v>#REF!</v>
      </c>
      <c r="K285" s="127" t="e">
        <f t="shared" si="50"/>
        <v>#REF!</v>
      </c>
      <c r="L285" s="29"/>
      <c r="M285" s="29"/>
      <c r="N285" s="29"/>
      <c r="O285" s="29" t="str">
        <f t="shared" si="51"/>
        <v>1214156</v>
      </c>
      <c r="P285" s="33">
        <f>VLOOKUP(O285,deuda!A$1:H$550,4,0)</f>
        <v>0</v>
      </c>
      <c r="Q285" s="33">
        <f>VLOOKUP(O285,deuda!A$1:H$550,5,0)</f>
        <v>3</v>
      </c>
      <c r="R285" s="33">
        <f>IF(VLOOKUP(O285,deuda!A$1:H$550,6,0)=0,"",VLOOKUP(O285,deuda!A$1:H$550,6,0))</f>
        <v>39149.19</v>
      </c>
      <c r="S285" s="154" t="str">
        <f>IF((VLOOKUP(O285,deuda!A$1:H$550,7,0))=0,"",VLOOKUP(O285,deuda!A$1:H$550,7,0))</f>
        <v/>
      </c>
      <c r="T285" s="155" t="str">
        <f>IF((VLOOKUP(O285,deuda!A$1:H$550,8,0))=0,"",VLOOKUP(O285,deuda!A$1:H$550,8,0))</f>
        <v/>
      </c>
    </row>
    <row r="286" spans="1:20">
      <c r="A286" s="10"/>
      <c r="B286" s="10"/>
      <c r="C286" s="10"/>
      <c r="D286" s="85">
        <f>SUM(D276:D285)</f>
        <v>29.380200000000002</v>
      </c>
      <c r="E286" s="85">
        <f>D286</f>
        <v>29.380200000000002</v>
      </c>
      <c r="G286" s="73">
        <f>SUM(G276:G285)</f>
        <v>18.683300000000003</v>
      </c>
      <c r="H286" s="253" t="e">
        <f>G286*$I$271</f>
        <v>#N/A</v>
      </c>
      <c r="I286" s="229" t="e">
        <f>+SUM(I275:I285)</f>
        <v>#N/A</v>
      </c>
      <c r="J286" s="10"/>
      <c r="K286" s="181"/>
      <c r="L286" s="181"/>
      <c r="M286" s="10"/>
      <c r="P286" t="str">
        <f>+CONCATENATE(B286,C286)</f>
        <v/>
      </c>
    </row>
    <row r="287" spans="1:20">
      <c r="B287" s="10"/>
      <c r="C287" s="10"/>
      <c r="D287" s="10"/>
      <c r="E287" s="85"/>
      <c r="F287" s="85"/>
      <c r="G287" s="73"/>
      <c r="H287" s="10"/>
      <c r="I287" s="10"/>
    </row>
    <row r="288" spans="1:20">
      <c r="A288" s="10"/>
      <c r="B288" s="10"/>
      <c r="C288" s="10"/>
      <c r="E288" s="85"/>
      <c r="F288" s="85"/>
      <c r="G288" s="73"/>
      <c r="H288" s="10"/>
      <c r="I288" s="10"/>
    </row>
    <row r="289" spans="1:20" s="10" customFormat="1">
      <c r="B289" s="47" t="s">
        <v>660</v>
      </c>
      <c r="C289"/>
      <c r="D289"/>
      <c r="E289"/>
      <c r="F289"/>
      <c r="G289"/>
      <c r="H289"/>
      <c r="I289"/>
      <c r="J289"/>
    </row>
    <row r="290" spans="1:20">
      <c r="A290" s="10"/>
    </row>
    <row r="291" spans="1:20">
      <c r="A291" s="26">
        <v>1</v>
      </c>
      <c r="D291" s="1" t="s">
        <v>565</v>
      </c>
      <c r="K291" s="125" t="e">
        <f t="shared" ref="K291:K297" si="52">+J303+I303</f>
        <v>#REF!</v>
      </c>
      <c r="L291" s="5"/>
      <c r="M291" s="5"/>
      <c r="N291" s="5"/>
      <c r="O291" s="5" t="str">
        <f t="shared" ref="O291:O297" si="53">+CONCATENATE(B303,C303)</f>
        <v>1214265</v>
      </c>
      <c r="P291" s="6" t="e">
        <f>VLOOKUP(O291,deuda!A$1:H$550,4,0)</f>
        <v>#N/A</v>
      </c>
      <c r="Q291" s="6" t="e">
        <f>VLOOKUP(O291,deuda!A$1:H$550,5,0)</f>
        <v>#N/A</v>
      </c>
      <c r="R291" s="6" t="e">
        <f>IF(VLOOKUP(O291,deuda!A$1:H$550,6,0)=0,"",VLOOKUP(O291,deuda!A$1:H$550,6,0))</f>
        <v>#N/A</v>
      </c>
      <c r="S291" s="149" t="e">
        <f>IF((VLOOKUP(O291,deuda!A$1:H$550,7,0))=0,"",VLOOKUP(O291,deuda!A$1:H$550,7,0))</f>
        <v>#N/A</v>
      </c>
      <c r="T291" s="153" t="e">
        <f>IF((VLOOKUP(O291,deuda!A$1:H$550,8,0))=0,"",VLOOKUP(O291,deuda!A$1:H$550,8,0))</f>
        <v>#N/A</v>
      </c>
    </row>
    <row r="292" spans="1:20">
      <c r="A292" s="26">
        <v>2</v>
      </c>
      <c r="K292" s="125" t="e">
        <f t="shared" si="52"/>
        <v>#REF!</v>
      </c>
      <c r="L292" s="5"/>
      <c r="M292" s="5"/>
      <c r="N292" s="5"/>
      <c r="O292" s="5" t="str">
        <f t="shared" si="53"/>
        <v>121491</v>
      </c>
      <c r="P292" s="6" t="e">
        <f>VLOOKUP(O292,deuda!A$1:H$550,4,0)</f>
        <v>#N/A</v>
      </c>
      <c r="Q292" s="6" t="e">
        <f>VLOOKUP(O292,deuda!A$1:H$550,5,0)</f>
        <v>#N/A</v>
      </c>
      <c r="R292" s="6" t="e">
        <f>IF(VLOOKUP(O292,deuda!A$1:H$550,6,0)=0,"",VLOOKUP(O292,deuda!A$1:H$550,6,0))</f>
        <v>#N/A</v>
      </c>
      <c r="S292" s="149" t="e">
        <f>IF((VLOOKUP(O292,deuda!A$1:H$550,7,0))=0,"",VLOOKUP(O292,deuda!A$1:H$550,7,0))</f>
        <v>#N/A</v>
      </c>
      <c r="T292" s="153" t="e">
        <f>IF((VLOOKUP(O292,deuda!A$1:H$550,8,0))=0,"",VLOOKUP(O292,deuda!A$1:H$550,8,0))</f>
        <v>#N/A</v>
      </c>
    </row>
    <row r="293" spans="1:20" ht="13.5" thickBot="1">
      <c r="A293" s="26">
        <v>3</v>
      </c>
      <c r="K293" s="125" t="e">
        <f t="shared" si="52"/>
        <v>#REF!</v>
      </c>
      <c r="L293" s="5"/>
      <c r="M293" s="5"/>
      <c r="N293" s="5"/>
      <c r="O293" s="5" t="str">
        <f t="shared" si="53"/>
        <v>121476</v>
      </c>
      <c r="P293" s="6">
        <f>VLOOKUP(O293,deuda!A$1:H$550,4,0)</f>
        <v>1</v>
      </c>
      <c r="Q293" s="6">
        <f>VLOOKUP(O293,deuda!A$1:H$550,5,0)</f>
        <v>0</v>
      </c>
      <c r="R293" s="6" t="str">
        <f>IF(VLOOKUP(O293,deuda!A$1:H$550,6,0)=0,"",VLOOKUP(O293,deuda!A$1:H$550,6,0))</f>
        <v/>
      </c>
      <c r="S293" s="149" t="str">
        <f>IF((VLOOKUP(O293,deuda!A$1:H$550,7,0))=0,"",VLOOKUP(O293,deuda!A$1:H$550,7,0))</f>
        <v/>
      </c>
      <c r="T293" s="153" t="str">
        <f>IF((VLOOKUP(O293,deuda!A$1:H$550,8,0))=0,"",VLOOKUP(O293,deuda!A$1:H$550,8,0))</f>
        <v/>
      </c>
    </row>
    <row r="294" spans="1:20">
      <c r="A294" s="26">
        <v>4</v>
      </c>
      <c r="B294" s="688" t="s">
        <v>92</v>
      </c>
      <c r="C294" s="689"/>
      <c r="D294" s="690">
        <f>+D268</f>
        <v>0</v>
      </c>
      <c r="E294" s="691"/>
      <c r="F294" s="3"/>
      <c r="G294" s="3"/>
      <c r="H294" s="24" t="s">
        <v>93</v>
      </c>
      <c r="I294" s="200">
        <f>+I268</f>
        <v>0</v>
      </c>
      <c r="K294" s="125" t="e">
        <f t="shared" si="52"/>
        <v>#REF!</v>
      </c>
      <c r="L294" s="5"/>
      <c r="M294" s="5"/>
      <c r="N294" s="5"/>
      <c r="O294" s="5" t="str">
        <f t="shared" si="53"/>
        <v>121479</v>
      </c>
      <c r="P294" s="6" t="e">
        <f>VLOOKUP(O294,deuda!A$1:H$550,4,0)</f>
        <v>#N/A</v>
      </c>
      <c r="Q294" s="6" t="e">
        <f>VLOOKUP(O294,deuda!A$1:H$550,5,0)</f>
        <v>#N/A</v>
      </c>
      <c r="R294" s="6" t="e">
        <f>IF(VLOOKUP(O294,deuda!A$1:H$550,6,0)=0,"",VLOOKUP(O294,deuda!A$1:H$550,6,0))</f>
        <v>#N/A</v>
      </c>
      <c r="S294" s="149" t="e">
        <f>IF((VLOOKUP(O294,deuda!A$1:H$550,7,0))=0,"",VLOOKUP(O294,deuda!A$1:H$550,7,0))</f>
        <v>#N/A</v>
      </c>
      <c r="T294" s="153" t="e">
        <f>IF((VLOOKUP(O294,deuda!A$1:H$550,8,0))=0,"",VLOOKUP(O294,deuda!A$1:H$550,8,0))</f>
        <v>#N/A</v>
      </c>
    </row>
    <row r="295" spans="1:20" ht="13.5" thickBot="1">
      <c r="A295" s="26">
        <v>5</v>
      </c>
      <c r="B295" s="692" t="s">
        <v>94</v>
      </c>
      <c r="C295" s="693"/>
      <c r="D295" s="694">
        <f>+L315</f>
        <v>0</v>
      </c>
      <c r="E295" s="695"/>
      <c r="F295" s="3"/>
      <c r="G295" s="3"/>
      <c r="H295" s="26" t="s">
        <v>95</v>
      </c>
      <c r="I295" s="171">
        <v>0</v>
      </c>
      <c r="J295" s="3"/>
      <c r="K295" s="125" t="e">
        <f t="shared" si="52"/>
        <v>#REF!</v>
      </c>
      <c r="L295" s="5"/>
      <c r="M295" s="5"/>
      <c r="N295" s="5"/>
      <c r="O295" s="5" t="str">
        <f t="shared" si="53"/>
        <v>121427</v>
      </c>
      <c r="P295" s="6">
        <f>VLOOKUP(O295,deuda!A$1:H$550,4,0)</f>
        <v>1</v>
      </c>
      <c r="Q295" s="6">
        <f>VLOOKUP(O295,deuda!A$1:H$550,5,0)</f>
        <v>1</v>
      </c>
      <c r="R295" s="6">
        <f>IF(VLOOKUP(O295,deuda!A$1:H$550,6,0)=0,"",VLOOKUP(O295,deuda!A$1:H$550,6,0))</f>
        <v>1269.19</v>
      </c>
      <c r="S295" s="149" t="str">
        <f>IF((VLOOKUP(O295,deuda!A$1:H$550,7,0))=0,"",VLOOKUP(O295,deuda!A$1:H$550,7,0))</f>
        <v/>
      </c>
      <c r="T295" s="153" t="str">
        <f>IF((VLOOKUP(O295,deuda!A$1:H$550,8,0))=0,"",VLOOKUP(O295,deuda!A$1:H$550,8,0))</f>
        <v/>
      </c>
    </row>
    <row r="296" spans="1:20" s="78" customFormat="1" ht="13.5" thickBot="1">
      <c r="A296" s="135">
        <v>6</v>
      </c>
      <c r="B296"/>
      <c r="C296"/>
      <c r="D296"/>
      <c r="E296"/>
      <c r="F296"/>
      <c r="G296"/>
      <c r="H296" s="132" t="s">
        <v>96</v>
      </c>
      <c r="I296" s="172">
        <v>0</v>
      </c>
      <c r="J296"/>
      <c r="K296" s="125" t="e">
        <f t="shared" si="52"/>
        <v>#REF!</v>
      </c>
      <c r="L296" s="5"/>
      <c r="M296" s="5"/>
      <c r="N296" s="5"/>
      <c r="O296" s="5" t="str">
        <f t="shared" si="53"/>
        <v>12142</v>
      </c>
      <c r="P296" s="6">
        <f>VLOOKUP(O296,deuda!A$1:H$550,4,0)</f>
        <v>1</v>
      </c>
      <c r="Q296" s="6">
        <f>VLOOKUP(O296,deuda!A$1:H$550,5,0)</f>
        <v>0</v>
      </c>
      <c r="R296" s="6" t="str">
        <f>IF(VLOOKUP(O296,deuda!A$1:H$550,6,0)=0,"",VLOOKUP(O296,deuda!A$1:H$550,6,0))</f>
        <v/>
      </c>
      <c r="S296" s="149" t="str">
        <f>IF((VLOOKUP(O296,deuda!A$1:H$550,7,0))=0,"",VLOOKUP(O296,deuda!A$1:H$550,7,0))</f>
        <v/>
      </c>
      <c r="T296" s="153" t="str">
        <f>IF((VLOOKUP(O296,deuda!A$1:H$550,8,0))=0,"",VLOOKUP(O296,deuda!A$1:H$550,8,0))</f>
        <v/>
      </c>
    </row>
    <row r="297" spans="1:20">
      <c r="A297" s="26">
        <v>7</v>
      </c>
      <c r="K297" s="125" t="e">
        <f t="shared" si="52"/>
        <v>#REF!</v>
      </c>
      <c r="L297" s="5"/>
      <c r="M297" s="5"/>
      <c r="N297" s="5"/>
      <c r="O297" s="5" t="str">
        <f t="shared" si="53"/>
        <v>1214152</v>
      </c>
      <c r="P297" s="6">
        <f>VLOOKUP(O297,deuda!A$1:H$550,4,0)</f>
        <v>1</v>
      </c>
      <c r="Q297" s="6">
        <f>VLOOKUP(O297,deuda!A$1:H$550,5,0)</f>
        <v>0</v>
      </c>
      <c r="R297" s="6" t="str">
        <f>IF(VLOOKUP(O297,deuda!A$1:H$550,6,0)=0,"",VLOOKUP(O297,deuda!A$1:H$550,6,0))</f>
        <v/>
      </c>
      <c r="S297" s="149" t="str">
        <f>IF((VLOOKUP(O297,deuda!A$1:H$550,7,0))=0,"",VLOOKUP(O297,deuda!A$1:H$550,7,0))</f>
        <v/>
      </c>
      <c r="T297" s="153" t="str">
        <f>IF((VLOOKUP(O297,deuda!A$1:H$550,8,0))=0,"",VLOOKUP(O297,deuda!A$1:H$550,8,0))</f>
        <v/>
      </c>
    </row>
    <row r="298" spans="1:20">
      <c r="B298" s="696" t="s">
        <v>97</v>
      </c>
      <c r="C298" s="696"/>
      <c r="D298" s="168" t="e">
        <f>+H276</f>
        <v>#N/A</v>
      </c>
      <c r="E298" s="558" t="s">
        <v>98</v>
      </c>
      <c r="F298" s="169" t="e">
        <f>+D298*60</f>
        <v>#N/A</v>
      </c>
      <c r="G298" s="558" t="s">
        <v>99</v>
      </c>
      <c r="H298" s="173">
        <f>+H316</f>
        <v>0</v>
      </c>
      <c r="I298" s="558" t="s">
        <v>100</v>
      </c>
      <c r="J298" s="168" t="e">
        <f>+F298/H298</f>
        <v>#N/A</v>
      </c>
    </row>
    <row r="301" spans="1:20">
      <c r="B301" s="10"/>
      <c r="C301" s="10"/>
      <c r="D301" s="10"/>
      <c r="E301" s="85"/>
      <c r="F301" s="85"/>
      <c r="G301" s="73"/>
      <c r="H301" s="102"/>
      <c r="I301" s="10"/>
      <c r="J301" s="10"/>
    </row>
    <row r="302" spans="1:20">
      <c r="B302" s="10"/>
      <c r="C302" s="10"/>
      <c r="D302" s="10"/>
      <c r="E302" s="84"/>
      <c r="F302" s="84"/>
      <c r="G302" s="10"/>
      <c r="H302" s="10"/>
      <c r="I302" s="10"/>
    </row>
    <row r="303" spans="1:20">
      <c r="B303" s="5">
        <v>1214</v>
      </c>
      <c r="C303" s="5">
        <v>265</v>
      </c>
      <c r="D303" s="21">
        <v>2.8956</v>
      </c>
      <c r="E303" s="21" t="e">
        <f>IF((VLOOKUP(O291,deuda!A$1:H$550,4,0))=1,D303,0)</f>
        <v>#N/A</v>
      </c>
      <c r="F303" s="5" t="s">
        <v>661</v>
      </c>
      <c r="G303" s="186">
        <v>3.8956</v>
      </c>
      <c r="H303" s="620" t="e">
        <f t="shared" ref="H303:H309" si="54">G303*$I$35</f>
        <v>#N/A</v>
      </c>
      <c r="I303" s="618" t="e">
        <f t="shared" ref="I303:I309" si="55">+H303/60</f>
        <v>#N/A</v>
      </c>
      <c r="J303" s="125" t="e">
        <f>+C31+H32+H33</f>
        <v>#REF!</v>
      </c>
    </row>
    <row r="304" spans="1:20">
      <c r="B304" s="5">
        <v>1214</v>
      </c>
      <c r="C304" s="5">
        <v>91</v>
      </c>
      <c r="D304" s="21">
        <v>2.6154000000000002</v>
      </c>
      <c r="E304" s="21" t="e">
        <f>IF((VLOOKUP(O292,deuda!A$1:H$550,4,0))=1,D304,0)</f>
        <v>#N/A</v>
      </c>
      <c r="F304" s="5" t="s">
        <v>662</v>
      </c>
      <c r="G304" s="86" t="e">
        <f t="shared" ref="G304:G309" si="56">E304</f>
        <v>#N/A</v>
      </c>
      <c r="H304" s="620" t="e">
        <f t="shared" si="54"/>
        <v>#N/A</v>
      </c>
      <c r="I304" s="618" t="e">
        <f t="shared" si="55"/>
        <v>#N/A</v>
      </c>
      <c r="J304" s="125" t="e">
        <f t="shared" ref="J304:J309" si="57">+K291</f>
        <v>#REF!</v>
      </c>
    </row>
    <row r="305" spans="2:10">
      <c r="B305" s="5">
        <v>1214</v>
      </c>
      <c r="C305" s="5">
        <v>76</v>
      </c>
      <c r="D305" s="21">
        <v>9.6138999999999992</v>
      </c>
      <c r="E305" s="21">
        <f>IF((VLOOKUP(O293,deuda!A$1:H$550,4,0))=1,D305,0)</f>
        <v>9.6138999999999992</v>
      </c>
      <c r="F305" s="5" t="s">
        <v>375</v>
      </c>
      <c r="G305" s="86">
        <f t="shared" si="56"/>
        <v>9.6138999999999992</v>
      </c>
      <c r="H305" s="620" t="e">
        <f t="shared" si="54"/>
        <v>#N/A</v>
      </c>
      <c r="I305" s="618" t="e">
        <f t="shared" si="55"/>
        <v>#N/A</v>
      </c>
      <c r="J305" s="125" t="e">
        <f t="shared" si="57"/>
        <v>#REF!</v>
      </c>
    </row>
    <row r="306" spans="2:10">
      <c r="B306" s="5">
        <v>1214</v>
      </c>
      <c r="C306" s="5">
        <v>79</v>
      </c>
      <c r="D306" s="21">
        <v>16.108499999999999</v>
      </c>
      <c r="E306" s="21" t="e">
        <f>IF((VLOOKUP(O294,deuda!A$1:H$550,4,0))=1,D306,0)</f>
        <v>#N/A</v>
      </c>
      <c r="F306" s="5" t="s">
        <v>663</v>
      </c>
      <c r="G306" s="86" t="e">
        <f t="shared" si="56"/>
        <v>#N/A</v>
      </c>
      <c r="H306" s="620" t="e">
        <f t="shared" si="54"/>
        <v>#N/A</v>
      </c>
      <c r="I306" s="618" t="e">
        <f t="shared" si="55"/>
        <v>#N/A</v>
      </c>
      <c r="J306" s="125" t="e">
        <f t="shared" si="57"/>
        <v>#REF!</v>
      </c>
    </row>
    <row r="307" spans="2:10">
      <c r="B307" s="5">
        <v>1214</v>
      </c>
      <c r="C307" s="5">
        <v>27</v>
      </c>
      <c r="D307" s="21">
        <v>5.7705000000000002</v>
      </c>
      <c r="E307" s="21">
        <f>IF((VLOOKUP(O295,deuda!A$1:H$550,4,0))=1,D307,0)</f>
        <v>5.7705000000000002</v>
      </c>
      <c r="F307" s="5" t="s">
        <v>664</v>
      </c>
      <c r="G307" s="86">
        <f t="shared" si="56"/>
        <v>5.7705000000000002</v>
      </c>
      <c r="H307" s="620" t="e">
        <f t="shared" si="54"/>
        <v>#N/A</v>
      </c>
      <c r="I307" s="618" t="e">
        <f t="shared" si="55"/>
        <v>#N/A</v>
      </c>
      <c r="J307" s="125" t="e">
        <f t="shared" si="57"/>
        <v>#REF!</v>
      </c>
    </row>
    <row r="308" spans="2:10">
      <c r="B308" s="76">
        <v>1214</v>
      </c>
      <c r="C308" s="76">
        <v>2</v>
      </c>
      <c r="D308" s="77">
        <v>91.712800000000001</v>
      </c>
      <c r="E308" s="21">
        <f>IF((VLOOKUP(O296,deuda!A$1:H$550,4,0))=1,D308,0)</f>
        <v>91.712800000000001</v>
      </c>
      <c r="F308" s="76" t="s">
        <v>665</v>
      </c>
      <c r="G308" s="9">
        <f t="shared" si="56"/>
        <v>91.712800000000001</v>
      </c>
      <c r="H308" s="620" t="e">
        <f t="shared" si="54"/>
        <v>#N/A</v>
      </c>
      <c r="I308" s="618" t="e">
        <f t="shared" si="55"/>
        <v>#N/A</v>
      </c>
      <c r="J308" s="125" t="e">
        <f t="shared" si="57"/>
        <v>#REF!</v>
      </c>
    </row>
    <row r="309" spans="2:10">
      <c r="B309" s="5">
        <v>1214</v>
      </c>
      <c r="C309" s="5">
        <v>152</v>
      </c>
      <c r="D309" s="21">
        <v>13.781700000000001</v>
      </c>
      <c r="E309" s="21">
        <f>IF((VLOOKUP(O297,deuda!A$1:H$550,4,0))=1,D309,0)</f>
        <v>13.781700000000001</v>
      </c>
      <c r="F309" s="5" t="s">
        <v>666</v>
      </c>
      <c r="G309" s="86">
        <f t="shared" si="56"/>
        <v>13.781700000000001</v>
      </c>
      <c r="H309" s="620" t="e">
        <f t="shared" si="54"/>
        <v>#N/A</v>
      </c>
      <c r="I309" s="618" t="e">
        <f t="shared" si="55"/>
        <v>#N/A</v>
      </c>
      <c r="J309" s="125" t="e">
        <f t="shared" si="57"/>
        <v>#REF!</v>
      </c>
    </row>
  </sheetData>
  <mergeCells count="50">
    <mergeCell ref="A5:B5"/>
    <mergeCell ref="C5:D5"/>
    <mergeCell ref="B298:C298"/>
    <mergeCell ref="B294:C294"/>
    <mergeCell ref="D294:E294"/>
    <mergeCell ref="B295:C295"/>
    <mergeCell ref="D295:E295"/>
    <mergeCell ref="A31:B31"/>
    <mergeCell ref="C31:D31"/>
    <mergeCell ref="A32:B32"/>
    <mergeCell ref="C32:D32"/>
    <mergeCell ref="A6:B6"/>
    <mergeCell ref="C6:D6"/>
    <mergeCell ref="A9:B9"/>
    <mergeCell ref="A35:B35"/>
    <mergeCell ref="A126:B126"/>
    <mergeCell ref="C126:D126"/>
    <mergeCell ref="A127:B127"/>
    <mergeCell ref="C127:D127"/>
    <mergeCell ref="C60:D60"/>
    <mergeCell ref="C91:D91"/>
    <mergeCell ref="A92:B92"/>
    <mergeCell ref="C92:D92"/>
    <mergeCell ref="A61:B61"/>
    <mergeCell ref="A60:B60"/>
    <mergeCell ref="C61:D61"/>
    <mergeCell ref="A64:B64"/>
    <mergeCell ref="C196:D196"/>
    <mergeCell ref="A200:B200"/>
    <mergeCell ref="A197:B197"/>
    <mergeCell ref="C197:D197"/>
    <mergeCell ref="A166:B166"/>
    <mergeCell ref="C166:D166"/>
    <mergeCell ref="A170:B170"/>
    <mergeCell ref="A167:B167"/>
    <mergeCell ref="C167:D167"/>
    <mergeCell ref="A271:B271"/>
    <mergeCell ref="A95:B95"/>
    <mergeCell ref="A91:B91"/>
    <mergeCell ref="A236:B236"/>
    <mergeCell ref="A267:B267"/>
    <mergeCell ref="A233:B233"/>
    <mergeCell ref="A196:B196"/>
    <mergeCell ref="A130:B130"/>
    <mergeCell ref="C267:D267"/>
    <mergeCell ref="A268:B268"/>
    <mergeCell ref="C268:D268"/>
    <mergeCell ref="A232:B232"/>
    <mergeCell ref="C232:D232"/>
    <mergeCell ref="C233:D233"/>
  </mergeCells>
  <phoneticPr fontId="0" type="noConversion"/>
  <pageMargins left="0.17" right="0.17" top="0.69" bottom="0.18" header="0" footer="0"/>
  <pageSetup paperSize="9" scale="92" orientation="landscape" horizontalDpi="300" verticalDpi="300" r:id="rId1"/>
  <headerFooter alignWithMargins="0"/>
  <rowBreaks count="8" manualBreakCount="8">
    <brk id="24" max="11" man="1"/>
    <brk id="54" max="11" man="1"/>
    <brk id="85" max="11" man="1"/>
    <brk id="119" max="11" man="1"/>
    <brk id="160" max="11" man="1"/>
    <brk id="190" max="11" man="1"/>
    <brk id="226" max="11" man="1"/>
    <brk id="261" max="11" man="1"/>
  </rowBreaks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3"/>
  <dimension ref="A1:N1767"/>
  <sheetViews>
    <sheetView zoomScaleNormal="100" workbookViewId="0" xr3:uid="{62F1EA49-F163-5359-9764-B7CD00A4F86E}">
      <selection activeCell="G58" sqref="G58:G65"/>
    </sheetView>
  </sheetViews>
  <sheetFormatPr defaultColWidth="11.42578125" defaultRowHeight="12.75"/>
  <cols>
    <col min="3" max="3" width="11.5703125" bestFit="1" customWidth="1"/>
    <col min="4" max="4" width="20.42578125" bestFit="1" customWidth="1"/>
    <col min="6" max="7" width="11.5703125" bestFit="1" customWidth="1"/>
  </cols>
  <sheetData>
    <row r="1" spans="1:14">
      <c r="A1" s="108"/>
      <c r="B1" s="109"/>
      <c r="C1" s="109"/>
      <c r="D1" s="109"/>
      <c r="E1" s="109"/>
      <c r="F1" s="109"/>
      <c r="G1" s="109"/>
      <c r="H1" s="110"/>
    </row>
    <row r="2" spans="1:14">
      <c r="A2" s="80"/>
      <c r="B2" s="147" t="s">
        <v>64</v>
      </c>
      <c r="C2" s="81"/>
      <c r="D2" s="81"/>
      <c r="E2" s="81"/>
      <c r="F2" s="81"/>
      <c r="G2" s="81"/>
      <c r="H2" s="111"/>
    </row>
    <row r="3" spans="1:14">
      <c r="A3" s="80"/>
      <c r="B3" s="81"/>
      <c r="C3" s="81"/>
      <c r="D3" s="81"/>
      <c r="E3" s="81"/>
      <c r="F3" s="81"/>
      <c r="G3" s="81"/>
      <c r="H3" s="111"/>
    </row>
    <row r="4" spans="1:14">
      <c r="A4" s="80"/>
      <c r="B4" s="81" t="s">
        <v>139</v>
      </c>
      <c r="C4" s="81" t="str">
        <f>VLOOKUP(G5,'18_1'!$A$38:$G$52,6,0)</f>
        <v>MAS, ROLANDO BARTOLO Y MAS, FERNANDO DOMINGO</v>
      </c>
      <c r="D4" s="81"/>
      <c r="E4" s="81"/>
      <c r="F4" s="81"/>
      <c r="G4" s="138" t="s">
        <v>102</v>
      </c>
      <c r="H4" s="111"/>
    </row>
    <row r="5" spans="1:14">
      <c r="A5" s="80"/>
      <c r="B5" s="81" t="s">
        <v>72</v>
      </c>
      <c r="C5" s="81" t="str">
        <f>+'18_1'!$G$2</f>
        <v>Hijuela Morón</v>
      </c>
      <c r="D5" s="81"/>
      <c r="E5" s="81"/>
      <c r="F5" s="81"/>
      <c r="G5" s="138">
        <v>1</v>
      </c>
      <c r="H5" s="111"/>
      <c r="L5" s="10"/>
      <c r="M5" s="10"/>
      <c r="N5" s="10"/>
    </row>
    <row r="6" spans="1:14">
      <c r="A6" s="80"/>
      <c r="B6" s="81"/>
      <c r="C6" s="81"/>
      <c r="D6" s="81"/>
      <c r="E6" s="81"/>
      <c r="F6" s="81"/>
      <c r="G6" s="81"/>
      <c r="H6" s="111"/>
      <c r="L6" s="10"/>
      <c r="M6" s="217"/>
      <c r="N6" s="10"/>
    </row>
    <row r="7" spans="1:14">
      <c r="A7" s="80"/>
      <c r="B7" s="81" t="s">
        <v>140</v>
      </c>
      <c r="C7" s="138">
        <f>VLOOKUP(G5,'18_1'!$A$38:$B$52,2,0)</f>
        <v>1214</v>
      </c>
      <c r="D7" s="81"/>
      <c r="E7" s="139" t="s">
        <v>141</v>
      </c>
      <c r="F7" s="141" t="e">
        <f>DSUM('18_1'!A$38:J$52,'18_1'!$J$38,G4:G5)</f>
        <v>#REF!</v>
      </c>
      <c r="G7" s="81"/>
      <c r="H7" s="111"/>
      <c r="L7" s="10"/>
      <c r="M7" s="217"/>
      <c r="N7" s="10"/>
    </row>
    <row r="8" spans="1:14">
      <c r="A8" s="80"/>
      <c r="B8" s="81" t="s">
        <v>142</v>
      </c>
      <c r="C8" s="205">
        <v>265</v>
      </c>
      <c r="D8" s="81"/>
      <c r="E8" s="81"/>
      <c r="F8" s="81"/>
      <c r="G8" s="81"/>
      <c r="H8" s="111"/>
      <c r="L8" s="10"/>
      <c r="M8" s="217"/>
      <c r="N8" s="10"/>
    </row>
    <row r="9" spans="1:14">
      <c r="A9" s="80"/>
      <c r="B9" s="81" t="s">
        <v>144</v>
      </c>
      <c r="C9" s="206" t="e">
        <f>DSUM('18_1'!$A$38:$H$52,'18_1'!$H$38,G4:G5)</f>
        <v>#N/A</v>
      </c>
      <c r="D9" s="81"/>
      <c r="E9" s="81"/>
      <c r="F9" s="584"/>
      <c r="G9" s="584"/>
      <c r="H9" s="111"/>
      <c r="L9" s="10"/>
      <c r="M9" s="217"/>
      <c r="N9" s="10"/>
    </row>
    <row r="10" spans="1:14" ht="15.75">
      <c r="A10" s="80"/>
      <c r="B10" s="81"/>
      <c r="C10" s="81" t="s">
        <v>146</v>
      </c>
      <c r="D10" s="145" t="e">
        <f>DMIN('18_1'!A$38:K$52,'18_1'!$J$38,G4:G5)</f>
        <v>#REF!</v>
      </c>
      <c r="E10" s="189" t="e">
        <f>IF(F10=1,"Domingo",IF(F10=2,"Lunes",IF(F10=3,"Martes",IF(F10=4,"Miercoles",IF(F10=5,"Jueves",IF(F10=6,"Viernes",IF(F10=7,"Sábado",0)))))))</f>
        <v>#REF!</v>
      </c>
      <c r="F10" s="190" t="e">
        <f>WEEKDAY(D10)</f>
        <v>#REF!</v>
      </c>
      <c r="G10" s="142"/>
      <c r="H10" s="111"/>
      <c r="L10" s="10"/>
      <c r="M10" s="217"/>
      <c r="N10" s="10"/>
    </row>
    <row r="11" spans="1:14" ht="15.75">
      <c r="A11" s="80"/>
      <c r="B11" s="81"/>
      <c r="C11" s="81" t="s">
        <v>147</v>
      </c>
      <c r="D11" s="145" t="e">
        <f>DMAX('18_1'!A$38:L$52,'18_1'!$K$38,G4:G5)</f>
        <v>#REF!</v>
      </c>
      <c r="E11" s="189" t="e">
        <f>IF(F11=1,"Domingo",IF(F11=2,"Lunes",IF(F11=3,"Martes",IF(F11=4,"Miercoles",IF(F11=5,"Jueves",IF(F11=6,"Viernes",IF(F11=7,"Sábado",0)))))))</f>
        <v>#REF!</v>
      </c>
      <c r="F11" s="190" t="e">
        <f>WEEKDAY(D11)</f>
        <v>#REF!</v>
      </c>
      <c r="G11" s="142"/>
      <c r="H11" s="111"/>
      <c r="L11" s="10"/>
      <c r="M11" s="217"/>
      <c r="N11" s="10"/>
    </row>
    <row r="12" spans="1:14">
      <c r="A12" s="80"/>
      <c r="B12" s="81"/>
      <c r="C12" s="81"/>
      <c r="D12" s="81"/>
      <c r="E12" s="81"/>
      <c r="F12" s="584"/>
      <c r="G12" s="584"/>
      <c r="H12" s="111"/>
      <c r="L12" s="10"/>
      <c r="M12" s="217"/>
      <c r="N12" s="10"/>
    </row>
    <row r="13" spans="1:14">
      <c r="A13" s="80"/>
      <c r="B13" s="146">
        <f>+Mensajes!$B$7</f>
        <v>0</v>
      </c>
      <c r="C13" s="81"/>
      <c r="D13" s="81"/>
      <c r="E13" s="81"/>
      <c r="F13" s="81"/>
      <c r="G13" s="81"/>
      <c r="H13" s="111"/>
      <c r="L13" s="10"/>
      <c r="M13" s="217"/>
      <c r="N13" s="10"/>
    </row>
    <row r="14" spans="1:14">
      <c r="A14" s="80"/>
      <c r="B14" s="146">
        <f>+Mensajes!$B$12</f>
        <v>0</v>
      </c>
      <c r="C14" s="81"/>
      <c r="D14" s="81"/>
      <c r="E14" s="81"/>
      <c r="F14" s="81"/>
      <c r="G14" s="81"/>
      <c r="H14" s="111"/>
      <c r="L14" s="10"/>
      <c r="M14" s="10"/>
      <c r="N14" s="10"/>
    </row>
    <row r="15" spans="1:14">
      <c r="A15" s="80"/>
      <c r="B15" s="146" t="str">
        <f>IF(VLOOKUP(G5,'18_1'!$A$38:$M$52,13,0)=0,"",VLOOKUP(G5,'18_1'!$A$38:$M$52,13,0))</f>
        <v/>
      </c>
      <c r="C15" s="81"/>
      <c r="D15" s="81"/>
      <c r="E15" s="81"/>
      <c r="F15" s="81"/>
      <c r="G15" s="81"/>
      <c r="H15" s="111"/>
      <c r="L15" s="10"/>
      <c r="M15" s="10"/>
      <c r="N15" s="10"/>
    </row>
    <row r="16" spans="1:14">
      <c r="A16" s="140"/>
      <c r="B16" s="188" t="e">
        <f>IF(DSUM('18_1'!$A$38:$P$52,16,G4:G5)=COUNTIF('18_1'!$A$39:$A$52,G5),"","Regularice su Deuda")</f>
        <v>#N/A</v>
      </c>
      <c r="C16" s="82"/>
      <c r="D16" s="82"/>
      <c r="E16" s="82"/>
      <c r="F16" s="82"/>
      <c r="G16" s="82"/>
      <c r="H16" s="83"/>
    </row>
    <row r="18" spans="1:8">
      <c r="A18" s="108"/>
      <c r="B18" s="109"/>
      <c r="C18" s="109"/>
      <c r="D18" s="109"/>
      <c r="E18" s="109"/>
      <c r="F18" s="109"/>
      <c r="G18" s="109"/>
      <c r="H18" s="110"/>
    </row>
    <row r="19" spans="1:8">
      <c r="A19" s="80"/>
      <c r="B19" s="147" t="s">
        <v>64</v>
      </c>
      <c r="C19" s="81"/>
      <c r="D19" s="81"/>
      <c r="E19" s="81"/>
      <c r="F19" s="81"/>
      <c r="G19" s="81"/>
      <c r="H19" s="111"/>
    </row>
    <row r="20" spans="1:8">
      <c r="A20" s="80"/>
      <c r="B20" s="81"/>
      <c r="C20" s="81"/>
      <c r="D20" s="81"/>
      <c r="E20" s="81"/>
      <c r="F20" s="81"/>
      <c r="G20" s="81"/>
      <c r="H20" s="111"/>
    </row>
    <row r="21" spans="1:8">
      <c r="A21" s="80"/>
      <c r="B21" s="81" t="s">
        <v>139</v>
      </c>
      <c r="C21" s="81" t="str">
        <f>VLOOKUP(G22,'18_1'!$A$38:$G$52,6,0)</f>
        <v>ALLENDE, GABRIEL CARLOS</v>
      </c>
      <c r="D21" s="81"/>
      <c r="E21" s="81"/>
      <c r="F21" s="81"/>
      <c r="G21" s="138" t="s">
        <v>102</v>
      </c>
      <c r="H21" s="111"/>
    </row>
    <row r="22" spans="1:8">
      <c r="A22" s="80"/>
      <c r="B22" s="81" t="s">
        <v>72</v>
      </c>
      <c r="C22" s="81" t="str">
        <f>+'18_1'!$G$2</f>
        <v>Hijuela Morón</v>
      </c>
      <c r="D22" s="81"/>
      <c r="E22" s="81"/>
      <c r="F22" s="81"/>
      <c r="G22" s="138">
        <v>2</v>
      </c>
      <c r="H22" s="111"/>
    </row>
    <row r="23" spans="1:8">
      <c r="A23" s="80"/>
      <c r="B23" s="81"/>
      <c r="C23" s="81"/>
      <c r="D23" s="81"/>
      <c r="E23" s="81"/>
      <c r="F23" s="81"/>
      <c r="G23" s="81"/>
      <c r="H23" s="111"/>
    </row>
    <row r="24" spans="1:8">
      <c r="A24" s="80"/>
      <c r="B24" s="81" t="s">
        <v>140</v>
      </c>
      <c r="C24" s="138">
        <f>VLOOKUP(G22,'18_1'!$A$38:$B$52,2,0)</f>
        <v>1214</v>
      </c>
      <c r="D24" s="81"/>
      <c r="E24" s="139" t="s">
        <v>141</v>
      </c>
      <c r="F24" s="141" t="e">
        <f>DSUM('18_1'!A$38:J$52,'18_1'!$J$38,G21:G22)</f>
        <v>#REF!</v>
      </c>
      <c r="G24" s="81"/>
      <c r="H24" s="111"/>
    </row>
    <row r="25" spans="1:8">
      <c r="A25" s="80"/>
      <c r="B25" s="81" t="s">
        <v>142</v>
      </c>
      <c r="C25" s="205">
        <v>91</v>
      </c>
      <c r="D25" s="81"/>
      <c r="E25" s="81"/>
      <c r="F25" s="81"/>
      <c r="G25" s="81"/>
      <c r="H25" s="111"/>
    </row>
    <row r="26" spans="1:8">
      <c r="A26" s="80"/>
      <c r="B26" s="81" t="s">
        <v>144</v>
      </c>
      <c r="C26" s="206" t="e">
        <f>DSUM('18_1'!$A$38:$H$52,'18_1'!$H$38,G21:G22)</f>
        <v>#N/A</v>
      </c>
      <c r="D26" s="81"/>
      <c r="E26" s="81"/>
      <c r="F26" s="584"/>
      <c r="G26" s="584"/>
      <c r="H26" s="111"/>
    </row>
    <row r="27" spans="1:8" ht="15.75">
      <c r="A27" s="80"/>
      <c r="B27" s="81"/>
      <c r="C27" s="81" t="s">
        <v>146</v>
      </c>
      <c r="D27" s="145" t="e">
        <f>DMIN('18_1'!A$38:K$52,'18_1'!$J$38,G21:G22)</f>
        <v>#REF!</v>
      </c>
      <c r="E27" s="189" t="e">
        <f>IF(F27=1,"Domingo",IF(F27=2,"Lunes",IF(F27=3,"Martes",IF(F27=4,"Miercoles",IF(F27=5,"Jueves",IF(F27=6,"Viernes",IF(F27=7,"Sábado",0)))))))</f>
        <v>#REF!</v>
      </c>
      <c r="F27" s="190" t="e">
        <f>WEEKDAY(D27)</f>
        <v>#REF!</v>
      </c>
      <c r="G27" s="142"/>
      <c r="H27" s="111"/>
    </row>
    <row r="28" spans="1:8" ht="15.75">
      <c r="A28" s="80"/>
      <c r="B28" s="81"/>
      <c r="C28" s="81" t="s">
        <v>147</v>
      </c>
      <c r="D28" s="145" t="e">
        <f>DMAX('18_1'!A$38:L$52,'18_1'!$K$38,G21:G22)</f>
        <v>#REF!</v>
      </c>
      <c r="E28" s="189" t="e">
        <f>IF(F28=1,"Domingo",IF(F28=2,"Lunes",IF(F28=3,"Martes",IF(F28=4,"Miercoles",IF(F28=5,"Jueves",IF(F28=6,"Viernes",IF(F28=7,"Sábado",0)))))))</f>
        <v>#REF!</v>
      </c>
      <c r="F28" s="190" t="e">
        <f>WEEKDAY(D28)</f>
        <v>#REF!</v>
      </c>
      <c r="G28" s="142"/>
      <c r="H28" s="111"/>
    </row>
    <row r="29" spans="1:8">
      <c r="A29" s="80"/>
      <c r="B29" s="81"/>
      <c r="C29" s="81"/>
      <c r="D29" s="81"/>
      <c r="E29" s="81"/>
      <c r="F29" s="584"/>
      <c r="G29" s="584"/>
      <c r="H29" s="111"/>
    </row>
    <row r="30" spans="1:8">
      <c r="A30" s="80"/>
      <c r="B30" s="146">
        <f>+Mensajes!$B$7</f>
        <v>0</v>
      </c>
      <c r="C30" s="81"/>
      <c r="D30" s="81"/>
      <c r="E30" s="81"/>
      <c r="F30" s="81"/>
      <c r="G30" s="81"/>
      <c r="H30" s="111"/>
    </row>
    <row r="31" spans="1:8">
      <c r="A31" s="80"/>
      <c r="B31" s="146">
        <f>+Mensajes!$B$12</f>
        <v>0</v>
      </c>
      <c r="C31" s="81"/>
      <c r="D31" s="81"/>
      <c r="E31" s="81"/>
      <c r="F31" s="81"/>
      <c r="G31" s="81"/>
      <c r="H31" s="111"/>
    </row>
    <row r="32" spans="1:8">
      <c r="A32" s="80"/>
      <c r="B32" s="146" t="str">
        <f>IF(VLOOKUP(G22,'18_1'!$A$38:$M$52,13,0)=0,"",VLOOKUP(G22,'18_1'!$A$38:$M$52,13,0))</f>
        <v/>
      </c>
      <c r="C32" s="81"/>
      <c r="D32" s="81"/>
      <c r="E32" s="81"/>
      <c r="F32" s="81"/>
      <c r="G32" s="81"/>
      <c r="H32" s="111"/>
    </row>
    <row r="33" spans="1:8">
      <c r="A33" s="140"/>
      <c r="B33" s="188" t="str">
        <f>IF(DSUM('18_1'!$A$38:$P$52,16,G21:G22)=COUNTIF('18_1'!$A$39:$A$52,G22),"","Regularice su Deuda")</f>
        <v/>
      </c>
      <c r="C33" s="82"/>
      <c r="D33" s="82"/>
      <c r="E33" s="82"/>
      <c r="F33" s="82"/>
      <c r="G33" s="82"/>
      <c r="H33" s="83"/>
    </row>
    <row r="35" spans="1:8">
      <c r="A35" s="108"/>
      <c r="B35" s="109"/>
      <c r="C35" s="109"/>
      <c r="D35" s="109"/>
      <c r="E35" s="109"/>
      <c r="F35" s="109"/>
      <c r="G35" s="109"/>
      <c r="H35" s="110"/>
    </row>
    <row r="36" spans="1:8">
      <c r="A36" s="80"/>
      <c r="B36" s="147" t="s">
        <v>64</v>
      </c>
      <c r="C36" s="81"/>
      <c r="D36" s="81"/>
      <c r="E36" s="81"/>
      <c r="F36" s="81"/>
      <c r="G36" s="81"/>
      <c r="H36" s="111"/>
    </row>
    <row r="37" spans="1:8">
      <c r="A37" s="80"/>
      <c r="B37" s="81"/>
      <c r="C37" s="81"/>
      <c r="D37" s="81"/>
      <c r="E37" s="81"/>
      <c r="F37" s="81"/>
      <c r="G37" s="81"/>
      <c r="H37" s="111"/>
    </row>
    <row r="38" spans="1:8">
      <c r="A38" s="80"/>
      <c r="B38" s="81" t="s">
        <v>139</v>
      </c>
      <c r="C38" s="81" t="str">
        <f>VLOOKUP(G39,'18_1'!$A$38:$G$52,6,0)</f>
        <v>DIUMENJO, PEDRO Y DIUMENJO, RAUL HORACIO</v>
      </c>
      <c r="D38" s="81"/>
      <c r="E38" s="81"/>
      <c r="F38" s="81"/>
      <c r="G38" s="138" t="s">
        <v>102</v>
      </c>
      <c r="H38" s="111"/>
    </row>
    <row r="39" spans="1:8">
      <c r="A39" s="80"/>
      <c r="B39" s="81" t="s">
        <v>72</v>
      </c>
      <c r="C39" s="81" t="str">
        <f>+'18_1'!$G$2</f>
        <v>Hijuela Morón</v>
      </c>
      <c r="D39" s="81"/>
      <c r="E39" s="81"/>
      <c r="F39" s="81"/>
      <c r="G39" s="138">
        <v>3</v>
      </c>
      <c r="H39" s="111"/>
    </row>
    <row r="40" spans="1:8">
      <c r="A40" s="80"/>
      <c r="B40" s="81"/>
      <c r="C40" s="81"/>
      <c r="D40" s="81"/>
      <c r="E40" s="81"/>
      <c r="F40" s="81"/>
      <c r="G40" s="81"/>
      <c r="H40" s="111"/>
    </row>
    <row r="41" spans="1:8">
      <c r="A41" s="80"/>
      <c r="B41" s="81" t="s">
        <v>140</v>
      </c>
      <c r="C41" s="138">
        <f>VLOOKUP(G39,'18_1'!$A$38:$B$52,2,0)</f>
        <v>1214</v>
      </c>
      <c r="D41" s="81"/>
      <c r="E41" s="139" t="s">
        <v>141</v>
      </c>
      <c r="F41" s="141" t="e">
        <f>DSUM('18_1'!A$38:J$52,'18_1'!$J$38,G38:G39)</f>
        <v>#REF!</v>
      </c>
      <c r="G41" s="81"/>
      <c r="H41" s="111"/>
    </row>
    <row r="42" spans="1:8">
      <c r="A42" s="80"/>
      <c r="B42" s="81" t="s">
        <v>142</v>
      </c>
      <c r="C42" s="205">
        <v>76</v>
      </c>
      <c r="D42" s="81"/>
      <c r="E42" s="81"/>
      <c r="F42" s="81"/>
      <c r="G42" s="81"/>
      <c r="H42" s="111"/>
    </row>
    <row r="43" spans="1:8">
      <c r="A43" s="80"/>
      <c r="B43" s="81" t="s">
        <v>144</v>
      </c>
      <c r="C43" s="206" t="e">
        <f>DSUM('18_1'!$A$38:$H$52,'18_1'!$H$38,G38:G39)</f>
        <v>#N/A</v>
      </c>
      <c r="D43" s="81"/>
      <c r="E43" s="81"/>
      <c r="F43" s="584"/>
      <c r="G43" s="584"/>
      <c r="H43" s="111"/>
    </row>
    <row r="44" spans="1:8" ht="15.75">
      <c r="A44" s="80"/>
      <c r="B44" s="81"/>
      <c r="C44" s="81" t="s">
        <v>146</v>
      </c>
      <c r="D44" s="145" t="e">
        <f>DMIN('18_1'!A$38:K$52,'18_1'!$J$38,G38:G39)</f>
        <v>#REF!</v>
      </c>
      <c r="E44" s="189" t="e">
        <f>IF(F44=1,"Domingo",IF(F44=2,"Lunes",IF(F44=3,"Martes",IF(F44=4,"Miercoles",IF(F44=5,"Jueves",IF(F44=6,"Viernes",IF(F44=7,"Sábado",0)))))))</f>
        <v>#REF!</v>
      </c>
      <c r="F44" s="190" t="e">
        <f>WEEKDAY(D44)</f>
        <v>#REF!</v>
      </c>
      <c r="G44" s="142"/>
      <c r="H44" s="111"/>
    </row>
    <row r="45" spans="1:8" ht="15.75">
      <c r="A45" s="80"/>
      <c r="B45" s="81"/>
      <c r="C45" s="81" t="s">
        <v>147</v>
      </c>
      <c r="D45" s="145" t="e">
        <f>DMAX('18_1'!A$38:L$52,'18_1'!$K$38,G38:G39)</f>
        <v>#REF!</v>
      </c>
      <c r="E45" s="189" t="e">
        <f>IF(F45=1,"Domingo",IF(F45=2,"Lunes",IF(F45=3,"Martes",IF(F45=4,"Miercoles",IF(F45=5,"Jueves",IF(F45=6,"Viernes",IF(F45=7,"Sábado",0)))))))</f>
        <v>#REF!</v>
      </c>
      <c r="F45" s="190" t="e">
        <f>WEEKDAY(D45)</f>
        <v>#REF!</v>
      </c>
      <c r="G45" s="142"/>
      <c r="H45" s="111"/>
    </row>
    <row r="46" spans="1:8">
      <c r="A46" s="80"/>
      <c r="B46" s="81"/>
      <c r="C46" s="81"/>
      <c r="D46" s="81"/>
      <c r="E46" s="81"/>
      <c r="F46" s="584"/>
      <c r="G46" s="584"/>
      <c r="H46" s="111"/>
    </row>
    <row r="47" spans="1:8">
      <c r="A47" s="80"/>
      <c r="B47" s="146">
        <f>+Mensajes!$B$7</f>
        <v>0</v>
      </c>
      <c r="C47" s="81"/>
      <c r="D47" s="81"/>
      <c r="E47" s="81"/>
      <c r="F47" s="81"/>
      <c r="G47" s="81"/>
      <c r="H47" s="111"/>
    </row>
    <row r="48" spans="1:8">
      <c r="A48" s="80"/>
      <c r="B48" s="146">
        <f>+Mensajes!$B$12</f>
        <v>0</v>
      </c>
      <c r="C48" s="81"/>
      <c r="D48" s="81"/>
      <c r="E48" s="81"/>
      <c r="F48" s="81"/>
      <c r="G48" s="81"/>
      <c r="H48" s="111"/>
    </row>
    <row r="49" spans="1:8">
      <c r="A49" s="80"/>
      <c r="B49" s="146" t="str">
        <f>IF(VLOOKUP(G39,'18_1'!$A$38:$M$52,13,0)=0,"",VLOOKUP(G39,'18_1'!$A$38:$M$52,13,0))</f>
        <v/>
      </c>
      <c r="C49" s="81"/>
      <c r="D49" s="81"/>
      <c r="E49" s="81"/>
      <c r="F49" s="81"/>
      <c r="G49" s="81"/>
      <c r="H49" s="111"/>
    </row>
    <row r="50" spans="1:8">
      <c r="A50" s="140"/>
      <c r="B50" s="188" t="str">
        <f>IF(DSUM('18_1'!$A$38:$P$52,16,G38:G39)=COUNTIF('18_1'!$A$39:$A$52,G39),"","Regularice su Deuda")</f>
        <v/>
      </c>
      <c r="C50" s="82"/>
      <c r="D50" s="82"/>
      <c r="E50" s="82"/>
      <c r="F50" s="82"/>
      <c r="G50" s="82"/>
      <c r="H50" s="83"/>
    </row>
    <row r="52" spans="1:8">
      <c r="A52" s="108"/>
      <c r="B52" s="109"/>
      <c r="C52" s="109"/>
      <c r="D52" s="109"/>
      <c r="E52" s="109"/>
      <c r="F52" s="109"/>
      <c r="G52" s="109"/>
      <c r="H52" s="110"/>
    </row>
    <row r="53" spans="1:8">
      <c r="A53" s="80"/>
      <c r="B53" s="147" t="s">
        <v>64</v>
      </c>
      <c r="C53" s="81"/>
      <c r="D53" s="81"/>
      <c r="E53" s="81"/>
      <c r="F53" s="81"/>
      <c r="G53" s="81"/>
      <c r="H53" s="111"/>
    </row>
    <row r="54" spans="1:8">
      <c r="A54" s="80"/>
      <c r="B54" s="81"/>
      <c r="C54" s="81"/>
      <c r="D54" s="81"/>
      <c r="E54" s="81"/>
      <c r="F54" s="81"/>
      <c r="G54" s="81"/>
      <c r="H54" s="111"/>
    </row>
    <row r="55" spans="1:8">
      <c r="A55" s="80"/>
      <c r="B55" s="81" t="s">
        <v>139</v>
      </c>
      <c r="C55" s="81" t="str">
        <f>VLOOKUP(G56,'18_1'!$A$38:$G$52,6,0)</f>
        <v>LARRIQUETA, MARIO LAZARO</v>
      </c>
      <c r="D55" s="81"/>
      <c r="E55" s="81"/>
      <c r="F55" s="81"/>
      <c r="G55" s="138" t="s">
        <v>102</v>
      </c>
      <c r="H55" s="111"/>
    </row>
    <row r="56" spans="1:8">
      <c r="A56" s="80"/>
      <c r="B56" s="81" t="s">
        <v>72</v>
      </c>
      <c r="C56" s="81" t="str">
        <f>+'18_1'!$G$2</f>
        <v>Hijuela Morón</v>
      </c>
      <c r="D56" s="81"/>
      <c r="E56" s="81"/>
      <c r="F56" s="81"/>
      <c r="G56" s="138">
        <v>4</v>
      </c>
      <c r="H56" s="111"/>
    </row>
    <row r="57" spans="1:8">
      <c r="A57" s="80"/>
      <c r="B57" s="81"/>
      <c r="C57" s="81"/>
      <c r="D57" s="81"/>
      <c r="E57" s="81"/>
      <c r="F57" s="81"/>
      <c r="G57" s="81"/>
      <c r="H57" s="111"/>
    </row>
    <row r="58" spans="1:8">
      <c r="A58" s="80"/>
      <c r="B58" s="81" t="s">
        <v>140</v>
      </c>
      <c r="C58" s="138">
        <f>VLOOKUP(G56,'18_1'!$A$38:$B$52,2,0)</f>
        <v>1214</v>
      </c>
      <c r="D58" s="81"/>
      <c r="E58" s="139" t="s">
        <v>141</v>
      </c>
      <c r="F58" s="141" t="e">
        <f>DSUM('18_1'!A$38:J$52,'18_1'!$J$38,G55:G56)</f>
        <v>#REF!</v>
      </c>
      <c r="G58" s="81"/>
      <c r="H58" s="111"/>
    </row>
    <row r="59" spans="1:8">
      <c r="A59" s="80"/>
      <c r="B59" s="81" t="s">
        <v>142</v>
      </c>
      <c r="C59" s="205">
        <v>79</v>
      </c>
      <c r="D59" s="81"/>
      <c r="E59" s="81"/>
      <c r="F59" s="81"/>
      <c r="G59" s="81"/>
      <c r="H59" s="111"/>
    </row>
    <row r="60" spans="1:8">
      <c r="A60" s="80"/>
      <c r="B60" s="81" t="s">
        <v>144</v>
      </c>
      <c r="C60" s="206" t="e">
        <f>DSUM('18_1'!$A$38:$H$52,'18_1'!$H$38,G55:G56)</f>
        <v>#N/A</v>
      </c>
      <c r="D60" s="81"/>
      <c r="E60" s="81"/>
      <c r="F60" s="584"/>
      <c r="G60" s="584"/>
      <c r="H60" s="111"/>
    </row>
    <row r="61" spans="1:8" ht="15.75">
      <c r="A61" s="80"/>
      <c r="B61" s="81"/>
      <c r="C61" s="81" t="s">
        <v>146</v>
      </c>
      <c r="D61" s="145" t="e">
        <f>DMIN('18_1'!A$38:K$52,'18_1'!$J$38,G55:G56)</f>
        <v>#REF!</v>
      </c>
      <c r="E61" s="189" t="e">
        <f>IF(F61=1,"Domingo",IF(F61=2,"Lunes",IF(F61=3,"Martes",IF(F61=4,"Miercoles",IF(F61=5,"Jueves",IF(F61=6,"Viernes",IF(F61=7,"Sábado",0)))))))</f>
        <v>#REF!</v>
      </c>
      <c r="F61" s="190" t="e">
        <f>WEEKDAY(D61)</f>
        <v>#REF!</v>
      </c>
      <c r="G61" s="142"/>
      <c r="H61" s="111"/>
    </row>
    <row r="62" spans="1:8" ht="15.75">
      <c r="A62" s="80"/>
      <c r="B62" s="81"/>
      <c r="C62" s="81" t="s">
        <v>147</v>
      </c>
      <c r="D62" s="145" t="e">
        <f>DMAX('18_1'!A$38:L$52,'18_1'!$K$38,G55:G56)</f>
        <v>#REF!</v>
      </c>
      <c r="E62" s="189" t="e">
        <f>IF(F62=1,"Domingo",IF(F62=2,"Lunes",IF(F62=3,"Martes",IF(F62=4,"Miercoles",IF(F62=5,"Jueves",IF(F62=6,"Viernes",IF(F62=7,"Sábado",0)))))))</f>
        <v>#REF!</v>
      </c>
      <c r="F62" s="190" t="e">
        <f>WEEKDAY(D62)</f>
        <v>#REF!</v>
      </c>
      <c r="G62" s="142"/>
      <c r="H62" s="111"/>
    </row>
    <row r="63" spans="1:8">
      <c r="A63" s="80"/>
      <c r="B63" s="81"/>
      <c r="C63" s="81"/>
      <c r="D63" s="81"/>
      <c r="E63" s="81"/>
      <c r="F63" s="584"/>
      <c r="G63" s="584"/>
      <c r="H63" s="111"/>
    </row>
    <row r="64" spans="1:8">
      <c r="A64" s="80"/>
      <c r="B64" s="146">
        <f>+Mensajes!$B$7</f>
        <v>0</v>
      </c>
      <c r="C64" s="81"/>
      <c r="D64" s="81"/>
      <c r="E64" s="81"/>
      <c r="F64" s="81"/>
      <c r="G64" s="81"/>
      <c r="H64" s="111"/>
    </row>
    <row r="65" spans="1:8">
      <c r="A65" s="80"/>
      <c r="B65" s="146">
        <f>+Mensajes!$B$12</f>
        <v>0</v>
      </c>
      <c r="C65" s="81"/>
      <c r="D65" s="81"/>
      <c r="E65" s="81"/>
      <c r="F65" s="81"/>
      <c r="G65" s="81"/>
      <c r="H65" s="111"/>
    </row>
    <row r="66" spans="1:8">
      <c r="A66" s="80"/>
      <c r="B66" s="146" t="str">
        <f>IF(VLOOKUP(G56,'18_1'!$A$38:$M$52,13,0)=0,"",VLOOKUP(G56,'18_1'!$A$38:$M$52,13,0))</f>
        <v/>
      </c>
      <c r="C66" s="81"/>
      <c r="D66" s="81"/>
      <c r="E66" s="81"/>
      <c r="F66" s="81"/>
      <c r="G66" s="81"/>
      <c r="H66" s="111"/>
    </row>
    <row r="67" spans="1:8">
      <c r="A67" s="140"/>
      <c r="B67" s="188" t="e">
        <f>IF(DSUM('18_1'!$A$38:$P$52,16,G55:G56)=COUNTIF('18_1'!$A$39:$A$52,G56),"","Regularice su Deuda")</f>
        <v>#N/A</v>
      </c>
      <c r="C67" s="82"/>
      <c r="D67" s="82"/>
      <c r="E67" s="82"/>
      <c r="F67" s="82"/>
      <c r="G67" s="82"/>
      <c r="H67" s="83"/>
    </row>
    <row r="69" spans="1:8">
      <c r="A69" s="108"/>
      <c r="B69" s="109"/>
      <c r="C69" s="109"/>
      <c r="D69" s="109"/>
      <c r="E69" s="109"/>
      <c r="F69" s="109"/>
      <c r="G69" s="109"/>
      <c r="H69" s="110"/>
    </row>
    <row r="70" spans="1:8">
      <c r="A70" s="80"/>
      <c r="B70" s="147" t="s">
        <v>64</v>
      </c>
      <c r="C70" s="81"/>
      <c r="D70" s="81"/>
      <c r="E70" s="81"/>
      <c r="F70" s="81"/>
      <c r="G70" s="81"/>
      <c r="H70" s="111"/>
    </row>
    <row r="71" spans="1:8">
      <c r="A71" s="80"/>
      <c r="B71" s="81"/>
      <c r="C71" s="81"/>
      <c r="D71" s="81"/>
      <c r="E71" s="81"/>
      <c r="F71" s="81"/>
      <c r="G71" s="81"/>
      <c r="H71" s="111"/>
    </row>
    <row r="72" spans="1:8">
      <c r="A72" s="80"/>
      <c r="B72" s="81" t="s">
        <v>139</v>
      </c>
      <c r="C72" s="81" t="str">
        <f>VLOOKUP(G73,'18_1'!$A$38:$G$52,6,0)</f>
        <v>MANRESA, BARTOLOME</v>
      </c>
      <c r="D72" s="81"/>
      <c r="E72" s="81"/>
      <c r="F72" s="81"/>
      <c r="G72" s="138" t="s">
        <v>102</v>
      </c>
      <c r="H72" s="111"/>
    </row>
    <row r="73" spans="1:8">
      <c r="A73" s="80"/>
      <c r="B73" s="81" t="s">
        <v>72</v>
      </c>
      <c r="C73" s="81" t="str">
        <f>+'18_1'!$G$2</f>
        <v>Hijuela Morón</v>
      </c>
      <c r="D73" s="81"/>
      <c r="E73" s="81"/>
      <c r="F73" s="81"/>
      <c r="G73" s="138">
        <v>5</v>
      </c>
      <c r="H73" s="111"/>
    </row>
    <row r="74" spans="1:8">
      <c r="A74" s="80"/>
      <c r="B74" s="81"/>
      <c r="C74" s="81"/>
      <c r="D74" s="81"/>
      <c r="E74" s="81"/>
      <c r="F74" s="81"/>
      <c r="G74" s="81"/>
      <c r="H74" s="111"/>
    </row>
    <row r="75" spans="1:8">
      <c r="A75" s="80"/>
      <c r="B75" s="81" t="s">
        <v>140</v>
      </c>
      <c r="C75" s="138">
        <f>VLOOKUP(G73,'18_1'!$A$38:$B$52,2,0)</f>
        <v>1214</v>
      </c>
      <c r="D75" s="81"/>
      <c r="E75" s="139" t="s">
        <v>141</v>
      </c>
      <c r="F75" s="141" t="e">
        <f>DSUM('18_1'!A$38:J$52,'18_1'!$J$38,G72:G73)</f>
        <v>#REF!</v>
      </c>
      <c r="G75" s="81"/>
      <c r="H75" s="111"/>
    </row>
    <row r="76" spans="1:8">
      <c r="A76" s="80"/>
      <c r="B76" s="81" t="s">
        <v>142</v>
      </c>
      <c r="C76" s="205">
        <v>27</v>
      </c>
      <c r="D76" s="81"/>
      <c r="E76" s="81"/>
      <c r="F76" s="81"/>
      <c r="G76" s="81"/>
      <c r="H76" s="111"/>
    </row>
    <row r="77" spans="1:8">
      <c r="A77" s="80"/>
      <c r="B77" s="81" t="s">
        <v>144</v>
      </c>
      <c r="C77" s="206" t="e">
        <f>DSUM('18_1'!$A$38:$H$52,'18_1'!$H$38,G72:G73)</f>
        <v>#N/A</v>
      </c>
      <c r="D77" s="81"/>
      <c r="E77" s="81"/>
      <c r="F77" s="584"/>
      <c r="G77" s="584"/>
      <c r="H77" s="111"/>
    </row>
    <row r="78" spans="1:8" ht="15.75">
      <c r="A78" s="80"/>
      <c r="B78" s="81"/>
      <c r="C78" s="81" t="s">
        <v>146</v>
      </c>
      <c r="D78" s="145" t="e">
        <f>DMIN('18_1'!A$38:K$52,'18_1'!$J$38,G72:G73)</f>
        <v>#REF!</v>
      </c>
      <c r="E78" s="189" t="e">
        <f>IF(F78=1,"Domingo",IF(F78=2,"Lunes",IF(F78=3,"Martes",IF(F78=4,"Miercoles",IF(F78=5,"Jueves",IF(F78=6,"Viernes",IF(F78=7,"Sábado",0)))))))</f>
        <v>#REF!</v>
      </c>
      <c r="F78" s="190" t="e">
        <f>WEEKDAY(D78)</f>
        <v>#REF!</v>
      </c>
      <c r="G78" s="142"/>
      <c r="H78" s="111"/>
    </row>
    <row r="79" spans="1:8" ht="15.75">
      <c r="A79" s="80"/>
      <c r="B79" s="81"/>
      <c r="C79" s="81" t="s">
        <v>147</v>
      </c>
      <c r="D79" s="145" t="e">
        <f>DMAX('18_1'!A$38:L$52,'18_1'!$K$38,G72:G73)</f>
        <v>#REF!</v>
      </c>
      <c r="E79" s="189" t="e">
        <f>IF(F79=1,"Domingo",IF(F79=2,"Lunes",IF(F79=3,"Martes",IF(F79=4,"Miercoles",IF(F79=5,"Jueves",IF(F79=6,"Viernes",IF(F79=7,"Sábado",0)))))))</f>
        <v>#REF!</v>
      </c>
      <c r="F79" s="190" t="e">
        <f>WEEKDAY(D79)</f>
        <v>#REF!</v>
      </c>
      <c r="G79" s="142"/>
      <c r="H79" s="111"/>
    </row>
    <row r="80" spans="1:8">
      <c r="A80" s="80"/>
      <c r="B80" s="81"/>
      <c r="C80" s="81"/>
      <c r="D80" s="81"/>
      <c r="E80" s="81"/>
      <c r="F80" s="584"/>
      <c r="G80" s="584"/>
      <c r="H80" s="111"/>
    </row>
    <row r="81" spans="1:8">
      <c r="A81" s="80"/>
      <c r="B81" s="146">
        <f>+Mensajes!$B$7</f>
        <v>0</v>
      </c>
      <c r="C81" s="81"/>
      <c r="D81" s="81"/>
      <c r="E81" s="81"/>
      <c r="F81" s="81"/>
      <c r="G81" s="81"/>
      <c r="H81" s="111"/>
    </row>
    <row r="82" spans="1:8">
      <c r="A82" s="80"/>
      <c r="B82" s="146">
        <f>+Mensajes!$B$12</f>
        <v>0</v>
      </c>
      <c r="C82" s="81"/>
      <c r="D82" s="81"/>
      <c r="E82" s="81"/>
      <c r="F82" s="81"/>
      <c r="G82" s="81"/>
      <c r="H82" s="111"/>
    </row>
    <row r="83" spans="1:8">
      <c r="A83" s="80"/>
      <c r="B83" s="146" t="str">
        <f>IF(VLOOKUP(G73,'18_1'!$A$38:$M$52,13,0)=0,"",VLOOKUP(G73,'18_1'!$A$38:$M$52,13,0))</f>
        <v/>
      </c>
      <c r="C83" s="81"/>
      <c r="D83" s="81"/>
      <c r="E83" s="81"/>
      <c r="F83" s="81"/>
      <c r="G83" s="81"/>
      <c r="H83" s="111"/>
    </row>
    <row r="84" spans="1:8">
      <c r="A84" s="140"/>
      <c r="B84" s="188" t="str">
        <f>IF(DSUM('18_1'!$A$38:$P$52,16,G72:G73)=COUNTIF('18_1'!$A$39:$A$52,G73),"","Regularice su Deuda")</f>
        <v/>
      </c>
      <c r="C84" s="82"/>
      <c r="D84" s="82"/>
      <c r="E84" s="82"/>
      <c r="F84" s="82"/>
      <c r="G84" s="82"/>
      <c r="H84" s="83"/>
    </row>
    <row r="86" spans="1:8">
      <c r="A86" s="108"/>
      <c r="B86" s="109"/>
      <c r="C86" s="109"/>
      <c r="D86" s="109"/>
      <c r="E86" s="109"/>
      <c r="F86" s="109"/>
      <c r="G86" s="109"/>
      <c r="H86" s="110"/>
    </row>
    <row r="87" spans="1:8">
      <c r="A87" s="80"/>
      <c r="B87" s="147" t="s">
        <v>64</v>
      </c>
      <c r="C87" s="81"/>
      <c r="D87" s="81"/>
      <c r="E87" s="81"/>
      <c r="F87" s="81"/>
      <c r="G87" s="81"/>
      <c r="H87" s="111"/>
    </row>
    <row r="88" spans="1:8">
      <c r="A88" s="80"/>
      <c r="B88" s="81"/>
      <c r="C88" s="81"/>
      <c r="D88" s="81"/>
      <c r="E88" s="81"/>
      <c r="F88" s="81"/>
      <c r="G88" s="81"/>
      <c r="H88" s="111"/>
    </row>
    <row r="89" spans="1:8">
      <c r="A89" s="80"/>
      <c r="B89" s="81" t="s">
        <v>139</v>
      </c>
      <c r="C89" s="81" t="str">
        <f>VLOOKUP(G90,'18_1'!$A$38:$G$52,6,0)</f>
        <v>SIFUENTES, FRANCISCO-SUCESORES</v>
      </c>
      <c r="D89" s="81"/>
      <c r="E89" s="81"/>
      <c r="F89" s="81"/>
      <c r="G89" s="138" t="s">
        <v>102</v>
      </c>
      <c r="H89" s="111"/>
    </row>
    <row r="90" spans="1:8">
      <c r="A90" s="80"/>
      <c r="B90" s="81" t="s">
        <v>72</v>
      </c>
      <c r="C90" s="81" t="str">
        <f>+'18_1'!$G$2</f>
        <v>Hijuela Morón</v>
      </c>
      <c r="D90" s="81"/>
      <c r="E90" s="81"/>
      <c r="F90" s="81"/>
      <c r="G90" s="138">
        <v>6</v>
      </c>
      <c r="H90" s="111"/>
    </row>
    <row r="91" spans="1:8">
      <c r="A91" s="80"/>
      <c r="B91" s="81"/>
      <c r="C91" s="81"/>
      <c r="D91" s="81"/>
      <c r="E91" s="81"/>
      <c r="F91" s="81"/>
      <c r="G91" s="81"/>
      <c r="H91" s="111"/>
    </row>
    <row r="92" spans="1:8">
      <c r="A92" s="80"/>
      <c r="B92" s="81" t="s">
        <v>140</v>
      </c>
      <c r="C92" s="138">
        <f>VLOOKUP(G90,'18_1'!$A$38:$B$52,2,0)</f>
        <v>1214</v>
      </c>
      <c r="D92" s="81"/>
      <c r="E92" s="139" t="s">
        <v>141</v>
      </c>
      <c r="F92" s="141" t="e">
        <f>DSUM('18_1'!A$38:J$52,'18_1'!$J$38,G89:G90)</f>
        <v>#REF!</v>
      </c>
      <c r="G92" s="81"/>
      <c r="H92" s="111"/>
    </row>
    <row r="93" spans="1:8">
      <c r="A93" s="80"/>
      <c r="B93" s="81" t="s">
        <v>142</v>
      </c>
      <c r="C93" s="205">
        <v>2</v>
      </c>
      <c r="D93" s="81"/>
      <c r="E93" s="81"/>
      <c r="F93" s="81"/>
      <c r="G93" s="81"/>
      <c r="H93" s="111"/>
    </row>
    <row r="94" spans="1:8">
      <c r="A94" s="80"/>
      <c r="B94" s="81" t="s">
        <v>144</v>
      </c>
      <c r="C94" s="206" t="e">
        <f>DSUM('18_1'!$A$38:$H$52,'18_1'!$H$38,G89:G90)</f>
        <v>#N/A</v>
      </c>
      <c r="D94" s="81"/>
      <c r="E94" s="81"/>
      <c r="F94" s="584"/>
      <c r="G94" s="584"/>
      <c r="H94" s="111"/>
    </row>
    <row r="95" spans="1:8" ht="15.75">
      <c r="A95" s="80"/>
      <c r="B95" s="81"/>
      <c r="C95" s="81" t="s">
        <v>146</v>
      </c>
      <c r="D95" s="145" t="e">
        <f>DMIN('18_1'!A$38:K$52,'18_1'!$J$38,G89:G90)</f>
        <v>#REF!</v>
      </c>
      <c r="E95" s="189" t="e">
        <f>IF(F95=1,"Domingo",IF(F95=2,"Lunes",IF(F95=3,"Martes",IF(F95=4,"Miercoles",IF(F95=5,"Jueves",IF(F95=6,"Viernes",IF(F95=7,"Sábado",0)))))))</f>
        <v>#REF!</v>
      </c>
      <c r="F95" s="190" t="e">
        <f>WEEKDAY(D95)</f>
        <v>#REF!</v>
      </c>
      <c r="G95" s="142"/>
      <c r="H95" s="111"/>
    </row>
    <row r="96" spans="1:8" ht="15.75">
      <c r="A96" s="80"/>
      <c r="B96" s="81"/>
      <c r="C96" s="81" t="s">
        <v>147</v>
      </c>
      <c r="D96" s="145" t="e">
        <f>DMAX('18_1'!A$38:L$52,'18_1'!$K$38,G89:G90)</f>
        <v>#REF!</v>
      </c>
      <c r="E96" s="189" t="e">
        <f>IF(F96=1,"Domingo",IF(F96=2,"Lunes",IF(F96=3,"Martes",IF(F96=4,"Miercoles",IF(F96=5,"Jueves",IF(F96=6,"Viernes",IF(F96=7,"Sábado",0)))))))</f>
        <v>#REF!</v>
      </c>
      <c r="F96" s="190" t="e">
        <f>WEEKDAY(D96)</f>
        <v>#REF!</v>
      </c>
      <c r="G96" s="142"/>
      <c r="H96" s="111"/>
    </row>
    <row r="97" spans="1:8">
      <c r="A97" s="80"/>
      <c r="B97" s="81"/>
      <c r="C97" s="81"/>
      <c r="D97" s="81"/>
      <c r="E97" s="81"/>
      <c r="F97" s="584"/>
      <c r="G97" s="584"/>
      <c r="H97" s="111"/>
    </row>
    <row r="98" spans="1:8">
      <c r="A98" s="80"/>
      <c r="B98" s="146">
        <f>+Mensajes!$B$7</f>
        <v>0</v>
      </c>
      <c r="C98" s="81"/>
      <c r="D98" s="81"/>
      <c r="E98" s="81"/>
      <c r="F98" s="81"/>
      <c r="G98" s="81"/>
      <c r="H98" s="111"/>
    </row>
    <row r="99" spans="1:8">
      <c r="A99" s="80"/>
      <c r="B99" s="146">
        <f>+Mensajes!$B$12</f>
        <v>0</v>
      </c>
      <c r="C99" s="81"/>
      <c r="D99" s="81"/>
      <c r="E99" s="81"/>
      <c r="F99" s="81"/>
      <c r="G99" s="81"/>
      <c r="H99" s="111"/>
    </row>
    <row r="100" spans="1:8">
      <c r="A100" s="80"/>
      <c r="B100" s="146" t="str">
        <f>IF(VLOOKUP(G90,'18_1'!$A$38:$M$52,13,0)=0,"",VLOOKUP(G90,'18_1'!$A$38:$M$52,13,0))</f>
        <v/>
      </c>
      <c r="C100" s="81"/>
      <c r="D100" s="81"/>
      <c r="E100" s="81"/>
      <c r="F100" s="81"/>
      <c r="G100" s="81"/>
      <c r="H100" s="111"/>
    </row>
    <row r="101" spans="1:8">
      <c r="A101" s="140"/>
      <c r="B101" s="188" t="str">
        <f>IF(DSUM('18_1'!$A$38:$P$52,16,G89:G90)=COUNTIF('18_1'!$A$39:$A$52,G90),"","Regularice su Deuda")</f>
        <v/>
      </c>
      <c r="C101" s="82"/>
      <c r="D101" s="82"/>
      <c r="E101" s="82"/>
      <c r="F101" s="82"/>
      <c r="G101" s="82"/>
      <c r="H101" s="83"/>
    </row>
    <row r="103" spans="1:8">
      <c r="A103" s="108"/>
      <c r="B103" s="109"/>
      <c r="C103" s="109"/>
      <c r="D103" s="109"/>
      <c r="E103" s="109"/>
      <c r="F103" s="109"/>
      <c r="G103" s="109"/>
      <c r="H103" s="110"/>
    </row>
    <row r="104" spans="1:8">
      <c r="A104" s="80"/>
      <c r="B104" s="147" t="s">
        <v>64</v>
      </c>
      <c r="C104" s="81"/>
      <c r="D104" s="81"/>
      <c r="E104" s="81"/>
      <c r="F104" s="81"/>
      <c r="G104" s="81"/>
      <c r="H104" s="111"/>
    </row>
    <row r="105" spans="1:8">
      <c r="A105" s="80"/>
      <c r="B105" s="81"/>
      <c r="C105" s="81"/>
      <c r="D105" s="81"/>
      <c r="E105" s="81"/>
      <c r="F105" s="81"/>
      <c r="G105" s="81"/>
      <c r="H105" s="111"/>
    </row>
    <row r="106" spans="1:8">
      <c r="A106" s="80"/>
      <c r="B106" s="81" t="s">
        <v>139</v>
      </c>
      <c r="C106" s="81" t="str">
        <f>VLOOKUP(G107,'18_1'!$A$38:$G$52,6,0)</f>
        <v>ZANCANELLA, JOSE MARIO Y ZANCANELLA, JORGE MARIO</v>
      </c>
      <c r="D106" s="81"/>
      <c r="E106" s="81"/>
      <c r="F106" s="81"/>
      <c r="G106" s="138" t="s">
        <v>102</v>
      </c>
      <c r="H106" s="111"/>
    </row>
    <row r="107" spans="1:8">
      <c r="A107" s="80"/>
      <c r="B107" s="81" t="s">
        <v>72</v>
      </c>
      <c r="C107" s="81" t="str">
        <f>+'18_1'!$G$2</f>
        <v>Hijuela Morón</v>
      </c>
      <c r="D107" s="81"/>
      <c r="E107" s="81"/>
      <c r="F107" s="81"/>
      <c r="G107" s="138">
        <v>7</v>
      </c>
      <c r="H107" s="111"/>
    </row>
    <row r="108" spans="1:8">
      <c r="A108" s="80"/>
      <c r="B108" s="81"/>
      <c r="C108" s="81"/>
      <c r="D108" s="81"/>
      <c r="E108" s="81"/>
      <c r="F108" s="81"/>
      <c r="G108" s="81"/>
      <c r="H108" s="111"/>
    </row>
    <row r="109" spans="1:8">
      <c r="A109" s="80"/>
      <c r="B109" s="81" t="s">
        <v>140</v>
      </c>
      <c r="C109" s="138">
        <f>VLOOKUP(G107,'18_1'!$A$38:$B$52,2,0)</f>
        <v>1214</v>
      </c>
      <c r="D109" s="81"/>
      <c r="E109" s="139" t="s">
        <v>141</v>
      </c>
      <c r="F109" s="141" t="e">
        <f>DSUM('18_1'!A$38:J$52,'18_1'!$J$38,G106:G107)</f>
        <v>#REF!</v>
      </c>
      <c r="G109" s="81"/>
      <c r="H109" s="111"/>
    </row>
    <row r="110" spans="1:8">
      <c r="A110" s="80"/>
      <c r="B110" s="81" t="s">
        <v>142</v>
      </c>
      <c r="C110" s="205">
        <v>152</v>
      </c>
      <c r="D110" s="81"/>
      <c r="E110" s="81"/>
      <c r="F110" s="81"/>
      <c r="G110" s="81"/>
      <c r="H110" s="111"/>
    </row>
    <row r="111" spans="1:8">
      <c r="A111" s="80"/>
      <c r="B111" s="81" t="s">
        <v>144</v>
      </c>
      <c r="C111" s="206" t="e">
        <f>DSUM('18_1'!$A$38:$H$52,'18_1'!$H$38,G106:G107)</f>
        <v>#N/A</v>
      </c>
      <c r="D111" s="81"/>
      <c r="E111" s="81"/>
      <c r="F111" s="584"/>
      <c r="G111" s="584"/>
      <c r="H111" s="111"/>
    </row>
    <row r="112" spans="1:8" ht="15.75">
      <c r="A112" s="80"/>
      <c r="B112" s="81"/>
      <c r="C112" s="81" t="s">
        <v>146</v>
      </c>
      <c r="D112" s="145" t="e">
        <f>DMIN('18_1'!A$38:K$52,'18_1'!$J$38,G106:G107)</f>
        <v>#REF!</v>
      </c>
      <c r="E112" s="189" t="e">
        <f>IF(F112=1,"Domingo",IF(F112=2,"Lunes",IF(F112=3,"Martes",IF(F112=4,"Miercoles",IF(F112=5,"Jueves",IF(F112=6,"Viernes",IF(F112=7,"Sábado",0)))))))</f>
        <v>#REF!</v>
      </c>
      <c r="F112" s="190" t="e">
        <f>WEEKDAY(D112)</f>
        <v>#REF!</v>
      </c>
      <c r="G112" s="142"/>
      <c r="H112" s="111"/>
    </row>
    <row r="113" spans="1:8" ht="15.75">
      <c r="A113" s="80"/>
      <c r="B113" s="81"/>
      <c r="C113" s="81" t="s">
        <v>147</v>
      </c>
      <c r="D113" s="145" t="e">
        <f>DMAX('18_1'!A$38:L$52,'18_1'!$K$38,G106:G107)</f>
        <v>#REF!</v>
      </c>
      <c r="E113" s="189" t="e">
        <f>IF(F113=1,"Domingo",IF(F113=2,"Lunes",IF(F113=3,"Martes",IF(F113=4,"Miercoles",IF(F113=5,"Jueves",IF(F113=6,"Viernes",IF(F113=7,"Sábado",0)))))))</f>
        <v>#REF!</v>
      </c>
      <c r="F113" s="190" t="e">
        <f>WEEKDAY(D113)</f>
        <v>#REF!</v>
      </c>
      <c r="G113" s="142"/>
      <c r="H113" s="111"/>
    </row>
    <row r="114" spans="1:8">
      <c r="A114" s="80"/>
      <c r="B114" s="81"/>
      <c r="C114" s="81"/>
      <c r="D114" s="81"/>
      <c r="E114" s="81"/>
      <c r="F114" s="584"/>
      <c r="G114" s="584"/>
      <c r="H114" s="111"/>
    </row>
    <row r="115" spans="1:8">
      <c r="A115" s="80"/>
      <c r="B115" s="146">
        <f>+Mensajes!$B$7</f>
        <v>0</v>
      </c>
      <c r="C115" s="81"/>
      <c r="D115" s="81"/>
      <c r="E115" s="81"/>
      <c r="F115" s="81"/>
      <c r="G115" s="81"/>
      <c r="H115" s="111"/>
    </row>
    <row r="116" spans="1:8">
      <c r="A116" s="80"/>
      <c r="B116" s="146">
        <f>+Mensajes!$B$12</f>
        <v>0</v>
      </c>
      <c r="C116" s="81"/>
      <c r="D116" s="81"/>
      <c r="E116" s="81"/>
      <c r="F116" s="81"/>
      <c r="G116" s="81"/>
      <c r="H116" s="111"/>
    </row>
    <row r="117" spans="1:8">
      <c r="A117" s="80"/>
      <c r="B117" s="146" t="str">
        <f>IF(VLOOKUP(G107,'18_1'!$A$38:$M$52,13,0)=0,"",VLOOKUP(G107,'18_1'!$A$38:$M$52,13,0))</f>
        <v/>
      </c>
      <c r="C117" s="81"/>
      <c r="D117" s="81"/>
      <c r="E117" s="81"/>
      <c r="F117" s="81"/>
      <c r="G117" s="81"/>
      <c r="H117" s="111"/>
    </row>
    <row r="118" spans="1:8">
      <c r="A118" s="140"/>
      <c r="B118" s="188" t="str">
        <f>IF(DSUM('18_1'!$A$38:$P$52,16,G106:G107)=COUNTIF('18_1'!$A$39:$A$52,G107),"","Regularice su Deuda")</f>
        <v/>
      </c>
      <c r="C118" s="82"/>
      <c r="D118" s="82"/>
      <c r="E118" s="82"/>
      <c r="F118" s="82"/>
      <c r="G118" s="82"/>
      <c r="H118" s="83"/>
    </row>
    <row r="120" spans="1:8">
      <c r="A120" s="108"/>
      <c r="B120" s="109"/>
      <c r="C120" s="109"/>
      <c r="D120" s="109"/>
      <c r="E120" s="109"/>
      <c r="F120" s="109"/>
      <c r="G120" s="109"/>
      <c r="H120" s="110"/>
    </row>
    <row r="121" spans="1:8">
      <c r="A121" s="80"/>
      <c r="B121" s="147" t="s">
        <v>64</v>
      </c>
      <c r="C121" s="81"/>
      <c r="D121" s="81"/>
      <c r="E121" s="81"/>
      <c r="F121" s="81"/>
      <c r="G121" s="81"/>
      <c r="H121" s="111"/>
    </row>
    <row r="122" spans="1:8">
      <c r="A122" s="80"/>
      <c r="B122" s="81"/>
      <c r="C122" s="81"/>
      <c r="D122" s="81"/>
      <c r="E122" s="81"/>
      <c r="F122" s="81"/>
      <c r="G122" s="81"/>
      <c r="H122" s="111"/>
    </row>
    <row r="123" spans="1:8">
      <c r="A123" s="80"/>
      <c r="B123" s="81" t="s">
        <v>139</v>
      </c>
      <c r="C123" s="81" t="e">
        <f>VLOOKUP(G124,'18_1'!$A$38:$G$52,6,0)</f>
        <v>#N/A</v>
      </c>
      <c r="D123" s="81"/>
      <c r="E123" s="81"/>
      <c r="F123" s="81"/>
      <c r="G123" s="138" t="s">
        <v>102</v>
      </c>
      <c r="H123" s="111"/>
    </row>
    <row r="124" spans="1:8">
      <c r="A124" s="80"/>
      <c r="B124" s="81" t="s">
        <v>72</v>
      </c>
      <c r="C124" s="81" t="str">
        <f>+'18_1'!$G$2</f>
        <v>Hijuela Morón</v>
      </c>
      <c r="D124" s="81"/>
      <c r="E124" s="81"/>
      <c r="F124" s="81"/>
      <c r="G124" s="138">
        <v>8</v>
      </c>
      <c r="H124" s="111"/>
    </row>
    <row r="125" spans="1:8">
      <c r="A125" s="80"/>
      <c r="B125" s="81"/>
      <c r="C125" s="81"/>
      <c r="D125" s="81"/>
      <c r="E125" s="81"/>
      <c r="F125" s="81"/>
      <c r="G125" s="81"/>
      <c r="H125" s="111"/>
    </row>
    <row r="126" spans="1:8">
      <c r="A126" s="80"/>
      <c r="B126" s="81" t="s">
        <v>140</v>
      </c>
      <c r="C126" s="138" t="e">
        <f>VLOOKUP(G124,'18_1'!$A$38:$B$52,2,0)</f>
        <v>#N/A</v>
      </c>
      <c r="D126" s="81"/>
      <c r="E126" s="139" t="s">
        <v>141</v>
      </c>
      <c r="F126" s="141">
        <f>DSUM('18_1'!A$38:J$52,'18_1'!$J$38,G123:G124)</f>
        <v>0</v>
      </c>
      <c r="G126" s="81"/>
      <c r="H126" s="111"/>
    </row>
    <row r="127" spans="1:8">
      <c r="A127" s="80"/>
      <c r="B127" s="81" t="s">
        <v>142</v>
      </c>
      <c r="C127" s="205">
        <v>207</v>
      </c>
      <c r="D127" s="81"/>
      <c r="E127" s="81"/>
      <c r="F127" s="81"/>
      <c r="G127" s="81"/>
      <c r="H127" s="111"/>
    </row>
    <row r="128" spans="1:8">
      <c r="A128" s="80"/>
      <c r="B128" s="81" t="s">
        <v>144</v>
      </c>
      <c r="C128" s="206">
        <f>DSUM('18_1'!$A$38:$H$52,'18_1'!$H$38,G123:G124)</f>
        <v>0</v>
      </c>
      <c r="D128" s="81"/>
      <c r="E128" s="81"/>
      <c r="F128" s="584"/>
      <c r="G128" s="584"/>
      <c r="H128" s="111"/>
    </row>
    <row r="129" spans="1:8" ht="15.75">
      <c r="A129" s="80"/>
      <c r="B129" s="81"/>
      <c r="C129" s="81" t="s">
        <v>146</v>
      </c>
      <c r="D129" s="145">
        <f>DMIN('18_1'!A$38:K$52,'18_1'!$J$38,G123:G124)</f>
        <v>0</v>
      </c>
      <c r="E129" s="189" t="str">
        <f>IF(F129=1,"Domingo",IF(F129=2,"Lunes",IF(F129=3,"Martes",IF(F129=4,"Miercoles",IF(F129=5,"Jueves",IF(F129=6,"Viernes",IF(F129=7,"Sábado",0)))))))</f>
        <v>Sábado</v>
      </c>
      <c r="F129" s="190">
        <f>WEEKDAY(D129)</f>
        <v>7</v>
      </c>
      <c r="G129" s="142"/>
      <c r="H129" s="111"/>
    </row>
    <row r="130" spans="1:8" ht="15.75">
      <c r="A130" s="80"/>
      <c r="B130" s="81"/>
      <c r="C130" s="81" t="s">
        <v>147</v>
      </c>
      <c r="D130" s="145">
        <f>DMAX('18_1'!A$38:L$52,'18_1'!$K$38,G123:G124)</f>
        <v>0</v>
      </c>
      <c r="E130" s="189" t="str">
        <f>IF(F130=1,"Domingo",IF(F130=2,"Lunes",IF(F130=3,"Martes",IF(F130=4,"Miercoles",IF(F130=5,"Jueves",IF(F130=6,"Viernes",IF(F130=7,"Sábado",0)))))))</f>
        <v>Sábado</v>
      </c>
      <c r="F130" s="190">
        <f>WEEKDAY(D130)</f>
        <v>7</v>
      </c>
      <c r="G130" s="142"/>
      <c r="H130" s="111"/>
    </row>
    <row r="131" spans="1:8">
      <c r="A131" s="80"/>
      <c r="B131" s="81"/>
      <c r="C131" s="81"/>
      <c r="D131" s="81"/>
      <c r="E131" s="81"/>
      <c r="F131" s="584"/>
      <c r="G131" s="584"/>
      <c r="H131" s="111"/>
    </row>
    <row r="132" spans="1:8">
      <c r="A132" s="80"/>
      <c r="B132" s="146">
        <f>+Mensajes!$B$7</f>
        <v>0</v>
      </c>
      <c r="C132" s="81"/>
      <c r="D132" s="81"/>
      <c r="E132" s="81"/>
      <c r="F132" s="81"/>
      <c r="G132" s="81"/>
      <c r="H132" s="111"/>
    </row>
    <row r="133" spans="1:8">
      <c r="A133" s="80"/>
      <c r="B133" s="146">
        <f>+Mensajes!$B$12</f>
        <v>0</v>
      </c>
      <c r="C133" s="81"/>
      <c r="D133" s="81"/>
      <c r="E133" s="81"/>
      <c r="F133" s="81"/>
      <c r="G133" s="81"/>
      <c r="H133" s="111"/>
    </row>
    <row r="134" spans="1:8">
      <c r="A134" s="80"/>
      <c r="B134" s="146" t="e">
        <f>IF(VLOOKUP(G124,'18_1'!$A$38:$M$52,13,0)=0,"",VLOOKUP(G124,'18_1'!$A$38:$M$52,13,0))</f>
        <v>#N/A</v>
      </c>
      <c r="C134" s="81"/>
      <c r="D134" s="81"/>
      <c r="E134" s="81"/>
      <c r="F134" s="81"/>
      <c r="G134" s="81"/>
      <c r="H134" s="111"/>
    </row>
    <row r="135" spans="1:8">
      <c r="A135" s="140"/>
      <c r="B135" s="188" t="str">
        <f>IF(DSUM('18_1'!$A$38:$P$52,16,G123:G124)=COUNTIF('18_1'!$A$39:$A$52,G124),"","Regularice su Deuda")</f>
        <v/>
      </c>
      <c r="C135" s="82"/>
      <c r="D135" s="82"/>
      <c r="E135" s="82"/>
      <c r="F135" s="82"/>
      <c r="G135" s="82"/>
      <c r="H135" s="83"/>
    </row>
    <row r="137" spans="1:8">
      <c r="A137" s="108"/>
      <c r="B137" s="109"/>
      <c r="C137" s="109"/>
      <c r="D137" s="109"/>
      <c r="E137" s="109"/>
      <c r="F137" s="109"/>
      <c r="G137" s="109"/>
      <c r="H137" s="110"/>
    </row>
    <row r="138" spans="1:8">
      <c r="A138" s="80"/>
      <c r="B138" s="147" t="s">
        <v>64</v>
      </c>
      <c r="C138" s="81"/>
      <c r="D138" s="81"/>
      <c r="E138" s="81"/>
      <c r="F138" s="81"/>
      <c r="G138" s="81"/>
      <c r="H138" s="111"/>
    </row>
    <row r="139" spans="1:8">
      <c r="A139" s="80"/>
      <c r="B139" s="81"/>
      <c r="C139" s="81"/>
      <c r="D139" s="81"/>
      <c r="E139" s="81"/>
      <c r="F139" s="81"/>
      <c r="G139" s="81"/>
      <c r="H139" s="111"/>
    </row>
    <row r="140" spans="1:8">
      <c r="A140" s="80"/>
      <c r="B140" s="81" t="s">
        <v>139</v>
      </c>
      <c r="C140" s="81" t="e">
        <f>VLOOKUP(G141,'18_1'!$A$38:$G$52,6,0)</f>
        <v>#N/A</v>
      </c>
      <c r="D140" s="81"/>
      <c r="E140" s="81"/>
      <c r="F140" s="81"/>
      <c r="G140" s="138" t="s">
        <v>102</v>
      </c>
      <c r="H140" s="111"/>
    </row>
    <row r="141" spans="1:8">
      <c r="A141" s="80"/>
      <c r="B141" s="81" t="s">
        <v>72</v>
      </c>
      <c r="C141" s="81" t="str">
        <f>+'18_1'!$G$2</f>
        <v>Hijuela Morón</v>
      </c>
      <c r="D141" s="81"/>
      <c r="E141" s="81"/>
      <c r="F141" s="81"/>
      <c r="G141" s="138">
        <v>9</v>
      </c>
      <c r="H141" s="111"/>
    </row>
    <row r="142" spans="1:8">
      <c r="A142" s="80"/>
      <c r="B142" s="81"/>
      <c r="C142" s="81"/>
      <c r="D142" s="81"/>
      <c r="E142" s="81"/>
      <c r="F142" s="81"/>
      <c r="G142" s="81"/>
      <c r="H142" s="111"/>
    </row>
    <row r="143" spans="1:8">
      <c r="A143" s="80"/>
      <c r="B143" s="81" t="s">
        <v>140</v>
      </c>
      <c r="C143" s="138" t="e">
        <f>VLOOKUP(G141,'18_1'!$A$38:$B$52,2,0)</f>
        <v>#N/A</v>
      </c>
      <c r="D143" s="81"/>
      <c r="E143" s="139" t="s">
        <v>141</v>
      </c>
      <c r="F143" s="141">
        <f>DSUM('18_1'!A$38:J$52,'18_1'!$J$38,G140:G141)</f>
        <v>0</v>
      </c>
      <c r="G143" s="81"/>
      <c r="H143" s="111"/>
    </row>
    <row r="144" spans="1:8">
      <c r="A144" s="80"/>
      <c r="B144" s="81" t="s">
        <v>142</v>
      </c>
      <c r="C144" s="205">
        <v>155</v>
      </c>
      <c r="D144" s="81"/>
      <c r="E144" s="81"/>
      <c r="F144" s="81"/>
      <c r="G144" s="81"/>
      <c r="H144" s="111"/>
    </row>
    <row r="145" spans="1:8">
      <c r="A145" s="80"/>
      <c r="B145" s="81" t="s">
        <v>144</v>
      </c>
      <c r="C145" s="206">
        <f>DSUM('18_1'!$A$38:$H$52,'18_1'!$H$38,G140:G141)</f>
        <v>0</v>
      </c>
      <c r="D145" s="81"/>
      <c r="E145" s="81"/>
      <c r="F145" s="584"/>
      <c r="G145" s="584"/>
      <c r="H145" s="111"/>
    </row>
    <row r="146" spans="1:8" ht="15.75">
      <c r="A146" s="80"/>
      <c r="B146" s="81"/>
      <c r="C146" s="81" t="s">
        <v>146</v>
      </c>
      <c r="D146" s="145">
        <f>DMIN('18_1'!A$38:K$52,'18_1'!$J$38,G140:G141)</f>
        <v>0</v>
      </c>
      <c r="E146" s="189" t="str">
        <f>IF(F146=1,"Domingo",IF(F146=2,"Lunes",IF(F146=3,"Martes",IF(F146=4,"Miercoles",IF(F146=5,"Jueves",IF(F146=6,"Viernes",IF(F146=7,"Sábado",0)))))))</f>
        <v>Sábado</v>
      </c>
      <c r="F146" s="190">
        <f>WEEKDAY(D146)</f>
        <v>7</v>
      </c>
      <c r="G146" s="142"/>
      <c r="H146" s="111"/>
    </row>
    <row r="147" spans="1:8" ht="15.75">
      <c r="A147" s="80"/>
      <c r="B147" s="81"/>
      <c r="C147" s="81" t="s">
        <v>147</v>
      </c>
      <c r="D147" s="145">
        <f>DMAX('18_1'!A$38:L$52,'18_1'!$K$38,G140:G141)</f>
        <v>0</v>
      </c>
      <c r="E147" s="189" t="str">
        <f>IF(F147=1,"Domingo",IF(F147=2,"Lunes",IF(F147=3,"Martes",IF(F147=4,"Miercoles",IF(F147=5,"Jueves",IF(F147=6,"Viernes",IF(F147=7,"Sábado",0)))))))</f>
        <v>Sábado</v>
      </c>
      <c r="F147" s="190">
        <f>WEEKDAY(D147)</f>
        <v>7</v>
      </c>
      <c r="G147" s="142"/>
      <c r="H147" s="111"/>
    </row>
    <row r="148" spans="1:8">
      <c r="A148" s="80"/>
      <c r="B148" s="81"/>
      <c r="C148" s="81"/>
      <c r="D148" s="81"/>
      <c r="E148" s="81"/>
      <c r="F148" s="584"/>
      <c r="G148" s="584"/>
      <c r="H148" s="111"/>
    </row>
    <row r="149" spans="1:8">
      <c r="A149" s="80"/>
      <c r="B149" s="146">
        <f>+Mensajes!$B$7</f>
        <v>0</v>
      </c>
      <c r="C149" s="81"/>
      <c r="D149" s="81"/>
      <c r="E149" s="81"/>
      <c r="F149" s="81"/>
      <c r="G149" s="81"/>
      <c r="H149" s="111"/>
    </row>
    <row r="150" spans="1:8">
      <c r="A150" s="80"/>
      <c r="B150" s="146">
        <f>+Mensajes!$B$12</f>
        <v>0</v>
      </c>
      <c r="C150" s="81"/>
      <c r="D150" s="81"/>
      <c r="E150" s="81"/>
      <c r="F150" s="81"/>
      <c r="G150" s="81"/>
      <c r="H150" s="111"/>
    </row>
    <row r="151" spans="1:8">
      <c r="A151" s="80"/>
      <c r="B151" s="146" t="e">
        <f>IF(VLOOKUP(G141,'18_1'!$A$38:$M$52,13,0)=0,"",VLOOKUP(G141,'18_1'!$A$38:$M$52,13,0))</f>
        <v>#N/A</v>
      </c>
      <c r="C151" s="81"/>
      <c r="D151" s="81"/>
      <c r="E151" s="81"/>
      <c r="F151" s="81"/>
      <c r="G151" s="81"/>
      <c r="H151" s="111"/>
    </row>
    <row r="152" spans="1:8">
      <c r="A152" s="140"/>
      <c r="B152" s="188" t="str">
        <f>IF(DSUM('18_1'!$A$38:$P$52,16,G140:G141)=COUNTIF('18_1'!$A$39:$A$52,G141),"","Regularice su Deuda")</f>
        <v/>
      </c>
      <c r="C152" s="82"/>
      <c r="D152" s="82"/>
      <c r="E152" s="82"/>
      <c r="F152" s="82"/>
      <c r="G152" s="82"/>
      <c r="H152" s="83"/>
    </row>
    <row r="154" spans="1:8">
      <c r="A154" s="108"/>
      <c r="B154" s="109"/>
      <c r="C154" s="109"/>
      <c r="D154" s="109"/>
      <c r="E154" s="109"/>
      <c r="F154" s="109"/>
      <c r="G154" s="109"/>
      <c r="H154" s="110"/>
    </row>
    <row r="155" spans="1:8">
      <c r="A155" s="80"/>
      <c r="B155" s="147" t="s">
        <v>64</v>
      </c>
      <c r="C155" s="81"/>
      <c r="D155" s="81"/>
      <c r="E155" s="81"/>
      <c r="F155" s="81"/>
      <c r="G155" s="81"/>
      <c r="H155" s="111"/>
    </row>
    <row r="156" spans="1:8">
      <c r="A156" s="80"/>
      <c r="B156" s="81"/>
      <c r="C156" s="81"/>
      <c r="D156" s="81"/>
      <c r="E156" s="81"/>
      <c r="F156" s="81"/>
      <c r="G156" s="81"/>
      <c r="H156" s="111"/>
    </row>
    <row r="157" spans="1:8">
      <c r="A157" s="80"/>
      <c r="B157" s="81" t="s">
        <v>139</v>
      </c>
      <c r="C157" s="81" t="e">
        <f>VLOOKUP(G158,'18_1'!$A$38:$G$52,6,0)</f>
        <v>#N/A</v>
      </c>
      <c r="D157" s="81"/>
      <c r="E157" s="81"/>
      <c r="F157" s="81"/>
      <c r="G157" s="138" t="s">
        <v>102</v>
      </c>
      <c r="H157" s="111"/>
    </row>
    <row r="158" spans="1:8">
      <c r="A158" s="80"/>
      <c r="B158" s="81" t="s">
        <v>72</v>
      </c>
      <c r="C158" s="81" t="str">
        <f>+'18_1'!$G$2</f>
        <v>Hijuela Morón</v>
      </c>
      <c r="D158" s="81"/>
      <c r="E158" s="81"/>
      <c r="F158" s="81"/>
      <c r="G158" s="138">
        <v>10</v>
      </c>
      <c r="H158" s="111"/>
    </row>
    <row r="159" spans="1:8">
      <c r="A159" s="80"/>
      <c r="B159" s="81"/>
      <c r="C159" s="81"/>
      <c r="D159" s="81"/>
      <c r="E159" s="81"/>
      <c r="F159" s="81"/>
      <c r="G159" s="81"/>
      <c r="H159" s="111"/>
    </row>
    <row r="160" spans="1:8">
      <c r="A160" s="80"/>
      <c r="B160" s="81" t="s">
        <v>140</v>
      </c>
      <c r="C160" s="138" t="e">
        <f>VLOOKUP(G158,'18_1'!$A$38:$B$52,2,0)</f>
        <v>#N/A</v>
      </c>
      <c r="D160" s="81"/>
      <c r="E160" s="139" t="s">
        <v>141</v>
      </c>
      <c r="F160" s="141">
        <f>DSUM('18_1'!A$38:J$52,'18_1'!$J$38,G157:G158)</f>
        <v>0</v>
      </c>
      <c r="G160" s="81"/>
      <c r="H160" s="111"/>
    </row>
    <row r="161" spans="1:8">
      <c r="A161" s="80"/>
      <c r="B161" s="81" t="s">
        <v>142</v>
      </c>
      <c r="C161" s="205">
        <v>52</v>
      </c>
      <c r="D161" s="81"/>
      <c r="E161" s="81"/>
      <c r="F161" s="81"/>
      <c r="G161" s="81"/>
      <c r="H161" s="111"/>
    </row>
    <row r="162" spans="1:8">
      <c r="A162" s="80"/>
      <c r="B162" s="81" t="s">
        <v>144</v>
      </c>
      <c r="C162" s="206">
        <f>DSUM('18_1'!$A$38:$H$52,'18_1'!$H$38,G157:G158)</f>
        <v>0</v>
      </c>
      <c r="D162" s="81"/>
      <c r="E162" s="81"/>
      <c r="F162" s="584"/>
      <c r="G162" s="584"/>
      <c r="H162" s="111"/>
    </row>
    <row r="163" spans="1:8" ht="15.75">
      <c r="A163" s="80"/>
      <c r="B163" s="81"/>
      <c r="C163" s="81" t="s">
        <v>146</v>
      </c>
      <c r="D163" s="145">
        <f>DMIN('18_1'!A$38:K$52,'18_1'!$J$38,G157:G158)</f>
        <v>0</v>
      </c>
      <c r="E163" s="189" t="str">
        <f>IF(F163=1,"Domingo",IF(F163=2,"Lunes",IF(F163=3,"Martes",IF(F163=4,"Miercoles",IF(F163=5,"Jueves",IF(F163=6,"Viernes",IF(F163=7,"Sábado",0)))))))</f>
        <v>Sábado</v>
      </c>
      <c r="F163" s="190">
        <f>WEEKDAY(D163)</f>
        <v>7</v>
      </c>
      <c r="G163" s="142"/>
      <c r="H163" s="111"/>
    </row>
    <row r="164" spans="1:8" ht="15.75">
      <c r="A164" s="80"/>
      <c r="B164" s="81"/>
      <c r="C164" s="81" t="s">
        <v>147</v>
      </c>
      <c r="D164" s="145">
        <f>DMAX('18_1'!A$38:L$52,'18_1'!$K$38,G157:G158)</f>
        <v>0</v>
      </c>
      <c r="E164" s="189" t="str">
        <f>IF(F164=1,"Domingo",IF(F164=2,"Lunes",IF(F164=3,"Martes",IF(F164=4,"Miercoles",IF(F164=5,"Jueves",IF(F164=6,"Viernes",IF(F164=7,"Sábado",0)))))))</f>
        <v>Sábado</v>
      </c>
      <c r="F164" s="190">
        <f>WEEKDAY(D164)</f>
        <v>7</v>
      </c>
      <c r="G164" s="142"/>
      <c r="H164" s="111"/>
    </row>
    <row r="165" spans="1:8">
      <c r="A165" s="80"/>
      <c r="B165" s="81"/>
      <c r="C165" s="81"/>
      <c r="D165" s="81"/>
      <c r="E165" s="81"/>
      <c r="F165" s="584"/>
      <c r="G165" s="584"/>
      <c r="H165" s="111"/>
    </row>
    <row r="166" spans="1:8">
      <c r="A166" s="80"/>
      <c r="B166" s="146">
        <f>+Mensajes!$B$7</f>
        <v>0</v>
      </c>
      <c r="C166" s="81"/>
      <c r="D166" s="81"/>
      <c r="E166" s="81"/>
      <c r="F166" s="81"/>
      <c r="G166" s="81"/>
      <c r="H166" s="111"/>
    </row>
    <row r="167" spans="1:8">
      <c r="A167" s="80"/>
      <c r="B167" s="146">
        <f>+Mensajes!$B$12</f>
        <v>0</v>
      </c>
      <c r="C167" s="81"/>
      <c r="D167" s="81"/>
      <c r="E167" s="81"/>
      <c r="F167" s="81"/>
      <c r="G167" s="81"/>
      <c r="H167" s="111"/>
    </row>
    <row r="168" spans="1:8">
      <c r="A168" s="80"/>
      <c r="B168" s="146" t="e">
        <f>IF(VLOOKUP(G158,'18_1'!$A$38:$M$52,13,0)=0,"",VLOOKUP(G158,'18_1'!$A$38:$M$52,13,0))</f>
        <v>#N/A</v>
      </c>
      <c r="C168" s="81"/>
      <c r="D168" s="81"/>
      <c r="E168" s="81"/>
      <c r="F168" s="81"/>
      <c r="G168" s="81"/>
      <c r="H168" s="111"/>
    </row>
    <row r="169" spans="1:8">
      <c r="A169" s="140"/>
      <c r="B169" s="188" t="str">
        <f>IF(DSUM('18_1'!$A$38:$P$52,16,G157:G158)=COUNTIF('18_1'!$A$39:$A$52,G158),"","Regularice su Deuda")</f>
        <v/>
      </c>
      <c r="C169" s="82"/>
      <c r="D169" s="82"/>
      <c r="E169" s="82"/>
      <c r="F169" s="82"/>
      <c r="G169" s="82"/>
      <c r="H169" s="83"/>
    </row>
    <row r="171" spans="1:8">
      <c r="A171" s="108"/>
      <c r="B171" s="109"/>
      <c r="C171" s="109"/>
      <c r="D171" s="109"/>
      <c r="E171" s="109"/>
      <c r="F171" s="109"/>
      <c r="G171" s="109"/>
      <c r="H171" s="110"/>
    </row>
    <row r="172" spans="1:8">
      <c r="A172" s="80"/>
      <c r="B172" s="147" t="s">
        <v>64</v>
      </c>
      <c r="C172" s="81"/>
      <c r="D172" s="81"/>
      <c r="E172" s="81"/>
      <c r="F172" s="81"/>
      <c r="G172" s="81"/>
      <c r="H172" s="111"/>
    </row>
    <row r="173" spans="1:8">
      <c r="A173" s="80"/>
      <c r="B173" s="81"/>
      <c r="C173" s="81"/>
      <c r="D173" s="81"/>
      <c r="E173" s="81"/>
      <c r="F173" s="81"/>
      <c r="G173" s="81"/>
      <c r="H173" s="111"/>
    </row>
    <row r="174" spans="1:8">
      <c r="A174" s="80"/>
      <c r="B174" s="81" t="s">
        <v>139</v>
      </c>
      <c r="C174" s="81" t="e">
        <f>VLOOKUP(G175,'18_1'!$A$38:$G$52,6,0)</f>
        <v>#N/A</v>
      </c>
      <c r="D174" s="81"/>
      <c r="E174" s="81"/>
      <c r="F174" s="81"/>
      <c r="G174" s="138" t="s">
        <v>102</v>
      </c>
      <c r="H174" s="111"/>
    </row>
    <row r="175" spans="1:8">
      <c r="A175" s="80"/>
      <c r="B175" s="81" t="s">
        <v>72</v>
      </c>
      <c r="C175" s="81" t="str">
        <f>+'18_1'!$G$2</f>
        <v>Hijuela Morón</v>
      </c>
      <c r="D175" s="81"/>
      <c r="E175" s="81"/>
      <c r="F175" s="81"/>
      <c r="G175" s="138">
        <v>11</v>
      </c>
      <c r="H175" s="111"/>
    </row>
    <row r="176" spans="1:8">
      <c r="A176" s="80"/>
      <c r="B176" s="81"/>
      <c r="C176" s="81"/>
      <c r="D176" s="81"/>
      <c r="E176" s="81"/>
      <c r="F176" s="81"/>
      <c r="G176" s="81"/>
      <c r="H176" s="111"/>
    </row>
    <row r="177" spans="1:8">
      <c r="A177" s="80"/>
      <c r="B177" s="81" t="s">
        <v>140</v>
      </c>
      <c r="C177" s="138" t="e">
        <f>VLOOKUP(G175,'18_1'!$A$38:$B$52,2,0)</f>
        <v>#N/A</v>
      </c>
      <c r="D177" s="81"/>
      <c r="E177" s="139" t="s">
        <v>141</v>
      </c>
      <c r="F177" s="141">
        <f>DSUM('18_1'!A$38:J$52,'18_1'!$J$38,G174:G175)</f>
        <v>0</v>
      </c>
      <c r="G177" s="81"/>
      <c r="H177" s="111"/>
    </row>
    <row r="178" spans="1:8">
      <c r="A178" s="80"/>
      <c r="B178" s="81" t="s">
        <v>142</v>
      </c>
      <c r="C178" s="205">
        <v>55</v>
      </c>
      <c r="D178" s="81"/>
      <c r="E178" s="81"/>
      <c r="F178" s="81"/>
      <c r="G178" s="81"/>
      <c r="H178" s="111"/>
    </row>
    <row r="179" spans="1:8">
      <c r="A179" s="80"/>
      <c r="B179" s="81" t="s">
        <v>144</v>
      </c>
      <c r="C179" s="206">
        <f>DSUM('18_1'!$A$38:$H$52,'18_1'!$H$38,G174:G175)</f>
        <v>0</v>
      </c>
      <c r="D179" s="81"/>
      <c r="E179" s="81"/>
      <c r="F179" s="584"/>
      <c r="G179" s="584"/>
      <c r="H179" s="111"/>
    </row>
    <row r="180" spans="1:8" ht="15.75">
      <c r="A180" s="80"/>
      <c r="B180" s="81"/>
      <c r="C180" s="81" t="s">
        <v>146</v>
      </c>
      <c r="D180" s="145">
        <f>DMIN('18_1'!A$38:K$52,'18_1'!$J$38,G174:G175)</f>
        <v>0</v>
      </c>
      <c r="E180" s="189" t="str">
        <f>IF(F180=1,"Domingo",IF(F180=2,"Lunes",IF(F180=3,"Martes",IF(F180=4,"Miercoles",IF(F180=5,"Jueves",IF(F180=6,"Viernes",IF(F180=7,"Sábado",0)))))))</f>
        <v>Sábado</v>
      </c>
      <c r="F180" s="190">
        <f>WEEKDAY(D180)</f>
        <v>7</v>
      </c>
      <c r="G180" s="142"/>
      <c r="H180" s="111"/>
    </row>
    <row r="181" spans="1:8" ht="15.75">
      <c r="A181" s="80"/>
      <c r="B181" s="81"/>
      <c r="C181" s="81" t="s">
        <v>147</v>
      </c>
      <c r="D181" s="145">
        <f>DMAX('18_1'!A$38:L$52,'18_1'!$K$38,G174:G175)</f>
        <v>0</v>
      </c>
      <c r="E181" s="189" t="str">
        <f>IF(F181=1,"Domingo",IF(F181=2,"Lunes",IF(F181=3,"Martes",IF(F181=4,"Miercoles",IF(F181=5,"Jueves",IF(F181=6,"Viernes",IF(F181=7,"Sábado",0)))))))</f>
        <v>Sábado</v>
      </c>
      <c r="F181" s="190">
        <f>WEEKDAY(D181)</f>
        <v>7</v>
      </c>
      <c r="G181" s="142"/>
      <c r="H181" s="111"/>
    </row>
    <row r="182" spans="1:8">
      <c r="A182" s="80"/>
      <c r="B182" s="81"/>
      <c r="C182" s="81"/>
      <c r="D182" s="81"/>
      <c r="E182" s="81"/>
      <c r="F182" s="584"/>
      <c r="G182" s="584"/>
      <c r="H182" s="111"/>
    </row>
    <row r="183" spans="1:8">
      <c r="A183" s="80"/>
      <c r="B183" s="146">
        <f>+Mensajes!$B$7</f>
        <v>0</v>
      </c>
      <c r="C183" s="81"/>
      <c r="D183" s="81"/>
      <c r="E183" s="81"/>
      <c r="F183" s="81"/>
      <c r="G183" s="81"/>
      <c r="H183" s="111"/>
    </row>
    <row r="184" spans="1:8">
      <c r="A184" s="80"/>
      <c r="B184" s="146">
        <f>+Mensajes!$B$12</f>
        <v>0</v>
      </c>
      <c r="C184" s="81"/>
      <c r="D184" s="81"/>
      <c r="E184" s="81"/>
      <c r="F184" s="81"/>
      <c r="G184" s="81"/>
      <c r="H184" s="111"/>
    </row>
    <row r="185" spans="1:8">
      <c r="A185" s="80"/>
      <c r="B185" s="146" t="e">
        <f>IF(VLOOKUP(G175,'18_1'!$A$38:$M$52,13,0)=0,"",VLOOKUP(G175,'18_1'!$A$38:$M$52,13,0))</f>
        <v>#N/A</v>
      </c>
      <c r="C185" s="81"/>
      <c r="D185" s="81"/>
      <c r="E185" s="81"/>
      <c r="F185" s="81"/>
      <c r="G185" s="81"/>
      <c r="H185" s="111"/>
    </row>
    <row r="186" spans="1:8">
      <c r="A186" s="140"/>
      <c r="B186" s="188" t="str">
        <f>IF(DSUM('18_1'!$A$38:$P$52,16,G174:G175)=COUNTIF('18_1'!$A$39:$A$52,G175),"","Regularice su Deuda")</f>
        <v/>
      </c>
      <c r="C186" s="82"/>
      <c r="D186" s="82"/>
      <c r="E186" s="82"/>
      <c r="F186" s="82"/>
      <c r="G186" s="82"/>
      <c r="H186" s="83"/>
    </row>
    <row r="188" spans="1:8">
      <c r="A188" s="108"/>
      <c r="B188" s="109"/>
      <c r="C188" s="109"/>
      <c r="D188" s="109"/>
      <c r="E188" s="109"/>
      <c r="F188" s="109"/>
      <c r="G188" s="109"/>
      <c r="H188" s="110"/>
    </row>
    <row r="189" spans="1:8">
      <c r="A189" s="80"/>
      <c r="B189" s="147" t="s">
        <v>64</v>
      </c>
      <c r="C189" s="81"/>
      <c r="D189" s="81"/>
      <c r="E189" s="81"/>
      <c r="F189" s="81"/>
      <c r="G189" s="81"/>
      <c r="H189" s="111"/>
    </row>
    <row r="190" spans="1:8">
      <c r="A190" s="80"/>
      <c r="B190" s="81"/>
      <c r="C190" s="81"/>
      <c r="D190" s="81"/>
      <c r="E190" s="81"/>
      <c r="F190" s="81"/>
      <c r="G190" s="81"/>
      <c r="H190" s="111"/>
    </row>
    <row r="191" spans="1:8">
      <c r="A191" s="80"/>
      <c r="B191" s="81" t="s">
        <v>139</v>
      </c>
      <c r="C191" s="81" t="e">
        <f>VLOOKUP(G192,'18_1'!$A$38:$G$52,6,0)</f>
        <v>#N/A</v>
      </c>
      <c r="D191" s="81"/>
      <c r="E191" s="81"/>
      <c r="F191" s="81"/>
      <c r="G191" s="138" t="s">
        <v>102</v>
      </c>
      <c r="H191" s="111"/>
    </row>
    <row r="192" spans="1:8">
      <c r="A192" s="80"/>
      <c r="B192" s="81" t="s">
        <v>72</v>
      </c>
      <c r="C192" s="81" t="str">
        <f>+'18_1'!$G$2</f>
        <v>Hijuela Morón</v>
      </c>
      <c r="D192" s="81"/>
      <c r="E192" s="81"/>
      <c r="F192" s="81"/>
      <c r="G192" s="138">
        <v>12</v>
      </c>
      <c r="H192" s="111"/>
    </row>
    <row r="193" spans="1:8">
      <c r="A193" s="80"/>
      <c r="B193" s="81"/>
      <c r="C193" s="81"/>
      <c r="D193" s="81"/>
      <c r="E193" s="81"/>
      <c r="F193" s="81"/>
      <c r="G193" s="81"/>
      <c r="H193" s="111"/>
    </row>
    <row r="194" spans="1:8">
      <c r="A194" s="80"/>
      <c r="B194" s="81" t="s">
        <v>140</v>
      </c>
      <c r="C194" s="138" t="e">
        <f>VLOOKUP(G192,'18_1'!$A$38:$B$52,2,0)</f>
        <v>#N/A</v>
      </c>
      <c r="D194" s="81"/>
      <c r="E194" s="139" t="s">
        <v>141</v>
      </c>
      <c r="F194" s="141">
        <f>DSUM('18_1'!A$38:J$52,'18_1'!$J$38,G191:G192)</f>
        <v>0</v>
      </c>
      <c r="G194" s="81"/>
      <c r="H194" s="111"/>
    </row>
    <row r="195" spans="1:8">
      <c r="A195" s="80"/>
      <c r="B195" s="81" t="s">
        <v>142</v>
      </c>
      <c r="C195" s="205" t="s">
        <v>667</v>
      </c>
      <c r="D195" s="81"/>
      <c r="E195" s="81"/>
      <c r="F195" s="81"/>
      <c r="G195" s="81"/>
      <c r="H195" s="111"/>
    </row>
    <row r="196" spans="1:8">
      <c r="A196" s="80"/>
      <c r="B196" s="81" t="s">
        <v>144</v>
      </c>
      <c r="C196" s="206">
        <f>DSUM('18_1'!$A$38:$H$52,'18_1'!$H$38,G191:G192)</f>
        <v>0</v>
      </c>
      <c r="D196" s="81"/>
      <c r="E196" s="81"/>
      <c r="F196" s="584"/>
      <c r="G196" s="584"/>
      <c r="H196" s="111"/>
    </row>
    <row r="197" spans="1:8" ht="15.75">
      <c r="A197" s="80"/>
      <c r="B197" s="81"/>
      <c r="C197" s="81" t="s">
        <v>146</v>
      </c>
      <c r="D197" s="145">
        <f>DMIN('18_1'!A$38:K$52,'18_1'!$J$38,G191:G192)</f>
        <v>0</v>
      </c>
      <c r="E197" s="189" t="str">
        <f>IF(F197=1,"Domingo",IF(F197=2,"Lunes",IF(F197=3,"Martes",IF(F197=4,"Miercoles",IF(F197=5,"Jueves",IF(F197=6,"Viernes",IF(F197=7,"Sábado",0)))))))</f>
        <v>Sábado</v>
      </c>
      <c r="F197" s="190">
        <f>WEEKDAY(D197)</f>
        <v>7</v>
      </c>
      <c r="G197" s="142"/>
      <c r="H197" s="111"/>
    </row>
    <row r="198" spans="1:8" ht="15.75">
      <c r="A198" s="80"/>
      <c r="B198" s="81"/>
      <c r="C198" s="81" t="s">
        <v>147</v>
      </c>
      <c r="D198" s="145">
        <f>DMAX('18_1'!A$38:L$52,'18_1'!$K$38,G191:G192)</f>
        <v>0</v>
      </c>
      <c r="E198" s="189" t="str">
        <f>IF(F198=1,"Domingo",IF(F198=2,"Lunes",IF(F198=3,"Martes",IF(F198=4,"Miercoles",IF(F198=5,"Jueves",IF(F198=6,"Viernes",IF(F198=7,"Sábado",0)))))))</f>
        <v>Sábado</v>
      </c>
      <c r="F198" s="190">
        <f>WEEKDAY(D198)</f>
        <v>7</v>
      </c>
      <c r="G198" s="142"/>
      <c r="H198" s="111"/>
    </row>
    <row r="199" spans="1:8">
      <c r="A199" s="80"/>
      <c r="B199" s="81"/>
      <c r="C199" s="81"/>
      <c r="D199" s="81"/>
      <c r="E199" s="81"/>
      <c r="F199" s="584"/>
      <c r="G199" s="584"/>
      <c r="H199" s="111"/>
    </row>
    <row r="200" spans="1:8">
      <c r="A200" s="80"/>
      <c r="B200" s="146">
        <f>+Mensajes!$B$7</f>
        <v>0</v>
      </c>
      <c r="C200" s="81"/>
      <c r="D200" s="81"/>
      <c r="E200" s="81"/>
      <c r="F200" s="81"/>
      <c r="G200" s="81"/>
      <c r="H200" s="111"/>
    </row>
    <row r="201" spans="1:8">
      <c r="A201" s="80"/>
      <c r="B201" s="146">
        <f>+Mensajes!$B$12</f>
        <v>0</v>
      </c>
      <c r="C201" s="81"/>
      <c r="D201" s="81"/>
      <c r="E201" s="81"/>
      <c r="F201" s="81"/>
      <c r="G201" s="81"/>
      <c r="H201" s="111"/>
    </row>
    <row r="202" spans="1:8">
      <c r="A202" s="80"/>
      <c r="B202" s="146" t="e">
        <f>IF(VLOOKUP(G192,'18_1'!$A$38:$M$52,13,0)=0,"",VLOOKUP(G192,'18_1'!$A$38:$M$52,13,0))</f>
        <v>#N/A</v>
      </c>
      <c r="C202" s="81"/>
      <c r="D202" s="81"/>
      <c r="E202" s="81"/>
      <c r="F202" s="81"/>
      <c r="G202" s="81"/>
      <c r="H202" s="111"/>
    </row>
    <row r="203" spans="1:8">
      <c r="A203" s="140"/>
      <c r="B203" s="188" t="str">
        <f>IF(DSUM('18_1'!$A$38:$P$52,16,G191:G192)=COUNTIF('18_1'!$A$39:$A$52,G192),"","Regularice su Deuda")</f>
        <v/>
      </c>
      <c r="C203" s="82"/>
      <c r="D203" s="82"/>
      <c r="E203" s="82"/>
      <c r="F203" s="82"/>
      <c r="G203" s="82"/>
      <c r="H203" s="83"/>
    </row>
    <row r="205" spans="1:8">
      <c r="A205" s="108"/>
      <c r="B205" s="109"/>
      <c r="C205" s="109"/>
      <c r="D205" s="109"/>
      <c r="E205" s="109"/>
      <c r="F205" s="109"/>
      <c r="G205" s="109"/>
      <c r="H205" s="110"/>
    </row>
    <row r="206" spans="1:8">
      <c r="A206" s="80"/>
      <c r="B206" s="147" t="s">
        <v>64</v>
      </c>
      <c r="C206" s="81"/>
      <c r="D206" s="81"/>
      <c r="E206" s="81"/>
      <c r="F206" s="81"/>
      <c r="G206" s="81"/>
      <c r="H206" s="111"/>
    </row>
    <row r="207" spans="1:8">
      <c r="A207" s="80"/>
      <c r="B207" s="81"/>
      <c r="C207" s="81"/>
      <c r="D207" s="81"/>
      <c r="E207" s="81"/>
      <c r="F207" s="81"/>
      <c r="G207" s="81"/>
      <c r="H207" s="111"/>
    </row>
    <row r="208" spans="1:8">
      <c r="A208" s="80"/>
      <c r="B208" s="81" t="s">
        <v>139</v>
      </c>
      <c r="C208" s="81" t="e">
        <f>VLOOKUP(G209,'18_1'!$A$38:$G$52,6,0)</f>
        <v>#N/A</v>
      </c>
      <c r="D208" s="81"/>
      <c r="E208" s="81"/>
      <c r="F208" s="81"/>
      <c r="G208" s="138" t="s">
        <v>102</v>
      </c>
      <c r="H208" s="111"/>
    </row>
    <row r="209" spans="1:8">
      <c r="A209" s="80"/>
      <c r="B209" s="81" t="s">
        <v>72</v>
      </c>
      <c r="C209" s="81" t="str">
        <f>+'18_1'!$G$2</f>
        <v>Hijuela Morón</v>
      </c>
      <c r="D209" s="81"/>
      <c r="E209" s="81"/>
      <c r="F209" s="81"/>
      <c r="G209" s="138">
        <v>13</v>
      </c>
      <c r="H209" s="111"/>
    </row>
    <row r="210" spans="1:8">
      <c r="A210" s="80"/>
      <c r="B210" s="81"/>
      <c r="C210" s="81"/>
      <c r="D210" s="81"/>
      <c r="E210" s="81"/>
      <c r="F210" s="81"/>
      <c r="G210" s="81"/>
      <c r="H210" s="111"/>
    </row>
    <row r="211" spans="1:8">
      <c r="A211" s="80"/>
      <c r="B211" s="81" t="s">
        <v>140</v>
      </c>
      <c r="C211" s="138" t="e">
        <f>VLOOKUP(G209,'18_1'!$A$38:$B$52,2,0)</f>
        <v>#N/A</v>
      </c>
      <c r="D211" s="81"/>
      <c r="E211" s="139" t="s">
        <v>141</v>
      </c>
      <c r="F211" s="141">
        <f>DSUM('18_1'!A$38:J$52,'18_1'!$J$38,G208:G209)</f>
        <v>0</v>
      </c>
      <c r="G211" s="81"/>
      <c r="H211" s="111"/>
    </row>
    <row r="212" spans="1:8">
      <c r="A212" s="80"/>
      <c r="B212" s="81" t="s">
        <v>142</v>
      </c>
      <c r="C212" s="205">
        <v>259</v>
      </c>
      <c r="D212" s="81"/>
      <c r="E212" s="81"/>
      <c r="F212" s="81"/>
      <c r="G212" s="81"/>
      <c r="H212" s="111"/>
    </row>
    <row r="213" spans="1:8">
      <c r="A213" s="80"/>
      <c r="B213" s="81" t="s">
        <v>144</v>
      </c>
      <c r="C213" s="206">
        <f>DSUM('18_1'!$A$38:$H$52,'18_1'!$H$38,G208:G209)</f>
        <v>0</v>
      </c>
      <c r="D213" s="81"/>
      <c r="E213" s="81"/>
      <c r="F213" s="584"/>
      <c r="G213" s="584"/>
      <c r="H213" s="111"/>
    </row>
    <row r="214" spans="1:8" ht="15.75">
      <c r="A214" s="80"/>
      <c r="B214" s="81"/>
      <c r="C214" s="81" t="s">
        <v>146</v>
      </c>
      <c r="D214" s="145">
        <f>DMIN('18_1'!A$38:K$52,'18_1'!$J$38,G208:G209)</f>
        <v>0</v>
      </c>
      <c r="E214" s="189" t="str">
        <f>IF(F214=1,"Domingo",IF(F214=2,"Lunes",IF(F214=3,"Martes",IF(F214=4,"Miercoles",IF(F214=5,"Jueves",IF(F214=6,"Viernes",IF(F214=7,"Sábado",0)))))))</f>
        <v>Sábado</v>
      </c>
      <c r="F214" s="190">
        <f>WEEKDAY(D214)</f>
        <v>7</v>
      </c>
      <c r="G214" s="142"/>
      <c r="H214" s="111"/>
    </row>
    <row r="215" spans="1:8" ht="15.75">
      <c r="A215" s="80"/>
      <c r="B215" s="81"/>
      <c r="C215" s="81" t="s">
        <v>147</v>
      </c>
      <c r="D215" s="145">
        <f>DMAX('18_1'!A$38:L$52,'18_1'!$K$38,G208:G209)</f>
        <v>0</v>
      </c>
      <c r="E215" s="189" t="str">
        <f>IF(F215=1,"Domingo",IF(F215=2,"Lunes",IF(F215=3,"Martes",IF(F215=4,"Miercoles",IF(F215=5,"Jueves",IF(F215=6,"Viernes",IF(F215=7,"Sábado",0)))))))</f>
        <v>Sábado</v>
      </c>
      <c r="F215" s="190">
        <f>WEEKDAY(D215)</f>
        <v>7</v>
      </c>
      <c r="G215" s="142"/>
      <c r="H215" s="111"/>
    </row>
    <row r="216" spans="1:8">
      <c r="A216" s="80"/>
      <c r="B216" s="81"/>
      <c r="C216" s="81"/>
      <c r="D216" s="81"/>
      <c r="E216" s="81"/>
      <c r="F216" s="584"/>
      <c r="G216" s="584"/>
      <c r="H216" s="111"/>
    </row>
    <row r="217" spans="1:8">
      <c r="A217" s="80"/>
      <c r="B217" s="146">
        <f>+Mensajes!$B$7</f>
        <v>0</v>
      </c>
      <c r="C217" s="81"/>
      <c r="D217" s="81"/>
      <c r="E217" s="81"/>
      <c r="F217" s="81"/>
      <c r="G217" s="81"/>
      <c r="H217" s="111"/>
    </row>
    <row r="218" spans="1:8">
      <c r="A218" s="80"/>
      <c r="B218" s="146">
        <f>+Mensajes!$B$12</f>
        <v>0</v>
      </c>
      <c r="C218" s="81"/>
      <c r="D218" s="81"/>
      <c r="E218" s="81"/>
      <c r="F218" s="81"/>
      <c r="G218" s="81"/>
      <c r="H218" s="111"/>
    </row>
    <row r="219" spans="1:8">
      <c r="A219" s="80"/>
      <c r="B219" s="146" t="e">
        <f>IF(VLOOKUP(G209,'18_1'!$A$38:$M$52,13,0)=0,"",VLOOKUP(G209,'18_1'!$A$38:$M$52,13,0))</f>
        <v>#N/A</v>
      </c>
      <c r="C219" s="81"/>
      <c r="D219" s="81"/>
      <c r="E219" s="81"/>
      <c r="F219" s="81"/>
      <c r="G219" s="81"/>
      <c r="H219" s="111"/>
    </row>
    <row r="220" spans="1:8">
      <c r="A220" s="140"/>
      <c r="B220" s="188" t="str">
        <f>IF(DSUM('18_1'!$A$38:$P$52,16,G208:G209)=COUNTIF('18_1'!$A$39:$A$52,G209),"","Regularice su Deuda")</f>
        <v/>
      </c>
      <c r="C220" s="82"/>
      <c r="D220" s="82"/>
      <c r="E220" s="82"/>
      <c r="F220" s="82"/>
      <c r="G220" s="82"/>
      <c r="H220" s="83"/>
    </row>
    <row r="222" spans="1:8">
      <c r="A222" s="108"/>
      <c r="B222" s="109"/>
      <c r="C222" s="109"/>
      <c r="D222" s="109"/>
      <c r="E222" s="109"/>
      <c r="F222" s="109"/>
      <c r="G222" s="109"/>
      <c r="H222" s="110"/>
    </row>
    <row r="223" spans="1:8">
      <c r="A223" s="80"/>
      <c r="B223" s="147" t="s">
        <v>64</v>
      </c>
      <c r="C223" s="81"/>
      <c r="D223" s="81"/>
      <c r="E223" s="81"/>
      <c r="F223" s="81"/>
      <c r="G223" s="81"/>
      <c r="H223" s="111"/>
    </row>
    <row r="224" spans="1:8">
      <c r="A224" s="80"/>
      <c r="B224" s="81"/>
      <c r="C224" s="81"/>
      <c r="D224" s="81"/>
      <c r="E224" s="81"/>
      <c r="F224" s="81"/>
      <c r="G224" s="81"/>
      <c r="H224" s="111"/>
    </row>
    <row r="225" spans="1:8">
      <c r="A225" s="80"/>
      <c r="B225" s="81" t="s">
        <v>139</v>
      </c>
      <c r="C225" s="81" t="e">
        <f>VLOOKUP(G226,'18_1'!$A$38:$G$52,6,0)</f>
        <v>#N/A</v>
      </c>
      <c r="D225" s="81"/>
      <c r="E225" s="81"/>
      <c r="F225" s="81"/>
      <c r="G225" s="138" t="s">
        <v>102</v>
      </c>
      <c r="H225" s="111"/>
    </row>
    <row r="226" spans="1:8">
      <c r="A226" s="80"/>
      <c r="B226" s="81" t="s">
        <v>72</v>
      </c>
      <c r="C226" s="81" t="str">
        <f>+'18_1'!$G$2</f>
        <v>Hijuela Morón</v>
      </c>
      <c r="D226" s="81"/>
      <c r="E226" s="81"/>
      <c r="F226" s="81"/>
      <c r="G226" s="138">
        <v>14</v>
      </c>
      <c r="H226" s="111"/>
    </row>
    <row r="227" spans="1:8">
      <c r="A227" s="80"/>
      <c r="B227" s="81"/>
      <c r="C227" s="81"/>
      <c r="D227" s="81"/>
      <c r="E227" s="81"/>
      <c r="F227" s="81"/>
      <c r="G227" s="81"/>
      <c r="H227" s="111"/>
    </row>
    <row r="228" spans="1:8">
      <c r="A228" s="80"/>
      <c r="B228" s="81" t="s">
        <v>140</v>
      </c>
      <c r="C228" s="138" t="e">
        <f>VLOOKUP(G226,'18_1'!$A$38:$B$52,2,0)</f>
        <v>#N/A</v>
      </c>
      <c r="D228" s="81"/>
      <c r="E228" s="139" t="s">
        <v>141</v>
      </c>
      <c r="F228" s="141">
        <f>DSUM('18_1'!A$38:J$52,'18_1'!$J$38,G225:G226)</f>
        <v>0</v>
      </c>
      <c r="G228" s="81"/>
      <c r="H228" s="111"/>
    </row>
    <row r="229" spans="1:8">
      <c r="A229" s="80"/>
      <c r="B229" s="81" t="s">
        <v>142</v>
      </c>
      <c r="C229" s="205">
        <v>260</v>
      </c>
      <c r="D229" s="81"/>
      <c r="E229" s="81"/>
      <c r="F229" s="81"/>
      <c r="G229" s="81"/>
      <c r="H229" s="111"/>
    </row>
    <row r="230" spans="1:8">
      <c r="A230" s="80"/>
      <c r="B230" s="81" t="s">
        <v>144</v>
      </c>
      <c r="C230" s="206">
        <f>DSUM('18_1'!$A$38:$H$52,'18_1'!$H$38,G225:G226)</f>
        <v>0</v>
      </c>
      <c r="D230" s="81"/>
      <c r="E230" s="81"/>
      <c r="F230" s="584"/>
      <c r="G230" s="584"/>
      <c r="H230" s="111"/>
    </row>
    <row r="231" spans="1:8" ht="15.75">
      <c r="A231" s="80"/>
      <c r="B231" s="81"/>
      <c r="C231" s="81" t="s">
        <v>146</v>
      </c>
      <c r="D231" s="145">
        <f>DMIN('18_1'!A$38:K$52,'18_1'!$J$38,G225:G226)</f>
        <v>0</v>
      </c>
      <c r="E231" s="189" t="str">
        <f>IF(F231=1,"Domingo",IF(F231=2,"Lunes",IF(F231=3,"Martes",IF(F231=4,"Miercoles",IF(F231=5,"Jueves",IF(F231=6,"Viernes",IF(F231=7,"Sábado",0)))))))</f>
        <v>Sábado</v>
      </c>
      <c r="F231" s="190">
        <f>WEEKDAY(D231)</f>
        <v>7</v>
      </c>
      <c r="G231" s="142"/>
      <c r="H231" s="111"/>
    </row>
    <row r="232" spans="1:8" ht="15.75">
      <c r="A232" s="80"/>
      <c r="B232" s="81"/>
      <c r="C232" s="81" t="s">
        <v>147</v>
      </c>
      <c r="D232" s="145">
        <f>DMAX('18_1'!A$38:L$52,'18_1'!$K$38,G225:G226)</f>
        <v>0</v>
      </c>
      <c r="E232" s="189" t="str">
        <f>IF(F232=1,"Domingo",IF(F232=2,"Lunes",IF(F232=3,"Martes",IF(F232=4,"Miercoles",IF(F232=5,"Jueves",IF(F232=6,"Viernes",IF(F232=7,"Sábado",0)))))))</f>
        <v>Sábado</v>
      </c>
      <c r="F232" s="190">
        <f>WEEKDAY(D232)</f>
        <v>7</v>
      </c>
      <c r="G232" s="142"/>
      <c r="H232" s="111"/>
    </row>
    <row r="233" spans="1:8">
      <c r="A233" s="80"/>
      <c r="B233" s="81"/>
      <c r="C233" s="81"/>
      <c r="D233" s="81"/>
      <c r="E233" s="81"/>
      <c r="F233" s="584"/>
      <c r="G233" s="584"/>
      <c r="H233" s="111"/>
    </row>
    <row r="234" spans="1:8">
      <c r="A234" s="80"/>
      <c r="B234" s="146">
        <f>+Mensajes!$B$7</f>
        <v>0</v>
      </c>
      <c r="C234" s="81"/>
      <c r="D234" s="81"/>
      <c r="E234" s="81"/>
      <c r="F234" s="81"/>
      <c r="G234" s="81"/>
      <c r="H234" s="111"/>
    </row>
    <row r="235" spans="1:8">
      <c r="A235" s="80"/>
      <c r="B235" s="146">
        <f>+Mensajes!$B$12</f>
        <v>0</v>
      </c>
      <c r="C235" s="81"/>
      <c r="D235" s="81"/>
      <c r="E235" s="81"/>
      <c r="F235" s="81"/>
      <c r="G235" s="81"/>
      <c r="H235" s="111"/>
    </row>
    <row r="236" spans="1:8">
      <c r="A236" s="80"/>
      <c r="B236" s="146" t="e">
        <f>IF(VLOOKUP(G226,'18_1'!$A$38:$M$52,13,0)=0,"",VLOOKUP(G226,'18_1'!$A$38:$M$52,13,0))</f>
        <v>#N/A</v>
      </c>
      <c r="C236" s="81"/>
      <c r="D236" s="81"/>
      <c r="E236" s="81"/>
      <c r="F236" s="81"/>
      <c r="G236" s="81"/>
      <c r="H236" s="111"/>
    </row>
    <row r="237" spans="1:8">
      <c r="A237" s="140"/>
      <c r="B237" s="188" t="str">
        <f>IF(DSUM('18_1'!$A$38:$P$52,16,G225:G226)=COUNTIF('18_1'!$A$39:$A$52,G226),"","Regularice su Deuda")</f>
        <v/>
      </c>
      <c r="C237" s="82"/>
      <c r="D237" s="82"/>
      <c r="E237" s="82"/>
      <c r="F237" s="82"/>
      <c r="G237" s="82"/>
      <c r="H237" s="83"/>
    </row>
    <row r="239" spans="1:8">
      <c r="A239" s="108"/>
      <c r="B239" s="109"/>
      <c r="C239" s="109"/>
      <c r="D239" s="109"/>
      <c r="E239" s="109"/>
      <c r="F239" s="109"/>
      <c r="G239" s="109"/>
      <c r="H239" s="110"/>
    </row>
    <row r="240" spans="1:8">
      <c r="A240" s="80"/>
      <c r="B240" s="147" t="s">
        <v>64</v>
      </c>
      <c r="C240" s="81"/>
      <c r="D240" s="81"/>
      <c r="E240" s="81"/>
      <c r="F240" s="81"/>
      <c r="G240" s="81"/>
      <c r="H240" s="111"/>
    </row>
    <row r="241" spans="1:8">
      <c r="A241" s="80"/>
      <c r="B241" s="81"/>
      <c r="C241" s="81"/>
      <c r="D241" s="81"/>
      <c r="E241" s="81"/>
      <c r="F241" s="81"/>
      <c r="G241" s="81"/>
      <c r="H241" s="111"/>
    </row>
    <row r="242" spans="1:8">
      <c r="A242" s="80"/>
      <c r="B242" s="81" t="s">
        <v>139</v>
      </c>
      <c r="C242" s="81" t="e">
        <f>VLOOKUP(G243,'18_1'!$A$38:$G$52,6,0)</f>
        <v>#N/A</v>
      </c>
      <c r="D242" s="81"/>
      <c r="E242" s="81"/>
      <c r="F242" s="81"/>
      <c r="G242" s="138" t="s">
        <v>102</v>
      </c>
      <c r="H242" s="111"/>
    </row>
    <row r="243" spans="1:8">
      <c r="A243" s="80"/>
      <c r="B243" s="81" t="s">
        <v>72</v>
      </c>
      <c r="C243" s="81" t="str">
        <f>+'18_1'!$G$2</f>
        <v>Hijuela Morón</v>
      </c>
      <c r="D243" s="81"/>
      <c r="E243" s="81"/>
      <c r="F243" s="81"/>
      <c r="G243" s="138">
        <v>15</v>
      </c>
      <c r="H243" s="111"/>
    </row>
    <row r="244" spans="1:8">
      <c r="A244" s="80"/>
      <c r="B244" s="81"/>
      <c r="C244" s="81"/>
      <c r="D244" s="81"/>
      <c r="E244" s="81"/>
      <c r="F244" s="81"/>
      <c r="G244" s="81"/>
      <c r="H244" s="111"/>
    </row>
    <row r="245" spans="1:8">
      <c r="A245" s="80"/>
      <c r="B245" s="81" t="s">
        <v>140</v>
      </c>
      <c r="C245" s="138" t="e">
        <f>VLOOKUP(G243,'18_1'!$A$38:$B$52,2,0)</f>
        <v>#N/A</v>
      </c>
      <c r="D245" s="81"/>
      <c r="E245" s="139" t="s">
        <v>141</v>
      </c>
      <c r="F245" s="141">
        <f>DSUM('18_1'!A$38:J$52,'18_1'!$J$38,G242:G243)</f>
        <v>0</v>
      </c>
      <c r="G245" s="81"/>
      <c r="H245" s="111"/>
    </row>
    <row r="246" spans="1:8">
      <c r="A246" s="80"/>
      <c r="B246" s="81" t="s">
        <v>142</v>
      </c>
      <c r="C246" s="205" t="s">
        <v>668</v>
      </c>
      <c r="D246" s="81"/>
      <c r="E246" s="81"/>
      <c r="F246" s="81"/>
      <c r="G246" s="81"/>
      <c r="H246" s="111"/>
    </row>
    <row r="247" spans="1:8">
      <c r="A247" s="80"/>
      <c r="B247" s="81" t="s">
        <v>144</v>
      </c>
      <c r="C247" s="206">
        <f>DSUM('18_1'!$A$38:$H$52,'18_1'!$H$38,G242:G243)</f>
        <v>0</v>
      </c>
      <c r="D247" s="81"/>
      <c r="E247" s="81"/>
      <c r="F247" s="584"/>
      <c r="G247" s="584"/>
      <c r="H247" s="111"/>
    </row>
    <row r="248" spans="1:8" ht="15.75">
      <c r="A248" s="80"/>
      <c r="B248" s="81"/>
      <c r="C248" s="81" t="s">
        <v>146</v>
      </c>
      <c r="D248" s="145">
        <f>DMIN('18_1'!A$38:K$52,'18_1'!$J$38,G242:G243)</f>
        <v>0</v>
      </c>
      <c r="E248" s="189" t="str">
        <f>IF(F248=1,"Domingo",IF(F248=2,"Lunes",IF(F248=3,"Martes",IF(F248=4,"Miercoles",IF(F248=5,"Jueves",IF(F248=6,"Viernes",IF(F248=7,"Sábado",0)))))))</f>
        <v>Sábado</v>
      </c>
      <c r="F248" s="190">
        <f>WEEKDAY(D248)</f>
        <v>7</v>
      </c>
      <c r="G248" s="142"/>
      <c r="H248" s="111"/>
    </row>
    <row r="249" spans="1:8" ht="15.75">
      <c r="A249" s="80"/>
      <c r="B249" s="81"/>
      <c r="C249" s="81" t="s">
        <v>147</v>
      </c>
      <c r="D249" s="145">
        <f>DMAX('18_1'!A$38:L$52,'18_1'!$K$38,G242:G243)</f>
        <v>0</v>
      </c>
      <c r="E249" s="189" t="str">
        <f>IF(F249=1,"Domingo",IF(F249=2,"Lunes",IF(F249=3,"Martes",IF(F249=4,"Miercoles",IF(F249=5,"Jueves",IF(F249=6,"Viernes",IF(F249=7,"Sábado",0)))))))</f>
        <v>Sábado</v>
      </c>
      <c r="F249" s="190">
        <f>WEEKDAY(D249)</f>
        <v>7</v>
      </c>
      <c r="G249" s="142"/>
      <c r="H249" s="111"/>
    </row>
    <row r="250" spans="1:8">
      <c r="A250" s="80"/>
      <c r="B250" s="81"/>
      <c r="C250" s="81"/>
      <c r="D250" s="81"/>
      <c r="E250" s="81"/>
      <c r="F250" s="584"/>
      <c r="G250" s="584"/>
      <c r="H250" s="111"/>
    </row>
    <row r="251" spans="1:8">
      <c r="A251" s="80"/>
      <c r="B251" s="146">
        <f>+Mensajes!$B$7</f>
        <v>0</v>
      </c>
      <c r="C251" s="81"/>
      <c r="D251" s="81"/>
      <c r="E251" s="81"/>
      <c r="F251" s="81"/>
      <c r="G251" s="81"/>
      <c r="H251" s="111"/>
    </row>
    <row r="252" spans="1:8">
      <c r="A252" s="80"/>
      <c r="B252" s="146">
        <f>+Mensajes!$B$12</f>
        <v>0</v>
      </c>
      <c r="C252" s="81"/>
      <c r="D252" s="81"/>
      <c r="E252" s="81"/>
      <c r="F252" s="81"/>
      <c r="G252" s="81"/>
      <c r="H252" s="111"/>
    </row>
    <row r="253" spans="1:8">
      <c r="A253" s="80"/>
      <c r="B253" s="146" t="e">
        <f>IF(VLOOKUP(G243,'18_1'!$A$38:$M$52,13,0)=0,"",VLOOKUP(G243,'18_1'!$A$38:$M$52,13,0))</f>
        <v>#N/A</v>
      </c>
      <c r="C253" s="81"/>
      <c r="D253" s="81"/>
      <c r="E253" s="81"/>
      <c r="F253" s="81"/>
      <c r="G253" s="81"/>
      <c r="H253" s="111"/>
    </row>
    <row r="254" spans="1:8">
      <c r="A254" s="140"/>
      <c r="B254" s="188" t="str">
        <f>IF(DSUM('18_1'!$A$38:$P$52,16,G242:G243)=COUNTIF('18_1'!$A$39:$A$52,G243),"","Regularice su Deuda")</f>
        <v/>
      </c>
      <c r="C254" s="82"/>
      <c r="D254" s="82"/>
      <c r="E254" s="82"/>
      <c r="F254" s="82"/>
      <c r="G254" s="82"/>
      <c r="H254" s="83"/>
    </row>
    <row r="256" spans="1:8">
      <c r="A256" s="108"/>
      <c r="B256" s="109"/>
      <c r="C256" s="109"/>
      <c r="D256" s="109"/>
      <c r="E256" s="109"/>
      <c r="F256" s="109"/>
      <c r="G256" s="109"/>
      <c r="H256" s="110"/>
    </row>
    <row r="257" spans="1:8">
      <c r="A257" s="80"/>
      <c r="B257" s="147" t="s">
        <v>64</v>
      </c>
      <c r="C257" s="81"/>
      <c r="D257" s="81"/>
      <c r="E257" s="81"/>
      <c r="F257" s="81"/>
      <c r="G257" s="81"/>
      <c r="H257" s="111"/>
    </row>
    <row r="258" spans="1:8">
      <c r="A258" s="80"/>
      <c r="B258" s="81"/>
      <c r="C258" s="81"/>
      <c r="D258" s="81"/>
      <c r="E258" s="81"/>
      <c r="F258" s="81"/>
      <c r="G258" s="81"/>
      <c r="H258" s="111"/>
    </row>
    <row r="259" spans="1:8">
      <c r="A259" s="80"/>
      <c r="B259" s="81" t="s">
        <v>139</v>
      </c>
      <c r="C259" s="81" t="e">
        <f>VLOOKUP(G260,'18_1'!$A$38:$G$52,6,0)</f>
        <v>#N/A</v>
      </c>
      <c r="D259" s="81"/>
      <c r="E259" s="81"/>
      <c r="F259" s="81"/>
      <c r="G259" s="138" t="s">
        <v>102</v>
      </c>
      <c r="H259" s="111"/>
    </row>
    <row r="260" spans="1:8">
      <c r="A260" s="80"/>
      <c r="B260" s="81" t="s">
        <v>72</v>
      </c>
      <c r="C260" s="81" t="str">
        <f>+'18_1'!$G$2</f>
        <v>Hijuela Morón</v>
      </c>
      <c r="D260" s="81"/>
      <c r="E260" s="81"/>
      <c r="F260" s="81"/>
      <c r="G260" s="138">
        <v>16</v>
      </c>
      <c r="H260" s="111"/>
    </row>
    <row r="261" spans="1:8">
      <c r="A261" s="80"/>
      <c r="B261" s="81"/>
      <c r="C261" s="81"/>
      <c r="D261" s="81"/>
      <c r="E261" s="81"/>
      <c r="F261" s="81"/>
      <c r="G261" s="81"/>
      <c r="H261" s="111"/>
    </row>
    <row r="262" spans="1:8">
      <c r="A262" s="80"/>
      <c r="B262" s="81" t="s">
        <v>140</v>
      </c>
      <c r="C262" s="138" t="e">
        <f>VLOOKUP(G260,'18_1'!$A$38:$B$52,2,0)</f>
        <v>#N/A</v>
      </c>
      <c r="D262" s="81"/>
      <c r="E262" s="139" t="s">
        <v>141</v>
      </c>
      <c r="F262" s="141">
        <f>DSUM('18_1'!A$38:J$52,'18_1'!$J$38,G259:G260)</f>
        <v>0</v>
      </c>
      <c r="G262" s="81"/>
      <c r="H262" s="111"/>
    </row>
    <row r="263" spans="1:8">
      <c r="A263" s="80"/>
      <c r="B263" s="81" t="s">
        <v>142</v>
      </c>
      <c r="C263" s="205" t="s">
        <v>669</v>
      </c>
      <c r="D263" s="81"/>
      <c r="E263" s="81"/>
      <c r="F263" s="81"/>
      <c r="G263" s="81"/>
      <c r="H263" s="111"/>
    </row>
    <row r="264" spans="1:8">
      <c r="A264" s="80"/>
      <c r="B264" s="81" t="s">
        <v>144</v>
      </c>
      <c r="C264" s="206">
        <f>DSUM('18_1'!$A$38:$H$52,'18_1'!$H$38,G259:G260)</f>
        <v>0</v>
      </c>
      <c r="D264" s="81"/>
      <c r="E264" s="81"/>
      <c r="F264" s="584"/>
      <c r="G264" s="584"/>
      <c r="H264" s="111"/>
    </row>
    <row r="265" spans="1:8" ht="15.75">
      <c r="A265" s="80"/>
      <c r="B265" s="81"/>
      <c r="C265" s="81" t="s">
        <v>146</v>
      </c>
      <c r="D265" s="145">
        <f>DMIN('18_1'!A$38:K$52,'18_1'!$J$38,G259:G260)</f>
        <v>0</v>
      </c>
      <c r="E265" s="189" t="str">
        <f>IF(F265=1,"Domingo",IF(F265=2,"Lunes",IF(F265=3,"Martes",IF(F265=4,"Miercoles",IF(F265=5,"Jueves",IF(F265=6,"Viernes",IF(F265=7,"Sábado",0)))))))</f>
        <v>Sábado</v>
      </c>
      <c r="F265" s="190">
        <f>WEEKDAY(D265)</f>
        <v>7</v>
      </c>
      <c r="G265" s="142"/>
      <c r="H265" s="111"/>
    </row>
    <row r="266" spans="1:8" ht="15.75">
      <c r="A266" s="80"/>
      <c r="B266" s="81"/>
      <c r="C266" s="81" t="s">
        <v>147</v>
      </c>
      <c r="D266" s="145">
        <f>DMAX('18_1'!A$38:L$52,'18_1'!$K$38,G259:G260)</f>
        <v>0</v>
      </c>
      <c r="E266" s="189" t="str">
        <f>IF(F266=1,"Domingo",IF(F266=2,"Lunes",IF(F266=3,"Martes",IF(F266=4,"Miercoles",IF(F266=5,"Jueves",IF(F266=6,"Viernes",IF(F266=7,"Sábado",0)))))))</f>
        <v>Sábado</v>
      </c>
      <c r="F266" s="190">
        <f>WEEKDAY(D266)</f>
        <v>7</v>
      </c>
      <c r="G266" s="142"/>
      <c r="H266" s="111"/>
    </row>
    <row r="267" spans="1:8">
      <c r="A267" s="80"/>
      <c r="B267" s="81"/>
      <c r="C267" s="81"/>
      <c r="D267" s="81"/>
      <c r="E267" s="81"/>
      <c r="F267" s="584"/>
      <c r="G267" s="584"/>
      <c r="H267" s="111"/>
    </row>
    <row r="268" spans="1:8">
      <c r="A268" s="80"/>
      <c r="B268" s="146">
        <f>+Mensajes!$B$7</f>
        <v>0</v>
      </c>
      <c r="C268" s="81"/>
      <c r="D268" s="81"/>
      <c r="E268" s="81"/>
      <c r="F268" s="81"/>
      <c r="G268" s="81"/>
      <c r="H268" s="111"/>
    </row>
    <row r="269" spans="1:8">
      <c r="A269" s="80"/>
      <c r="B269" s="146">
        <f>+Mensajes!$B$12</f>
        <v>0</v>
      </c>
      <c r="C269" s="81"/>
      <c r="D269" s="81"/>
      <c r="E269" s="81"/>
      <c r="F269" s="81"/>
      <c r="G269" s="81"/>
      <c r="H269" s="111"/>
    </row>
    <row r="270" spans="1:8">
      <c r="A270" s="80"/>
      <c r="B270" s="146" t="e">
        <f>IF(VLOOKUP(G260,'18_1'!$A$38:$M$52,13,0)=0,"",VLOOKUP(G260,'18_1'!$A$38:$M$52,13,0))</f>
        <v>#N/A</v>
      </c>
      <c r="C270" s="81"/>
      <c r="D270" s="81"/>
      <c r="E270" s="81"/>
      <c r="F270" s="81"/>
      <c r="G270" s="81"/>
      <c r="H270" s="111"/>
    </row>
    <row r="271" spans="1:8">
      <c r="A271" s="140"/>
      <c r="B271" s="188" t="str">
        <f>IF(DSUM('18_1'!$A$38:$P$52,16,G259:G260)=COUNTIF('18_1'!$A$39:$A$52,G260),"","Regularice su Deuda")</f>
        <v/>
      </c>
      <c r="C271" s="82"/>
      <c r="D271" s="82"/>
      <c r="E271" s="82"/>
      <c r="F271" s="82"/>
      <c r="G271" s="82"/>
      <c r="H271" s="83"/>
    </row>
    <row r="273" spans="1:8">
      <c r="A273" s="108"/>
      <c r="B273" s="109"/>
      <c r="C273" s="109"/>
      <c r="D273" s="109"/>
      <c r="E273" s="109"/>
      <c r="F273" s="109"/>
      <c r="G273" s="109"/>
      <c r="H273" s="110"/>
    </row>
    <row r="274" spans="1:8">
      <c r="A274" s="80"/>
      <c r="B274" s="147" t="s">
        <v>64</v>
      </c>
      <c r="C274" s="81"/>
      <c r="D274" s="81"/>
      <c r="E274" s="81"/>
      <c r="F274" s="81"/>
      <c r="G274" s="81"/>
      <c r="H274" s="111"/>
    </row>
    <row r="275" spans="1:8">
      <c r="A275" s="80"/>
      <c r="B275" s="81"/>
      <c r="C275" s="81"/>
      <c r="D275" s="81"/>
      <c r="E275" s="81"/>
      <c r="F275" s="81"/>
      <c r="G275" s="81"/>
      <c r="H275" s="111"/>
    </row>
    <row r="276" spans="1:8">
      <c r="A276" s="80"/>
      <c r="B276" s="81" t="s">
        <v>139</v>
      </c>
      <c r="C276" s="81" t="e">
        <f>VLOOKUP(G277,'18_1'!$A$38:$G$52,6,0)</f>
        <v>#N/A</v>
      </c>
      <c r="D276" s="81"/>
      <c r="E276" s="81"/>
      <c r="F276" s="81"/>
      <c r="G276" s="138" t="s">
        <v>102</v>
      </c>
      <c r="H276" s="111"/>
    </row>
    <row r="277" spans="1:8">
      <c r="A277" s="80"/>
      <c r="B277" s="81" t="s">
        <v>72</v>
      </c>
      <c r="C277" s="81" t="str">
        <f>+'18_1'!$G$2</f>
        <v>Hijuela Morón</v>
      </c>
      <c r="D277" s="81"/>
      <c r="E277" s="81"/>
      <c r="F277" s="81"/>
      <c r="G277" s="138">
        <v>17</v>
      </c>
      <c r="H277" s="111"/>
    </row>
    <row r="278" spans="1:8">
      <c r="A278" s="80"/>
      <c r="B278" s="81"/>
      <c r="C278" s="81"/>
      <c r="D278" s="81"/>
      <c r="E278" s="81"/>
      <c r="F278" s="81"/>
      <c r="G278" s="81"/>
      <c r="H278" s="111"/>
    </row>
    <row r="279" spans="1:8">
      <c r="A279" s="80"/>
      <c r="B279" s="81" t="s">
        <v>140</v>
      </c>
      <c r="C279" s="138" t="e">
        <f>VLOOKUP(G277,'18_1'!$A$38:$B$52,2,0)</f>
        <v>#N/A</v>
      </c>
      <c r="D279" s="81"/>
      <c r="E279" s="139" t="s">
        <v>141</v>
      </c>
      <c r="F279" s="141">
        <f>DSUM('18_1'!A$38:J$52,'18_1'!$J$38,G276:G277)</f>
        <v>0</v>
      </c>
      <c r="G279" s="81"/>
      <c r="H279" s="111"/>
    </row>
    <row r="280" spans="1:8">
      <c r="A280" s="80"/>
      <c r="B280" s="81" t="s">
        <v>142</v>
      </c>
      <c r="C280" s="205" t="s">
        <v>670</v>
      </c>
      <c r="D280" s="81"/>
      <c r="E280" s="81"/>
      <c r="F280" s="81"/>
      <c r="G280" s="81"/>
      <c r="H280" s="111"/>
    </row>
    <row r="281" spans="1:8">
      <c r="A281" s="80"/>
      <c r="B281" s="81" t="s">
        <v>144</v>
      </c>
      <c r="C281" s="206">
        <f>DSUM('18_1'!$A$38:$H$52,'18_1'!$H$38,G276:G277)</f>
        <v>0</v>
      </c>
      <c r="D281" s="81"/>
      <c r="E281" s="81"/>
      <c r="F281" s="584"/>
      <c r="G281" s="584"/>
      <c r="H281" s="111"/>
    </row>
    <row r="282" spans="1:8" ht="15.75">
      <c r="A282" s="80"/>
      <c r="B282" s="81"/>
      <c r="C282" s="81" t="s">
        <v>146</v>
      </c>
      <c r="D282" s="145">
        <f>DMIN('18_1'!A$38:K$52,'18_1'!$J$38,G276:G277)</f>
        <v>0</v>
      </c>
      <c r="E282" s="189" t="str">
        <f>IF(F282=1,"Domingo",IF(F282=2,"Lunes",IF(F282=3,"Martes",IF(F282=4,"Miercoles",IF(F282=5,"Jueves",IF(F282=6,"Viernes",IF(F282=7,"Sábado",0)))))))</f>
        <v>Sábado</v>
      </c>
      <c r="F282" s="190">
        <f>WEEKDAY(D282)</f>
        <v>7</v>
      </c>
      <c r="G282" s="142"/>
      <c r="H282" s="111"/>
    </row>
    <row r="283" spans="1:8" ht="15.75">
      <c r="A283" s="80"/>
      <c r="B283" s="81"/>
      <c r="C283" s="81" t="s">
        <v>147</v>
      </c>
      <c r="D283" s="145">
        <f>DMAX('18_1'!A$38:L$52,'18_1'!$K$38,G276:G277)</f>
        <v>0</v>
      </c>
      <c r="E283" s="189" t="str">
        <f>IF(F283=1,"Domingo",IF(F283=2,"Lunes",IF(F283=3,"Martes",IF(F283=4,"Miercoles",IF(F283=5,"Jueves",IF(F283=6,"Viernes",IF(F283=7,"Sábado",0)))))))</f>
        <v>Sábado</v>
      </c>
      <c r="F283" s="190">
        <f>WEEKDAY(D283)</f>
        <v>7</v>
      </c>
      <c r="G283" s="142"/>
      <c r="H283" s="111"/>
    </row>
    <row r="284" spans="1:8">
      <c r="A284" s="80"/>
      <c r="B284" s="81"/>
      <c r="C284" s="81"/>
      <c r="D284" s="81"/>
      <c r="E284" s="81"/>
      <c r="F284" s="584"/>
      <c r="G284" s="584"/>
      <c r="H284" s="111"/>
    </row>
    <row r="285" spans="1:8">
      <c r="A285" s="80"/>
      <c r="B285" s="146">
        <f>+Mensajes!$B$7</f>
        <v>0</v>
      </c>
      <c r="C285" s="81"/>
      <c r="D285" s="81"/>
      <c r="E285" s="81"/>
      <c r="F285" s="81"/>
      <c r="G285" s="81"/>
      <c r="H285" s="111"/>
    </row>
    <row r="286" spans="1:8">
      <c r="A286" s="80"/>
      <c r="B286" s="146">
        <f>+Mensajes!$B$12</f>
        <v>0</v>
      </c>
      <c r="C286" s="81"/>
      <c r="D286" s="81"/>
      <c r="E286" s="81"/>
      <c r="F286" s="81"/>
      <c r="G286" s="81"/>
      <c r="H286" s="111"/>
    </row>
    <row r="287" spans="1:8">
      <c r="A287" s="80"/>
      <c r="B287" s="146" t="e">
        <f>IF(VLOOKUP(G277,'18_1'!$A$38:$M$52,13,0)=0,"",VLOOKUP(G277,'18_1'!$A$38:$M$52,13,0))</f>
        <v>#N/A</v>
      </c>
      <c r="C287" s="81"/>
      <c r="D287" s="81"/>
      <c r="E287" s="81"/>
      <c r="F287" s="81"/>
      <c r="G287" s="81"/>
      <c r="H287" s="111"/>
    </row>
    <row r="288" spans="1:8">
      <c r="A288" s="140"/>
      <c r="B288" s="188" t="str">
        <f>IF(DSUM('18_1'!$A$38:$P$52,16,G276:G277)=COUNTIF('18_1'!$A$39:$A$52,G277),"","Regularice su Deuda")</f>
        <v/>
      </c>
      <c r="C288" s="82"/>
      <c r="D288" s="82"/>
      <c r="E288" s="82"/>
      <c r="F288" s="82"/>
      <c r="G288" s="82"/>
      <c r="H288" s="83"/>
    </row>
    <row r="290" spans="1:8">
      <c r="A290" s="108"/>
      <c r="B290" s="109"/>
      <c r="C290" s="109"/>
      <c r="D290" s="109"/>
      <c r="E290" s="109"/>
      <c r="F290" s="109"/>
      <c r="G290" s="109"/>
      <c r="H290" s="110"/>
    </row>
    <row r="291" spans="1:8">
      <c r="A291" s="80"/>
      <c r="B291" s="147" t="s">
        <v>64</v>
      </c>
      <c r="C291" s="81"/>
      <c r="D291" s="81"/>
      <c r="E291" s="81"/>
      <c r="F291" s="81"/>
      <c r="G291" s="81"/>
      <c r="H291" s="111"/>
    </row>
    <row r="292" spans="1:8">
      <c r="A292" s="80"/>
      <c r="B292" s="81"/>
      <c r="C292" s="81"/>
      <c r="D292" s="81"/>
      <c r="E292" s="81"/>
      <c r="F292" s="81"/>
      <c r="G292" s="81"/>
      <c r="H292" s="111"/>
    </row>
    <row r="293" spans="1:8">
      <c r="A293" s="80"/>
      <c r="B293" s="81" t="s">
        <v>139</v>
      </c>
      <c r="C293" s="81" t="str">
        <f>VLOOKUP(G294,'18_1'!$A$133:$G$156,6,0)</f>
        <v>YERDEO ALEJANDRO</v>
      </c>
      <c r="D293" s="81"/>
      <c r="E293" s="81"/>
      <c r="F293" s="81"/>
      <c r="G293" s="138" t="s">
        <v>102</v>
      </c>
      <c r="H293" s="111"/>
    </row>
    <row r="294" spans="1:8">
      <c r="A294" s="80"/>
      <c r="B294" s="81" t="s">
        <v>72</v>
      </c>
      <c r="C294" s="81" t="str">
        <f>+'18_1'!$G$2</f>
        <v>Hijuela Morón</v>
      </c>
      <c r="D294" s="81"/>
      <c r="E294" s="81"/>
      <c r="F294" s="81"/>
      <c r="G294" s="138">
        <v>1</v>
      </c>
      <c r="H294" s="111"/>
    </row>
    <row r="295" spans="1:8">
      <c r="A295" s="80"/>
      <c r="B295" s="81"/>
      <c r="C295" s="81"/>
      <c r="D295" s="81"/>
      <c r="E295" s="81"/>
      <c r="F295" s="81"/>
      <c r="G295" s="81"/>
      <c r="H295" s="111"/>
    </row>
    <row r="296" spans="1:8">
      <c r="A296" s="80"/>
      <c r="B296" s="81" t="s">
        <v>140</v>
      </c>
      <c r="C296" s="138">
        <f>VLOOKUP(G294,'18_1'!$A$133:$B$156,2,0)</f>
        <v>1214</v>
      </c>
      <c r="D296" s="81"/>
      <c r="E296" s="139" t="s">
        <v>141</v>
      </c>
      <c r="F296" s="141" t="e">
        <f>DSUM('18_1'!A$133:J$156,'18_1'!$J$133,G293:G294)</f>
        <v>#REF!</v>
      </c>
      <c r="G296" s="81"/>
      <c r="H296" s="111"/>
    </row>
    <row r="297" spans="1:8">
      <c r="A297" s="80"/>
      <c r="B297" s="81" t="s">
        <v>142</v>
      </c>
      <c r="C297" s="205">
        <v>152</v>
      </c>
      <c r="D297" s="81"/>
      <c r="E297" s="81"/>
      <c r="F297" s="81"/>
      <c r="G297" s="81"/>
      <c r="H297" s="111"/>
    </row>
    <row r="298" spans="1:8">
      <c r="A298" s="80"/>
      <c r="B298" s="81" t="s">
        <v>144</v>
      </c>
      <c r="C298" s="206" t="e">
        <f>DSUM('18_1'!$A$133:$H$156,'18_1'!$H$133,G293:G294)</f>
        <v>#N/A</v>
      </c>
      <c r="D298" s="81"/>
      <c r="E298" s="81"/>
      <c r="F298" s="584"/>
      <c r="G298" s="584"/>
      <c r="H298" s="111"/>
    </row>
    <row r="299" spans="1:8" ht="15.75">
      <c r="A299" s="80"/>
      <c r="B299" s="81"/>
      <c r="C299" s="81" t="s">
        <v>146</v>
      </c>
      <c r="D299" s="145" t="e">
        <f>DMIN('18_1'!A$133:K$156,'18_1'!$J$133,G293:G294)</f>
        <v>#REF!</v>
      </c>
      <c r="E299" s="189" t="e">
        <f>IF(F299=1,"Domingo",IF(F299=2,"Lunes",IF(F299=3,"Martes",IF(F299=4,"Miercoles",IF(F299=5,"Jueves",IF(F299=6,"Viernes",IF(F299=7,"Sábado",0)))))))</f>
        <v>#REF!</v>
      </c>
      <c r="F299" s="190" t="e">
        <f>WEEKDAY(D299)</f>
        <v>#REF!</v>
      </c>
      <c r="G299" s="142"/>
      <c r="H299" s="111"/>
    </row>
    <row r="300" spans="1:8" ht="15.75">
      <c r="A300" s="80"/>
      <c r="B300" s="81"/>
      <c r="C300" s="81" t="s">
        <v>147</v>
      </c>
      <c r="D300" s="145" t="e">
        <f>DMAX('18_1'!A$133:L$156,'18_1'!$K$133,G293:G294)</f>
        <v>#REF!</v>
      </c>
      <c r="E300" s="189" t="e">
        <f>IF(F300=1,"Domingo",IF(F300=2,"Lunes",IF(F300=3,"Martes",IF(F300=4,"Miercoles",IF(F300=5,"Jueves",IF(F300=6,"Viernes",IF(F300=7,"Sábado",0)))))))</f>
        <v>#REF!</v>
      </c>
      <c r="F300" s="190" t="e">
        <f>WEEKDAY(D300)</f>
        <v>#REF!</v>
      </c>
      <c r="G300" s="142"/>
      <c r="H300" s="111"/>
    </row>
    <row r="301" spans="1:8">
      <c r="A301" s="80"/>
      <c r="B301" s="81"/>
      <c r="C301" s="81"/>
      <c r="D301" s="81"/>
      <c r="E301" s="81"/>
      <c r="F301" s="584"/>
      <c r="G301" s="584"/>
      <c r="H301" s="111"/>
    </row>
    <row r="302" spans="1:8">
      <c r="A302" s="80"/>
      <c r="B302" s="146">
        <f>+Mensajes!$B$7</f>
        <v>0</v>
      </c>
      <c r="C302" s="81"/>
      <c r="D302" s="81"/>
      <c r="E302" s="81"/>
      <c r="F302" s="81"/>
      <c r="G302" s="81"/>
      <c r="H302" s="111"/>
    </row>
    <row r="303" spans="1:8">
      <c r="A303" s="80"/>
      <c r="B303" s="146">
        <f>+Mensajes!$B$12</f>
        <v>0</v>
      </c>
      <c r="C303" s="81"/>
      <c r="D303" s="81"/>
      <c r="E303" s="81"/>
      <c r="F303" s="81"/>
      <c r="G303" s="81"/>
      <c r="H303" s="111"/>
    </row>
    <row r="304" spans="1:8">
      <c r="A304" s="80"/>
      <c r="B304" s="146" t="str">
        <f>IF(VLOOKUP(G294,'18_1'!$A$133:$M$156,13,0)=0,"",VLOOKUP(G294,'18_1'!$A$133:$M$156,13,0))</f>
        <v/>
      </c>
      <c r="C304" s="81"/>
      <c r="D304" s="81"/>
      <c r="E304" s="81"/>
      <c r="F304" s="81"/>
      <c r="G304" s="81"/>
      <c r="H304" s="111"/>
    </row>
    <row r="305" spans="1:8">
      <c r="A305" s="140"/>
      <c r="B305" s="188" t="str">
        <f>IF(DSUM('18_1'!$A$133:$P$156,16,G293:G294)=COUNTIF('18_1'!$A$133:$A$156,G294),"","Regularice su Deuda")</f>
        <v/>
      </c>
      <c r="C305" s="82"/>
      <c r="D305" s="82"/>
      <c r="E305" s="82"/>
      <c r="F305" s="82"/>
      <c r="G305" s="82"/>
      <c r="H305" s="83"/>
    </row>
    <row r="307" spans="1:8">
      <c r="A307" s="108"/>
      <c r="B307" s="109"/>
      <c r="C307" s="109"/>
      <c r="D307" s="109"/>
      <c r="E307" s="109"/>
      <c r="F307" s="109"/>
      <c r="G307" s="109"/>
      <c r="H307" s="110"/>
    </row>
    <row r="308" spans="1:8">
      <c r="A308" s="80"/>
      <c r="B308" s="147" t="s">
        <v>64</v>
      </c>
      <c r="C308" s="81"/>
      <c r="D308" s="81"/>
      <c r="E308" s="81"/>
      <c r="F308" s="81"/>
      <c r="G308" s="81"/>
      <c r="H308" s="111"/>
    </row>
    <row r="309" spans="1:8">
      <c r="A309" s="80"/>
      <c r="B309" s="81"/>
      <c r="C309" s="81"/>
      <c r="D309" s="81"/>
      <c r="E309" s="81"/>
      <c r="F309" s="81"/>
      <c r="G309" s="81"/>
      <c r="H309" s="111"/>
    </row>
    <row r="310" spans="1:8">
      <c r="A310" s="80"/>
      <c r="B310" s="81" t="s">
        <v>139</v>
      </c>
      <c r="C310" s="81" t="str">
        <f>VLOOKUP(G311,'18_1'!$A$133:$G$156,6,0)</f>
        <v>RODRIGUEZ DE GONZALEZ, GERONIMA Y RODRIGUEZ, SILVIA DEL CARMEN</v>
      </c>
      <c r="D310" s="81"/>
      <c r="E310" s="81"/>
      <c r="F310" s="81"/>
      <c r="G310" s="138" t="s">
        <v>102</v>
      </c>
      <c r="H310" s="111"/>
    </row>
    <row r="311" spans="1:8">
      <c r="A311" s="80"/>
      <c r="B311" s="81" t="s">
        <v>72</v>
      </c>
      <c r="C311" s="81" t="str">
        <f>+'18_1'!$G$2</f>
        <v>Hijuela Morón</v>
      </c>
      <c r="D311" s="81"/>
      <c r="E311" s="81"/>
      <c r="F311" s="81"/>
      <c r="G311" s="138">
        <v>2</v>
      </c>
      <c r="H311" s="111"/>
    </row>
    <row r="312" spans="1:8">
      <c r="A312" s="80"/>
      <c r="B312" s="81"/>
      <c r="C312" s="81"/>
      <c r="D312" s="81"/>
      <c r="E312" s="81"/>
      <c r="F312" s="81"/>
      <c r="G312" s="81"/>
      <c r="H312" s="111"/>
    </row>
    <row r="313" spans="1:8">
      <c r="A313" s="80"/>
      <c r="B313" s="81" t="s">
        <v>140</v>
      </c>
      <c r="C313" s="138">
        <f>VLOOKUP(G311,'18_1'!$A$133:$B$156,2,0)</f>
        <v>1214</v>
      </c>
      <c r="D313" s="81"/>
      <c r="E313" s="139" t="s">
        <v>141</v>
      </c>
      <c r="F313" s="141" t="e">
        <f>DSUM('18_1'!A$133:J$156,'18_1'!$J$133,G310:G311)</f>
        <v>#REF!</v>
      </c>
      <c r="G313" s="81"/>
      <c r="H313" s="111"/>
    </row>
    <row r="314" spans="1:8">
      <c r="A314" s="80"/>
      <c r="B314" s="81" t="s">
        <v>142</v>
      </c>
      <c r="C314" s="207" t="s">
        <v>671</v>
      </c>
      <c r="D314" s="81"/>
      <c r="E314" s="81"/>
      <c r="F314" s="81"/>
      <c r="G314" s="81"/>
      <c r="H314" s="111"/>
    </row>
    <row r="315" spans="1:8">
      <c r="A315" s="80"/>
      <c r="B315" s="81" t="s">
        <v>144</v>
      </c>
      <c r="C315" s="206" t="e">
        <f>DSUM('18_1'!$A$133:$H$156,'18_1'!$H$133,G310:G311)</f>
        <v>#N/A</v>
      </c>
      <c r="D315" s="81"/>
      <c r="E315" s="81"/>
      <c r="F315" s="584"/>
      <c r="G315" s="584"/>
      <c r="H315" s="111"/>
    </row>
    <row r="316" spans="1:8" ht="15.75">
      <c r="A316" s="80"/>
      <c r="B316" s="81"/>
      <c r="C316" s="81" t="s">
        <v>146</v>
      </c>
      <c r="D316" s="145" t="e">
        <f>DMIN('18_1'!A$133:K$156,'18_1'!$J$133,G310:G311)</f>
        <v>#REF!</v>
      </c>
      <c r="E316" s="189" t="e">
        <f>IF(F316=1,"Domingo",IF(F316=2,"Lunes",IF(F316=3,"Martes",IF(F316=4,"Miercoles",IF(F316=5,"Jueves",IF(F316=6,"Viernes",IF(F316=7,"Sábado",0)))))))</f>
        <v>#REF!</v>
      </c>
      <c r="F316" s="190" t="e">
        <f>WEEKDAY(D316)</f>
        <v>#REF!</v>
      </c>
      <c r="G316" s="142"/>
      <c r="H316" s="111"/>
    </row>
    <row r="317" spans="1:8" ht="15.75">
      <c r="A317" s="80"/>
      <c r="B317" s="81"/>
      <c r="C317" s="81" t="s">
        <v>147</v>
      </c>
      <c r="D317" s="145" t="e">
        <f>DMAX('18_1'!A$133:L$156,'18_1'!$K$133,G310:G311)</f>
        <v>#REF!</v>
      </c>
      <c r="E317" s="189" t="e">
        <f>IF(F317=1,"Domingo",IF(F317=2,"Lunes",IF(F317=3,"Martes",IF(F317=4,"Miercoles",IF(F317=5,"Jueves",IF(F317=6,"Viernes",IF(F317=7,"Sábado",0)))))))</f>
        <v>#REF!</v>
      </c>
      <c r="F317" s="190" t="e">
        <f>WEEKDAY(D317)</f>
        <v>#REF!</v>
      </c>
      <c r="G317" s="142"/>
      <c r="H317" s="111"/>
    </row>
    <row r="318" spans="1:8">
      <c r="A318" s="80"/>
      <c r="B318" s="81"/>
      <c r="C318" s="81"/>
      <c r="D318" s="81"/>
      <c r="E318" s="81"/>
      <c r="F318" s="584"/>
      <c r="G318" s="584"/>
      <c r="H318" s="111"/>
    </row>
    <row r="319" spans="1:8">
      <c r="A319" s="80"/>
      <c r="B319" s="146">
        <f>+Mensajes!$B$7</f>
        <v>0</v>
      </c>
      <c r="C319" s="81"/>
      <c r="D319" s="81"/>
      <c r="E319" s="81"/>
      <c r="F319" s="81"/>
      <c r="G319" s="81"/>
      <c r="H319" s="111"/>
    </row>
    <row r="320" spans="1:8">
      <c r="A320" s="80"/>
      <c r="B320" s="146">
        <f>+Mensajes!$B$12</f>
        <v>0</v>
      </c>
      <c r="C320" s="81"/>
      <c r="D320" s="81"/>
      <c r="E320" s="81"/>
      <c r="F320" s="81"/>
      <c r="G320" s="81"/>
      <c r="H320" s="111"/>
    </row>
    <row r="321" spans="1:8">
      <c r="A321" s="80"/>
      <c r="B321" s="146" t="str">
        <f>IF(VLOOKUP(G311,'18_1'!$A$133:$M$156,13,0)=0,"",VLOOKUP(G311,'18_1'!$A$133:$M$156,13,0))</f>
        <v/>
      </c>
      <c r="C321" s="81"/>
      <c r="D321" s="81"/>
      <c r="E321" s="81"/>
      <c r="F321" s="81"/>
      <c r="G321" s="81"/>
      <c r="H321" s="111"/>
    </row>
    <row r="322" spans="1:8">
      <c r="A322" s="140"/>
      <c r="B322" s="188" t="e">
        <f>IF(DSUM('18_1'!$A$133:$P$156,16,G310:G311)=COUNTIF('18_1'!$A$133:$A$156,G311),"","Regularice su Deuda")</f>
        <v>#N/A</v>
      </c>
      <c r="C322" s="82"/>
      <c r="D322" s="82"/>
      <c r="E322" s="82"/>
      <c r="F322" s="82"/>
      <c r="G322" s="82"/>
      <c r="H322" s="83"/>
    </row>
    <row r="324" spans="1:8">
      <c r="A324" s="108"/>
      <c r="B324" s="109"/>
      <c r="C324" s="109"/>
      <c r="D324" s="109"/>
      <c r="E324" s="109"/>
      <c r="F324" s="109"/>
      <c r="G324" s="109"/>
      <c r="H324" s="110"/>
    </row>
    <row r="325" spans="1:8">
      <c r="A325" s="80"/>
      <c r="B325" s="147" t="s">
        <v>64</v>
      </c>
      <c r="C325" s="81"/>
      <c r="D325" s="81"/>
      <c r="E325" s="81"/>
      <c r="F325" s="81"/>
      <c r="G325" s="81"/>
      <c r="H325" s="111"/>
    </row>
    <row r="326" spans="1:8">
      <c r="A326" s="80"/>
      <c r="B326" s="81"/>
      <c r="C326" s="81"/>
      <c r="D326" s="81"/>
      <c r="E326" s="81"/>
      <c r="F326" s="81"/>
      <c r="G326" s="81"/>
      <c r="H326" s="111"/>
    </row>
    <row r="327" spans="1:8">
      <c r="A327" s="80"/>
      <c r="B327" s="81" t="s">
        <v>139</v>
      </c>
      <c r="C327" s="81" t="str">
        <f>VLOOKUP(G328,'18_1'!$A$133:$G$156,6,0)</f>
        <v>MENGONI, HECTOR NELSON</v>
      </c>
      <c r="D327" s="81"/>
      <c r="E327" s="81"/>
      <c r="F327" s="81"/>
      <c r="G327" s="138" t="s">
        <v>102</v>
      </c>
      <c r="H327" s="111"/>
    </row>
    <row r="328" spans="1:8">
      <c r="A328" s="80"/>
      <c r="B328" s="81" t="s">
        <v>72</v>
      </c>
      <c r="C328" s="81" t="str">
        <f>+'18_1'!$G$2</f>
        <v>Hijuela Morón</v>
      </c>
      <c r="D328" s="81"/>
      <c r="E328" s="81"/>
      <c r="F328" s="81"/>
      <c r="G328" s="138">
        <v>3</v>
      </c>
      <c r="H328" s="111"/>
    </row>
    <row r="329" spans="1:8">
      <c r="A329" s="80"/>
      <c r="B329" s="81"/>
      <c r="C329" s="81"/>
      <c r="D329" s="81"/>
      <c r="E329" s="81"/>
      <c r="F329" s="81"/>
      <c r="G329" s="81"/>
      <c r="H329" s="111"/>
    </row>
    <row r="330" spans="1:8">
      <c r="A330" s="80"/>
      <c r="B330" s="81" t="s">
        <v>140</v>
      </c>
      <c r="C330" s="138">
        <f>VLOOKUP(G328,'18_1'!$A$133:$B$156,2,0)</f>
        <v>1214</v>
      </c>
      <c r="D330" s="81"/>
      <c r="E330" s="139" t="s">
        <v>141</v>
      </c>
      <c r="F330" s="141" t="e">
        <f>DSUM('18_1'!A$133:J$156,'18_1'!$J$133,G327:G328)</f>
        <v>#REF!</v>
      </c>
      <c r="G330" s="81"/>
      <c r="H330" s="111"/>
    </row>
    <row r="331" spans="1:8">
      <c r="A331" s="80"/>
      <c r="B331" s="81" t="s">
        <v>142</v>
      </c>
      <c r="C331" s="205">
        <v>113</v>
      </c>
      <c r="D331" s="81"/>
      <c r="E331" s="81"/>
      <c r="F331" s="81"/>
      <c r="G331" s="81"/>
      <c r="H331" s="111"/>
    </row>
    <row r="332" spans="1:8">
      <c r="A332" s="80"/>
      <c r="B332" s="81" t="s">
        <v>144</v>
      </c>
      <c r="C332" s="206" t="e">
        <f>DSUM('18_1'!$A$133:$H$156,'18_1'!$H$133,G327:G328)</f>
        <v>#N/A</v>
      </c>
      <c r="D332" s="81"/>
      <c r="E332" s="81"/>
      <c r="F332" s="584"/>
      <c r="G332" s="584"/>
      <c r="H332" s="111"/>
    </row>
    <row r="333" spans="1:8" ht="15.75">
      <c r="A333" s="80"/>
      <c r="B333" s="81"/>
      <c r="C333" s="81" t="s">
        <v>146</v>
      </c>
      <c r="D333" s="145" t="e">
        <f>DMIN('18_1'!A$133:K$156,'18_1'!$J$133,G327:G328)</f>
        <v>#REF!</v>
      </c>
      <c r="E333" s="189" t="e">
        <f>IF(F333=1,"Domingo",IF(F333=2,"Lunes",IF(F333=3,"Martes",IF(F333=4,"Miercoles",IF(F333=5,"Jueves",IF(F333=6,"Viernes",IF(F333=7,"Sábado",0)))))))</f>
        <v>#REF!</v>
      </c>
      <c r="F333" s="190" t="e">
        <f>WEEKDAY(D333)</f>
        <v>#REF!</v>
      </c>
      <c r="G333" s="142"/>
      <c r="H333" s="111"/>
    </row>
    <row r="334" spans="1:8" ht="15.75">
      <c r="A334" s="80"/>
      <c r="B334" s="81"/>
      <c r="C334" s="81" t="s">
        <v>147</v>
      </c>
      <c r="D334" s="145" t="e">
        <f>DMAX('18_1'!A$133:L$156,'18_1'!$K$133,G327:G328)</f>
        <v>#REF!</v>
      </c>
      <c r="E334" s="189" t="e">
        <f>IF(F334=1,"Domingo",IF(F334=2,"Lunes",IF(F334=3,"Martes",IF(F334=4,"Miercoles",IF(F334=5,"Jueves",IF(F334=6,"Viernes",IF(F334=7,"Sábado",0)))))))</f>
        <v>#REF!</v>
      </c>
      <c r="F334" s="190" t="e">
        <f>WEEKDAY(D334)</f>
        <v>#REF!</v>
      </c>
      <c r="G334" s="142"/>
      <c r="H334" s="111"/>
    </row>
    <row r="335" spans="1:8">
      <c r="A335" s="80"/>
      <c r="B335" s="81"/>
      <c r="C335" s="81"/>
      <c r="D335" s="81"/>
      <c r="E335" s="81"/>
      <c r="F335" s="584"/>
      <c r="G335" s="584"/>
      <c r="H335" s="111"/>
    </row>
    <row r="336" spans="1:8">
      <c r="A336" s="80"/>
      <c r="B336" s="146">
        <f>+Mensajes!$B$7</f>
        <v>0</v>
      </c>
      <c r="C336" s="81"/>
      <c r="D336" s="81"/>
      <c r="E336" s="81"/>
      <c r="F336" s="81"/>
      <c r="G336" s="81"/>
      <c r="H336" s="111"/>
    </row>
    <row r="337" spans="1:8">
      <c r="A337" s="80"/>
      <c r="B337" s="146">
        <f>+Mensajes!$B$12</f>
        <v>0</v>
      </c>
      <c r="C337" s="81"/>
      <c r="D337" s="81"/>
      <c r="E337" s="81"/>
      <c r="F337" s="81"/>
      <c r="G337" s="81"/>
      <c r="H337" s="111"/>
    </row>
    <row r="338" spans="1:8">
      <c r="A338" s="80"/>
      <c r="B338" s="146" t="str">
        <f>IF(VLOOKUP(G328,'18_1'!$A$133:$M$156,13,0)=0,"",VLOOKUP(G328,'18_1'!$A$133:$M$156,13,0))</f>
        <v/>
      </c>
      <c r="C338" s="81"/>
      <c r="D338" s="81"/>
      <c r="E338" s="81"/>
      <c r="F338" s="81"/>
      <c r="G338" s="81"/>
      <c r="H338" s="111"/>
    </row>
    <row r="339" spans="1:8">
      <c r="A339" s="140"/>
      <c r="B339" s="188" t="str">
        <f>IF(DSUM('18_1'!$A$133:$P$156,16,G327:G328)=COUNTIF('18_1'!$A$133:$A$156,G328),"","Regularice su Deuda")</f>
        <v>Regularice su Deuda</v>
      </c>
      <c r="C339" s="82"/>
      <c r="D339" s="82"/>
      <c r="E339" s="82"/>
      <c r="F339" s="82"/>
      <c r="G339" s="82"/>
      <c r="H339" s="83"/>
    </row>
    <row r="341" spans="1:8">
      <c r="A341" s="108"/>
      <c r="B341" s="109"/>
      <c r="C341" s="109"/>
      <c r="D341" s="109"/>
      <c r="E341" s="109"/>
      <c r="F341" s="109"/>
      <c r="G341" s="109"/>
      <c r="H341" s="110"/>
    </row>
    <row r="342" spans="1:8">
      <c r="A342" s="80"/>
      <c r="B342" s="147" t="s">
        <v>64</v>
      </c>
      <c r="C342" s="81"/>
      <c r="D342" s="81"/>
      <c r="E342" s="81"/>
      <c r="F342" s="81"/>
      <c r="G342" s="81"/>
      <c r="H342" s="111"/>
    </row>
    <row r="343" spans="1:8">
      <c r="A343" s="80"/>
      <c r="B343" s="81"/>
      <c r="C343" s="81"/>
      <c r="D343" s="81"/>
      <c r="E343" s="81"/>
      <c r="F343" s="81"/>
      <c r="G343" s="81"/>
      <c r="H343" s="111"/>
    </row>
    <row r="344" spans="1:8">
      <c r="A344" s="80"/>
      <c r="B344" s="81" t="s">
        <v>139</v>
      </c>
      <c r="C344" s="81" t="str">
        <f>VLOOKUP(G345,'18_1'!$A$133:$G$156,6,0)</f>
        <v>SACCAVINO, GINO BONIFACIO</v>
      </c>
      <c r="D344" s="81"/>
      <c r="E344" s="81"/>
      <c r="F344" s="81"/>
      <c r="G344" s="138" t="s">
        <v>102</v>
      </c>
      <c r="H344" s="111"/>
    </row>
    <row r="345" spans="1:8">
      <c r="A345" s="80"/>
      <c r="B345" s="81" t="s">
        <v>72</v>
      </c>
      <c r="C345" s="81" t="str">
        <f>+'18_1'!$G$2</f>
        <v>Hijuela Morón</v>
      </c>
      <c r="D345" s="81"/>
      <c r="E345" s="81"/>
      <c r="F345" s="81"/>
      <c r="G345" s="138">
        <v>4</v>
      </c>
      <c r="H345" s="111"/>
    </row>
    <row r="346" spans="1:8">
      <c r="A346" s="80"/>
      <c r="B346" s="81"/>
      <c r="C346" s="81"/>
      <c r="D346" s="81"/>
      <c r="E346" s="81"/>
      <c r="F346" s="81"/>
      <c r="G346" s="81"/>
      <c r="H346" s="111"/>
    </row>
    <row r="347" spans="1:8">
      <c r="A347" s="80"/>
      <c r="B347" s="81" t="s">
        <v>140</v>
      </c>
      <c r="C347" s="138">
        <f>VLOOKUP(G345,'18_1'!$A$133:$B$156,2,0)</f>
        <v>1214</v>
      </c>
      <c r="D347" s="81"/>
      <c r="E347" s="139" t="s">
        <v>141</v>
      </c>
      <c r="F347" s="141" t="e">
        <f>DSUM('18_1'!A$133:J$156,'18_1'!$J$133,G344:G345)</f>
        <v>#REF!</v>
      </c>
      <c r="G347" s="81"/>
      <c r="H347" s="111"/>
    </row>
    <row r="348" spans="1:8">
      <c r="A348" s="80"/>
      <c r="B348" s="81" t="s">
        <v>142</v>
      </c>
      <c r="C348" s="205">
        <v>102</v>
      </c>
      <c r="D348" s="81"/>
      <c r="E348" s="81"/>
      <c r="F348" s="81"/>
      <c r="G348" s="81"/>
      <c r="H348" s="111"/>
    </row>
    <row r="349" spans="1:8">
      <c r="A349" s="80"/>
      <c r="B349" s="81" t="s">
        <v>144</v>
      </c>
      <c r="C349" s="206" t="e">
        <f>DSUM('18_1'!$A$133:$H$156,'18_1'!$H$133,G344:G345)</f>
        <v>#N/A</v>
      </c>
      <c r="D349" s="81"/>
      <c r="E349" s="81"/>
      <c r="F349" s="584"/>
      <c r="G349" s="584"/>
      <c r="H349" s="111"/>
    </row>
    <row r="350" spans="1:8" ht="15.75">
      <c r="A350" s="80"/>
      <c r="B350" s="81"/>
      <c r="C350" s="81" t="s">
        <v>146</v>
      </c>
      <c r="D350" s="145" t="e">
        <f>DMIN('18_1'!A$133:K$156,'18_1'!$J$133,G344:G345)</f>
        <v>#REF!</v>
      </c>
      <c r="E350" s="189" t="e">
        <f>IF(F350=1,"Domingo",IF(F350=2,"Lunes",IF(F350=3,"Martes",IF(F350=4,"Miercoles",IF(F350=5,"Jueves",IF(F350=6,"Viernes",IF(F350=7,"Sábado",0)))))))</f>
        <v>#REF!</v>
      </c>
      <c r="F350" s="190" t="e">
        <f>WEEKDAY(D350)</f>
        <v>#REF!</v>
      </c>
      <c r="G350" s="142"/>
      <c r="H350" s="111"/>
    </row>
    <row r="351" spans="1:8" ht="15.75">
      <c r="A351" s="80"/>
      <c r="B351" s="81"/>
      <c r="C351" s="81" t="s">
        <v>147</v>
      </c>
      <c r="D351" s="145" t="e">
        <f>DMAX('18_1'!A$133:L$156,'18_1'!$K$133,G344:G345)</f>
        <v>#REF!</v>
      </c>
      <c r="E351" s="189" t="e">
        <f>IF(F351=1,"Domingo",IF(F351=2,"Lunes",IF(F351=3,"Martes",IF(F351=4,"Miercoles",IF(F351=5,"Jueves",IF(F351=6,"Viernes",IF(F351=7,"Sábado",0)))))))</f>
        <v>#REF!</v>
      </c>
      <c r="F351" s="190" t="e">
        <f>WEEKDAY(D351)</f>
        <v>#REF!</v>
      </c>
      <c r="G351" s="142"/>
      <c r="H351" s="111"/>
    </row>
    <row r="352" spans="1:8">
      <c r="A352" s="80"/>
      <c r="B352" s="81"/>
      <c r="C352" s="81"/>
      <c r="D352" s="81"/>
      <c r="E352" s="81"/>
      <c r="F352" s="584"/>
      <c r="G352" s="584"/>
      <c r="H352" s="111"/>
    </row>
    <row r="353" spans="1:8">
      <c r="A353" s="80"/>
      <c r="B353" s="146">
        <f>+Mensajes!$B$7</f>
        <v>0</v>
      </c>
      <c r="C353" s="81"/>
      <c r="D353" s="81"/>
      <c r="E353" s="81"/>
      <c r="F353" s="81"/>
      <c r="G353" s="81"/>
      <c r="H353" s="111"/>
    </row>
    <row r="354" spans="1:8">
      <c r="A354" s="80"/>
      <c r="B354" s="146">
        <f>+Mensajes!$B$12</f>
        <v>0</v>
      </c>
      <c r="C354" s="81"/>
      <c r="D354" s="81"/>
      <c r="E354" s="81"/>
      <c r="F354" s="81"/>
      <c r="G354" s="81"/>
      <c r="H354" s="111"/>
    </row>
    <row r="355" spans="1:8">
      <c r="A355" s="80"/>
      <c r="B355" s="146" t="str">
        <f>IF(VLOOKUP(G345,'18_1'!$A$133:$M$156,13,0)=0,"",VLOOKUP(G345,'18_1'!$A$133:$M$156,13,0))</f>
        <v/>
      </c>
      <c r="C355" s="81"/>
      <c r="D355" s="81"/>
      <c r="E355" s="81"/>
      <c r="F355" s="81"/>
      <c r="G355" s="81"/>
      <c r="H355" s="111"/>
    </row>
    <row r="356" spans="1:8">
      <c r="A356" s="140"/>
      <c r="B356" s="188" t="str">
        <f>IF(DSUM('18_1'!$A$133:$P$156,16,G344:G345)=COUNTIF('18_1'!$A$133:$A$156,G345),"","Regularice su Deuda")</f>
        <v/>
      </c>
      <c r="C356" s="82"/>
      <c r="D356" s="82"/>
      <c r="E356" s="82"/>
      <c r="F356" s="82"/>
      <c r="G356" s="82"/>
      <c r="H356" s="83"/>
    </row>
    <row r="358" spans="1:8">
      <c r="A358" s="108"/>
      <c r="B358" s="109"/>
      <c r="C358" s="109"/>
      <c r="D358" s="109"/>
      <c r="E358" s="109"/>
      <c r="F358" s="109"/>
      <c r="G358" s="109"/>
      <c r="H358" s="110"/>
    </row>
    <row r="359" spans="1:8">
      <c r="A359" s="80"/>
      <c r="B359" s="147" t="s">
        <v>64</v>
      </c>
      <c r="C359" s="81"/>
      <c r="D359" s="81"/>
      <c r="E359" s="81"/>
      <c r="F359" s="81"/>
      <c r="G359" s="81"/>
      <c r="H359" s="111"/>
    </row>
    <row r="360" spans="1:8">
      <c r="A360" s="80"/>
      <c r="B360" s="81"/>
      <c r="C360" s="81"/>
      <c r="D360" s="81"/>
      <c r="E360" s="81"/>
      <c r="F360" s="81"/>
      <c r="G360" s="81"/>
      <c r="H360" s="111"/>
    </row>
    <row r="361" spans="1:8">
      <c r="A361" s="80"/>
      <c r="B361" s="81" t="s">
        <v>139</v>
      </c>
      <c r="C361" s="81" t="str">
        <f>VLOOKUP(G362,'18_1'!$A$133:$G$156,6,0)</f>
        <v>SACCAVINO, ROBERTO EPIFANIO</v>
      </c>
      <c r="D361" s="81"/>
      <c r="E361" s="81"/>
      <c r="F361" s="81"/>
      <c r="G361" s="138" t="s">
        <v>102</v>
      </c>
      <c r="H361" s="111"/>
    </row>
    <row r="362" spans="1:8">
      <c r="A362" s="80"/>
      <c r="B362" s="81" t="s">
        <v>72</v>
      </c>
      <c r="C362" s="81" t="str">
        <f>+'18_1'!$G$2</f>
        <v>Hijuela Morón</v>
      </c>
      <c r="D362" s="81"/>
      <c r="E362" s="81"/>
      <c r="F362" s="81"/>
      <c r="G362" s="138">
        <v>5</v>
      </c>
      <c r="H362" s="111"/>
    </row>
    <row r="363" spans="1:8">
      <c r="A363" s="80"/>
      <c r="B363" s="81"/>
      <c r="C363" s="81"/>
      <c r="D363" s="81"/>
      <c r="E363" s="81"/>
      <c r="F363" s="81"/>
      <c r="G363" s="81"/>
      <c r="H363" s="111"/>
    </row>
    <row r="364" spans="1:8">
      <c r="A364" s="80"/>
      <c r="B364" s="81" t="s">
        <v>140</v>
      </c>
      <c r="C364" s="138">
        <f>VLOOKUP(G362,'18_1'!$A$133:$B$156,2,0)</f>
        <v>1214</v>
      </c>
      <c r="D364" s="81"/>
      <c r="E364" s="139" t="s">
        <v>141</v>
      </c>
      <c r="F364" s="141" t="e">
        <f>DSUM('18_1'!A$133:J$156,'18_1'!$J$133,G361:G362)</f>
        <v>#REF!</v>
      </c>
      <c r="G364" s="81"/>
      <c r="H364" s="111"/>
    </row>
    <row r="365" spans="1:8">
      <c r="A365" s="80"/>
      <c r="B365" s="81" t="s">
        <v>142</v>
      </c>
      <c r="C365" s="205">
        <v>163</v>
      </c>
      <c r="D365" s="81"/>
      <c r="E365" s="81"/>
      <c r="F365" s="81"/>
      <c r="G365" s="81"/>
      <c r="H365" s="111"/>
    </row>
    <row r="366" spans="1:8">
      <c r="A366" s="80"/>
      <c r="B366" s="81" t="s">
        <v>144</v>
      </c>
      <c r="C366" s="206" t="e">
        <f>DSUM('18_1'!$A$133:$H$156,'18_1'!$H$133,G361:G362)</f>
        <v>#N/A</v>
      </c>
      <c r="D366" s="81"/>
      <c r="E366" s="81"/>
      <c r="F366" s="584"/>
      <c r="G366" s="584"/>
      <c r="H366" s="111"/>
    </row>
    <row r="367" spans="1:8" ht="15.75">
      <c r="A367" s="80"/>
      <c r="B367" s="81"/>
      <c r="C367" s="81" t="s">
        <v>146</v>
      </c>
      <c r="D367" s="145" t="e">
        <f>DMIN('18_1'!A$133:K$156,'18_1'!$J$133,G361:G362)</f>
        <v>#REF!</v>
      </c>
      <c r="E367" s="189" t="e">
        <f>IF(F367=1,"Domingo",IF(F367=2,"Lunes",IF(F367=3,"Martes",IF(F367=4,"Miercoles",IF(F367=5,"Jueves",IF(F367=6,"Viernes",IF(F367=7,"Sábado",0)))))))</f>
        <v>#REF!</v>
      </c>
      <c r="F367" s="190" t="e">
        <f>WEEKDAY(D367)</f>
        <v>#REF!</v>
      </c>
      <c r="G367" s="142"/>
      <c r="H367" s="111"/>
    </row>
    <row r="368" spans="1:8" ht="15.75">
      <c r="A368" s="80"/>
      <c r="B368" s="81"/>
      <c r="C368" s="81" t="s">
        <v>147</v>
      </c>
      <c r="D368" s="145" t="e">
        <f>DMAX('18_1'!A$133:L$156,'18_1'!$K$133,G361:G362)</f>
        <v>#REF!</v>
      </c>
      <c r="E368" s="189" t="e">
        <f>IF(F368=1,"Domingo",IF(F368=2,"Lunes",IF(F368=3,"Martes",IF(F368=4,"Miercoles",IF(F368=5,"Jueves",IF(F368=6,"Viernes",IF(F368=7,"Sábado",0)))))))</f>
        <v>#REF!</v>
      </c>
      <c r="F368" s="190" t="e">
        <f>WEEKDAY(D368)</f>
        <v>#REF!</v>
      </c>
      <c r="G368" s="142"/>
      <c r="H368" s="111"/>
    </row>
    <row r="369" spans="1:8">
      <c r="A369" s="80"/>
      <c r="B369" s="81"/>
      <c r="C369" s="81"/>
      <c r="D369" s="81"/>
      <c r="E369" s="81"/>
      <c r="F369" s="584"/>
      <c r="G369" s="584"/>
      <c r="H369" s="111"/>
    </row>
    <row r="370" spans="1:8">
      <c r="A370" s="80"/>
      <c r="B370" s="146">
        <f>+Mensajes!$B$7</f>
        <v>0</v>
      </c>
      <c r="C370" s="81"/>
      <c r="D370" s="81"/>
      <c r="E370" s="81"/>
      <c r="F370" s="81"/>
      <c r="G370" s="81"/>
      <c r="H370" s="111"/>
    </row>
    <row r="371" spans="1:8">
      <c r="A371" s="80"/>
      <c r="B371" s="146">
        <f>+Mensajes!$B$12</f>
        <v>0</v>
      </c>
      <c r="C371" s="81"/>
      <c r="D371" s="81"/>
      <c r="E371" s="81"/>
      <c r="F371" s="81"/>
      <c r="G371" s="81"/>
      <c r="H371" s="111"/>
    </row>
    <row r="372" spans="1:8">
      <c r="A372" s="80"/>
      <c r="B372" s="146" t="str">
        <f>IF(VLOOKUP(G362,'18_1'!$A$133:$M$156,13,0)=0,"",VLOOKUP(G362,'18_1'!$A$133:$M$156,13,0))</f>
        <v/>
      </c>
      <c r="C372" s="81"/>
      <c r="D372" s="81"/>
      <c r="E372" s="81"/>
      <c r="F372" s="81"/>
      <c r="G372" s="81"/>
      <c r="H372" s="111"/>
    </row>
    <row r="373" spans="1:8">
      <c r="A373" s="140"/>
      <c r="B373" s="188" t="str">
        <f>IF(DSUM('18_1'!$A$133:$P$156,16,G361:G362)=COUNTIF('18_1'!$A$133:$A$156,G362),"","Regularice su Deuda")</f>
        <v>Regularice su Deuda</v>
      </c>
      <c r="C373" s="82"/>
      <c r="D373" s="82"/>
      <c r="E373" s="82"/>
      <c r="F373" s="82"/>
      <c r="G373" s="82"/>
      <c r="H373" s="83"/>
    </row>
    <row r="375" spans="1:8">
      <c r="A375" s="108"/>
      <c r="B375" s="109"/>
      <c r="C375" s="109"/>
      <c r="D375" s="109"/>
      <c r="E375" s="109"/>
      <c r="F375" s="109"/>
      <c r="G375" s="109"/>
      <c r="H375" s="110"/>
    </row>
    <row r="376" spans="1:8">
      <c r="A376" s="80"/>
      <c r="B376" s="147" t="s">
        <v>64</v>
      </c>
      <c r="C376" s="81"/>
      <c r="D376" s="81"/>
      <c r="E376" s="81"/>
      <c r="F376" s="81"/>
      <c r="G376" s="81"/>
      <c r="H376" s="111"/>
    </row>
    <row r="377" spans="1:8">
      <c r="A377" s="80"/>
      <c r="B377" s="81"/>
      <c r="C377" s="81"/>
      <c r="D377" s="81"/>
      <c r="E377" s="81"/>
      <c r="F377" s="81"/>
      <c r="G377" s="81"/>
      <c r="H377" s="111"/>
    </row>
    <row r="378" spans="1:8">
      <c r="A378" s="80"/>
      <c r="B378" s="81" t="s">
        <v>139</v>
      </c>
      <c r="C378" s="81" t="str">
        <f>VLOOKUP(G379,'18_1'!$A$133:$G$156,6,0)</f>
        <v>FIGUEROA, BIENVENIDO</v>
      </c>
      <c r="D378" s="81"/>
      <c r="E378" s="81"/>
      <c r="F378" s="81"/>
      <c r="G378" s="138" t="s">
        <v>102</v>
      </c>
      <c r="H378" s="111"/>
    </row>
    <row r="379" spans="1:8">
      <c r="A379" s="80"/>
      <c r="B379" s="81" t="s">
        <v>72</v>
      </c>
      <c r="C379" s="81" t="str">
        <f>+'18_1'!$G$2</f>
        <v>Hijuela Morón</v>
      </c>
      <c r="D379" s="81"/>
      <c r="E379" s="81"/>
      <c r="F379" s="81"/>
      <c r="G379" s="138">
        <v>6</v>
      </c>
      <c r="H379" s="111"/>
    </row>
    <row r="380" spans="1:8">
      <c r="A380" s="80"/>
      <c r="B380" s="81"/>
      <c r="C380" s="81"/>
      <c r="D380" s="81"/>
      <c r="E380" s="81"/>
      <c r="F380" s="81"/>
      <c r="G380" s="81"/>
      <c r="H380" s="111"/>
    </row>
    <row r="381" spans="1:8">
      <c r="A381" s="80"/>
      <c r="B381" s="81" t="s">
        <v>140</v>
      </c>
      <c r="C381" s="138">
        <f>VLOOKUP(G379,'18_1'!$A$133:$B$156,2,0)</f>
        <v>1214</v>
      </c>
      <c r="D381" s="81"/>
      <c r="E381" s="139" t="s">
        <v>141</v>
      </c>
      <c r="F381" s="141" t="e">
        <f>DSUM('18_1'!A$133:J$156,'18_1'!$J$133,G378:G379)</f>
        <v>#REF!</v>
      </c>
      <c r="G381" s="81"/>
      <c r="H381" s="111"/>
    </row>
    <row r="382" spans="1:8">
      <c r="A382" s="80"/>
      <c r="B382" s="81" t="s">
        <v>142</v>
      </c>
      <c r="C382" s="205">
        <v>162</v>
      </c>
      <c r="D382" s="81"/>
      <c r="E382" s="81"/>
      <c r="F382" s="81"/>
      <c r="G382" s="81"/>
      <c r="H382" s="111"/>
    </row>
    <row r="383" spans="1:8">
      <c r="A383" s="80"/>
      <c r="B383" s="81" t="s">
        <v>144</v>
      </c>
      <c r="C383" s="206" t="e">
        <f>DSUM('18_1'!$A$133:$H$156,'18_1'!$H$133,G378:G379)</f>
        <v>#N/A</v>
      </c>
      <c r="D383" s="81"/>
      <c r="E383" s="81"/>
      <c r="F383" s="584"/>
      <c r="G383" s="584"/>
      <c r="H383" s="111"/>
    </row>
    <row r="384" spans="1:8" ht="15.75">
      <c r="A384" s="80"/>
      <c r="B384" s="81"/>
      <c r="C384" s="81" t="s">
        <v>146</v>
      </c>
      <c r="D384" s="145" t="e">
        <f>DMIN('18_1'!A$133:K$156,'18_1'!$J$133,G378:G379)</f>
        <v>#REF!</v>
      </c>
      <c r="E384" s="189" t="e">
        <f>IF(F384=1,"Domingo",IF(F384=2,"Lunes",IF(F384=3,"Martes",IF(F384=4,"Miercoles",IF(F384=5,"Jueves",IF(F384=6,"Viernes",IF(F384=7,"Sábado",0)))))))</f>
        <v>#REF!</v>
      </c>
      <c r="F384" s="190" t="e">
        <f>WEEKDAY(D384)</f>
        <v>#REF!</v>
      </c>
      <c r="G384" s="142"/>
      <c r="H384" s="111"/>
    </row>
    <row r="385" spans="1:8" ht="15.75">
      <c r="A385" s="80"/>
      <c r="B385" s="81"/>
      <c r="C385" s="81" t="s">
        <v>147</v>
      </c>
      <c r="D385" s="145" t="e">
        <f>DMAX('18_1'!A$133:L$156,'18_1'!$K$133,G378:G379)</f>
        <v>#REF!</v>
      </c>
      <c r="E385" s="189" t="e">
        <f>IF(F385=1,"Domingo",IF(F385=2,"Lunes",IF(F385=3,"Martes",IF(F385=4,"Miercoles",IF(F385=5,"Jueves",IF(F385=6,"Viernes",IF(F385=7,"Sábado",0)))))))</f>
        <v>#REF!</v>
      </c>
      <c r="F385" s="190" t="e">
        <f>WEEKDAY(D385)</f>
        <v>#REF!</v>
      </c>
      <c r="G385" s="142"/>
      <c r="H385" s="111"/>
    </row>
    <row r="386" spans="1:8">
      <c r="A386" s="80"/>
      <c r="B386" s="81"/>
      <c r="C386" s="81"/>
      <c r="D386" s="81"/>
      <c r="E386" s="81"/>
      <c r="F386" s="584"/>
      <c r="G386" s="584"/>
      <c r="H386" s="111"/>
    </row>
    <row r="387" spans="1:8">
      <c r="A387" s="80"/>
      <c r="B387" s="146">
        <f>+Mensajes!$B$7</f>
        <v>0</v>
      </c>
      <c r="C387" s="81"/>
      <c r="D387" s="81"/>
      <c r="E387" s="81"/>
      <c r="F387" s="81"/>
      <c r="G387" s="81"/>
      <c r="H387" s="111"/>
    </row>
    <row r="388" spans="1:8">
      <c r="A388" s="80"/>
      <c r="B388" s="146">
        <f>+Mensajes!$B$12</f>
        <v>0</v>
      </c>
      <c r="C388" s="81"/>
      <c r="D388" s="81"/>
      <c r="E388" s="81"/>
      <c r="F388" s="81"/>
      <c r="G388" s="81"/>
      <c r="H388" s="111"/>
    </row>
    <row r="389" spans="1:8">
      <c r="A389" s="80"/>
      <c r="B389" s="146" t="str">
        <f>IF(VLOOKUP(G379,'18_1'!$A$133:$M$156,13,0)=0,"",VLOOKUP(G379,'18_1'!$A$133:$M$156,13,0))</f>
        <v/>
      </c>
      <c r="C389" s="81"/>
      <c r="D389" s="81"/>
      <c r="E389" s="81"/>
      <c r="F389" s="81"/>
      <c r="G389" s="81"/>
      <c r="H389" s="111"/>
    </row>
    <row r="390" spans="1:8">
      <c r="A390" s="140"/>
      <c r="B390" s="188" t="str">
        <f>IF(DSUM('18_1'!$A$133:$P$156,16,G378:G379)=COUNTIF('18_1'!$A$133:$A$156,G379),"","Regularice su Deuda")</f>
        <v/>
      </c>
      <c r="C390" s="82"/>
      <c r="D390" s="82"/>
      <c r="E390" s="82"/>
      <c r="F390" s="82"/>
      <c r="G390" s="82"/>
      <c r="H390" s="83"/>
    </row>
    <row r="392" spans="1:8">
      <c r="A392" s="108"/>
      <c r="B392" s="109"/>
      <c r="C392" s="109"/>
      <c r="D392" s="109"/>
      <c r="E392" s="109"/>
      <c r="F392" s="109"/>
      <c r="G392" s="109"/>
      <c r="H392" s="110"/>
    </row>
    <row r="393" spans="1:8">
      <c r="A393" s="80"/>
      <c r="B393" s="147" t="s">
        <v>64</v>
      </c>
      <c r="C393" s="81"/>
      <c r="D393" s="81"/>
      <c r="E393" s="81"/>
      <c r="F393" s="81"/>
      <c r="G393" s="81"/>
      <c r="H393" s="111"/>
    </row>
    <row r="394" spans="1:8">
      <c r="A394" s="80"/>
      <c r="B394" s="81"/>
      <c r="C394" s="81"/>
      <c r="D394" s="81"/>
      <c r="E394" s="81"/>
      <c r="F394" s="81"/>
      <c r="G394" s="81"/>
      <c r="H394" s="111"/>
    </row>
    <row r="395" spans="1:8">
      <c r="A395" s="80"/>
      <c r="B395" s="81" t="s">
        <v>139</v>
      </c>
      <c r="C395" s="81" t="str">
        <f>VLOOKUP(G396,'18_1'!$A$133:$G$156,6,0)</f>
        <v>SANCHEZ CASARA, JOSE ANGEL</v>
      </c>
      <c r="D395" s="81"/>
      <c r="E395" s="81"/>
      <c r="F395" s="81"/>
      <c r="G395" s="138" t="s">
        <v>102</v>
      </c>
      <c r="H395" s="111"/>
    </row>
    <row r="396" spans="1:8">
      <c r="A396" s="80"/>
      <c r="B396" s="81" t="s">
        <v>72</v>
      </c>
      <c r="C396" s="81" t="str">
        <f>+'18_1'!$G$2</f>
        <v>Hijuela Morón</v>
      </c>
      <c r="D396" s="81"/>
      <c r="E396" s="81"/>
      <c r="F396" s="81"/>
      <c r="G396" s="138">
        <v>7</v>
      </c>
      <c r="H396" s="111"/>
    </row>
    <row r="397" spans="1:8">
      <c r="A397" s="80"/>
      <c r="B397" s="81"/>
      <c r="C397" s="81"/>
      <c r="D397" s="81"/>
      <c r="E397" s="81"/>
      <c r="F397" s="81"/>
      <c r="G397" s="81"/>
      <c r="H397" s="111"/>
    </row>
    <row r="398" spans="1:8">
      <c r="A398" s="80"/>
      <c r="B398" s="81" t="s">
        <v>140</v>
      </c>
      <c r="C398" s="138">
        <f>VLOOKUP(G396,'18_1'!$A$133:$B$156,2,0)</f>
        <v>1214</v>
      </c>
      <c r="D398" s="81"/>
      <c r="E398" s="139" t="s">
        <v>141</v>
      </c>
      <c r="F398" s="141" t="e">
        <f>DSUM('18_1'!A$133:J$156,'18_1'!$J$133,G395:G396)</f>
        <v>#REF!</v>
      </c>
      <c r="G398" s="81"/>
      <c r="H398" s="111"/>
    </row>
    <row r="399" spans="1:8">
      <c r="A399" s="80"/>
      <c r="B399" s="81" t="s">
        <v>142</v>
      </c>
      <c r="C399" s="205">
        <v>275</v>
      </c>
      <c r="D399" s="81"/>
      <c r="E399" s="81"/>
      <c r="F399" s="81"/>
      <c r="G399" s="81"/>
      <c r="H399" s="111"/>
    </row>
    <row r="400" spans="1:8">
      <c r="A400" s="80"/>
      <c r="B400" s="81" t="s">
        <v>144</v>
      </c>
      <c r="C400" s="206" t="e">
        <f>DSUM('18_1'!$A$133:$H$156,'18_1'!$H$133,G395:G396)</f>
        <v>#N/A</v>
      </c>
      <c r="D400" s="81"/>
      <c r="E400" s="81"/>
      <c r="F400" s="584"/>
      <c r="G400" s="584"/>
      <c r="H400" s="111"/>
    </row>
    <row r="401" spans="1:8" ht="15.75">
      <c r="A401" s="80"/>
      <c r="B401" s="81"/>
      <c r="C401" s="81" t="s">
        <v>146</v>
      </c>
      <c r="D401" s="145" t="e">
        <f>DMIN('18_1'!A$133:K$156,'18_1'!$J$133,G395:G396)</f>
        <v>#REF!</v>
      </c>
      <c r="E401" s="189" t="e">
        <f>IF(F401=1,"Domingo",IF(F401=2,"Lunes",IF(F401=3,"Martes",IF(F401=4,"Miercoles",IF(F401=5,"Jueves",IF(F401=6,"Viernes",IF(F401=7,"Sábado",0)))))))</f>
        <v>#REF!</v>
      </c>
      <c r="F401" s="190" t="e">
        <f>WEEKDAY(D401)</f>
        <v>#REF!</v>
      </c>
      <c r="G401" s="142"/>
      <c r="H401" s="111"/>
    </row>
    <row r="402" spans="1:8" ht="15.75">
      <c r="A402" s="80"/>
      <c r="B402" s="81"/>
      <c r="C402" s="81" t="s">
        <v>147</v>
      </c>
      <c r="D402" s="145" t="e">
        <f>DMAX('18_1'!A$133:L$156,'18_1'!$K$133,G395:G396)</f>
        <v>#REF!</v>
      </c>
      <c r="E402" s="189" t="e">
        <f>IF(F402=1,"Domingo",IF(F402=2,"Lunes",IF(F402=3,"Martes",IF(F402=4,"Miercoles",IF(F402=5,"Jueves",IF(F402=6,"Viernes",IF(F402=7,"Sábado",0)))))))</f>
        <v>#REF!</v>
      </c>
      <c r="F402" s="190" t="e">
        <f>WEEKDAY(D402)</f>
        <v>#REF!</v>
      </c>
      <c r="G402" s="142"/>
      <c r="H402" s="111"/>
    </row>
    <row r="403" spans="1:8">
      <c r="A403" s="80"/>
      <c r="B403" s="81"/>
      <c r="C403" s="81"/>
      <c r="D403" s="81"/>
      <c r="E403" s="81"/>
      <c r="F403" s="584"/>
      <c r="G403" s="584"/>
      <c r="H403" s="111"/>
    </row>
    <row r="404" spans="1:8">
      <c r="A404" s="80"/>
      <c r="B404" s="146">
        <f>+Mensajes!$B$7</f>
        <v>0</v>
      </c>
      <c r="C404" s="81"/>
      <c r="D404" s="81"/>
      <c r="E404" s="81"/>
      <c r="F404" s="81"/>
      <c r="G404" s="81"/>
      <c r="H404" s="111"/>
    </row>
    <row r="405" spans="1:8">
      <c r="A405" s="80"/>
      <c r="B405" s="146">
        <f>+Mensajes!$B$12</f>
        <v>0</v>
      </c>
      <c r="C405" s="81"/>
      <c r="D405" s="81"/>
      <c r="E405" s="81"/>
      <c r="F405" s="81"/>
      <c r="G405" s="81"/>
      <c r="H405" s="111"/>
    </row>
    <row r="406" spans="1:8">
      <c r="A406" s="80"/>
      <c r="B406" s="146" t="str">
        <f>IF(VLOOKUP(G396,'18_1'!$A$133:$M$156,13,0)=0,"",VLOOKUP(G396,'18_1'!$A$133:$M$156,13,0))</f>
        <v/>
      </c>
      <c r="C406" s="81"/>
      <c r="D406" s="81"/>
      <c r="E406" s="81"/>
      <c r="F406" s="81"/>
      <c r="G406" s="81"/>
      <c r="H406" s="111"/>
    </row>
    <row r="407" spans="1:8">
      <c r="A407" s="140"/>
      <c r="B407" s="188" t="e">
        <f>IF(DSUM('18_1'!$A$133:$P$156,16,G395:G396)=COUNTIF('18_1'!$A$133:$A$156,G396),"","Regularice su Deuda")</f>
        <v>#N/A</v>
      </c>
      <c r="C407" s="82"/>
      <c r="D407" s="82"/>
      <c r="E407" s="82"/>
      <c r="F407" s="82"/>
      <c r="G407" s="82"/>
      <c r="H407" s="83"/>
    </row>
    <row r="409" spans="1:8">
      <c r="A409" s="108"/>
      <c r="B409" s="109"/>
      <c r="C409" s="109"/>
      <c r="D409" s="109"/>
      <c r="E409" s="109"/>
      <c r="F409" s="109"/>
      <c r="G409" s="109"/>
      <c r="H409" s="110"/>
    </row>
    <row r="410" spans="1:8">
      <c r="A410" s="80"/>
      <c r="B410" s="147" t="s">
        <v>64</v>
      </c>
      <c r="C410" s="81"/>
      <c r="D410" s="81"/>
      <c r="E410" s="81"/>
      <c r="F410" s="81"/>
      <c r="G410" s="81"/>
      <c r="H410" s="111"/>
    </row>
    <row r="411" spans="1:8">
      <c r="A411" s="80"/>
      <c r="B411" s="81"/>
      <c r="C411" s="81"/>
      <c r="D411" s="81"/>
      <c r="E411" s="81"/>
      <c r="F411" s="81"/>
      <c r="G411" s="81"/>
      <c r="H411" s="111"/>
    </row>
    <row r="412" spans="1:8">
      <c r="A412" s="80"/>
      <c r="B412" s="81" t="s">
        <v>139</v>
      </c>
      <c r="C412" s="81" t="str">
        <f>VLOOKUP(G413,'18_1'!$A$133:$G$156,6,0)</f>
        <v>MATTOLINI, OSCAR LEANDRO</v>
      </c>
      <c r="D412" s="81"/>
      <c r="E412" s="81"/>
      <c r="F412" s="81"/>
      <c r="G412" s="138" t="s">
        <v>102</v>
      </c>
      <c r="H412" s="111"/>
    </row>
    <row r="413" spans="1:8">
      <c r="A413" s="80"/>
      <c r="B413" s="81" t="s">
        <v>72</v>
      </c>
      <c r="C413" s="81" t="str">
        <f>+'18_1'!$G$2</f>
        <v>Hijuela Morón</v>
      </c>
      <c r="D413" s="81"/>
      <c r="E413" s="81"/>
      <c r="F413" s="81"/>
      <c r="G413" s="138">
        <v>8</v>
      </c>
      <c r="H413" s="111"/>
    </row>
    <row r="414" spans="1:8">
      <c r="A414" s="80"/>
      <c r="B414" s="81"/>
      <c r="C414" s="81"/>
      <c r="D414" s="81"/>
      <c r="E414" s="81"/>
      <c r="F414" s="81"/>
      <c r="G414" s="81"/>
      <c r="H414" s="111"/>
    </row>
    <row r="415" spans="1:8">
      <c r="A415" s="80"/>
      <c r="B415" s="81" t="s">
        <v>140</v>
      </c>
      <c r="C415" s="138">
        <f>VLOOKUP(G413,'18_1'!$A$133:$B$156,2,0)</f>
        <v>1214</v>
      </c>
      <c r="D415" s="81"/>
      <c r="E415" s="139" t="s">
        <v>141</v>
      </c>
      <c r="F415" s="141" t="e">
        <f>DSUM('18_1'!A$133:J$156,'18_1'!$J$133,G412:G413)</f>
        <v>#REF!</v>
      </c>
      <c r="G415" s="81"/>
      <c r="H415" s="111"/>
    </row>
    <row r="416" spans="1:8">
      <c r="A416" s="80"/>
      <c r="B416" s="81" t="s">
        <v>142</v>
      </c>
      <c r="C416" s="205" t="s">
        <v>672</v>
      </c>
      <c r="D416" s="81"/>
      <c r="E416" s="81"/>
      <c r="F416" s="81"/>
      <c r="G416" s="81"/>
      <c r="H416" s="111"/>
    </row>
    <row r="417" spans="1:8">
      <c r="A417" s="80"/>
      <c r="B417" s="81" t="s">
        <v>144</v>
      </c>
      <c r="C417" s="206" t="e">
        <f>DSUM('18_1'!$A$133:$H$156,'18_1'!$H$133,G412:G413)</f>
        <v>#N/A</v>
      </c>
      <c r="D417" s="81"/>
      <c r="E417" s="81"/>
      <c r="F417" s="584"/>
      <c r="G417" s="584"/>
      <c r="H417" s="111"/>
    </row>
    <row r="418" spans="1:8" ht="15.75">
      <c r="A418" s="80"/>
      <c r="B418" s="81"/>
      <c r="C418" s="81" t="s">
        <v>146</v>
      </c>
      <c r="D418" s="145" t="e">
        <f>DMIN('18_1'!A$133:K$156,'18_1'!$J$133,G412:G413)</f>
        <v>#REF!</v>
      </c>
      <c r="E418" s="189" t="e">
        <f>IF(F418=1,"Domingo",IF(F418=2,"Lunes",IF(F418=3,"Martes",IF(F418=4,"Miercoles",IF(F418=5,"Jueves",IF(F418=6,"Viernes",IF(F418=7,"Sábado",0)))))))</f>
        <v>#REF!</v>
      </c>
      <c r="F418" s="190" t="e">
        <f>WEEKDAY(D418)</f>
        <v>#REF!</v>
      </c>
      <c r="G418" s="142"/>
      <c r="H418" s="111"/>
    </row>
    <row r="419" spans="1:8" ht="15.75">
      <c r="A419" s="80"/>
      <c r="B419" s="81"/>
      <c r="C419" s="81" t="s">
        <v>147</v>
      </c>
      <c r="D419" s="145" t="e">
        <f>DMAX('18_1'!A$133:L$156,'18_1'!$K$133,G412:G413)</f>
        <v>#REF!</v>
      </c>
      <c r="E419" s="189" t="e">
        <f>IF(F419=1,"Domingo",IF(F419=2,"Lunes",IF(F419=3,"Martes",IF(F419=4,"Miercoles",IF(F419=5,"Jueves",IF(F419=6,"Viernes",IF(F419=7,"Sábado",0)))))))</f>
        <v>#REF!</v>
      </c>
      <c r="F419" s="190" t="e">
        <f>WEEKDAY(D419)</f>
        <v>#REF!</v>
      </c>
      <c r="G419" s="142"/>
      <c r="H419" s="111"/>
    </row>
    <row r="420" spans="1:8">
      <c r="A420" s="80"/>
      <c r="B420" s="81"/>
      <c r="C420" s="81"/>
      <c r="D420" s="81"/>
      <c r="E420" s="81"/>
      <c r="F420" s="584"/>
      <c r="G420" s="584"/>
      <c r="H420" s="111"/>
    </row>
    <row r="421" spans="1:8">
      <c r="A421" s="80"/>
      <c r="B421" s="146">
        <f>+Mensajes!$B$7</f>
        <v>0</v>
      </c>
      <c r="C421" s="81"/>
      <c r="D421" s="81"/>
      <c r="E421" s="81"/>
      <c r="F421" s="81"/>
      <c r="G421" s="81"/>
      <c r="H421" s="111"/>
    </row>
    <row r="422" spans="1:8">
      <c r="A422" s="80"/>
      <c r="B422" s="146">
        <f>+Mensajes!$B$12</f>
        <v>0</v>
      </c>
      <c r="C422" s="81"/>
      <c r="D422" s="81"/>
      <c r="E422" s="81"/>
      <c r="F422" s="81"/>
      <c r="G422" s="81"/>
      <c r="H422" s="111"/>
    </row>
    <row r="423" spans="1:8">
      <c r="A423" s="80"/>
      <c r="B423" s="146" t="str">
        <f>IF(VLOOKUP(G413,'18_1'!$A$133:$M$156,13,0)=0,"",VLOOKUP(G413,'18_1'!$A$133:$M$156,13,0))</f>
        <v/>
      </c>
      <c r="C423" s="81"/>
      <c r="D423" s="81"/>
      <c r="E423" s="81"/>
      <c r="F423" s="81"/>
      <c r="G423" s="81"/>
      <c r="H423" s="111"/>
    </row>
    <row r="424" spans="1:8">
      <c r="A424" s="140"/>
      <c r="B424" s="188" t="str">
        <f>IF(DSUM('18_1'!$A$133:$P$156,16,G412:G413)=COUNTIF('18_1'!$A$133:$A$156,G413),"","Regularice su Deuda")</f>
        <v/>
      </c>
      <c r="C424" s="82"/>
      <c r="D424" s="82"/>
      <c r="E424" s="82"/>
      <c r="F424" s="82"/>
      <c r="G424" s="82"/>
      <c r="H424" s="83"/>
    </row>
    <row r="426" spans="1:8">
      <c r="A426" s="108"/>
      <c r="B426" s="109"/>
      <c r="C426" s="109"/>
      <c r="D426" s="109"/>
      <c r="E426" s="109"/>
      <c r="F426" s="109"/>
      <c r="G426" s="109"/>
      <c r="H426" s="110"/>
    </row>
    <row r="427" spans="1:8">
      <c r="A427" s="80"/>
      <c r="B427" s="147" t="s">
        <v>64</v>
      </c>
      <c r="C427" s="81"/>
      <c r="D427" s="81"/>
      <c r="E427" s="81"/>
      <c r="F427" s="81"/>
      <c r="G427" s="81"/>
      <c r="H427" s="111"/>
    </row>
    <row r="428" spans="1:8">
      <c r="A428" s="80"/>
      <c r="B428" s="81"/>
      <c r="C428" s="81"/>
      <c r="D428" s="81"/>
      <c r="E428" s="81"/>
      <c r="F428" s="81"/>
      <c r="G428" s="81"/>
      <c r="H428" s="111"/>
    </row>
    <row r="429" spans="1:8">
      <c r="A429" s="80"/>
      <c r="B429" s="81" t="s">
        <v>139</v>
      </c>
      <c r="C429" s="81" t="str">
        <f>VLOOKUP(G430,'18_1'!$A$133:$G$156,6,0)</f>
        <v>SANCHEZ, ISABEL ELENA</v>
      </c>
      <c r="D429" s="81"/>
      <c r="E429" s="81"/>
      <c r="F429" s="81"/>
      <c r="G429" s="138" t="s">
        <v>102</v>
      </c>
      <c r="H429" s="111"/>
    </row>
    <row r="430" spans="1:8">
      <c r="A430" s="80"/>
      <c r="B430" s="81" t="s">
        <v>72</v>
      </c>
      <c r="C430" s="81" t="str">
        <f>+'18_1'!$G$2</f>
        <v>Hijuela Morón</v>
      </c>
      <c r="D430" s="81"/>
      <c r="E430" s="81"/>
      <c r="F430" s="81"/>
      <c r="G430" s="138">
        <v>9</v>
      </c>
      <c r="H430" s="111"/>
    </row>
    <row r="431" spans="1:8">
      <c r="A431" s="80"/>
      <c r="B431" s="81"/>
      <c r="C431" s="81"/>
      <c r="D431" s="81"/>
      <c r="E431" s="81"/>
      <c r="F431" s="81"/>
      <c r="G431" s="81"/>
      <c r="H431" s="111"/>
    </row>
    <row r="432" spans="1:8">
      <c r="A432" s="80"/>
      <c r="B432" s="81" t="s">
        <v>140</v>
      </c>
      <c r="C432" s="138">
        <f>VLOOKUP(G430,'18_1'!$A$133:$B$156,2,0)</f>
        <v>1214</v>
      </c>
      <c r="D432" s="81"/>
      <c r="E432" s="139" t="s">
        <v>141</v>
      </c>
      <c r="F432" s="141" t="e">
        <f>DSUM('18_1'!A$133:J$156,'18_1'!$J$133,G429:G430)</f>
        <v>#REF!</v>
      </c>
      <c r="G432" s="81"/>
      <c r="H432" s="111"/>
    </row>
    <row r="433" spans="1:8">
      <c r="A433" s="80"/>
      <c r="B433" s="81" t="s">
        <v>142</v>
      </c>
      <c r="C433" s="205">
        <v>192</v>
      </c>
      <c r="D433" s="81"/>
      <c r="E433" s="81"/>
      <c r="F433" s="81"/>
      <c r="G433" s="81"/>
      <c r="H433" s="111"/>
    </row>
    <row r="434" spans="1:8">
      <c r="A434" s="80"/>
      <c r="B434" s="81" t="s">
        <v>144</v>
      </c>
      <c r="C434" s="206" t="e">
        <f>DSUM('18_1'!$A$133:$H$156,'18_1'!$H$133,G429:G430)</f>
        <v>#N/A</v>
      </c>
      <c r="D434" s="81"/>
      <c r="E434" s="81"/>
      <c r="F434" s="584"/>
      <c r="G434" s="584"/>
      <c r="H434" s="111"/>
    </row>
    <row r="435" spans="1:8" ht="15.75">
      <c r="A435" s="80"/>
      <c r="B435" s="81"/>
      <c r="C435" s="81" t="s">
        <v>146</v>
      </c>
      <c r="D435" s="145" t="e">
        <f>DMIN('18_1'!A$133:K$156,'18_1'!$J$133,G429:G430)</f>
        <v>#REF!</v>
      </c>
      <c r="E435" s="189" t="e">
        <f>IF(F435=1,"Domingo",IF(F435=2,"Lunes",IF(F435=3,"Martes",IF(F435=4,"Miercoles",IF(F435=5,"Jueves",IF(F435=6,"Viernes",IF(F435=7,"Sábado",0)))))))</f>
        <v>#REF!</v>
      </c>
      <c r="F435" s="190" t="e">
        <f>WEEKDAY(D435)</f>
        <v>#REF!</v>
      </c>
      <c r="G435" s="142"/>
      <c r="H435" s="111"/>
    </row>
    <row r="436" spans="1:8" ht="15.75">
      <c r="A436" s="80"/>
      <c r="B436" s="81"/>
      <c r="C436" s="81" t="s">
        <v>147</v>
      </c>
      <c r="D436" s="145" t="e">
        <f>DMAX('18_1'!A$133:L$156,'18_1'!$K$133,G429:G430)</f>
        <v>#REF!</v>
      </c>
      <c r="E436" s="189" t="e">
        <f>IF(F436=1,"Domingo",IF(F436=2,"Lunes",IF(F436=3,"Martes",IF(F436=4,"Miercoles",IF(F436=5,"Jueves",IF(F436=6,"Viernes",IF(F436=7,"Sábado",0)))))))</f>
        <v>#REF!</v>
      </c>
      <c r="F436" s="190" t="e">
        <f>WEEKDAY(D436)</f>
        <v>#REF!</v>
      </c>
      <c r="G436" s="142"/>
      <c r="H436" s="111"/>
    </row>
    <row r="437" spans="1:8">
      <c r="A437" s="80"/>
      <c r="B437" s="81"/>
      <c r="C437" s="81"/>
      <c r="D437" s="81"/>
      <c r="E437" s="81"/>
      <c r="F437" s="584"/>
      <c r="G437" s="584"/>
      <c r="H437" s="111"/>
    </row>
    <row r="438" spans="1:8">
      <c r="A438" s="80"/>
      <c r="B438" s="146">
        <f>+Mensajes!$B$7</f>
        <v>0</v>
      </c>
      <c r="C438" s="81"/>
      <c r="D438" s="81"/>
      <c r="E438" s="81"/>
      <c r="F438" s="81"/>
      <c r="G438" s="81"/>
      <c r="H438" s="111"/>
    </row>
    <row r="439" spans="1:8">
      <c r="A439" s="80"/>
      <c r="B439" s="146">
        <f>+Mensajes!$B$12</f>
        <v>0</v>
      </c>
      <c r="C439" s="81"/>
      <c r="D439" s="81"/>
      <c r="E439" s="81"/>
      <c r="F439" s="81"/>
      <c r="G439" s="81"/>
      <c r="H439" s="111"/>
    </row>
    <row r="440" spans="1:8">
      <c r="A440" s="80"/>
      <c r="B440" s="146" t="str">
        <f>IF(VLOOKUP(G430,'18_1'!$A$133:$M$156,13,0)=0,"",VLOOKUP(G430,'18_1'!$A$133:$M$156,13,0))</f>
        <v/>
      </c>
      <c r="C440" s="81"/>
      <c r="D440" s="81"/>
      <c r="E440" s="81"/>
      <c r="F440" s="81"/>
      <c r="G440" s="81"/>
      <c r="H440" s="111"/>
    </row>
    <row r="441" spans="1:8">
      <c r="A441" s="140"/>
      <c r="B441" s="188" t="str">
        <f>IF(DSUM('18_1'!$A$133:$P$156,16,G429:G430)=COUNTIF('18_1'!$A$133:$A$156,G430),"","Regularice su Deuda")</f>
        <v/>
      </c>
      <c r="C441" s="82"/>
      <c r="D441" s="82"/>
      <c r="E441" s="82"/>
      <c r="F441" s="82"/>
      <c r="G441" s="82"/>
      <c r="H441" s="83"/>
    </row>
    <row r="443" spans="1:8">
      <c r="A443" s="108"/>
      <c r="B443" s="109"/>
      <c r="C443" s="109"/>
      <c r="D443" s="109"/>
      <c r="E443" s="109"/>
      <c r="F443" s="109"/>
      <c r="G443" s="109"/>
      <c r="H443" s="110"/>
    </row>
    <row r="444" spans="1:8">
      <c r="A444" s="80"/>
      <c r="B444" s="147" t="s">
        <v>64</v>
      </c>
      <c r="C444" s="81"/>
      <c r="D444" s="81"/>
      <c r="E444" s="81"/>
      <c r="F444" s="81"/>
      <c r="G444" s="81"/>
      <c r="H444" s="111"/>
    </row>
    <row r="445" spans="1:8">
      <c r="A445" s="80"/>
      <c r="B445" s="81"/>
      <c r="C445" s="81"/>
      <c r="D445" s="81"/>
      <c r="E445" s="81"/>
      <c r="F445" s="81"/>
      <c r="G445" s="81"/>
      <c r="H445" s="111"/>
    </row>
    <row r="446" spans="1:8">
      <c r="A446" s="80"/>
      <c r="B446" s="81" t="s">
        <v>139</v>
      </c>
      <c r="C446" s="81" t="str">
        <f>VLOOKUP(G447,'18_1'!$A$133:$G$156,6,0)</f>
        <v>GIMENEZ, TERESA</v>
      </c>
      <c r="D446" s="81"/>
      <c r="E446" s="81"/>
      <c r="F446" s="81"/>
      <c r="G446" s="138" t="s">
        <v>102</v>
      </c>
      <c r="H446" s="111"/>
    </row>
    <row r="447" spans="1:8">
      <c r="A447" s="80"/>
      <c r="B447" s="81" t="s">
        <v>72</v>
      </c>
      <c r="C447" s="81" t="str">
        <f>+'18_1'!$G$2</f>
        <v>Hijuela Morón</v>
      </c>
      <c r="D447" s="81"/>
      <c r="E447" s="81"/>
      <c r="F447" s="81"/>
      <c r="G447" s="138">
        <v>10</v>
      </c>
      <c r="H447" s="111"/>
    </row>
    <row r="448" spans="1:8">
      <c r="A448" s="80"/>
      <c r="B448" s="81"/>
      <c r="C448" s="81"/>
      <c r="D448" s="81"/>
      <c r="E448" s="81"/>
      <c r="F448" s="81"/>
      <c r="G448" s="81"/>
      <c r="H448" s="111"/>
    </row>
    <row r="449" spans="1:8">
      <c r="A449" s="80"/>
      <c r="B449" s="81" t="s">
        <v>140</v>
      </c>
      <c r="C449" s="138">
        <f>VLOOKUP(G447,'18_1'!$A$133:$B$156,2,0)</f>
        <v>1214</v>
      </c>
      <c r="D449" s="81"/>
      <c r="E449" s="139" t="s">
        <v>141</v>
      </c>
      <c r="F449" s="141" t="e">
        <f>DSUM('18_1'!A$133:J$156,'18_1'!$J$133,G446:G447)</f>
        <v>#REF!</v>
      </c>
      <c r="G449" s="81"/>
      <c r="H449" s="111"/>
    </row>
    <row r="450" spans="1:8">
      <c r="A450" s="80"/>
      <c r="B450" s="81" t="s">
        <v>142</v>
      </c>
      <c r="C450" s="205">
        <v>191</v>
      </c>
      <c r="D450" s="81"/>
      <c r="E450" s="81"/>
      <c r="F450" s="81"/>
      <c r="G450" s="81"/>
      <c r="H450" s="111"/>
    </row>
    <row r="451" spans="1:8">
      <c r="A451" s="80"/>
      <c r="B451" s="81" t="s">
        <v>144</v>
      </c>
      <c r="C451" s="206" t="e">
        <f>DSUM('18_1'!$A$133:$H$156,'18_1'!$H$133,G446:G447)</f>
        <v>#N/A</v>
      </c>
      <c r="D451" s="81"/>
      <c r="E451" s="81"/>
      <c r="F451" s="584"/>
      <c r="G451" s="584"/>
      <c r="H451" s="111"/>
    </row>
    <row r="452" spans="1:8" ht="15.75">
      <c r="A452" s="80"/>
      <c r="B452" s="81"/>
      <c r="C452" s="81" t="s">
        <v>146</v>
      </c>
      <c r="D452" s="145" t="e">
        <f>DMIN('18_1'!A$133:K$156,'18_1'!$J$133,G446:G447)</f>
        <v>#REF!</v>
      </c>
      <c r="E452" s="189" t="e">
        <f>IF(F452=1,"Domingo",IF(F452=2,"Lunes",IF(F452=3,"Martes",IF(F452=4,"Miercoles",IF(F452=5,"Jueves",IF(F452=6,"Viernes",IF(F452=7,"Sábado",0)))))))</f>
        <v>#REF!</v>
      </c>
      <c r="F452" s="190" t="e">
        <f>WEEKDAY(D452)</f>
        <v>#REF!</v>
      </c>
      <c r="G452" s="142"/>
      <c r="H452" s="111"/>
    </row>
    <row r="453" spans="1:8" ht="15.75">
      <c r="A453" s="80"/>
      <c r="B453" s="81"/>
      <c r="C453" s="81" t="s">
        <v>147</v>
      </c>
      <c r="D453" s="145" t="e">
        <f>DMAX('18_1'!A$133:L$156,'18_1'!$K$133,G446:G447)</f>
        <v>#REF!</v>
      </c>
      <c r="E453" s="189" t="e">
        <f>IF(F453=1,"Domingo",IF(F453=2,"Lunes",IF(F453=3,"Martes",IF(F453=4,"Miercoles",IF(F453=5,"Jueves",IF(F453=6,"Viernes",IF(F453=7,"Sábado",0)))))))</f>
        <v>#REF!</v>
      </c>
      <c r="F453" s="190" t="e">
        <f>WEEKDAY(D453)</f>
        <v>#REF!</v>
      </c>
      <c r="G453" s="142"/>
      <c r="H453" s="111"/>
    </row>
    <row r="454" spans="1:8">
      <c r="A454" s="80"/>
      <c r="B454" s="81"/>
      <c r="C454" s="81"/>
      <c r="D454" s="81"/>
      <c r="E454" s="81"/>
      <c r="F454" s="584"/>
      <c r="G454" s="584"/>
      <c r="H454" s="111"/>
    </row>
    <row r="455" spans="1:8">
      <c r="A455" s="80"/>
      <c r="B455" s="146">
        <f>+Mensajes!$B$7</f>
        <v>0</v>
      </c>
      <c r="C455" s="81"/>
      <c r="D455" s="81"/>
      <c r="E455" s="81"/>
      <c r="F455" s="81"/>
      <c r="G455" s="81"/>
      <c r="H455" s="111"/>
    </row>
    <row r="456" spans="1:8">
      <c r="A456" s="80"/>
      <c r="B456" s="146">
        <f>+Mensajes!$B$12</f>
        <v>0</v>
      </c>
      <c r="C456" s="81"/>
      <c r="D456" s="81"/>
      <c r="E456" s="81"/>
      <c r="F456" s="81"/>
      <c r="G456" s="81"/>
      <c r="H456" s="111"/>
    </row>
    <row r="457" spans="1:8">
      <c r="A457" s="80"/>
      <c r="B457" s="146" t="str">
        <f>IF(VLOOKUP(G447,'18_1'!$A$133:$M$156,13,0)=0,"",VLOOKUP(G447,'18_1'!$A$133:$M$156,13,0))</f>
        <v/>
      </c>
      <c r="C457" s="81"/>
      <c r="D457" s="81"/>
      <c r="E457" s="81"/>
      <c r="F457" s="81"/>
      <c r="G457" s="81"/>
      <c r="H457" s="111"/>
    </row>
    <row r="458" spans="1:8">
      <c r="A458" s="140"/>
      <c r="B458" s="188" t="str">
        <f>IF(DSUM('18_1'!$A$133:$P$156,16,G446:G447)=COUNTIF('18_1'!$A$133:$A$156,G447),"","Regularice su Deuda")</f>
        <v/>
      </c>
      <c r="C458" s="82"/>
      <c r="D458" s="82"/>
      <c r="E458" s="82"/>
      <c r="F458" s="82"/>
      <c r="G458" s="82"/>
      <c r="H458" s="83"/>
    </row>
    <row r="460" spans="1:8">
      <c r="A460" s="108"/>
      <c r="B460" s="109"/>
      <c r="C460" s="109"/>
      <c r="D460" s="109"/>
      <c r="E460" s="109"/>
      <c r="F460" s="109"/>
      <c r="G460" s="109"/>
      <c r="H460" s="110"/>
    </row>
    <row r="461" spans="1:8">
      <c r="A461" s="80"/>
      <c r="B461" s="147" t="s">
        <v>64</v>
      </c>
      <c r="C461" s="81"/>
      <c r="D461" s="81"/>
      <c r="E461" s="81"/>
      <c r="F461" s="81"/>
      <c r="G461" s="81"/>
      <c r="H461" s="111"/>
    </row>
    <row r="462" spans="1:8">
      <c r="A462" s="80"/>
      <c r="B462" s="81"/>
      <c r="C462" s="81"/>
      <c r="D462" s="81"/>
      <c r="E462" s="81"/>
      <c r="F462" s="81"/>
      <c r="G462" s="81"/>
      <c r="H462" s="111"/>
    </row>
    <row r="463" spans="1:8">
      <c r="A463" s="80"/>
      <c r="B463" s="81" t="s">
        <v>139</v>
      </c>
      <c r="C463" s="81" t="str">
        <f>VLOOKUP(G464,'18_1'!$A$133:$G$156,6,0)</f>
        <v>PUGA, ELIO ERNESTO</v>
      </c>
      <c r="D463" s="81"/>
      <c r="E463" s="81"/>
      <c r="F463" s="81"/>
      <c r="G463" s="138" t="s">
        <v>102</v>
      </c>
      <c r="H463" s="111"/>
    </row>
    <row r="464" spans="1:8">
      <c r="A464" s="80"/>
      <c r="B464" s="81" t="s">
        <v>72</v>
      </c>
      <c r="C464" s="81" t="str">
        <f>+'18_1'!$G$2</f>
        <v>Hijuela Morón</v>
      </c>
      <c r="D464" s="81"/>
      <c r="E464" s="81"/>
      <c r="F464" s="81"/>
      <c r="G464" s="138">
        <v>11</v>
      </c>
      <c r="H464" s="111"/>
    </row>
    <row r="465" spans="1:8">
      <c r="A465" s="80"/>
      <c r="B465" s="81"/>
      <c r="C465" s="81"/>
      <c r="D465" s="81"/>
      <c r="E465" s="81"/>
      <c r="F465" s="81"/>
      <c r="G465" s="81"/>
      <c r="H465" s="111"/>
    </row>
    <row r="466" spans="1:8">
      <c r="A466" s="80"/>
      <c r="B466" s="81" t="s">
        <v>140</v>
      </c>
      <c r="C466" s="138">
        <f>VLOOKUP(G464,'18_1'!$A$133:$B$156,2,0)</f>
        <v>1214</v>
      </c>
      <c r="D466" s="81"/>
      <c r="E466" s="139" t="s">
        <v>141</v>
      </c>
      <c r="F466" s="141" t="e">
        <f>DSUM('18_1'!A$133:J$156,'18_1'!$J$133,G463:G464)</f>
        <v>#REF!</v>
      </c>
      <c r="G466" s="81"/>
      <c r="H466" s="111"/>
    </row>
    <row r="467" spans="1:8">
      <c r="A467" s="80"/>
      <c r="B467" s="81" t="s">
        <v>142</v>
      </c>
      <c r="C467" s="205">
        <v>38</v>
      </c>
      <c r="D467" s="81"/>
      <c r="E467" s="81"/>
      <c r="F467" s="81"/>
      <c r="G467" s="81"/>
      <c r="H467" s="111"/>
    </row>
    <row r="468" spans="1:8">
      <c r="A468" s="80"/>
      <c r="B468" s="81" t="s">
        <v>144</v>
      </c>
      <c r="C468" s="206" t="e">
        <f>DSUM('18_1'!$A$133:$H$156,'18_1'!$H$133,G463:G464)</f>
        <v>#N/A</v>
      </c>
      <c r="D468" s="81"/>
      <c r="E468" s="81"/>
      <c r="F468" s="584"/>
      <c r="G468" s="584"/>
      <c r="H468" s="111"/>
    </row>
    <row r="469" spans="1:8" ht="15.75">
      <c r="A469" s="80"/>
      <c r="B469" s="81"/>
      <c r="C469" s="81" t="s">
        <v>146</v>
      </c>
      <c r="D469" s="145" t="e">
        <f>DMIN('18_1'!A$133:K$156,'18_1'!$J$133,G463:G464)</f>
        <v>#REF!</v>
      </c>
      <c r="E469" s="189" t="e">
        <f>IF(F469=1,"Domingo",IF(F469=2,"Lunes",IF(F469=3,"Martes",IF(F469=4,"Miercoles",IF(F469=5,"Jueves",IF(F469=6,"Viernes",IF(F469=7,"Sábado",0)))))))</f>
        <v>#REF!</v>
      </c>
      <c r="F469" s="190" t="e">
        <f>WEEKDAY(D469)</f>
        <v>#REF!</v>
      </c>
      <c r="G469" s="142"/>
      <c r="H469" s="111"/>
    </row>
    <row r="470" spans="1:8" ht="15.75">
      <c r="A470" s="80"/>
      <c r="B470" s="81"/>
      <c r="C470" s="81" t="s">
        <v>147</v>
      </c>
      <c r="D470" s="145" t="e">
        <f>DMAX('18_1'!A$133:L$156,'18_1'!$K$133,G463:G464)</f>
        <v>#REF!</v>
      </c>
      <c r="E470" s="189" t="e">
        <f>IF(F470=1,"Domingo",IF(F470=2,"Lunes",IF(F470=3,"Martes",IF(F470=4,"Miercoles",IF(F470=5,"Jueves",IF(F470=6,"Viernes",IF(F470=7,"Sábado",0)))))))</f>
        <v>#REF!</v>
      </c>
      <c r="F470" s="190" t="e">
        <f>WEEKDAY(D470)</f>
        <v>#REF!</v>
      </c>
      <c r="G470" s="142"/>
      <c r="H470" s="111"/>
    </row>
    <row r="471" spans="1:8">
      <c r="A471" s="80"/>
      <c r="B471" s="81"/>
      <c r="C471" s="81"/>
      <c r="D471" s="81"/>
      <c r="E471" s="81"/>
      <c r="F471" s="584"/>
      <c r="G471" s="584"/>
      <c r="H471" s="111"/>
    </row>
    <row r="472" spans="1:8">
      <c r="A472" s="80"/>
      <c r="B472" s="146">
        <f>+Mensajes!$B$7</f>
        <v>0</v>
      </c>
      <c r="C472" s="81"/>
      <c r="D472" s="81"/>
      <c r="E472" s="81"/>
      <c r="F472" s="81"/>
      <c r="G472" s="81"/>
      <c r="H472" s="111"/>
    </row>
    <row r="473" spans="1:8">
      <c r="A473" s="80"/>
      <c r="B473" s="146">
        <f>+Mensajes!$B$12</f>
        <v>0</v>
      </c>
      <c r="C473" s="81"/>
      <c r="D473" s="81"/>
      <c r="E473" s="81"/>
      <c r="F473" s="81"/>
      <c r="G473" s="81"/>
      <c r="H473" s="111"/>
    </row>
    <row r="474" spans="1:8">
      <c r="A474" s="80"/>
      <c r="B474" s="146" t="str">
        <f>IF(VLOOKUP(G464,'18_1'!$A$133:$M$156,13,0)=0,"",VLOOKUP(G464,'18_1'!$A$133:$M$156,13,0))</f>
        <v/>
      </c>
      <c r="C474" s="81"/>
      <c r="D474" s="81"/>
      <c r="E474" s="81"/>
      <c r="F474" s="81"/>
      <c r="G474" s="81"/>
      <c r="H474" s="111"/>
    </row>
    <row r="475" spans="1:8">
      <c r="A475" s="140"/>
      <c r="B475" s="188" t="str">
        <f>IF(DSUM('18_1'!$A$133:$P$156,16,G463:G464)=COUNTIF('18_1'!$A$133:$A$156,G464),"","Regularice su Deuda")</f>
        <v/>
      </c>
      <c r="C475" s="82"/>
      <c r="D475" s="82"/>
      <c r="E475" s="82"/>
      <c r="F475" s="82"/>
      <c r="G475" s="82"/>
      <c r="H475" s="83"/>
    </row>
    <row r="477" spans="1:8">
      <c r="A477" s="108"/>
      <c r="B477" s="109"/>
      <c r="C477" s="109"/>
      <c r="D477" s="109"/>
      <c r="E477" s="109"/>
      <c r="F477" s="109"/>
      <c r="G477" s="109"/>
      <c r="H477" s="110"/>
    </row>
    <row r="478" spans="1:8">
      <c r="A478" s="80"/>
      <c r="B478" s="147" t="s">
        <v>64</v>
      </c>
      <c r="C478" s="81"/>
      <c r="D478" s="81"/>
      <c r="E478" s="81"/>
      <c r="F478" s="81"/>
      <c r="G478" s="81"/>
      <c r="H478" s="111"/>
    </row>
    <row r="479" spans="1:8">
      <c r="A479" s="80"/>
      <c r="B479" s="81"/>
      <c r="C479" s="81"/>
      <c r="D479" s="81"/>
      <c r="E479" s="81"/>
      <c r="F479" s="81"/>
      <c r="G479" s="81"/>
      <c r="H479" s="111"/>
    </row>
    <row r="480" spans="1:8">
      <c r="A480" s="80"/>
      <c r="B480" s="81" t="s">
        <v>139</v>
      </c>
      <c r="C480" s="81" t="str">
        <f>VLOOKUP(G481,'18_1'!$A$133:$G$156,6,0)</f>
        <v>LEONFORTE, RAUL GUILLERMO</v>
      </c>
      <c r="D480" s="81"/>
      <c r="E480" s="81"/>
      <c r="F480" s="81"/>
      <c r="G480" s="138" t="s">
        <v>102</v>
      </c>
      <c r="H480" s="111"/>
    </row>
    <row r="481" spans="1:8">
      <c r="A481" s="80"/>
      <c r="B481" s="81" t="s">
        <v>72</v>
      </c>
      <c r="C481" s="81" t="str">
        <f>+'18_1'!$G$2</f>
        <v>Hijuela Morón</v>
      </c>
      <c r="D481" s="81"/>
      <c r="E481" s="81"/>
      <c r="F481" s="81"/>
      <c r="G481" s="138">
        <v>12</v>
      </c>
      <c r="H481" s="111"/>
    </row>
    <row r="482" spans="1:8">
      <c r="A482" s="80"/>
      <c r="B482" s="81"/>
      <c r="C482" s="81"/>
      <c r="D482" s="81"/>
      <c r="E482" s="81"/>
      <c r="F482" s="81"/>
      <c r="G482" s="81"/>
      <c r="H482" s="111"/>
    </row>
    <row r="483" spans="1:8">
      <c r="A483" s="80"/>
      <c r="B483" s="81" t="s">
        <v>140</v>
      </c>
      <c r="C483" s="138">
        <f>VLOOKUP(G481,'18_1'!$A$133:$B$156,2,0)</f>
        <v>1214</v>
      </c>
      <c r="D483" s="81"/>
      <c r="E483" s="139" t="s">
        <v>141</v>
      </c>
      <c r="F483" s="141" t="e">
        <f>DSUM('18_1'!A$133:J$156,'18_1'!$J$133,G480:G481)</f>
        <v>#REF!</v>
      </c>
      <c r="G483" s="81"/>
      <c r="H483" s="111"/>
    </row>
    <row r="484" spans="1:8">
      <c r="A484" s="80"/>
      <c r="B484" s="81" t="s">
        <v>142</v>
      </c>
      <c r="C484" s="205">
        <v>282</v>
      </c>
      <c r="D484" s="81"/>
      <c r="E484" s="81"/>
      <c r="F484" s="81"/>
      <c r="G484" s="81"/>
      <c r="H484" s="111"/>
    </row>
    <row r="485" spans="1:8">
      <c r="A485" s="80"/>
      <c r="B485" s="81" t="s">
        <v>144</v>
      </c>
      <c r="C485" s="206" t="e">
        <f>DSUM('18_1'!$A$133:$H$156,'18_1'!$H$133,G480:G481)</f>
        <v>#N/A</v>
      </c>
      <c r="D485" s="81"/>
      <c r="E485" s="81"/>
      <c r="F485" s="584"/>
      <c r="G485" s="584"/>
      <c r="H485" s="111"/>
    </row>
    <row r="486" spans="1:8" ht="15.75">
      <c r="A486" s="80"/>
      <c r="B486" s="81"/>
      <c r="C486" s="81" t="s">
        <v>146</v>
      </c>
      <c r="D486" s="145" t="e">
        <f>DMIN('18_1'!A$133:K$156,'18_1'!$J$133,G480:G481)</f>
        <v>#REF!</v>
      </c>
      <c r="E486" s="189" t="e">
        <f>IF(F486=1,"Domingo",IF(F486=2,"Lunes",IF(F486=3,"Martes",IF(F486=4,"Miercoles",IF(F486=5,"Jueves",IF(F486=6,"Viernes",IF(F486=7,"Sábado",0)))))))</f>
        <v>#REF!</v>
      </c>
      <c r="F486" s="190" t="e">
        <f>WEEKDAY(D486)</f>
        <v>#REF!</v>
      </c>
      <c r="G486" s="142"/>
      <c r="H486" s="111"/>
    </row>
    <row r="487" spans="1:8" ht="15.75">
      <c r="A487" s="80"/>
      <c r="B487" s="81"/>
      <c r="C487" s="81" t="s">
        <v>147</v>
      </c>
      <c r="D487" s="145" t="e">
        <f>DMAX('18_1'!A$133:L$156,'18_1'!$K$133,G480:G481)</f>
        <v>#REF!</v>
      </c>
      <c r="E487" s="189" t="e">
        <f>IF(F487=1,"Domingo",IF(F487=2,"Lunes",IF(F487=3,"Martes",IF(F487=4,"Miercoles",IF(F487=5,"Jueves",IF(F487=6,"Viernes",IF(F487=7,"Sábado",0)))))))</f>
        <v>#REF!</v>
      </c>
      <c r="F487" s="190" t="e">
        <f>WEEKDAY(D487)</f>
        <v>#REF!</v>
      </c>
      <c r="G487" s="142"/>
      <c r="H487" s="111"/>
    </row>
    <row r="488" spans="1:8">
      <c r="A488" s="80"/>
      <c r="B488" s="81"/>
      <c r="C488" s="81"/>
      <c r="D488" s="81"/>
      <c r="E488" s="81"/>
      <c r="F488" s="584"/>
      <c r="G488" s="584"/>
      <c r="H488" s="111"/>
    </row>
    <row r="489" spans="1:8">
      <c r="A489" s="80"/>
      <c r="B489" s="146">
        <f>+Mensajes!$B$7</f>
        <v>0</v>
      </c>
      <c r="C489" s="81"/>
      <c r="D489" s="81"/>
      <c r="E489" s="81"/>
      <c r="F489" s="81"/>
      <c r="G489" s="81"/>
      <c r="H489" s="111"/>
    </row>
    <row r="490" spans="1:8">
      <c r="A490" s="80"/>
      <c r="B490" s="146">
        <f>+Mensajes!$B$12</f>
        <v>0</v>
      </c>
      <c r="C490" s="81"/>
      <c r="D490" s="81"/>
      <c r="E490" s="81"/>
      <c r="F490" s="81"/>
      <c r="G490" s="81"/>
      <c r="H490" s="111"/>
    </row>
    <row r="491" spans="1:8">
      <c r="A491" s="80"/>
      <c r="B491" s="146" t="str">
        <f>IF(VLOOKUP(G481,'18_1'!$A$133:$M$156,13,0)=0,"",VLOOKUP(G481,'18_1'!$A$133:$M$156,13,0))</f>
        <v/>
      </c>
      <c r="C491" s="81"/>
      <c r="D491" s="81"/>
      <c r="E491" s="81"/>
      <c r="F491" s="81"/>
      <c r="G491" s="81"/>
      <c r="H491" s="111"/>
    </row>
    <row r="492" spans="1:8">
      <c r="A492" s="140"/>
      <c r="B492" s="188" t="e">
        <f>IF(DSUM('18_1'!$A$133:$P$156,16,G480:G481)=COUNTIF('18_1'!$A$133:$A$156,G481),"","Regularice su Deuda")</f>
        <v>#N/A</v>
      </c>
      <c r="C492" s="82"/>
      <c r="D492" s="82"/>
      <c r="E492" s="82"/>
      <c r="F492" s="82"/>
      <c r="G492" s="82"/>
      <c r="H492" s="83"/>
    </row>
    <row r="494" spans="1:8">
      <c r="A494" s="108"/>
      <c r="B494" s="109"/>
      <c r="C494" s="109"/>
      <c r="D494" s="109"/>
      <c r="E494" s="109"/>
      <c r="F494" s="109"/>
      <c r="G494" s="109"/>
      <c r="H494" s="110"/>
    </row>
    <row r="495" spans="1:8">
      <c r="A495" s="80"/>
      <c r="B495" s="147" t="s">
        <v>64</v>
      </c>
      <c r="C495" s="81"/>
      <c r="D495" s="81"/>
      <c r="E495" s="81"/>
      <c r="F495" s="81"/>
      <c r="G495" s="81"/>
      <c r="H495" s="111"/>
    </row>
    <row r="496" spans="1:8">
      <c r="A496" s="80"/>
      <c r="B496" s="81"/>
      <c r="C496" s="81"/>
      <c r="D496" s="81"/>
      <c r="E496" s="81"/>
      <c r="F496" s="81"/>
      <c r="G496" s="81"/>
      <c r="H496" s="111"/>
    </row>
    <row r="497" spans="1:8">
      <c r="A497" s="80"/>
      <c r="B497" s="81" t="s">
        <v>139</v>
      </c>
      <c r="C497" s="81" t="str">
        <f>VLOOKUP(G498,'18_1'!$A$133:$G$156,6,0)</f>
        <v>CASTRO, ROLANDO EXEQUIEL</v>
      </c>
      <c r="D497" s="81"/>
      <c r="E497" s="81"/>
      <c r="F497" s="81"/>
      <c r="G497" s="138" t="s">
        <v>102</v>
      </c>
      <c r="H497" s="111"/>
    </row>
    <row r="498" spans="1:8">
      <c r="A498" s="80"/>
      <c r="B498" s="81" t="s">
        <v>72</v>
      </c>
      <c r="C498" s="81" t="str">
        <f>+'18_1'!$G$2</f>
        <v>Hijuela Morón</v>
      </c>
      <c r="D498" s="81"/>
      <c r="E498" s="81"/>
      <c r="F498" s="81"/>
      <c r="G498" s="138">
        <v>13</v>
      </c>
      <c r="H498" s="111"/>
    </row>
    <row r="499" spans="1:8">
      <c r="A499" s="80"/>
      <c r="B499" s="81"/>
      <c r="C499" s="81"/>
      <c r="D499" s="81"/>
      <c r="E499" s="81"/>
      <c r="F499" s="81"/>
      <c r="G499" s="81"/>
      <c r="H499" s="111"/>
    </row>
    <row r="500" spans="1:8">
      <c r="A500" s="80"/>
      <c r="B500" s="81" t="s">
        <v>140</v>
      </c>
      <c r="C500" s="138">
        <f>VLOOKUP(G498,'18_1'!$A$133:$B$156,2,0)</f>
        <v>1214</v>
      </c>
      <c r="D500" s="81"/>
      <c r="E500" s="139" t="s">
        <v>141</v>
      </c>
      <c r="F500" s="141" t="e">
        <f>DSUM('18_1'!A$133:J$156,'18_1'!$J$133,G497:G498)</f>
        <v>#REF!</v>
      </c>
      <c r="G500" s="81"/>
      <c r="H500" s="111"/>
    </row>
    <row r="501" spans="1:8">
      <c r="A501" s="80"/>
      <c r="B501" s="81" t="s">
        <v>142</v>
      </c>
      <c r="C501" s="205" t="s">
        <v>673</v>
      </c>
      <c r="D501" s="81"/>
      <c r="E501" s="81"/>
      <c r="F501" s="81"/>
      <c r="G501" s="81"/>
      <c r="H501" s="111"/>
    </row>
    <row r="502" spans="1:8">
      <c r="A502" s="80"/>
      <c r="B502" s="81" t="s">
        <v>144</v>
      </c>
      <c r="C502" s="206" t="e">
        <f>DSUM('18_1'!$A$133:$H$156,'18_1'!$H$133,G497:G498)</f>
        <v>#N/A</v>
      </c>
      <c r="D502" s="81"/>
      <c r="E502" s="81"/>
      <c r="F502" s="584"/>
      <c r="G502" s="584"/>
      <c r="H502" s="111"/>
    </row>
    <row r="503" spans="1:8" ht="15.75">
      <c r="A503" s="80"/>
      <c r="B503" s="81"/>
      <c r="C503" s="81" t="s">
        <v>146</v>
      </c>
      <c r="D503" s="145" t="e">
        <f>DMIN('18_1'!A$133:K$156,'18_1'!$J$133,G497:G498)</f>
        <v>#REF!</v>
      </c>
      <c r="E503" s="189" t="e">
        <f>IF(F503=1,"Domingo",IF(F503=2,"Lunes",IF(F503=3,"Martes",IF(F503=4,"Miercoles",IF(F503=5,"Jueves",IF(F503=6,"Viernes",IF(F503=7,"Sábado",0)))))))</f>
        <v>#REF!</v>
      </c>
      <c r="F503" s="190" t="e">
        <f>WEEKDAY(D503)</f>
        <v>#REF!</v>
      </c>
      <c r="G503" s="142"/>
      <c r="H503" s="111"/>
    </row>
    <row r="504" spans="1:8" ht="15.75">
      <c r="A504" s="80"/>
      <c r="B504" s="81"/>
      <c r="C504" s="81" t="s">
        <v>147</v>
      </c>
      <c r="D504" s="145" t="e">
        <f>DMAX('18_1'!A$133:L$156,'18_1'!$K$133,G497:G498)</f>
        <v>#REF!</v>
      </c>
      <c r="E504" s="189" t="e">
        <f>IF(F504=1,"Domingo",IF(F504=2,"Lunes",IF(F504=3,"Martes",IF(F504=4,"Miercoles",IF(F504=5,"Jueves",IF(F504=6,"Viernes",IF(F504=7,"Sábado",0)))))))</f>
        <v>#REF!</v>
      </c>
      <c r="F504" s="190" t="e">
        <f>WEEKDAY(D504)</f>
        <v>#REF!</v>
      </c>
      <c r="G504" s="142"/>
      <c r="H504" s="111"/>
    </row>
    <row r="505" spans="1:8">
      <c r="A505" s="80"/>
      <c r="B505" s="81"/>
      <c r="C505" s="81"/>
      <c r="D505" s="81"/>
      <c r="E505" s="81"/>
      <c r="F505" s="584"/>
      <c r="G505" s="584"/>
      <c r="H505" s="111"/>
    </row>
    <row r="506" spans="1:8">
      <c r="A506" s="80"/>
      <c r="B506" s="146">
        <f>+Mensajes!$B$7</f>
        <v>0</v>
      </c>
      <c r="C506" s="81"/>
      <c r="D506" s="81"/>
      <c r="E506" s="81"/>
      <c r="F506" s="81"/>
      <c r="G506" s="81"/>
      <c r="H506" s="111"/>
    </row>
    <row r="507" spans="1:8">
      <c r="A507" s="80"/>
      <c r="B507" s="146">
        <f>+Mensajes!$B$12</f>
        <v>0</v>
      </c>
      <c r="C507" s="81"/>
      <c r="D507" s="81"/>
      <c r="E507" s="81"/>
      <c r="F507" s="81"/>
      <c r="G507" s="81"/>
      <c r="H507" s="111"/>
    </row>
    <row r="508" spans="1:8">
      <c r="A508" s="80"/>
      <c r="B508" s="146" t="str">
        <f>IF(VLOOKUP(G498,'18_1'!$A$133:$M$156,13,0)=0,"",VLOOKUP(G498,'18_1'!$A$133:$M$156,13,0))</f>
        <v/>
      </c>
      <c r="C508" s="81"/>
      <c r="D508" s="81"/>
      <c r="E508" s="81"/>
      <c r="F508" s="81"/>
      <c r="G508" s="81"/>
      <c r="H508" s="111"/>
    </row>
    <row r="509" spans="1:8">
      <c r="A509" s="140"/>
      <c r="B509" s="188" t="e">
        <f>IF(DSUM('18_1'!$A$133:$P$156,16,G497:G498)=COUNTIF('18_1'!$A$133:$A$156,G498),"","Regularice su Deuda")</f>
        <v>#N/A</v>
      </c>
      <c r="C509" s="82"/>
      <c r="D509" s="82"/>
      <c r="E509" s="82"/>
      <c r="F509" s="82"/>
      <c r="G509" s="82"/>
      <c r="H509" s="83"/>
    </row>
    <row r="511" spans="1:8">
      <c r="A511" s="108"/>
      <c r="B511" s="109"/>
      <c r="C511" s="109"/>
      <c r="D511" s="109"/>
      <c r="E511" s="109"/>
      <c r="F511" s="109"/>
      <c r="G511" s="109"/>
      <c r="H511" s="110"/>
    </row>
    <row r="512" spans="1:8">
      <c r="A512" s="80"/>
      <c r="B512" s="147" t="s">
        <v>64</v>
      </c>
      <c r="C512" s="81"/>
      <c r="D512" s="81"/>
      <c r="E512" s="81"/>
      <c r="F512" s="81"/>
      <c r="G512" s="81"/>
      <c r="H512" s="111"/>
    </row>
    <row r="513" spans="1:8">
      <c r="A513" s="80"/>
      <c r="B513" s="81"/>
      <c r="C513" s="81"/>
      <c r="D513" s="81"/>
      <c r="E513" s="81"/>
      <c r="F513" s="81"/>
      <c r="G513" s="81"/>
      <c r="H513" s="111"/>
    </row>
    <row r="514" spans="1:8">
      <c r="A514" s="80"/>
      <c r="B514" s="81" t="s">
        <v>139</v>
      </c>
      <c r="C514" s="81" t="str">
        <f>VLOOKUP(G515,'18_1'!$A$133:$G$156,6,0)</f>
        <v>SANCHEZ DE MARTINO, JOSEFINA</v>
      </c>
      <c r="D514" s="81"/>
      <c r="E514" s="81"/>
      <c r="F514" s="81"/>
      <c r="G514" s="138" t="s">
        <v>102</v>
      </c>
      <c r="H514" s="111"/>
    </row>
    <row r="515" spans="1:8">
      <c r="A515" s="80"/>
      <c r="B515" s="81" t="s">
        <v>72</v>
      </c>
      <c r="C515" s="81" t="str">
        <f>+'18_1'!$G$2</f>
        <v>Hijuela Morón</v>
      </c>
      <c r="D515" s="81"/>
      <c r="E515" s="81"/>
      <c r="F515" s="81"/>
      <c r="G515" s="138">
        <v>14</v>
      </c>
      <c r="H515" s="111"/>
    </row>
    <row r="516" spans="1:8">
      <c r="A516" s="80"/>
      <c r="B516" s="81"/>
      <c r="C516" s="81"/>
      <c r="D516" s="81"/>
      <c r="E516" s="81"/>
      <c r="F516" s="81"/>
      <c r="G516" s="81"/>
      <c r="H516" s="111"/>
    </row>
    <row r="517" spans="1:8">
      <c r="A517" s="80"/>
      <c r="B517" s="81" t="s">
        <v>140</v>
      </c>
      <c r="C517" s="138">
        <f>VLOOKUP(G515,'18_1'!$A$133:$B$156,2,0)</f>
        <v>1214</v>
      </c>
      <c r="D517" s="81"/>
      <c r="E517" s="139" t="s">
        <v>141</v>
      </c>
      <c r="F517" s="141" t="e">
        <f>DSUM('18_1'!A$133:J$156,'18_1'!$J$133,G514:G515)</f>
        <v>#REF!</v>
      </c>
      <c r="G517" s="81"/>
      <c r="H517" s="111"/>
    </row>
    <row r="518" spans="1:8">
      <c r="A518" s="80"/>
      <c r="B518" s="81" t="s">
        <v>142</v>
      </c>
      <c r="C518" s="205">
        <v>190</v>
      </c>
      <c r="D518" s="81"/>
      <c r="E518" s="81"/>
      <c r="F518" s="81"/>
      <c r="G518" s="81"/>
      <c r="H518" s="111"/>
    </row>
    <row r="519" spans="1:8">
      <c r="A519" s="80"/>
      <c r="B519" s="81" t="s">
        <v>144</v>
      </c>
      <c r="C519" s="206" t="e">
        <f>DSUM('18_1'!$A$133:$H$156,'18_1'!$H$133,G514:G515)</f>
        <v>#N/A</v>
      </c>
      <c r="D519" s="81"/>
      <c r="E519" s="81"/>
      <c r="F519" s="584"/>
      <c r="G519" s="584"/>
      <c r="H519" s="111"/>
    </row>
    <row r="520" spans="1:8" ht="15.75">
      <c r="A520" s="80"/>
      <c r="B520" s="81"/>
      <c r="C520" s="81" t="s">
        <v>146</v>
      </c>
      <c r="D520" s="145" t="e">
        <f>DMIN('18_1'!A$133:K$156,'18_1'!$J$133,G514:G515)</f>
        <v>#REF!</v>
      </c>
      <c r="E520" s="189" t="e">
        <f>IF(F520=1,"Domingo",IF(F520=2,"Lunes",IF(F520=3,"Martes",IF(F520=4,"Miercoles",IF(F520=5,"Jueves",IF(F520=6,"Viernes",IF(F520=7,"Sábado",0)))))))</f>
        <v>#REF!</v>
      </c>
      <c r="F520" s="190" t="e">
        <f>WEEKDAY(D520)</f>
        <v>#REF!</v>
      </c>
      <c r="G520" s="142"/>
      <c r="H520" s="111"/>
    </row>
    <row r="521" spans="1:8" ht="15.75">
      <c r="A521" s="80"/>
      <c r="B521" s="81"/>
      <c r="C521" s="81" t="s">
        <v>147</v>
      </c>
      <c r="D521" s="145" t="e">
        <f>DMAX('18_1'!A$133:L$156,'18_1'!$K$133,G514:G515)</f>
        <v>#REF!</v>
      </c>
      <c r="E521" s="189" t="e">
        <f>IF(F521=1,"Domingo",IF(F521=2,"Lunes",IF(F521=3,"Martes",IF(F521=4,"Miercoles",IF(F521=5,"Jueves",IF(F521=6,"Viernes",IF(F521=7,"Sábado",0)))))))</f>
        <v>#REF!</v>
      </c>
      <c r="F521" s="190" t="e">
        <f>WEEKDAY(D521)</f>
        <v>#REF!</v>
      </c>
      <c r="G521" s="142"/>
      <c r="H521" s="111"/>
    </row>
    <row r="522" spans="1:8">
      <c r="A522" s="80"/>
      <c r="B522" s="81"/>
      <c r="C522" s="81"/>
      <c r="D522" s="81"/>
      <c r="E522" s="81"/>
      <c r="F522" s="584"/>
      <c r="G522" s="584"/>
      <c r="H522" s="111"/>
    </row>
    <row r="523" spans="1:8">
      <c r="A523" s="80"/>
      <c r="B523" s="146">
        <f>+Mensajes!$B$7</f>
        <v>0</v>
      </c>
      <c r="C523" s="81"/>
      <c r="D523" s="81"/>
      <c r="E523" s="81"/>
      <c r="F523" s="81"/>
      <c r="G523" s="81"/>
      <c r="H523" s="111"/>
    </row>
    <row r="524" spans="1:8">
      <c r="A524" s="80"/>
      <c r="B524" s="146">
        <f>+Mensajes!$B$12</f>
        <v>0</v>
      </c>
      <c r="C524" s="81"/>
      <c r="D524" s="81"/>
      <c r="E524" s="81"/>
      <c r="F524" s="81"/>
      <c r="G524" s="81"/>
      <c r="H524" s="111"/>
    </row>
    <row r="525" spans="1:8">
      <c r="A525" s="80"/>
      <c r="B525" s="146" t="str">
        <f>IF(VLOOKUP(G515,'18_1'!$A$133:$M$156,13,0)=0,"",VLOOKUP(G515,'18_1'!$A$133:$M$156,13,0))</f>
        <v/>
      </c>
      <c r="C525" s="81"/>
      <c r="D525" s="81"/>
      <c r="E525" s="81"/>
      <c r="F525" s="81"/>
      <c r="G525" s="81"/>
      <c r="H525" s="111"/>
    </row>
    <row r="526" spans="1:8">
      <c r="A526" s="140"/>
      <c r="B526" s="188" t="str">
        <f>IF(DSUM('18_1'!$A$133:$P$156,16,G514:G515)=COUNTIF('18_1'!$A$133:$A$156,G515),"","Regularice su Deuda")</f>
        <v>Regularice su Deuda</v>
      </c>
      <c r="C526" s="82"/>
      <c r="D526" s="82"/>
      <c r="E526" s="82"/>
      <c r="F526" s="82"/>
      <c r="G526" s="82"/>
      <c r="H526" s="83"/>
    </row>
    <row r="528" spans="1:8">
      <c r="A528" s="108"/>
      <c r="B528" s="109"/>
      <c r="C528" s="109"/>
      <c r="D528" s="109"/>
      <c r="E528" s="109"/>
      <c r="F528" s="109"/>
      <c r="G528" s="109"/>
      <c r="H528" s="110"/>
    </row>
    <row r="529" spans="1:8">
      <c r="A529" s="80"/>
      <c r="B529" s="147" t="s">
        <v>64</v>
      </c>
      <c r="C529" s="81"/>
      <c r="D529" s="81"/>
      <c r="E529" s="81"/>
      <c r="F529" s="81"/>
      <c r="G529" s="81"/>
      <c r="H529" s="111"/>
    </row>
    <row r="530" spans="1:8">
      <c r="A530" s="80"/>
      <c r="B530" s="81"/>
      <c r="C530" s="81"/>
      <c r="D530" s="81"/>
      <c r="E530" s="81"/>
      <c r="F530" s="81"/>
      <c r="G530" s="81"/>
      <c r="H530" s="111"/>
    </row>
    <row r="531" spans="1:8">
      <c r="A531" s="80"/>
      <c r="B531" s="81" t="s">
        <v>139</v>
      </c>
      <c r="C531" s="81" t="str">
        <f>VLOOKUP(G532,'18_1'!$A$133:$G$156,6,0)</f>
        <v>PUGA, ELIO ERNESTO</v>
      </c>
      <c r="D531" s="81"/>
      <c r="E531" s="81"/>
      <c r="F531" s="81"/>
      <c r="G531" s="138" t="s">
        <v>102</v>
      </c>
      <c r="H531" s="111"/>
    </row>
    <row r="532" spans="1:8">
      <c r="A532" s="80"/>
      <c r="B532" s="81" t="s">
        <v>72</v>
      </c>
      <c r="C532" s="81" t="str">
        <f>+'18_1'!$G$2</f>
        <v>Hijuela Morón</v>
      </c>
      <c r="D532" s="81"/>
      <c r="E532" s="81"/>
      <c r="F532" s="81"/>
      <c r="G532" s="138">
        <v>15</v>
      </c>
      <c r="H532" s="111"/>
    </row>
    <row r="533" spans="1:8">
      <c r="A533" s="80"/>
      <c r="B533" s="81"/>
      <c r="C533" s="81"/>
      <c r="D533" s="81"/>
      <c r="E533" s="81"/>
      <c r="F533" s="81"/>
      <c r="G533" s="81"/>
      <c r="H533" s="111"/>
    </row>
    <row r="534" spans="1:8">
      <c r="A534" s="80"/>
      <c r="B534" s="81" t="s">
        <v>140</v>
      </c>
      <c r="C534" s="138">
        <f>VLOOKUP(G532,'18_1'!$A$133:$B$156,2,0)</f>
        <v>1214</v>
      </c>
      <c r="D534" s="81"/>
      <c r="E534" s="139" t="s">
        <v>141</v>
      </c>
      <c r="F534" s="141" t="e">
        <f>DSUM('18_1'!A$133:J$156,'18_1'!$J$133,G531:G532)</f>
        <v>#REF!</v>
      </c>
      <c r="G534" s="81"/>
      <c r="H534" s="111"/>
    </row>
    <row r="535" spans="1:8">
      <c r="A535" s="80"/>
      <c r="B535" s="81" t="s">
        <v>142</v>
      </c>
      <c r="C535" s="205">
        <v>213</v>
      </c>
      <c r="D535" s="81"/>
      <c r="E535" s="81"/>
      <c r="F535" s="81"/>
      <c r="G535" s="81"/>
      <c r="H535" s="111"/>
    </row>
    <row r="536" spans="1:8">
      <c r="A536" s="80"/>
      <c r="B536" s="81" t="s">
        <v>144</v>
      </c>
      <c r="C536" s="206" t="e">
        <f>DSUM('18_1'!$A$133:$H$156,'18_1'!$H$133,G531:G532)</f>
        <v>#N/A</v>
      </c>
      <c r="D536" s="81"/>
      <c r="E536" s="81"/>
      <c r="F536" s="584"/>
      <c r="G536" s="584"/>
      <c r="H536" s="111"/>
    </row>
    <row r="537" spans="1:8" ht="15.75">
      <c r="A537" s="80"/>
      <c r="B537" s="81"/>
      <c r="C537" s="81" t="s">
        <v>146</v>
      </c>
      <c r="D537" s="145" t="e">
        <f>DMIN('18_1'!A$133:K$156,'18_1'!$J$133,G531:G532)</f>
        <v>#REF!</v>
      </c>
      <c r="E537" s="189" t="e">
        <f>IF(F537=1,"Domingo",IF(F537=2,"Lunes",IF(F537=3,"Martes",IF(F537=4,"Miercoles",IF(F537=5,"Jueves",IF(F537=6,"Viernes",IF(F537=7,"Sábado",0)))))))</f>
        <v>#REF!</v>
      </c>
      <c r="F537" s="190" t="e">
        <f>WEEKDAY(D537)</f>
        <v>#REF!</v>
      </c>
      <c r="G537" s="142"/>
      <c r="H537" s="111"/>
    </row>
    <row r="538" spans="1:8" ht="15.75">
      <c r="A538" s="80"/>
      <c r="B538" s="81"/>
      <c r="C538" s="81" t="s">
        <v>147</v>
      </c>
      <c r="D538" s="145" t="e">
        <f>DMAX('18_1'!A$133:L$156,'18_1'!$K$133,G531:G532)</f>
        <v>#REF!</v>
      </c>
      <c r="E538" s="189" t="e">
        <f>IF(F538=1,"Domingo",IF(F538=2,"Lunes",IF(F538=3,"Martes",IF(F538=4,"Miercoles",IF(F538=5,"Jueves",IF(F538=6,"Viernes",IF(F538=7,"Sábado",0)))))))</f>
        <v>#REF!</v>
      </c>
      <c r="F538" s="190" t="e">
        <f>WEEKDAY(D538)</f>
        <v>#REF!</v>
      </c>
      <c r="G538" s="142"/>
      <c r="H538" s="111"/>
    </row>
    <row r="539" spans="1:8">
      <c r="A539" s="80"/>
      <c r="B539" s="81"/>
      <c r="C539" s="81"/>
      <c r="D539" s="81"/>
      <c r="E539" s="81"/>
      <c r="F539" s="584"/>
      <c r="G539" s="584"/>
      <c r="H539" s="111"/>
    </row>
    <row r="540" spans="1:8">
      <c r="A540" s="80"/>
      <c r="B540" s="146">
        <f>+Mensajes!$B$7</f>
        <v>0</v>
      </c>
      <c r="C540" s="81"/>
      <c r="D540" s="81"/>
      <c r="E540" s="81"/>
      <c r="F540" s="81"/>
      <c r="G540" s="81"/>
      <c r="H540" s="111"/>
    </row>
    <row r="541" spans="1:8">
      <c r="A541" s="80"/>
      <c r="B541" s="146">
        <f>+Mensajes!$B$12</f>
        <v>0</v>
      </c>
      <c r="C541" s="81"/>
      <c r="D541" s="81"/>
      <c r="E541" s="81"/>
      <c r="F541" s="81"/>
      <c r="G541" s="81"/>
      <c r="H541" s="111"/>
    </row>
    <row r="542" spans="1:8">
      <c r="A542" s="80"/>
      <c r="B542" s="146" t="str">
        <f>IF(VLOOKUP(G532,'18_1'!$A$133:$M$156,13,0)=0,"",VLOOKUP(G532,'18_1'!$A$133:$M$156,13,0))</f>
        <v/>
      </c>
      <c r="C542" s="81"/>
      <c r="D542" s="81"/>
      <c r="E542" s="81"/>
      <c r="F542" s="81"/>
      <c r="G542" s="81"/>
      <c r="H542" s="111"/>
    </row>
    <row r="543" spans="1:8">
      <c r="A543" s="140"/>
      <c r="B543" s="188" t="str">
        <f>IF(DSUM('18_1'!$A$133:$P$156,16,G531:G532)=COUNTIF('18_1'!$A$133:$A$156,G532),"","Regularice su Deuda")</f>
        <v/>
      </c>
      <c r="C543" s="82"/>
      <c r="D543" s="82"/>
      <c r="E543" s="82"/>
      <c r="F543" s="82"/>
      <c r="G543" s="82"/>
      <c r="H543" s="83"/>
    </row>
    <row r="545" spans="1:8">
      <c r="A545" s="108"/>
      <c r="B545" s="109"/>
      <c r="C545" s="109"/>
      <c r="D545" s="109"/>
      <c r="E545" s="109"/>
      <c r="F545" s="109"/>
      <c r="G545" s="109"/>
      <c r="H545" s="110"/>
    </row>
    <row r="546" spans="1:8">
      <c r="A546" s="80"/>
      <c r="B546" s="147" t="s">
        <v>64</v>
      </c>
      <c r="C546" s="81"/>
      <c r="D546" s="81"/>
      <c r="E546" s="81"/>
      <c r="F546" s="81"/>
      <c r="G546" s="81"/>
      <c r="H546" s="111"/>
    </row>
    <row r="547" spans="1:8">
      <c r="A547" s="80"/>
      <c r="B547" s="81"/>
      <c r="C547" s="81"/>
      <c r="D547" s="81"/>
      <c r="E547" s="81"/>
      <c r="F547" s="81"/>
      <c r="G547" s="81"/>
      <c r="H547" s="111"/>
    </row>
    <row r="548" spans="1:8">
      <c r="A548" s="80"/>
      <c r="B548" s="81" t="s">
        <v>139</v>
      </c>
      <c r="C548" s="81" t="str">
        <f>VLOOKUP(G549,'18_1'!$A$133:$G$156,6,0)</f>
        <v>SANJURJO, ALDO BENITO</v>
      </c>
      <c r="D548" s="81"/>
      <c r="E548" s="81"/>
      <c r="F548" s="81"/>
      <c r="G548" s="138" t="s">
        <v>102</v>
      </c>
      <c r="H548" s="111"/>
    </row>
    <row r="549" spans="1:8">
      <c r="A549" s="80"/>
      <c r="B549" s="81" t="s">
        <v>72</v>
      </c>
      <c r="C549" s="81" t="str">
        <f>+'18_1'!$G$2</f>
        <v>Hijuela Morón</v>
      </c>
      <c r="D549" s="81"/>
      <c r="E549" s="81"/>
      <c r="F549" s="81"/>
      <c r="G549" s="138">
        <v>16</v>
      </c>
      <c r="H549" s="111"/>
    </row>
    <row r="550" spans="1:8">
      <c r="A550" s="80"/>
      <c r="B550" s="81"/>
      <c r="C550" s="81"/>
      <c r="D550" s="81"/>
      <c r="E550" s="81"/>
      <c r="F550" s="81"/>
      <c r="G550" s="81"/>
      <c r="H550" s="111"/>
    </row>
    <row r="551" spans="1:8">
      <c r="A551" s="80"/>
      <c r="B551" s="81" t="s">
        <v>140</v>
      </c>
      <c r="C551" s="138">
        <f>VLOOKUP(G549,'18_1'!$A$133:$B$156,2,0)</f>
        <v>1214</v>
      </c>
      <c r="D551" s="81"/>
      <c r="E551" s="139" t="s">
        <v>141</v>
      </c>
      <c r="F551" s="141" t="e">
        <f>DSUM('18_1'!A$133:J$156,'18_1'!$J$133,G548:G549)</f>
        <v>#REF!</v>
      </c>
      <c r="G551" s="81"/>
      <c r="H551" s="111"/>
    </row>
    <row r="552" spans="1:8">
      <c r="A552" s="80"/>
      <c r="B552" s="81" t="s">
        <v>142</v>
      </c>
      <c r="C552" s="205">
        <v>24</v>
      </c>
      <c r="D552" s="81"/>
      <c r="E552" s="81"/>
      <c r="F552" s="81"/>
      <c r="G552" s="81"/>
      <c r="H552" s="111"/>
    </row>
    <row r="553" spans="1:8">
      <c r="A553" s="80"/>
      <c r="B553" s="81" t="s">
        <v>144</v>
      </c>
      <c r="C553" s="206" t="e">
        <f>DSUM('18_1'!$A$133:$H$156,'18_1'!$H$133,G548:G549)</f>
        <v>#N/A</v>
      </c>
      <c r="D553" s="81"/>
      <c r="E553" s="81"/>
      <c r="F553" s="584"/>
      <c r="G553" s="584"/>
      <c r="H553" s="111"/>
    </row>
    <row r="554" spans="1:8" ht="15.75">
      <c r="A554" s="80"/>
      <c r="B554" s="81"/>
      <c r="C554" s="81" t="s">
        <v>146</v>
      </c>
      <c r="D554" s="145" t="e">
        <f>DMIN('18_1'!A$133:K$156,'18_1'!$J$133,G548:G549)</f>
        <v>#REF!</v>
      </c>
      <c r="E554" s="189" t="e">
        <f>IF(F554=1,"Domingo",IF(F554=2,"Lunes",IF(F554=3,"Martes",IF(F554=4,"Miercoles",IF(F554=5,"Jueves",IF(F554=6,"Viernes",IF(F554=7,"Sábado",0)))))))</f>
        <v>#REF!</v>
      </c>
      <c r="F554" s="190" t="e">
        <f>WEEKDAY(D554)</f>
        <v>#REF!</v>
      </c>
      <c r="G554" s="142"/>
      <c r="H554" s="111"/>
    </row>
    <row r="555" spans="1:8" ht="15.75">
      <c r="A555" s="80"/>
      <c r="B555" s="81"/>
      <c r="C555" s="81" t="s">
        <v>147</v>
      </c>
      <c r="D555" s="145" t="e">
        <f>DMAX('18_1'!A$133:L$156,'18_1'!$K$133,G548:G549)</f>
        <v>#REF!</v>
      </c>
      <c r="E555" s="189" t="e">
        <f>IF(F555=1,"Domingo",IF(F555=2,"Lunes",IF(F555=3,"Martes",IF(F555=4,"Miercoles",IF(F555=5,"Jueves",IF(F555=6,"Viernes",IF(F555=7,"Sábado",0)))))))</f>
        <v>#REF!</v>
      </c>
      <c r="F555" s="190" t="e">
        <f>WEEKDAY(D555)</f>
        <v>#REF!</v>
      </c>
      <c r="G555" s="142"/>
      <c r="H555" s="111"/>
    </row>
    <row r="556" spans="1:8">
      <c r="A556" s="80"/>
      <c r="B556" s="81"/>
      <c r="C556" s="81"/>
      <c r="D556" s="81"/>
      <c r="E556" s="81"/>
      <c r="F556" s="584"/>
      <c r="G556" s="584"/>
      <c r="H556" s="111"/>
    </row>
    <row r="557" spans="1:8">
      <c r="A557" s="80"/>
      <c r="B557" s="146">
        <f>+Mensajes!$B$7</f>
        <v>0</v>
      </c>
      <c r="C557" s="81"/>
      <c r="D557" s="81"/>
      <c r="E557" s="81"/>
      <c r="F557" s="81"/>
      <c r="G557" s="81"/>
      <c r="H557" s="111"/>
    </row>
    <row r="558" spans="1:8">
      <c r="A558" s="80"/>
      <c r="B558" s="146">
        <f>+Mensajes!$B$12</f>
        <v>0</v>
      </c>
      <c r="C558" s="81"/>
      <c r="D558" s="81"/>
      <c r="E558" s="81"/>
      <c r="F558" s="81"/>
      <c r="G558" s="81"/>
      <c r="H558" s="111"/>
    </row>
    <row r="559" spans="1:8">
      <c r="A559" s="80"/>
      <c r="B559" s="146" t="str">
        <f>IF(VLOOKUP(G549,'18_1'!$A$133:$M$156,13,0)=0,"",VLOOKUP(G549,'18_1'!$A$133:$M$156,13,0))</f>
        <v/>
      </c>
      <c r="C559" s="81"/>
      <c r="D559" s="81"/>
      <c r="E559" s="81"/>
      <c r="F559" s="81"/>
      <c r="G559" s="81"/>
      <c r="H559" s="111"/>
    </row>
    <row r="560" spans="1:8">
      <c r="A560" s="140"/>
      <c r="B560" s="188" t="str">
        <f>IF(DSUM('18_1'!$A$133:$P$156,16,G548:G549)=COUNTIF('18_1'!$A$133:$A$156,G549),"","Regularice su Deuda")</f>
        <v/>
      </c>
      <c r="C560" s="82"/>
      <c r="D560" s="82"/>
      <c r="E560" s="82"/>
      <c r="F560" s="82"/>
      <c r="G560" s="82"/>
      <c r="H560" s="83"/>
    </row>
    <row r="562" spans="1:8">
      <c r="A562" s="108"/>
      <c r="B562" s="109"/>
      <c r="C562" s="109"/>
      <c r="D562" s="109"/>
      <c r="E562" s="109"/>
      <c r="F562" s="109"/>
      <c r="G562" s="109"/>
      <c r="H562" s="110"/>
    </row>
    <row r="563" spans="1:8">
      <c r="A563" s="80"/>
      <c r="B563" s="147" t="s">
        <v>64</v>
      </c>
      <c r="C563" s="81"/>
      <c r="D563" s="81"/>
      <c r="E563" s="81"/>
      <c r="F563" s="81"/>
      <c r="G563" s="81"/>
      <c r="H563" s="111"/>
    </row>
    <row r="564" spans="1:8">
      <c r="A564" s="80"/>
      <c r="B564" s="81"/>
      <c r="C564" s="81"/>
      <c r="D564" s="81"/>
      <c r="E564" s="81"/>
      <c r="F564" s="81"/>
      <c r="G564" s="81"/>
      <c r="H564" s="111"/>
    </row>
    <row r="565" spans="1:8">
      <c r="A565" s="80"/>
      <c r="B565" s="81" t="s">
        <v>139</v>
      </c>
      <c r="C565" s="81" t="str">
        <f>VLOOKUP(G566,'18_1'!$A$173:$G$186,6,0)</f>
        <v>MANRESA, ROSALIO ENRIQUE</v>
      </c>
      <c r="D565" s="81"/>
      <c r="E565" s="81"/>
      <c r="F565" s="81"/>
      <c r="G565" s="138" t="s">
        <v>102</v>
      </c>
      <c r="H565" s="111"/>
    </row>
    <row r="566" spans="1:8">
      <c r="A566" s="80"/>
      <c r="B566" s="81" t="s">
        <v>72</v>
      </c>
      <c r="C566" s="81" t="str">
        <f>+'18_1'!$G$2</f>
        <v>Hijuela Morón</v>
      </c>
      <c r="D566" s="81"/>
      <c r="E566" s="81"/>
      <c r="F566" s="81"/>
      <c r="G566" s="138">
        <v>1</v>
      </c>
      <c r="H566" s="111"/>
    </row>
    <row r="567" spans="1:8">
      <c r="A567" s="80"/>
      <c r="B567" s="81"/>
      <c r="C567" s="81"/>
      <c r="D567" s="81"/>
      <c r="E567" s="81"/>
      <c r="F567" s="81"/>
      <c r="G567" s="81"/>
      <c r="H567" s="111"/>
    </row>
    <row r="568" spans="1:8">
      <c r="A568" s="80"/>
      <c r="B568" s="81" t="s">
        <v>140</v>
      </c>
      <c r="C568" s="138">
        <f>VLOOKUP(G566,'18_1'!$A$173:$B$186,2,0)</f>
        <v>1214</v>
      </c>
      <c r="D568" s="81"/>
      <c r="E568" s="139" t="s">
        <v>141</v>
      </c>
      <c r="F568" s="141" t="e">
        <f>DSUM('18_1'!A$173:J$186,'18_1'!$J$173,G565:G566)</f>
        <v>#REF!</v>
      </c>
      <c r="G568" s="81"/>
      <c r="H568" s="111"/>
    </row>
    <row r="569" spans="1:8">
      <c r="A569" s="80"/>
      <c r="B569" s="81" t="s">
        <v>142</v>
      </c>
      <c r="C569" s="205">
        <v>10</v>
      </c>
      <c r="D569" s="81"/>
      <c r="E569" s="81"/>
      <c r="F569" s="81"/>
      <c r="G569" s="81"/>
      <c r="H569" s="111"/>
    </row>
    <row r="570" spans="1:8">
      <c r="A570" s="80"/>
      <c r="B570" s="81" t="s">
        <v>144</v>
      </c>
      <c r="C570" s="206" t="e">
        <f>DSUM('18_1'!$A$173:$H$186,'18_1'!$H$173,G565:G566)</f>
        <v>#N/A</v>
      </c>
      <c r="D570" s="81"/>
      <c r="E570" s="81"/>
      <c r="F570" s="584"/>
      <c r="G570" s="584"/>
      <c r="H570" s="111"/>
    </row>
    <row r="571" spans="1:8" ht="15.75">
      <c r="A571" s="80"/>
      <c r="B571" s="81"/>
      <c r="C571" s="81" t="s">
        <v>146</v>
      </c>
      <c r="D571" s="145" t="e">
        <f>DMIN('18_1'!A$173:K$186,'18_1'!$J$173,G565:G566)</f>
        <v>#REF!</v>
      </c>
      <c r="E571" s="189" t="e">
        <f>IF(F571=1,"Domingo",IF(F571=2,"Lunes",IF(F571=3,"Martes",IF(F571=4,"Miercoles",IF(F571=5,"Jueves",IF(F571=6,"Viernes",IF(F571=7,"Sábado",0)))))))</f>
        <v>#REF!</v>
      </c>
      <c r="F571" s="190" t="e">
        <f>WEEKDAY(D571)</f>
        <v>#REF!</v>
      </c>
      <c r="G571" s="142"/>
      <c r="H571" s="111"/>
    </row>
    <row r="572" spans="1:8" ht="15.75">
      <c r="A572" s="80"/>
      <c r="B572" s="81"/>
      <c r="C572" s="81" t="s">
        <v>147</v>
      </c>
      <c r="D572" s="145" t="e">
        <f>DMAX('18_1'!A$173:L$186,'18_1'!$K$173,G565:G566)</f>
        <v>#REF!</v>
      </c>
      <c r="E572" s="189" t="e">
        <f>IF(F572=1,"Domingo",IF(F572=2,"Lunes",IF(F572=3,"Martes",IF(F572=4,"Miercoles",IF(F572=5,"Jueves",IF(F572=6,"Viernes",IF(F572=7,"Sábado",0)))))))</f>
        <v>#REF!</v>
      </c>
      <c r="F572" s="190" t="e">
        <f>WEEKDAY(D572)</f>
        <v>#REF!</v>
      </c>
      <c r="G572" s="142"/>
      <c r="H572" s="111"/>
    </row>
    <row r="573" spans="1:8">
      <c r="A573" s="80"/>
      <c r="B573" s="81"/>
      <c r="C573" s="81"/>
      <c r="D573" s="81"/>
      <c r="E573" s="81"/>
      <c r="F573" s="584"/>
      <c r="G573" s="584"/>
      <c r="H573" s="111"/>
    </row>
    <row r="574" spans="1:8">
      <c r="A574" s="80"/>
      <c r="B574" s="146">
        <f>+Mensajes!$B$7</f>
        <v>0</v>
      </c>
      <c r="C574" s="81"/>
      <c r="D574" s="81"/>
      <c r="E574" s="81"/>
      <c r="F574" s="81"/>
      <c r="G574" s="81"/>
      <c r="H574" s="111"/>
    </row>
    <row r="575" spans="1:8">
      <c r="A575" s="80"/>
      <c r="B575" s="146">
        <f>+Mensajes!$B$12</f>
        <v>0</v>
      </c>
      <c r="C575" s="81"/>
      <c r="D575" s="81"/>
      <c r="E575" s="81"/>
      <c r="F575" s="81"/>
      <c r="G575" s="81"/>
      <c r="H575" s="111"/>
    </row>
    <row r="576" spans="1:8">
      <c r="A576" s="80"/>
      <c r="B576" s="146" t="str">
        <f>IF(VLOOKUP(G566,'18_1'!$A$173:$M$186,13,0)=0,"",VLOOKUP(G566,'18_1'!$A$173:$M$186,13,0))</f>
        <v/>
      </c>
      <c r="C576" s="81"/>
      <c r="D576" s="81"/>
      <c r="E576" s="81"/>
      <c r="F576" s="81"/>
      <c r="G576" s="81"/>
      <c r="H576" s="111"/>
    </row>
    <row r="577" spans="1:8">
      <c r="A577" s="140"/>
      <c r="B577" s="188" t="str">
        <f>IF(DSUM('18_1'!$A$173:$P$186,16,G565:G566)=COUNTIF('18_1'!$A$173:$A$186,G566),"","Regularice su Deuda")</f>
        <v/>
      </c>
      <c r="C577" s="82"/>
      <c r="D577" s="82"/>
      <c r="E577" s="82"/>
      <c r="F577" s="82"/>
      <c r="G577" s="82"/>
      <c r="H577" s="83"/>
    </row>
    <row r="579" spans="1:8">
      <c r="A579" s="108"/>
      <c r="B579" s="109"/>
      <c r="C579" s="109"/>
      <c r="D579" s="109"/>
      <c r="E579" s="109"/>
      <c r="F579" s="109"/>
      <c r="G579" s="109"/>
      <c r="H579" s="110"/>
    </row>
    <row r="580" spans="1:8">
      <c r="A580" s="80"/>
      <c r="B580" s="147" t="s">
        <v>64</v>
      </c>
      <c r="C580" s="81"/>
      <c r="D580" s="81"/>
      <c r="E580" s="81"/>
      <c r="F580" s="81"/>
      <c r="G580" s="81"/>
      <c r="H580" s="111"/>
    </row>
    <row r="581" spans="1:8">
      <c r="A581" s="80"/>
      <c r="B581" s="81"/>
      <c r="C581" s="81"/>
      <c r="D581" s="81"/>
      <c r="E581" s="81"/>
      <c r="F581" s="81"/>
      <c r="G581" s="81"/>
      <c r="H581" s="111"/>
    </row>
    <row r="582" spans="1:8">
      <c r="A582" s="80"/>
      <c r="B582" s="81" t="s">
        <v>139</v>
      </c>
      <c r="C582" s="81" t="str">
        <f>VLOOKUP(G583,'18_1'!$A$173:$G$186,6,0)</f>
        <v>CASTRO, MARIA EVA</v>
      </c>
      <c r="D582" s="81"/>
      <c r="E582" s="81"/>
      <c r="F582" s="81"/>
      <c r="G582" s="138" t="s">
        <v>102</v>
      </c>
      <c r="H582" s="111"/>
    </row>
    <row r="583" spans="1:8">
      <c r="A583" s="80"/>
      <c r="B583" s="81" t="s">
        <v>72</v>
      </c>
      <c r="C583" s="81" t="str">
        <f>+'18_1'!$G$2</f>
        <v>Hijuela Morón</v>
      </c>
      <c r="D583" s="81"/>
      <c r="E583" s="81"/>
      <c r="F583" s="81"/>
      <c r="G583" s="138">
        <v>2</v>
      </c>
      <c r="H583" s="111"/>
    </row>
    <row r="584" spans="1:8">
      <c r="A584" s="80"/>
      <c r="B584" s="81"/>
      <c r="C584" s="81"/>
      <c r="D584" s="81"/>
      <c r="E584" s="81"/>
      <c r="F584" s="81"/>
      <c r="G584" s="81"/>
      <c r="H584" s="111"/>
    </row>
    <row r="585" spans="1:8">
      <c r="A585" s="80"/>
      <c r="B585" s="81" t="s">
        <v>140</v>
      </c>
      <c r="C585" s="138">
        <f>VLOOKUP(G583,'18_1'!$A$173:$B$186,2,0)</f>
        <v>1214</v>
      </c>
      <c r="D585" s="81"/>
      <c r="E585" s="139" t="s">
        <v>141</v>
      </c>
      <c r="F585" s="141" t="e">
        <f>DSUM('18_1'!A$173:J$186,'18_1'!$J$173,G582:G583)</f>
        <v>#REF!</v>
      </c>
      <c r="G585" s="81"/>
      <c r="H585" s="111"/>
    </row>
    <row r="586" spans="1:8">
      <c r="A586" s="80"/>
      <c r="B586" s="81" t="s">
        <v>142</v>
      </c>
      <c r="C586" s="205">
        <v>177</v>
      </c>
      <c r="D586" s="81"/>
      <c r="E586" s="81"/>
      <c r="F586" s="81"/>
      <c r="G586" s="81"/>
      <c r="H586" s="111"/>
    </row>
    <row r="587" spans="1:8">
      <c r="A587" s="80"/>
      <c r="B587" s="81" t="s">
        <v>144</v>
      </c>
      <c r="C587" s="206" t="e">
        <f>DSUM('18_1'!$A$173:$H$186,'18_1'!$H$173,G582:G583)</f>
        <v>#N/A</v>
      </c>
      <c r="D587" s="81"/>
      <c r="E587" s="81"/>
      <c r="F587" s="584"/>
      <c r="G587" s="584"/>
      <c r="H587" s="111"/>
    </row>
    <row r="588" spans="1:8" ht="15.75">
      <c r="A588" s="80"/>
      <c r="B588" s="81"/>
      <c r="C588" s="81" t="s">
        <v>146</v>
      </c>
      <c r="D588" s="145" t="e">
        <f>DMIN('18_1'!A$173:K$186,'18_1'!$J$173,G582:G583)</f>
        <v>#REF!</v>
      </c>
      <c r="E588" s="189" t="e">
        <f>IF(F588=1,"Domingo",IF(F588=2,"Lunes",IF(F588=3,"Martes",IF(F588=4,"Miercoles",IF(F588=5,"Jueves",IF(F588=6,"Viernes",IF(F588=7,"Sábado",0)))))))</f>
        <v>#REF!</v>
      </c>
      <c r="F588" s="190" t="e">
        <f>WEEKDAY(D588)</f>
        <v>#REF!</v>
      </c>
      <c r="G588" s="142"/>
      <c r="H588" s="111"/>
    </row>
    <row r="589" spans="1:8" ht="15.75">
      <c r="A589" s="80"/>
      <c r="B589" s="81"/>
      <c r="C589" s="81" t="s">
        <v>147</v>
      </c>
      <c r="D589" s="145" t="e">
        <f>DMAX('18_1'!A$173:L$186,'18_1'!$K$173,G582:G583)</f>
        <v>#REF!</v>
      </c>
      <c r="E589" s="189" t="e">
        <f>IF(F589=1,"Domingo",IF(F589=2,"Lunes",IF(F589=3,"Martes",IF(F589=4,"Miercoles",IF(F589=5,"Jueves",IF(F589=6,"Viernes",IF(F589=7,"Sábado",0)))))))</f>
        <v>#REF!</v>
      </c>
      <c r="F589" s="190" t="e">
        <f>WEEKDAY(D589)</f>
        <v>#REF!</v>
      </c>
      <c r="G589" s="142"/>
      <c r="H589" s="111"/>
    </row>
    <row r="590" spans="1:8">
      <c r="A590" s="80"/>
      <c r="B590" s="81"/>
      <c r="C590" s="81"/>
      <c r="D590" s="81"/>
      <c r="E590" s="81"/>
      <c r="F590" s="584"/>
      <c r="G590" s="584"/>
      <c r="H590" s="111"/>
    </row>
    <row r="591" spans="1:8">
      <c r="A591" s="80"/>
      <c r="B591" s="146">
        <f>+Mensajes!$B$7</f>
        <v>0</v>
      </c>
      <c r="C591" s="81"/>
      <c r="D591" s="81"/>
      <c r="E591" s="81"/>
      <c r="F591" s="81"/>
      <c r="G591" s="81"/>
      <c r="H591" s="111"/>
    </row>
    <row r="592" spans="1:8">
      <c r="A592" s="80"/>
      <c r="B592" s="146">
        <f>+Mensajes!$B$12</f>
        <v>0</v>
      </c>
      <c r="C592" s="81"/>
      <c r="D592" s="81"/>
      <c r="E592" s="81"/>
      <c r="F592" s="81"/>
      <c r="G592" s="81"/>
      <c r="H592" s="111"/>
    </row>
    <row r="593" spans="1:8">
      <c r="A593" s="80"/>
      <c r="B593" s="146" t="str">
        <f>IF(VLOOKUP(G583,'18_1'!$A$173:$M$186,13,0)=0,"",VLOOKUP(G583,'18_1'!$A$173:$M$186,13,0))</f>
        <v/>
      </c>
      <c r="C593" s="81"/>
      <c r="D593" s="81"/>
      <c r="E593" s="81"/>
      <c r="F593" s="81"/>
      <c r="G593" s="81"/>
      <c r="H593" s="111"/>
    </row>
    <row r="594" spans="1:8">
      <c r="A594" s="140"/>
      <c r="B594" s="188" t="e">
        <f>IF(DSUM('18_1'!$A$173:$P$186,16,G582:G583)=COUNTIF('18_1'!$A$173:$A$186,G583),"","Regularice su Deuda")</f>
        <v>#N/A</v>
      </c>
      <c r="C594" s="82"/>
      <c r="D594" s="82"/>
      <c r="E594" s="82"/>
      <c r="F594" s="82"/>
      <c r="G594" s="82"/>
      <c r="H594" s="83"/>
    </row>
    <row r="596" spans="1:8">
      <c r="A596" s="108"/>
      <c r="B596" s="109"/>
      <c r="C596" s="109"/>
      <c r="D596" s="109"/>
      <c r="E596" s="109"/>
      <c r="F596" s="109"/>
      <c r="G596" s="109"/>
      <c r="H596" s="110"/>
    </row>
    <row r="597" spans="1:8">
      <c r="A597" s="80"/>
      <c r="B597" s="147" t="s">
        <v>64</v>
      </c>
      <c r="C597" s="81"/>
      <c r="D597" s="81"/>
      <c r="E597" s="81"/>
      <c r="F597" s="81"/>
      <c r="G597" s="81"/>
      <c r="H597" s="111"/>
    </row>
    <row r="598" spans="1:8">
      <c r="A598" s="80"/>
      <c r="B598" s="81"/>
      <c r="C598" s="81"/>
      <c r="D598" s="81"/>
      <c r="E598" s="81"/>
      <c r="F598" s="81"/>
      <c r="G598" s="81"/>
      <c r="H598" s="111"/>
    </row>
    <row r="599" spans="1:8">
      <c r="A599" s="80"/>
      <c r="B599" s="81" t="s">
        <v>139</v>
      </c>
      <c r="C599" s="81" t="str">
        <f>VLOOKUP(G600,'18_1'!$A$173:$G$186,6,0)</f>
        <v>HERAS, PABLO</v>
      </c>
      <c r="D599" s="81"/>
      <c r="E599" s="81"/>
      <c r="F599" s="81"/>
      <c r="G599" s="138" t="s">
        <v>102</v>
      </c>
      <c r="H599" s="111"/>
    </row>
    <row r="600" spans="1:8">
      <c r="A600" s="80"/>
      <c r="B600" s="81" t="s">
        <v>72</v>
      </c>
      <c r="C600" s="81" t="str">
        <f>+'18_1'!$G$2</f>
        <v>Hijuela Morón</v>
      </c>
      <c r="D600" s="81"/>
      <c r="E600" s="81"/>
      <c r="F600" s="81"/>
      <c r="G600" s="138">
        <v>3</v>
      </c>
      <c r="H600" s="111"/>
    </row>
    <row r="601" spans="1:8">
      <c r="A601" s="80"/>
      <c r="B601" s="81"/>
      <c r="C601" s="81"/>
      <c r="D601" s="81"/>
      <c r="E601" s="81"/>
      <c r="F601" s="81"/>
      <c r="G601" s="81"/>
      <c r="H601" s="111"/>
    </row>
    <row r="602" spans="1:8">
      <c r="A602" s="80"/>
      <c r="B602" s="81" t="s">
        <v>140</v>
      </c>
      <c r="C602" s="138">
        <f>VLOOKUP(G600,'18_1'!$A$173:$B$186,2,0)</f>
        <v>1214</v>
      </c>
      <c r="D602" s="81"/>
      <c r="E602" s="139" t="s">
        <v>141</v>
      </c>
      <c r="F602" s="141" t="e">
        <f>DSUM('18_1'!A$173:J$186,'18_1'!$J$173,G599:G600)</f>
        <v>#REF!</v>
      </c>
      <c r="G602" s="81"/>
      <c r="H602" s="111"/>
    </row>
    <row r="603" spans="1:8">
      <c r="A603" s="80"/>
      <c r="B603" s="81" t="s">
        <v>142</v>
      </c>
      <c r="C603" s="205">
        <v>271</v>
      </c>
      <c r="D603" s="81"/>
      <c r="E603" s="81"/>
      <c r="F603" s="81"/>
      <c r="G603" s="81"/>
      <c r="H603" s="111"/>
    </row>
    <row r="604" spans="1:8">
      <c r="A604" s="80"/>
      <c r="B604" s="81" t="s">
        <v>144</v>
      </c>
      <c r="C604" s="206" t="e">
        <f>DSUM('18_1'!$A$173:$H$186,'18_1'!$H$173,G599:G600)</f>
        <v>#N/A</v>
      </c>
      <c r="D604" s="81"/>
      <c r="E604" s="81"/>
      <c r="F604" s="584"/>
      <c r="G604" s="584"/>
      <c r="H604" s="111"/>
    </row>
    <row r="605" spans="1:8" ht="15.75">
      <c r="A605" s="80"/>
      <c r="B605" s="81"/>
      <c r="C605" s="81" t="s">
        <v>146</v>
      </c>
      <c r="D605" s="145" t="e">
        <f>DMIN('18_1'!A$173:K$186,'18_1'!$J$173,G599:G600)</f>
        <v>#REF!</v>
      </c>
      <c r="E605" s="189" t="e">
        <f>IF(F605=1,"Domingo",IF(F605=2,"Lunes",IF(F605=3,"Martes",IF(F605=4,"Miercoles",IF(F605=5,"Jueves",IF(F605=6,"Viernes",IF(F605=7,"Sábado",0)))))))</f>
        <v>#REF!</v>
      </c>
      <c r="F605" s="190" t="e">
        <f>WEEKDAY(D605)</f>
        <v>#REF!</v>
      </c>
      <c r="G605" s="142"/>
      <c r="H605" s="111"/>
    </row>
    <row r="606" spans="1:8" ht="15.75">
      <c r="A606" s="80"/>
      <c r="B606" s="81"/>
      <c r="C606" s="81" t="s">
        <v>147</v>
      </c>
      <c r="D606" s="145" t="e">
        <f>DMAX('18_1'!A$173:L$186,'18_1'!$K$173,G599:G600)</f>
        <v>#REF!</v>
      </c>
      <c r="E606" s="189" t="e">
        <f>IF(F606=1,"Domingo",IF(F606=2,"Lunes",IF(F606=3,"Martes",IF(F606=4,"Miercoles",IF(F606=5,"Jueves",IF(F606=6,"Viernes",IF(F606=7,"Sábado",0)))))))</f>
        <v>#REF!</v>
      </c>
      <c r="F606" s="190" t="e">
        <f>WEEKDAY(D606)</f>
        <v>#REF!</v>
      </c>
      <c r="G606" s="142"/>
      <c r="H606" s="111"/>
    </row>
    <row r="607" spans="1:8">
      <c r="A607" s="80"/>
      <c r="B607" s="81"/>
      <c r="C607" s="81"/>
      <c r="D607" s="81"/>
      <c r="E607" s="81"/>
      <c r="F607" s="584"/>
      <c r="G607" s="584"/>
      <c r="H607" s="111"/>
    </row>
    <row r="608" spans="1:8">
      <c r="A608" s="80"/>
      <c r="B608" s="146">
        <f>+Mensajes!$B$7</f>
        <v>0</v>
      </c>
      <c r="C608" s="81"/>
      <c r="D608" s="81"/>
      <c r="E608" s="81"/>
      <c r="F608" s="81"/>
      <c r="G608" s="81"/>
      <c r="H608" s="111"/>
    </row>
    <row r="609" spans="1:8">
      <c r="A609" s="80"/>
      <c r="B609" s="146">
        <f>+Mensajes!$B$12</f>
        <v>0</v>
      </c>
      <c r="C609" s="81"/>
      <c r="D609" s="81"/>
      <c r="E609" s="81"/>
      <c r="F609" s="81"/>
      <c r="G609" s="81"/>
      <c r="H609" s="111"/>
    </row>
    <row r="610" spans="1:8">
      <c r="A610" s="80"/>
      <c r="B610" s="146" t="str">
        <f>IF(VLOOKUP(G600,'18_1'!$A$173:$M$186,13,0)=0,"",VLOOKUP(G600,'18_1'!$A$173:$M$186,13,0))</f>
        <v/>
      </c>
      <c r="C610" s="81"/>
      <c r="D610" s="81"/>
      <c r="E610" s="81"/>
      <c r="F610" s="81"/>
      <c r="G610" s="81"/>
      <c r="H610" s="111"/>
    </row>
    <row r="611" spans="1:8">
      <c r="A611" s="140"/>
      <c r="B611" s="188" t="e">
        <f>IF(DSUM('18_1'!$A$173:$P$186,16,G599:G600)=COUNTIF('18_1'!$A$173:$A$186,G600),"","Regularice su Deuda")</f>
        <v>#N/A</v>
      </c>
      <c r="C611" s="82"/>
      <c r="D611" s="82"/>
      <c r="E611" s="82"/>
      <c r="F611" s="82"/>
      <c r="G611" s="82"/>
      <c r="H611" s="83"/>
    </row>
    <row r="613" spans="1:8">
      <c r="A613" s="108"/>
      <c r="B613" s="109"/>
      <c r="C613" s="109"/>
      <c r="D613" s="109"/>
      <c r="E613" s="109"/>
      <c r="F613" s="109"/>
      <c r="G613" s="109"/>
      <c r="H613" s="110"/>
    </row>
    <row r="614" spans="1:8">
      <c r="A614" s="80"/>
      <c r="B614" s="147" t="s">
        <v>64</v>
      </c>
      <c r="C614" s="81"/>
      <c r="D614" s="81"/>
      <c r="E614" s="81"/>
      <c r="F614" s="81"/>
      <c r="G614" s="81"/>
      <c r="H614" s="111"/>
    </row>
    <row r="615" spans="1:8">
      <c r="A615" s="80"/>
      <c r="B615" s="81"/>
      <c r="C615" s="81"/>
      <c r="D615" s="81"/>
      <c r="E615" s="81"/>
      <c r="F615" s="81"/>
      <c r="G615" s="81"/>
      <c r="H615" s="111"/>
    </row>
    <row r="616" spans="1:8">
      <c r="A616" s="80"/>
      <c r="B616" s="81" t="s">
        <v>139</v>
      </c>
      <c r="C616" s="81" t="str">
        <f>VLOOKUP(G617,'18_1'!$A$173:$G$186,6,0)</f>
        <v>LUIS TONELLI LTDA.S.A.; DONDERO VDA.DE CAVAGNARO, TERESA; CAVAGANARO DE</v>
      </c>
      <c r="D616" s="81"/>
      <c r="E616" s="81"/>
      <c r="F616" s="81"/>
      <c r="G616" s="138" t="s">
        <v>102</v>
      </c>
      <c r="H616" s="111"/>
    </row>
    <row r="617" spans="1:8">
      <c r="A617" s="80"/>
      <c r="B617" s="81" t="s">
        <v>72</v>
      </c>
      <c r="C617" s="81" t="str">
        <f>+'18_1'!$G$2</f>
        <v>Hijuela Morón</v>
      </c>
      <c r="D617" s="81"/>
      <c r="E617" s="81"/>
      <c r="F617" s="81"/>
      <c r="G617" s="138">
        <v>4</v>
      </c>
      <c r="H617" s="111"/>
    </row>
    <row r="618" spans="1:8">
      <c r="A618" s="80"/>
      <c r="B618" s="81"/>
      <c r="C618" s="81"/>
      <c r="D618" s="81"/>
      <c r="E618" s="81"/>
      <c r="F618" s="81"/>
      <c r="G618" s="81"/>
      <c r="H618" s="111"/>
    </row>
    <row r="619" spans="1:8">
      <c r="A619" s="80"/>
      <c r="B619" s="81" t="s">
        <v>140</v>
      </c>
      <c r="C619" s="138">
        <f>VLOOKUP(G617,'18_1'!$A$173:$B$186,2,0)</f>
        <v>1214</v>
      </c>
      <c r="D619" s="81"/>
      <c r="E619" s="139" t="s">
        <v>141</v>
      </c>
      <c r="F619" s="141" t="e">
        <f>DSUM('18_1'!A$173:J$186,'18_1'!$J$173,G616:G617)</f>
        <v>#REF!</v>
      </c>
      <c r="G619" s="81"/>
      <c r="H619" s="111"/>
    </row>
    <row r="620" spans="1:8">
      <c r="A620" s="80"/>
      <c r="B620" s="81" t="s">
        <v>142</v>
      </c>
      <c r="C620" s="205" t="s">
        <v>674</v>
      </c>
      <c r="D620" s="81"/>
      <c r="E620" s="81"/>
      <c r="F620" s="81"/>
      <c r="G620" s="81"/>
      <c r="H620" s="111"/>
    </row>
    <row r="621" spans="1:8">
      <c r="A621" s="80"/>
      <c r="B621" s="81" t="s">
        <v>144</v>
      </c>
      <c r="C621" s="206" t="e">
        <f>DSUM('18_1'!$A$173:$H$186,'18_1'!$H$173,G616:G617)</f>
        <v>#N/A</v>
      </c>
      <c r="D621" s="81"/>
      <c r="E621" s="81"/>
      <c r="F621" s="584"/>
      <c r="G621" s="584"/>
      <c r="H621" s="111"/>
    </row>
    <row r="622" spans="1:8" ht="15.75">
      <c r="A622" s="80"/>
      <c r="B622" s="81"/>
      <c r="C622" s="81" t="s">
        <v>146</v>
      </c>
      <c r="D622" s="145" t="e">
        <f>DMIN('18_1'!A$173:K$186,'18_1'!$J$173,G616:G617)</f>
        <v>#REF!</v>
      </c>
      <c r="E622" s="189" t="e">
        <f>IF(F622=1,"Domingo",IF(F622=2,"Lunes",IF(F622=3,"Martes",IF(F622=4,"Miercoles",IF(F622=5,"Jueves",IF(F622=6,"Viernes",IF(F622=7,"Sábado",0)))))))</f>
        <v>#REF!</v>
      </c>
      <c r="F622" s="190" t="e">
        <f>WEEKDAY(D622)</f>
        <v>#REF!</v>
      </c>
      <c r="G622" s="142"/>
      <c r="H622" s="111"/>
    </row>
    <row r="623" spans="1:8" ht="15.75">
      <c r="A623" s="80"/>
      <c r="B623" s="81"/>
      <c r="C623" s="81" t="s">
        <v>147</v>
      </c>
      <c r="D623" s="145" t="e">
        <f>DMAX('18_1'!A$173:L$186,'18_1'!$K$173,G616:G617)</f>
        <v>#REF!</v>
      </c>
      <c r="E623" s="189" t="e">
        <f>IF(F623=1,"Domingo",IF(F623=2,"Lunes",IF(F623=3,"Martes",IF(F623=4,"Miercoles",IF(F623=5,"Jueves",IF(F623=6,"Viernes",IF(F623=7,"Sábado",0)))))))</f>
        <v>#REF!</v>
      </c>
      <c r="F623" s="190" t="e">
        <f>WEEKDAY(D623)</f>
        <v>#REF!</v>
      </c>
      <c r="G623" s="142"/>
      <c r="H623" s="111"/>
    </row>
    <row r="624" spans="1:8">
      <c r="A624" s="80"/>
      <c r="B624" s="81"/>
      <c r="C624" s="81"/>
      <c r="D624" s="81"/>
      <c r="E624" s="81"/>
      <c r="F624" s="584"/>
      <c r="G624" s="584"/>
      <c r="H624" s="111"/>
    </row>
    <row r="625" spans="1:8">
      <c r="A625" s="80"/>
      <c r="B625" s="146">
        <f>+Mensajes!$B$7</f>
        <v>0</v>
      </c>
      <c r="C625" s="81"/>
      <c r="D625" s="81"/>
      <c r="E625" s="81"/>
      <c r="F625" s="81"/>
      <c r="G625" s="81"/>
      <c r="H625" s="111"/>
    </row>
    <row r="626" spans="1:8">
      <c r="A626" s="80"/>
      <c r="B626" s="146">
        <f>+Mensajes!$B$12</f>
        <v>0</v>
      </c>
      <c r="C626" s="81"/>
      <c r="D626" s="81"/>
      <c r="E626" s="81"/>
      <c r="F626" s="81"/>
      <c r="G626" s="81"/>
      <c r="H626" s="111"/>
    </row>
    <row r="627" spans="1:8">
      <c r="A627" s="80"/>
      <c r="B627" s="146" t="str">
        <f>IF(VLOOKUP(G617,'18_1'!$A$173:$M$186,13,0)=0,"",VLOOKUP(G617,'18_1'!$A$173:$M$186,13,0))</f>
        <v/>
      </c>
      <c r="C627" s="81"/>
      <c r="D627" s="81"/>
      <c r="E627" s="81"/>
      <c r="F627" s="81"/>
      <c r="G627" s="81"/>
      <c r="H627" s="111"/>
    </row>
    <row r="628" spans="1:8">
      <c r="A628" s="140"/>
      <c r="B628" s="188" t="e">
        <f>IF(DSUM('18_1'!$A$173:$P$186,16,G616:G617)=COUNTIF('18_1'!$A$173:$A$186,G617),"","Regularice su Deuda")</f>
        <v>#N/A</v>
      </c>
      <c r="C628" s="82"/>
      <c r="D628" s="82"/>
      <c r="E628" s="82"/>
      <c r="F628" s="82"/>
      <c r="G628" s="82"/>
      <c r="H628" s="83"/>
    </row>
    <row r="630" spans="1:8">
      <c r="A630" s="108"/>
      <c r="B630" s="109"/>
      <c r="C630" s="109"/>
      <c r="D630" s="109"/>
      <c r="E630" s="109"/>
      <c r="F630" s="109"/>
      <c r="G630" s="109"/>
      <c r="H630" s="110"/>
    </row>
    <row r="631" spans="1:8">
      <c r="A631" s="80"/>
      <c r="B631" s="147" t="s">
        <v>64</v>
      </c>
      <c r="C631" s="81"/>
      <c r="D631" s="81"/>
      <c r="E631" s="81"/>
      <c r="F631" s="81"/>
      <c r="G631" s="81"/>
      <c r="H631" s="111"/>
    </row>
    <row r="632" spans="1:8">
      <c r="A632" s="80"/>
      <c r="B632" s="81"/>
      <c r="C632" s="81"/>
      <c r="D632" s="81"/>
      <c r="E632" s="81"/>
      <c r="F632" s="81"/>
      <c r="G632" s="81"/>
      <c r="H632" s="111"/>
    </row>
    <row r="633" spans="1:8">
      <c r="A633" s="80"/>
      <c r="B633" s="81" t="s">
        <v>139</v>
      </c>
      <c r="C633" s="81" t="str">
        <f>VLOOKUP(G634,'18_1'!$A$173:$G$186,6,0)</f>
        <v>CIPOLLETTA, ROBERTO LUIS</v>
      </c>
      <c r="D633" s="81"/>
      <c r="E633" s="81"/>
      <c r="F633" s="81"/>
      <c r="G633" s="138" t="s">
        <v>102</v>
      </c>
      <c r="H633" s="111"/>
    </row>
    <row r="634" spans="1:8">
      <c r="A634" s="80"/>
      <c r="B634" s="81" t="s">
        <v>72</v>
      </c>
      <c r="C634" s="81" t="str">
        <f>+'18_1'!$G$2</f>
        <v>Hijuela Morón</v>
      </c>
      <c r="D634" s="81"/>
      <c r="E634" s="81"/>
      <c r="F634" s="81"/>
      <c r="G634" s="138">
        <v>5</v>
      </c>
      <c r="H634" s="111"/>
    </row>
    <row r="635" spans="1:8">
      <c r="A635" s="80"/>
      <c r="B635" s="81"/>
      <c r="C635" s="81"/>
      <c r="D635" s="81"/>
      <c r="E635" s="81"/>
      <c r="F635" s="81"/>
      <c r="G635" s="81"/>
      <c r="H635" s="111"/>
    </row>
    <row r="636" spans="1:8">
      <c r="A636" s="80"/>
      <c r="B636" s="81" t="s">
        <v>140</v>
      </c>
      <c r="C636" s="138">
        <f>VLOOKUP(G634,'18_1'!$A$173:$B$186,2,0)</f>
        <v>1214</v>
      </c>
      <c r="D636" s="81"/>
      <c r="E636" s="139" t="s">
        <v>141</v>
      </c>
      <c r="F636" s="141" t="e">
        <f>DSUM('18_1'!A$173:J$186,'18_1'!$J$173,G633:G634)</f>
        <v>#REF!</v>
      </c>
      <c r="G636" s="81"/>
      <c r="H636" s="111"/>
    </row>
    <row r="637" spans="1:8">
      <c r="A637" s="80"/>
      <c r="B637" s="81" t="s">
        <v>142</v>
      </c>
      <c r="C637" s="205" t="s">
        <v>675</v>
      </c>
      <c r="D637" s="81"/>
      <c r="E637" s="81"/>
      <c r="F637" s="81"/>
      <c r="G637" s="81"/>
      <c r="H637" s="111"/>
    </row>
    <row r="638" spans="1:8">
      <c r="A638" s="80"/>
      <c r="B638" s="81" t="s">
        <v>144</v>
      </c>
      <c r="C638" s="206" t="e">
        <f>DSUM('18_1'!$A$173:$H$186,'18_1'!$H$173,G633:G634)</f>
        <v>#N/A</v>
      </c>
      <c r="D638" s="81"/>
      <c r="E638" s="81"/>
      <c r="F638" s="584"/>
      <c r="G638" s="584"/>
      <c r="H638" s="111"/>
    </row>
    <row r="639" spans="1:8" ht="15.75">
      <c r="A639" s="80"/>
      <c r="B639" s="81"/>
      <c r="C639" s="81" t="s">
        <v>146</v>
      </c>
      <c r="D639" s="145" t="e">
        <f>DMIN('18_1'!A$173:K$186,'18_1'!$J$173,G633:G634)</f>
        <v>#REF!</v>
      </c>
      <c r="E639" s="189" t="e">
        <f>IF(F639=1,"Domingo",IF(F639=2,"Lunes",IF(F639=3,"Martes",IF(F639=4,"Miercoles",IF(F639=5,"Jueves",IF(F639=6,"Viernes",IF(F639=7,"Sábado",0)))))))</f>
        <v>#REF!</v>
      </c>
      <c r="F639" s="190" t="e">
        <f>WEEKDAY(D639)</f>
        <v>#REF!</v>
      </c>
      <c r="G639" s="142"/>
      <c r="H639" s="111"/>
    </row>
    <row r="640" spans="1:8" ht="15.75">
      <c r="A640" s="80"/>
      <c r="B640" s="81"/>
      <c r="C640" s="81" t="s">
        <v>147</v>
      </c>
      <c r="D640" s="145" t="e">
        <f>DMAX('18_1'!A$173:L$186,'18_1'!$K$173,G633:G634)</f>
        <v>#REF!</v>
      </c>
      <c r="E640" s="189" t="e">
        <f>IF(F640=1,"Domingo",IF(F640=2,"Lunes",IF(F640=3,"Martes",IF(F640=4,"Miercoles",IF(F640=5,"Jueves",IF(F640=6,"Viernes",IF(F640=7,"Sábado",0)))))))</f>
        <v>#REF!</v>
      </c>
      <c r="F640" s="190" t="e">
        <f>WEEKDAY(D640)</f>
        <v>#REF!</v>
      </c>
      <c r="G640" s="142"/>
      <c r="H640" s="111"/>
    </row>
    <row r="641" spans="1:8">
      <c r="A641" s="80"/>
      <c r="B641" s="81"/>
      <c r="C641" s="81"/>
      <c r="D641" s="81"/>
      <c r="E641" s="81"/>
      <c r="F641" s="584"/>
      <c r="G641" s="584"/>
      <c r="H641" s="111"/>
    </row>
    <row r="642" spans="1:8">
      <c r="A642" s="80"/>
      <c r="B642" s="146">
        <f>+Mensajes!$B$7</f>
        <v>0</v>
      </c>
      <c r="C642" s="81"/>
      <c r="D642" s="81"/>
      <c r="E642" s="81"/>
      <c r="F642" s="81"/>
      <c r="G642" s="81"/>
      <c r="H642" s="111"/>
    </row>
    <row r="643" spans="1:8">
      <c r="A643" s="80"/>
      <c r="B643" s="146">
        <f>+Mensajes!$B$12</f>
        <v>0</v>
      </c>
      <c r="C643" s="81"/>
      <c r="D643" s="81"/>
      <c r="E643" s="81"/>
      <c r="F643" s="81"/>
      <c r="G643" s="81"/>
      <c r="H643" s="111"/>
    </row>
    <row r="644" spans="1:8">
      <c r="A644" s="80"/>
      <c r="B644" s="146" t="str">
        <f>IF(VLOOKUP(G634,'18_1'!$A$173:$M$186,13,0)=0,"",VLOOKUP(G634,'18_1'!$A$173:$M$186,13,0))</f>
        <v/>
      </c>
      <c r="C644" s="81"/>
      <c r="D644" s="81"/>
      <c r="E644" s="81"/>
      <c r="F644" s="81"/>
      <c r="G644" s="81"/>
      <c r="H644" s="111"/>
    </row>
    <row r="645" spans="1:8">
      <c r="A645" s="140"/>
      <c r="B645" s="188" t="str">
        <f>IF(DSUM('18_1'!$A$173:$P$186,16,G633:G634)=COUNTIF('18_1'!$A$173:$A$186,G634),"","Regularice su Deuda")</f>
        <v/>
      </c>
      <c r="C645" s="82"/>
      <c r="D645" s="82"/>
      <c r="E645" s="82"/>
      <c r="F645" s="82"/>
      <c r="G645" s="82"/>
      <c r="H645" s="83"/>
    </row>
    <row r="647" spans="1:8">
      <c r="A647" s="108"/>
      <c r="B647" s="109"/>
      <c r="C647" s="109"/>
      <c r="D647" s="109"/>
      <c r="E647" s="109"/>
      <c r="F647" s="109"/>
      <c r="G647" s="109"/>
      <c r="H647" s="110"/>
    </row>
    <row r="648" spans="1:8">
      <c r="A648" s="80"/>
      <c r="B648" s="147" t="s">
        <v>64</v>
      </c>
      <c r="C648" s="81"/>
      <c r="D648" s="81"/>
      <c r="E648" s="81"/>
      <c r="F648" s="81"/>
      <c r="G648" s="81"/>
      <c r="H648" s="111"/>
    </row>
    <row r="649" spans="1:8">
      <c r="A649" s="80"/>
      <c r="B649" s="81"/>
      <c r="C649" s="81"/>
      <c r="D649" s="81"/>
      <c r="E649" s="81"/>
      <c r="F649" s="81"/>
      <c r="G649" s="81"/>
      <c r="H649" s="111"/>
    </row>
    <row r="650" spans="1:8">
      <c r="A650" s="80"/>
      <c r="B650" s="81" t="s">
        <v>139</v>
      </c>
      <c r="C650" s="81" t="str">
        <f>VLOOKUP(G651,'18_1'!$A$173:$G$186,6,0)</f>
        <v>GRIMALT, JOSE</v>
      </c>
      <c r="D650" s="81"/>
      <c r="E650" s="81"/>
      <c r="F650" s="81"/>
      <c r="G650" s="138" t="s">
        <v>102</v>
      </c>
      <c r="H650" s="111"/>
    </row>
    <row r="651" spans="1:8">
      <c r="A651" s="80"/>
      <c r="B651" s="81" t="s">
        <v>72</v>
      </c>
      <c r="C651" s="81" t="str">
        <f>+'18_1'!$G$2</f>
        <v>Hijuela Morón</v>
      </c>
      <c r="D651" s="81"/>
      <c r="E651" s="81"/>
      <c r="F651" s="81"/>
      <c r="G651" s="138">
        <v>6</v>
      </c>
      <c r="H651" s="111"/>
    </row>
    <row r="652" spans="1:8">
      <c r="A652" s="80"/>
      <c r="B652" s="81"/>
      <c r="C652" s="81"/>
      <c r="D652" s="81"/>
      <c r="E652" s="81"/>
      <c r="F652" s="81"/>
      <c r="G652" s="81"/>
      <c r="H652" s="111"/>
    </row>
    <row r="653" spans="1:8">
      <c r="A653" s="80"/>
      <c r="B653" s="81" t="s">
        <v>140</v>
      </c>
      <c r="C653" s="138">
        <f>VLOOKUP(G651,'18_1'!$A$173:$B$186,2,0)</f>
        <v>1214</v>
      </c>
      <c r="D653" s="81"/>
      <c r="E653" s="139" t="s">
        <v>141</v>
      </c>
      <c r="F653" s="141" t="e">
        <f>DSUM('18_1'!A$173:J$186,'18_1'!$J$173,G650:G651)</f>
        <v>#REF!</v>
      </c>
      <c r="G653" s="81"/>
      <c r="H653" s="111"/>
    </row>
    <row r="654" spans="1:8">
      <c r="A654" s="80"/>
      <c r="B654" s="81" t="s">
        <v>142</v>
      </c>
      <c r="C654" s="205" t="s">
        <v>676</v>
      </c>
      <c r="D654" s="81"/>
      <c r="E654" s="81"/>
      <c r="F654" s="81"/>
      <c r="G654" s="81"/>
      <c r="H654" s="111"/>
    </row>
    <row r="655" spans="1:8">
      <c r="A655" s="80"/>
      <c r="B655" s="81" t="s">
        <v>144</v>
      </c>
      <c r="C655" s="206" t="e">
        <f>DSUM('18_1'!$A$173:$H$186,'18_1'!$H$173,G650:G651)</f>
        <v>#N/A</v>
      </c>
      <c r="D655" s="81"/>
      <c r="E655" s="81"/>
      <c r="F655" s="584"/>
      <c r="G655" s="584"/>
      <c r="H655" s="111"/>
    </row>
    <row r="656" spans="1:8" ht="15.75">
      <c r="A656" s="80"/>
      <c r="B656" s="81"/>
      <c r="C656" s="81" t="s">
        <v>146</v>
      </c>
      <c r="D656" s="145" t="e">
        <f>DMIN('18_1'!A$173:K$186,'18_1'!$J$173,G650:G651)</f>
        <v>#REF!</v>
      </c>
      <c r="E656" s="189" t="e">
        <f>IF(F656=1,"Domingo",IF(F656=2,"Lunes",IF(F656=3,"Martes",IF(F656=4,"Miercoles",IF(F656=5,"Jueves",IF(F656=6,"Viernes",IF(F656=7,"Sábado",0)))))))</f>
        <v>#REF!</v>
      </c>
      <c r="F656" s="190" t="e">
        <f>WEEKDAY(D656)</f>
        <v>#REF!</v>
      </c>
      <c r="G656" s="142"/>
      <c r="H656" s="111"/>
    </row>
    <row r="657" spans="1:8" ht="15.75">
      <c r="A657" s="80"/>
      <c r="B657" s="81"/>
      <c r="C657" s="81" t="s">
        <v>147</v>
      </c>
      <c r="D657" s="145" t="e">
        <f>DMAX('18_1'!A$173:L$186,'18_1'!$K$173,G650:G651)</f>
        <v>#REF!</v>
      </c>
      <c r="E657" s="189" t="e">
        <f>IF(F657=1,"Domingo",IF(F657=2,"Lunes",IF(F657=3,"Martes",IF(F657=4,"Miercoles",IF(F657=5,"Jueves",IF(F657=6,"Viernes",IF(F657=7,"Sábado",0)))))))</f>
        <v>#REF!</v>
      </c>
      <c r="F657" s="190" t="e">
        <f>WEEKDAY(D657)</f>
        <v>#REF!</v>
      </c>
      <c r="G657" s="142"/>
      <c r="H657" s="111"/>
    </row>
    <row r="658" spans="1:8">
      <c r="A658" s="80"/>
      <c r="B658" s="81"/>
      <c r="C658" s="81"/>
      <c r="D658" s="81"/>
      <c r="E658" s="81"/>
      <c r="F658" s="584"/>
      <c r="G658" s="584"/>
      <c r="H658" s="111"/>
    </row>
    <row r="659" spans="1:8">
      <c r="A659" s="80"/>
      <c r="B659" s="146">
        <f>+Mensajes!$B$7</f>
        <v>0</v>
      </c>
      <c r="C659" s="81"/>
      <c r="D659" s="81"/>
      <c r="E659" s="81"/>
      <c r="F659" s="81"/>
      <c r="G659" s="81"/>
      <c r="H659" s="111"/>
    </row>
    <row r="660" spans="1:8">
      <c r="A660" s="80"/>
      <c r="B660" s="146">
        <f>+Mensajes!$B$12</f>
        <v>0</v>
      </c>
      <c r="C660" s="81"/>
      <c r="D660" s="81"/>
      <c r="E660" s="81"/>
      <c r="F660" s="81"/>
      <c r="G660" s="81"/>
      <c r="H660" s="111"/>
    </row>
    <row r="661" spans="1:8">
      <c r="A661" s="80"/>
      <c r="B661" s="146" t="str">
        <f>IF(VLOOKUP(G651,'18_1'!$A$173:$M$186,13,0)=0,"",VLOOKUP(G651,'18_1'!$A$173:$M$186,13,0))</f>
        <v/>
      </c>
      <c r="C661" s="81"/>
      <c r="D661" s="81"/>
      <c r="E661" s="81"/>
      <c r="F661" s="81"/>
      <c r="G661" s="81"/>
      <c r="H661" s="111"/>
    </row>
    <row r="662" spans="1:8">
      <c r="A662" s="140"/>
      <c r="B662" s="188" t="e">
        <f>IF(DSUM('18_1'!$A$173:$P$186,16,G650:G651)=COUNTIF('18_1'!$A$173:$A$186,G651),"","Regularice su Deuda")</f>
        <v>#N/A</v>
      </c>
      <c r="C662" s="82"/>
      <c r="D662" s="82"/>
      <c r="E662" s="82"/>
      <c r="F662" s="82"/>
      <c r="G662" s="82"/>
      <c r="H662" s="83"/>
    </row>
    <row r="663" spans="1:8">
      <c r="A663" s="81"/>
      <c r="B663" s="146"/>
      <c r="C663" s="81"/>
      <c r="D663" s="81"/>
      <c r="E663" s="81"/>
      <c r="F663" s="81"/>
      <c r="G663" s="81"/>
      <c r="H663" s="81"/>
    </row>
    <row r="664" spans="1:8">
      <c r="A664" s="108"/>
      <c r="B664" s="109"/>
      <c r="C664" s="109"/>
      <c r="D664" s="109"/>
      <c r="E664" s="109"/>
      <c r="F664" s="109"/>
      <c r="G664" s="109"/>
      <c r="H664" s="110"/>
    </row>
    <row r="665" spans="1:8">
      <c r="A665" s="80"/>
      <c r="B665" s="147" t="s">
        <v>64</v>
      </c>
      <c r="C665" s="81"/>
      <c r="D665" s="81"/>
      <c r="E665" s="81"/>
      <c r="F665" s="81"/>
      <c r="G665" s="81"/>
      <c r="H665" s="111"/>
    </row>
    <row r="666" spans="1:8">
      <c r="A666" s="80"/>
      <c r="B666" s="81"/>
      <c r="C666" s="81"/>
      <c r="D666" s="81"/>
      <c r="E666" s="81"/>
      <c r="F666" s="81"/>
      <c r="G666" s="81"/>
      <c r="H666" s="111"/>
    </row>
    <row r="667" spans="1:8">
      <c r="A667" s="80"/>
      <c r="B667" s="81" t="s">
        <v>139</v>
      </c>
      <c r="C667" s="81" t="str">
        <f>VLOOKUP(G668,'18_1'!$A$173:$G$186,6,0)</f>
        <v>ALONSO, MARIELA</v>
      </c>
      <c r="D667" s="81"/>
      <c r="E667" s="81"/>
      <c r="F667" s="81"/>
      <c r="G667" s="138" t="s">
        <v>102</v>
      </c>
      <c r="H667" s="111"/>
    </row>
    <row r="668" spans="1:8">
      <c r="A668" s="80"/>
      <c r="B668" s="81" t="s">
        <v>72</v>
      </c>
      <c r="C668" s="81" t="str">
        <f>+'18_1'!$G$2</f>
        <v>Hijuela Morón</v>
      </c>
      <c r="D668" s="81"/>
      <c r="E668" s="81"/>
      <c r="F668" s="81"/>
      <c r="G668" s="138">
        <v>7</v>
      </c>
      <c r="H668" s="111"/>
    </row>
    <row r="669" spans="1:8">
      <c r="A669" s="80"/>
      <c r="B669" s="81"/>
      <c r="C669" s="81"/>
      <c r="D669" s="81"/>
      <c r="E669" s="81"/>
      <c r="F669" s="81"/>
      <c r="G669" s="81"/>
      <c r="H669" s="111"/>
    </row>
    <row r="670" spans="1:8">
      <c r="A670" s="80"/>
      <c r="B670" s="81" t="s">
        <v>140</v>
      </c>
      <c r="C670" s="138">
        <f>VLOOKUP(G668,'18_1'!$A$173:$B$186,2,0)</f>
        <v>1214</v>
      </c>
      <c r="D670" s="81"/>
      <c r="E670" s="139" t="s">
        <v>141</v>
      </c>
      <c r="F670" s="141" t="e">
        <f>DSUM('18_1'!A$173:J$186,'18_1'!$J$173,G667:G668)</f>
        <v>#REF!</v>
      </c>
      <c r="G670" s="81"/>
      <c r="H670" s="111"/>
    </row>
    <row r="671" spans="1:8">
      <c r="A671" s="80"/>
      <c r="B671" s="81" t="s">
        <v>142</v>
      </c>
      <c r="C671" s="205">
        <v>14</v>
      </c>
      <c r="D671" s="81"/>
      <c r="E671" s="81"/>
      <c r="F671" s="81"/>
      <c r="G671" s="81"/>
      <c r="H671" s="111"/>
    </row>
    <row r="672" spans="1:8">
      <c r="A672" s="80"/>
      <c r="B672" s="81" t="s">
        <v>144</v>
      </c>
      <c r="C672" s="206" t="e">
        <f>DSUM('18_1'!$A$173:$H$186,'18_1'!$H$173,G667:G668)</f>
        <v>#N/A</v>
      </c>
      <c r="D672" s="81"/>
      <c r="E672" s="81"/>
      <c r="F672" s="584"/>
      <c r="G672" s="584"/>
      <c r="H672" s="111"/>
    </row>
    <row r="673" spans="1:8" ht="15.75">
      <c r="A673" s="80"/>
      <c r="B673" s="81"/>
      <c r="C673" s="81" t="s">
        <v>146</v>
      </c>
      <c r="D673" s="145" t="e">
        <f>DMIN('18_1'!A$173:K$186,'18_1'!$J$173,G667:G668)</f>
        <v>#REF!</v>
      </c>
      <c r="E673" s="189" t="e">
        <f>IF(F673=1,"Domingo",IF(F673=2,"Lunes",IF(F673=3,"Martes",IF(F673=4,"Miercoles",IF(F673=5,"Jueves",IF(F673=6,"Viernes",IF(F673=7,"Sábado",0)))))))</f>
        <v>#REF!</v>
      </c>
      <c r="F673" s="190" t="e">
        <f>WEEKDAY(D673)</f>
        <v>#REF!</v>
      </c>
      <c r="G673" s="142"/>
      <c r="H673" s="111"/>
    </row>
    <row r="674" spans="1:8" ht="15.75">
      <c r="A674" s="80"/>
      <c r="B674" s="81"/>
      <c r="C674" s="81" t="s">
        <v>147</v>
      </c>
      <c r="D674" s="145" t="e">
        <f>DMAX('18_1'!A$173:L$186,'18_1'!$K$173,G667:G668)</f>
        <v>#REF!</v>
      </c>
      <c r="E674" s="189" t="e">
        <f>IF(F674=1,"Domingo",IF(F674=2,"Lunes",IF(F674=3,"Martes",IF(F674=4,"Miercoles",IF(F674=5,"Jueves",IF(F674=6,"Viernes",IF(F674=7,"Sábado",0)))))))</f>
        <v>#REF!</v>
      </c>
      <c r="F674" s="190" t="e">
        <f>WEEKDAY(D674)</f>
        <v>#REF!</v>
      </c>
      <c r="G674" s="142"/>
      <c r="H674" s="111"/>
    </row>
    <row r="675" spans="1:8">
      <c r="A675" s="80"/>
      <c r="B675" s="81"/>
      <c r="C675" s="81"/>
      <c r="D675" s="81"/>
      <c r="E675" s="81"/>
      <c r="F675" s="584"/>
      <c r="G675" s="584"/>
      <c r="H675" s="111"/>
    </row>
    <row r="676" spans="1:8">
      <c r="A676" s="80"/>
      <c r="B676" s="146">
        <f>+Mensajes!$B$7</f>
        <v>0</v>
      </c>
      <c r="C676" s="81"/>
      <c r="D676" s="81"/>
      <c r="E676" s="81"/>
      <c r="F676" s="81"/>
      <c r="G676" s="81"/>
      <c r="H676" s="111"/>
    </row>
    <row r="677" spans="1:8">
      <c r="A677" s="80"/>
      <c r="B677" s="146">
        <f>+Mensajes!$B$12</f>
        <v>0</v>
      </c>
      <c r="C677" s="81"/>
      <c r="D677" s="81"/>
      <c r="E677" s="81"/>
      <c r="F677" s="81"/>
      <c r="G677" s="81"/>
      <c r="H677" s="111"/>
    </row>
    <row r="678" spans="1:8">
      <c r="A678" s="80"/>
      <c r="B678" s="146" t="str">
        <f>IF(VLOOKUP(G668,'18_1'!$A$173:$M$186,13,0)=0,"",VLOOKUP(G668,'18_1'!$A$173:$M$186,13,0))</f>
        <v/>
      </c>
      <c r="C678" s="81"/>
      <c r="D678" s="81"/>
      <c r="E678" s="81"/>
      <c r="F678" s="81"/>
      <c r="G678" s="81"/>
      <c r="H678" s="111"/>
    </row>
    <row r="679" spans="1:8">
      <c r="A679" s="140"/>
      <c r="B679" s="188" t="str">
        <f>IF(DSUM('18_1'!$A$173:$P$186,16,G667:G668)=COUNTIF('18_1'!$A$173:$A$186,G668),"","Regularice su Deuda")</f>
        <v/>
      </c>
      <c r="C679" s="82"/>
      <c r="D679" s="82"/>
      <c r="E679" s="82"/>
      <c r="F679" s="82"/>
      <c r="G679" s="82"/>
      <c r="H679" s="83"/>
    </row>
    <row r="680" spans="1:8">
      <c r="A680" s="81"/>
      <c r="B680" s="146"/>
      <c r="C680" s="81"/>
      <c r="D680" s="81"/>
      <c r="E680" s="81"/>
      <c r="F680" s="81"/>
      <c r="G680" s="81"/>
      <c r="H680" s="81"/>
    </row>
    <row r="681" spans="1:8">
      <c r="A681" s="108"/>
      <c r="B681" s="109"/>
      <c r="C681" s="109"/>
      <c r="D681" s="109"/>
      <c r="E681" s="109"/>
      <c r="F681" s="109"/>
      <c r="G681" s="109"/>
      <c r="H681" s="110"/>
    </row>
    <row r="682" spans="1:8">
      <c r="A682" s="80"/>
      <c r="B682" s="147" t="s">
        <v>64</v>
      </c>
      <c r="C682" s="81"/>
      <c r="D682" s="81"/>
      <c r="E682" s="81"/>
      <c r="F682" s="81"/>
      <c r="G682" s="81"/>
      <c r="H682" s="111"/>
    </row>
    <row r="683" spans="1:8">
      <c r="A683" s="80"/>
      <c r="B683" s="81"/>
      <c r="C683" s="81"/>
      <c r="D683" s="81"/>
      <c r="E683" s="81"/>
      <c r="F683" s="81"/>
      <c r="G683" s="81"/>
      <c r="H683" s="111"/>
    </row>
    <row r="684" spans="1:8">
      <c r="A684" s="80"/>
      <c r="B684" s="81" t="s">
        <v>139</v>
      </c>
      <c r="C684" s="81" t="str">
        <f>VLOOKUP(G685,'18_1'!$A$173:$G$186,6,0)</f>
        <v>YGLESIAS, ROGELIO</v>
      </c>
      <c r="D684" s="81"/>
      <c r="E684" s="81"/>
      <c r="F684" s="81"/>
      <c r="G684" s="138" t="s">
        <v>102</v>
      </c>
      <c r="H684" s="111"/>
    </row>
    <row r="685" spans="1:8">
      <c r="A685" s="80"/>
      <c r="B685" s="81" t="s">
        <v>72</v>
      </c>
      <c r="C685" s="81" t="str">
        <f>+'18_1'!$G$2</f>
        <v>Hijuela Morón</v>
      </c>
      <c r="D685" s="81"/>
      <c r="E685" s="81"/>
      <c r="F685" s="81"/>
      <c r="G685" s="138">
        <v>8</v>
      </c>
      <c r="H685" s="111"/>
    </row>
    <row r="686" spans="1:8">
      <c r="A686" s="80"/>
      <c r="B686" s="81"/>
      <c r="C686" s="81"/>
      <c r="D686" s="81"/>
      <c r="E686" s="81"/>
      <c r="F686" s="81"/>
      <c r="G686" s="81"/>
      <c r="H686" s="111"/>
    </row>
    <row r="687" spans="1:8">
      <c r="A687" s="80"/>
      <c r="B687" s="81" t="s">
        <v>140</v>
      </c>
      <c r="C687" s="138">
        <f>VLOOKUP(G685,'18_1'!$A$173:$B$186,2,0)</f>
        <v>1214</v>
      </c>
      <c r="D687" s="81"/>
      <c r="E687" s="139" t="s">
        <v>141</v>
      </c>
      <c r="F687" s="141" t="e">
        <f>DSUM('18_1'!A$173:J$186,'18_1'!$J$173,G684:G685)</f>
        <v>#REF!</v>
      </c>
      <c r="G687" s="81"/>
      <c r="H687" s="111"/>
    </row>
    <row r="688" spans="1:8">
      <c r="A688" s="80"/>
      <c r="B688" s="81" t="s">
        <v>142</v>
      </c>
      <c r="C688" s="205">
        <v>15</v>
      </c>
      <c r="D688" s="81"/>
      <c r="E688" s="81"/>
      <c r="F688" s="81"/>
      <c r="G688" s="81"/>
      <c r="H688" s="111"/>
    </row>
    <row r="689" spans="1:8">
      <c r="A689" s="80"/>
      <c r="B689" s="81" t="s">
        <v>144</v>
      </c>
      <c r="C689" s="206" t="e">
        <f>DSUM('18_1'!$A$173:$H$186,'18_1'!$H$173,G684:G685)</f>
        <v>#N/A</v>
      </c>
      <c r="D689" s="81"/>
      <c r="E689" s="81"/>
      <c r="F689" s="584"/>
      <c r="G689" s="584"/>
      <c r="H689" s="111"/>
    </row>
    <row r="690" spans="1:8" ht="15.75">
      <c r="A690" s="80"/>
      <c r="B690" s="81"/>
      <c r="C690" s="81" t="s">
        <v>146</v>
      </c>
      <c r="D690" s="145" t="e">
        <f>DMIN('18_1'!A$173:K$186,'18_1'!$J$173,G684:G685)</f>
        <v>#REF!</v>
      </c>
      <c r="E690" s="189" t="e">
        <f>IF(F690=1,"Domingo",IF(F690=2,"Lunes",IF(F690=3,"Martes",IF(F690=4,"Miercoles",IF(F690=5,"Jueves",IF(F690=6,"Viernes",IF(F690=7,"Sábado",0)))))))</f>
        <v>#REF!</v>
      </c>
      <c r="F690" s="190" t="e">
        <f>WEEKDAY(D690)</f>
        <v>#REF!</v>
      </c>
      <c r="G690" s="142"/>
      <c r="H690" s="111"/>
    </row>
    <row r="691" spans="1:8" ht="15.75">
      <c r="A691" s="80"/>
      <c r="B691" s="81"/>
      <c r="C691" s="81" t="s">
        <v>147</v>
      </c>
      <c r="D691" s="145" t="e">
        <f>DMAX('18_1'!A$173:L$186,'18_1'!$K$173,G684:G685)</f>
        <v>#REF!</v>
      </c>
      <c r="E691" s="189" t="e">
        <f>IF(F691=1,"Domingo",IF(F691=2,"Lunes",IF(F691=3,"Martes",IF(F691=4,"Miercoles",IF(F691=5,"Jueves",IF(F691=6,"Viernes",IF(F691=7,"Sábado",0)))))))</f>
        <v>#REF!</v>
      </c>
      <c r="F691" s="190" t="e">
        <f>WEEKDAY(D691)</f>
        <v>#REF!</v>
      </c>
      <c r="G691" s="142"/>
      <c r="H691" s="111"/>
    </row>
    <row r="692" spans="1:8">
      <c r="A692" s="80"/>
      <c r="B692" s="81"/>
      <c r="C692" s="81"/>
      <c r="D692" s="81"/>
      <c r="E692" s="81"/>
      <c r="F692" s="584"/>
      <c r="G692" s="584"/>
      <c r="H692" s="111"/>
    </row>
    <row r="693" spans="1:8">
      <c r="A693" s="80"/>
      <c r="B693" s="146">
        <f>+Mensajes!$B$7</f>
        <v>0</v>
      </c>
      <c r="C693" s="81"/>
      <c r="D693" s="81"/>
      <c r="E693" s="81"/>
      <c r="F693" s="81"/>
      <c r="G693" s="81"/>
      <c r="H693" s="111"/>
    </row>
    <row r="694" spans="1:8">
      <c r="A694" s="80"/>
      <c r="B694" s="146">
        <f>+Mensajes!$B$12</f>
        <v>0</v>
      </c>
      <c r="C694" s="81"/>
      <c r="D694" s="81"/>
      <c r="E694" s="81"/>
      <c r="F694" s="81"/>
      <c r="G694" s="81"/>
      <c r="H694" s="111"/>
    </row>
    <row r="695" spans="1:8">
      <c r="A695" s="80"/>
      <c r="B695" s="146" t="str">
        <f>IF(VLOOKUP(G685,'18_1'!$A$173:$M$186,13,0)=0,"",VLOOKUP(G685,'18_1'!$A$173:$M$186,13,0))</f>
        <v/>
      </c>
      <c r="C695" s="81"/>
      <c r="D695" s="81"/>
      <c r="E695" s="81"/>
      <c r="F695" s="81"/>
      <c r="G695" s="81"/>
      <c r="H695" s="111"/>
    </row>
    <row r="696" spans="1:8">
      <c r="A696" s="140"/>
      <c r="B696" s="188" t="str">
        <f>IF(DSUM('18_1'!$A$173:$P$186,16,G684:G685)=COUNTIF('18_1'!$A$173:$A$186,G685),"","Regularice su Deuda")</f>
        <v/>
      </c>
      <c r="C696" s="82"/>
      <c r="D696" s="82"/>
      <c r="E696" s="82"/>
      <c r="F696" s="82"/>
      <c r="G696" s="82"/>
      <c r="H696" s="83"/>
    </row>
    <row r="697" spans="1:8">
      <c r="A697" s="81"/>
      <c r="B697" s="146"/>
      <c r="C697" s="81"/>
      <c r="D697" s="81"/>
      <c r="E697" s="81"/>
      <c r="F697" s="81"/>
      <c r="G697" s="81"/>
      <c r="H697" s="81"/>
    </row>
    <row r="698" spans="1:8">
      <c r="A698" s="108"/>
      <c r="B698" s="109"/>
      <c r="C698" s="109"/>
      <c r="D698" s="109"/>
      <c r="E698" s="109"/>
      <c r="F698" s="109"/>
      <c r="G698" s="109"/>
      <c r="H698" s="110"/>
    </row>
    <row r="699" spans="1:8">
      <c r="A699" s="80"/>
      <c r="B699" s="147" t="s">
        <v>64</v>
      </c>
      <c r="C699" s="81"/>
      <c r="D699" s="81"/>
      <c r="E699" s="81"/>
      <c r="F699" s="81"/>
      <c r="G699" s="81"/>
      <c r="H699" s="111"/>
    </row>
    <row r="700" spans="1:8">
      <c r="A700" s="80"/>
      <c r="B700" s="81"/>
      <c r="C700" s="81"/>
      <c r="D700" s="81"/>
      <c r="E700" s="81"/>
      <c r="F700" s="81"/>
      <c r="G700" s="81"/>
      <c r="H700" s="111"/>
    </row>
    <row r="701" spans="1:8">
      <c r="A701" s="80"/>
      <c r="B701" s="81" t="s">
        <v>139</v>
      </c>
      <c r="C701" s="81" t="str">
        <f>VLOOKUP(G702,'18_1'!$A$173:$G$186,6,0)</f>
        <v>ALONSO, MARIELA</v>
      </c>
      <c r="D701" s="81"/>
      <c r="E701" s="81"/>
      <c r="F701" s="81"/>
      <c r="G701" s="138" t="s">
        <v>102</v>
      </c>
      <c r="H701" s="111"/>
    </row>
    <row r="702" spans="1:8">
      <c r="A702" s="80"/>
      <c r="B702" s="81" t="s">
        <v>72</v>
      </c>
      <c r="C702" s="81" t="str">
        <f>+'18_1'!$G$2</f>
        <v>Hijuela Morón</v>
      </c>
      <c r="D702" s="81"/>
      <c r="E702" s="81"/>
      <c r="F702" s="81"/>
      <c r="G702" s="138">
        <v>9</v>
      </c>
      <c r="H702" s="111"/>
    </row>
    <row r="703" spans="1:8">
      <c r="A703" s="80"/>
      <c r="B703" s="81"/>
      <c r="C703" s="81"/>
      <c r="D703" s="81"/>
      <c r="E703" s="81"/>
      <c r="F703" s="81"/>
      <c r="G703" s="81"/>
      <c r="H703" s="111"/>
    </row>
    <row r="704" spans="1:8">
      <c r="A704" s="80"/>
      <c r="B704" s="81" t="s">
        <v>140</v>
      </c>
      <c r="C704" s="138">
        <f>VLOOKUP(G702,'18_1'!$A$173:$B$186,2,0)</f>
        <v>1214</v>
      </c>
      <c r="D704" s="81"/>
      <c r="E704" s="139" t="s">
        <v>141</v>
      </c>
      <c r="F704" s="141" t="e">
        <f>DSUM('18_1'!A$173:J$186,'18_1'!$J$173,G701:G702)</f>
        <v>#REF!</v>
      </c>
      <c r="G704" s="81"/>
      <c r="H704" s="111"/>
    </row>
    <row r="705" spans="1:8">
      <c r="A705" s="80"/>
      <c r="B705" s="81" t="s">
        <v>142</v>
      </c>
      <c r="C705" s="205">
        <v>166</v>
      </c>
      <c r="D705" s="81"/>
      <c r="E705" s="81"/>
      <c r="F705" s="81"/>
      <c r="G705" s="81"/>
      <c r="H705" s="111"/>
    </row>
    <row r="706" spans="1:8">
      <c r="A706" s="80"/>
      <c r="B706" s="81" t="s">
        <v>144</v>
      </c>
      <c r="C706" s="206" t="e">
        <f>DSUM('18_1'!$A$173:$H$186,'18_1'!$H$173,G701:G702)</f>
        <v>#N/A</v>
      </c>
      <c r="D706" s="81"/>
      <c r="E706" s="81"/>
      <c r="F706" s="584"/>
      <c r="G706" s="584"/>
      <c r="H706" s="111"/>
    </row>
    <row r="707" spans="1:8" ht="15.75">
      <c r="A707" s="80"/>
      <c r="B707" s="81"/>
      <c r="C707" s="81" t="s">
        <v>146</v>
      </c>
      <c r="D707" s="145" t="e">
        <f>DMIN('18_1'!A$173:K$186,'18_1'!$J$173,G701:G702)</f>
        <v>#REF!</v>
      </c>
      <c r="E707" s="189" t="e">
        <f>IF(F707=1,"Domingo",IF(F707=2,"Lunes",IF(F707=3,"Martes",IF(F707=4,"Miercoles",IF(F707=5,"Jueves",IF(F707=6,"Viernes",IF(F707=7,"Sábado",0)))))))</f>
        <v>#REF!</v>
      </c>
      <c r="F707" s="190" t="e">
        <f>WEEKDAY(D707)</f>
        <v>#REF!</v>
      </c>
      <c r="G707" s="142"/>
      <c r="H707" s="111"/>
    </row>
    <row r="708" spans="1:8" ht="15.75">
      <c r="A708" s="80"/>
      <c r="B708" s="81"/>
      <c r="C708" s="81" t="s">
        <v>147</v>
      </c>
      <c r="D708" s="145" t="e">
        <f>DMAX('18_1'!A$173:L$186,'18_1'!$K$173,G701:G702)</f>
        <v>#REF!</v>
      </c>
      <c r="E708" s="189" t="e">
        <f>IF(F708=1,"Domingo",IF(F708=2,"Lunes",IF(F708=3,"Martes",IF(F708=4,"Miercoles",IF(F708=5,"Jueves",IF(F708=6,"Viernes",IF(F708=7,"Sábado",0)))))))</f>
        <v>#REF!</v>
      </c>
      <c r="F708" s="190" t="e">
        <f>WEEKDAY(D708)</f>
        <v>#REF!</v>
      </c>
      <c r="G708" s="142"/>
      <c r="H708" s="111"/>
    </row>
    <row r="709" spans="1:8">
      <c r="A709" s="80"/>
      <c r="B709" s="81"/>
      <c r="C709" s="81"/>
      <c r="D709" s="81"/>
      <c r="E709" s="81"/>
      <c r="F709" s="584"/>
      <c r="G709" s="584"/>
      <c r="H709" s="111"/>
    </row>
    <row r="710" spans="1:8">
      <c r="A710" s="80"/>
      <c r="B710" s="146">
        <f>+Mensajes!$B$7</f>
        <v>0</v>
      </c>
      <c r="C710" s="81"/>
      <c r="D710" s="81"/>
      <c r="E710" s="81"/>
      <c r="F710" s="81"/>
      <c r="G710" s="81"/>
      <c r="H710" s="111"/>
    </row>
    <row r="711" spans="1:8">
      <c r="A711" s="80"/>
      <c r="B711" s="146">
        <f>+Mensajes!$B$12</f>
        <v>0</v>
      </c>
      <c r="C711" s="81"/>
      <c r="D711" s="81"/>
      <c r="E711" s="81"/>
      <c r="F711" s="81"/>
      <c r="G711" s="81"/>
      <c r="H711" s="111"/>
    </row>
    <row r="712" spans="1:8">
      <c r="A712" s="80"/>
      <c r="B712" s="146" t="str">
        <f>IF(VLOOKUP(G702,'18_1'!$A$173:$M$186,13,0)=0,"",VLOOKUP(G702,'18_1'!$A$173:$M$186,13,0))</f>
        <v/>
      </c>
      <c r="C712" s="81"/>
      <c r="D712" s="81"/>
      <c r="E712" s="81"/>
      <c r="F712" s="81"/>
      <c r="G712" s="81"/>
      <c r="H712" s="111"/>
    </row>
    <row r="713" spans="1:8">
      <c r="A713" s="140"/>
      <c r="B713" s="188" t="str">
        <f>IF(DSUM('18_1'!$A$173:$P$186,16,G701:G702)=COUNTIF('18_1'!$A$173:$A$186,G702),"","Regularice su Deuda")</f>
        <v/>
      </c>
      <c r="C713" s="82"/>
      <c r="D713" s="82"/>
      <c r="E713" s="82"/>
      <c r="F713" s="82"/>
      <c r="G713" s="82"/>
      <c r="H713" s="83"/>
    </row>
    <row r="714" spans="1:8">
      <c r="A714" s="81"/>
      <c r="B714" s="146"/>
      <c r="C714" s="81"/>
      <c r="D714" s="81"/>
      <c r="E714" s="81"/>
      <c r="F714" s="81"/>
      <c r="G714" s="81"/>
      <c r="H714" s="81"/>
    </row>
    <row r="715" spans="1:8">
      <c r="A715" s="108"/>
      <c r="B715" s="109"/>
      <c r="C715" s="109"/>
      <c r="D715" s="109"/>
      <c r="E715" s="109"/>
      <c r="F715" s="109"/>
      <c r="G715" s="109"/>
      <c r="H715" s="110"/>
    </row>
    <row r="716" spans="1:8">
      <c r="A716" s="80"/>
      <c r="B716" s="147" t="s">
        <v>64</v>
      </c>
      <c r="C716" s="81"/>
      <c r="D716" s="81"/>
      <c r="E716" s="81"/>
      <c r="F716" s="81"/>
      <c r="G716" s="81"/>
      <c r="H716" s="111"/>
    </row>
    <row r="717" spans="1:8">
      <c r="A717" s="80"/>
      <c r="B717" s="81"/>
      <c r="C717" s="81"/>
      <c r="D717" s="81"/>
      <c r="E717" s="81"/>
      <c r="F717" s="81"/>
      <c r="G717" s="81"/>
      <c r="H717" s="111"/>
    </row>
    <row r="718" spans="1:8">
      <c r="A718" s="80"/>
      <c r="B718" s="81" t="s">
        <v>139</v>
      </c>
      <c r="C718" s="81" t="str">
        <f>VLOOKUP(G719,'18_1'!$A$173:$G$186,6,0)</f>
        <v>YGLESIAS, ROGELIO</v>
      </c>
      <c r="D718" s="81"/>
      <c r="E718" s="81"/>
      <c r="F718" s="81"/>
      <c r="G718" s="138" t="s">
        <v>102</v>
      </c>
      <c r="H718" s="111"/>
    </row>
    <row r="719" spans="1:8">
      <c r="A719" s="80"/>
      <c r="B719" s="81" t="s">
        <v>72</v>
      </c>
      <c r="C719" s="81" t="str">
        <f>+'18_1'!$G$2</f>
        <v>Hijuela Morón</v>
      </c>
      <c r="D719" s="81"/>
      <c r="E719" s="81"/>
      <c r="F719" s="81"/>
      <c r="G719" s="138">
        <v>10</v>
      </c>
      <c r="H719" s="111"/>
    </row>
    <row r="720" spans="1:8">
      <c r="A720" s="80"/>
      <c r="B720" s="81"/>
      <c r="C720" s="81"/>
      <c r="D720" s="81"/>
      <c r="E720" s="81"/>
      <c r="F720" s="81"/>
      <c r="G720" s="81"/>
      <c r="H720" s="111"/>
    </row>
    <row r="721" spans="1:8">
      <c r="A721" s="80"/>
      <c r="B721" s="81" t="s">
        <v>140</v>
      </c>
      <c r="C721" s="138">
        <f>VLOOKUP(G719,'18_1'!$A$173:$B$186,2,0)</f>
        <v>1214</v>
      </c>
      <c r="D721" s="81"/>
      <c r="E721" s="139" t="s">
        <v>141</v>
      </c>
      <c r="F721" s="141" t="e">
        <f>DSUM('18_1'!A$173:J$186,'18_1'!$J$173,G718:G719)</f>
        <v>#REF!</v>
      </c>
      <c r="G721" s="81"/>
      <c r="H721" s="111"/>
    </row>
    <row r="722" spans="1:8">
      <c r="A722" s="80"/>
      <c r="B722" s="81" t="s">
        <v>142</v>
      </c>
      <c r="C722" s="205">
        <v>182</v>
      </c>
      <c r="D722" s="81"/>
      <c r="E722" s="81"/>
      <c r="F722" s="81"/>
      <c r="G722" s="81"/>
      <c r="H722" s="111"/>
    </row>
    <row r="723" spans="1:8">
      <c r="A723" s="80"/>
      <c r="B723" s="81" t="s">
        <v>144</v>
      </c>
      <c r="C723" s="206" t="e">
        <f>DSUM('18_1'!$A$173:$H$186,'18_1'!$H$173,G718:G719)</f>
        <v>#N/A</v>
      </c>
      <c r="D723" s="81"/>
      <c r="E723" s="81"/>
      <c r="F723" s="584"/>
      <c r="G723" s="584"/>
      <c r="H723" s="111"/>
    </row>
    <row r="724" spans="1:8" ht="15.75">
      <c r="A724" s="80"/>
      <c r="B724" s="81"/>
      <c r="C724" s="81" t="s">
        <v>146</v>
      </c>
      <c r="D724" s="145" t="e">
        <f>DMIN('18_1'!A$173:K$186,'18_1'!$J$173,G718:G719)</f>
        <v>#REF!</v>
      </c>
      <c r="E724" s="189" t="e">
        <f>IF(F724=1,"Domingo",IF(F724=2,"Lunes",IF(F724=3,"Martes",IF(F724=4,"Miercoles",IF(F724=5,"Jueves",IF(F724=6,"Viernes",IF(F724=7,"Sábado",0)))))))</f>
        <v>#REF!</v>
      </c>
      <c r="F724" s="190" t="e">
        <f>WEEKDAY(D724)</f>
        <v>#REF!</v>
      </c>
      <c r="G724" s="142"/>
      <c r="H724" s="111"/>
    </row>
    <row r="725" spans="1:8" ht="15.75">
      <c r="A725" s="80"/>
      <c r="B725" s="81"/>
      <c r="C725" s="81" t="s">
        <v>147</v>
      </c>
      <c r="D725" s="145" t="e">
        <f>DMAX('18_1'!A$173:L$186,'18_1'!$K$173,G718:G719)</f>
        <v>#REF!</v>
      </c>
      <c r="E725" s="189" t="e">
        <f>IF(F725=1,"Domingo",IF(F725=2,"Lunes",IF(F725=3,"Martes",IF(F725=4,"Miercoles",IF(F725=5,"Jueves",IF(F725=6,"Viernes",IF(F725=7,"Sábado",0)))))))</f>
        <v>#REF!</v>
      </c>
      <c r="F725" s="190" t="e">
        <f>WEEKDAY(D725)</f>
        <v>#REF!</v>
      </c>
      <c r="G725" s="142"/>
      <c r="H725" s="111"/>
    </row>
    <row r="726" spans="1:8">
      <c r="A726" s="80"/>
      <c r="B726" s="81"/>
      <c r="C726" s="81"/>
      <c r="D726" s="81"/>
      <c r="E726" s="81"/>
      <c r="F726" s="584"/>
      <c r="G726" s="584"/>
      <c r="H726" s="111"/>
    </row>
    <row r="727" spans="1:8">
      <c r="A727" s="80"/>
      <c r="B727" s="146">
        <f>+Mensajes!$B$7</f>
        <v>0</v>
      </c>
      <c r="C727" s="81"/>
      <c r="D727" s="81"/>
      <c r="E727" s="81"/>
      <c r="F727" s="81"/>
      <c r="G727" s="81"/>
      <c r="H727" s="111"/>
    </row>
    <row r="728" spans="1:8">
      <c r="A728" s="80"/>
      <c r="B728" s="146">
        <f>+Mensajes!$B$12</f>
        <v>0</v>
      </c>
      <c r="C728" s="81"/>
      <c r="D728" s="81"/>
      <c r="E728" s="81"/>
      <c r="F728" s="81"/>
      <c r="G728" s="81"/>
      <c r="H728" s="111"/>
    </row>
    <row r="729" spans="1:8">
      <c r="A729" s="80"/>
      <c r="B729" s="146" t="str">
        <f>IF(VLOOKUP(G719,'18_1'!$A$173:$M$186,13,0)=0,"",VLOOKUP(G719,'18_1'!$A$173:$M$186,13,0))</f>
        <v/>
      </c>
      <c r="C729" s="81"/>
      <c r="D729" s="81"/>
      <c r="E729" s="81"/>
      <c r="F729" s="81"/>
      <c r="G729" s="81"/>
      <c r="H729" s="111"/>
    </row>
    <row r="730" spans="1:8">
      <c r="A730" s="140"/>
      <c r="B730" s="188" t="str">
        <f>IF(DSUM('18_1'!$A$173:$P$186,16,G718:G719)=COUNTIF('18_1'!$A$173:$A$186,G719),"","Regularice su Deuda")</f>
        <v/>
      </c>
      <c r="C730" s="82"/>
      <c r="D730" s="82"/>
      <c r="E730" s="82"/>
      <c r="F730" s="82"/>
      <c r="G730" s="82"/>
      <c r="H730" s="83"/>
    </row>
    <row r="732" spans="1:8">
      <c r="A732" s="108"/>
      <c r="B732" s="109"/>
      <c r="C732" s="109"/>
      <c r="D732" s="109"/>
      <c r="E732" s="109"/>
      <c r="F732" s="109"/>
      <c r="G732" s="109"/>
      <c r="H732" s="110"/>
    </row>
    <row r="733" spans="1:8">
      <c r="A733" s="80"/>
      <c r="B733" s="147" t="s">
        <v>64</v>
      </c>
      <c r="C733" s="81"/>
      <c r="D733" s="81"/>
      <c r="E733" s="81"/>
      <c r="F733" s="81"/>
      <c r="G733" s="81"/>
      <c r="H733" s="111"/>
    </row>
    <row r="734" spans="1:8">
      <c r="A734" s="80"/>
      <c r="B734" s="81"/>
      <c r="C734" s="81"/>
      <c r="D734" s="81"/>
      <c r="E734" s="81"/>
      <c r="F734" s="81"/>
      <c r="G734" s="81"/>
      <c r="H734" s="111"/>
    </row>
    <row r="735" spans="1:8">
      <c r="A735" s="80"/>
      <c r="B735" s="81" t="s">
        <v>139</v>
      </c>
      <c r="C735" s="81" t="str">
        <f>VLOOKUP(G736,'18_1'!$A$203:$G$222,6,0)</f>
        <v>MAURO, ALEJANDRO Y RUIZ DE MAURO, HILDA</v>
      </c>
      <c r="D735" s="81"/>
      <c r="E735" s="81"/>
      <c r="F735" s="81"/>
      <c r="G735" s="138" t="s">
        <v>102</v>
      </c>
      <c r="H735" s="111"/>
    </row>
    <row r="736" spans="1:8">
      <c r="A736" s="80"/>
      <c r="B736" s="81" t="s">
        <v>72</v>
      </c>
      <c r="C736" s="81" t="str">
        <f>+'18_1'!$G$2</f>
        <v>Hijuela Morón</v>
      </c>
      <c r="D736" s="81"/>
      <c r="E736" s="81"/>
      <c r="F736" s="81"/>
      <c r="G736" s="138">
        <v>1</v>
      </c>
      <c r="H736" s="111"/>
    </row>
    <row r="737" spans="1:8">
      <c r="A737" s="80"/>
      <c r="B737" s="81"/>
      <c r="C737" s="81"/>
      <c r="D737" s="81"/>
      <c r="E737" s="81"/>
      <c r="F737" s="81"/>
      <c r="G737" s="81"/>
      <c r="H737" s="111"/>
    </row>
    <row r="738" spans="1:8">
      <c r="A738" s="80"/>
      <c r="B738" s="81" t="s">
        <v>140</v>
      </c>
      <c r="C738" s="138">
        <f>VLOOKUP(G736,'18_1'!$A$203:$B$222,2,0)</f>
        <v>1214</v>
      </c>
      <c r="D738" s="81"/>
      <c r="E738" s="139" t="s">
        <v>141</v>
      </c>
      <c r="F738" s="141" t="e">
        <f>DSUM('18_1'!A$203:J$222,'18_1'!$J$203,G735:G736)</f>
        <v>#REF!</v>
      </c>
      <c r="G738" s="81"/>
      <c r="H738" s="111"/>
    </row>
    <row r="739" spans="1:8">
      <c r="A739" s="80"/>
      <c r="B739" s="81" t="s">
        <v>142</v>
      </c>
      <c r="C739" s="205">
        <v>103</v>
      </c>
      <c r="D739" s="81"/>
      <c r="E739" s="81"/>
      <c r="F739" s="81"/>
      <c r="G739" s="81"/>
      <c r="H739" s="111"/>
    </row>
    <row r="740" spans="1:8">
      <c r="A740" s="80"/>
      <c r="B740" s="81" t="s">
        <v>144</v>
      </c>
      <c r="C740" s="206" t="e">
        <f>DSUM('18_1'!$A$203:$H$222,'18_1'!$H$203,G735:G736)</f>
        <v>#N/A</v>
      </c>
      <c r="D740" s="81"/>
      <c r="E740" s="81"/>
      <c r="F740" s="584"/>
      <c r="G740" s="584"/>
      <c r="H740" s="111"/>
    </row>
    <row r="741" spans="1:8" ht="15.75">
      <c r="A741" s="80"/>
      <c r="B741" s="81"/>
      <c r="C741" s="81" t="s">
        <v>146</v>
      </c>
      <c r="D741" s="145" t="e">
        <f>DMIN('18_1'!A$203:K$222,'18_1'!$J$203,G735:G736)</f>
        <v>#REF!</v>
      </c>
      <c r="E741" s="189" t="e">
        <f>IF(F741=1,"Domingo",IF(F741=2,"Lunes",IF(F741=3,"Martes",IF(F741=4,"Miercoles",IF(F741=5,"Jueves",IF(F741=6,"Viernes",IF(F741=7,"Sábado",0)))))))</f>
        <v>#REF!</v>
      </c>
      <c r="F741" s="190" t="e">
        <f>WEEKDAY(D741)</f>
        <v>#REF!</v>
      </c>
      <c r="G741" s="142"/>
      <c r="H741" s="111"/>
    </row>
    <row r="742" spans="1:8" ht="15.75">
      <c r="A742" s="80"/>
      <c r="B742" s="81"/>
      <c r="C742" s="81" t="s">
        <v>147</v>
      </c>
      <c r="D742" s="145" t="e">
        <f>DMAX('18_1'!A$203:L$222,'18_1'!$K$203,G735:G736)</f>
        <v>#REF!</v>
      </c>
      <c r="E742" s="189" t="e">
        <f>IF(F742=1,"Domingo",IF(F742=2,"Lunes",IF(F742=3,"Martes",IF(F742=4,"Miercoles",IF(F742=5,"Jueves",IF(F742=6,"Viernes",IF(F742=7,"Sábado",0)))))))</f>
        <v>#REF!</v>
      </c>
      <c r="F742" s="190" t="e">
        <f>WEEKDAY(D742)</f>
        <v>#REF!</v>
      </c>
      <c r="G742" s="142"/>
      <c r="H742" s="111"/>
    </row>
    <row r="743" spans="1:8">
      <c r="A743" s="80"/>
      <c r="B743" s="81"/>
      <c r="C743" s="81"/>
      <c r="D743" s="81"/>
      <c r="E743" s="81"/>
      <c r="F743" s="584"/>
      <c r="G743" s="584"/>
      <c r="H743" s="111"/>
    </row>
    <row r="744" spans="1:8">
      <c r="A744" s="80"/>
      <c r="B744" s="146">
        <f>+Mensajes!$B$7</f>
        <v>0</v>
      </c>
      <c r="C744" s="81"/>
      <c r="D744" s="81"/>
      <c r="E744" s="81"/>
      <c r="F744" s="81"/>
      <c r="G744" s="81"/>
      <c r="H744" s="111"/>
    </row>
    <row r="745" spans="1:8">
      <c r="A745" s="80"/>
      <c r="B745" s="146">
        <f>+Mensajes!$B$12</f>
        <v>0</v>
      </c>
      <c r="C745" s="81"/>
      <c r="D745" s="81"/>
      <c r="E745" s="81"/>
      <c r="F745" s="81"/>
      <c r="G745" s="81"/>
      <c r="H745" s="111"/>
    </row>
    <row r="746" spans="1:8">
      <c r="A746" s="80"/>
      <c r="B746" s="146" t="str">
        <f>IF(VLOOKUP(G736,'18_1'!$A$203:$M$222,13,0)=0,"",VLOOKUP(G736,'18_1'!$A$203:$M$222,13,0))</f>
        <v/>
      </c>
      <c r="C746" s="81"/>
      <c r="D746" s="81"/>
      <c r="E746" s="81"/>
      <c r="F746" s="81"/>
      <c r="G746" s="81"/>
      <c r="H746" s="111"/>
    </row>
    <row r="747" spans="1:8">
      <c r="A747" s="140"/>
      <c r="B747" s="188" t="str">
        <f>IF(DSUM('18_1'!$A$203:$P$222,16,G735:G736)=COUNTIF('18_1'!$A$203:$A$222,G736),"","Regularice su Deuda")</f>
        <v/>
      </c>
      <c r="C747" s="82"/>
      <c r="D747" s="82"/>
      <c r="E747" s="82"/>
      <c r="F747" s="82"/>
      <c r="G747" s="82"/>
      <c r="H747" s="83"/>
    </row>
    <row r="749" spans="1:8">
      <c r="A749" s="108"/>
      <c r="B749" s="109"/>
      <c r="C749" s="109"/>
      <c r="D749" s="109"/>
      <c r="E749" s="109"/>
      <c r="F749" s="109"/>
      <c r="G749" s="109"/>
      <c r="H749" s="110"/>
    </row>
    <row r="750" spans="1:8">
      <c r="A750" s="80"/>
      <c r="B750" s="147" t="s">
        <v>64</v>
      </c>
      <c r="C750" s="81"/>
      <c r="D750" s="81"/>
      <c r="E750" s="81"/>
      <c r="F750" s="81"/>
      <c r="G750" s="81"/>
      <c r="H750" s="111"/>
    </row>
    <row r="751" spans="1:8">
      <c r="A751" s="80"/>
      <c r="B751" s="81"/>
      <c r="C751" s="81"/>
      <c r="D751" s="81"/>
      <c r="E751" s="81"/>
      <c r="F751" s="81"/>
      <c r="G751" s="81"/>
      <c r="H751" s="111"/>
    </row>
    <row r="752" spans="1:8">
      <c r="A752" s="80"/>
      <c r="B752" s="81" t="s">
        <v>139</v>
      </c>
      <c r="C752" s="81" t="str">
        <f>VLOOKUP(G753,'18_1'!$A$203:$G$222,6,0)</f>
        <v>CALDERON LAURIANO ALCIDES</v>
      </c>
      <c r="D752" s="81"/>
      <c r="E752" s="81"/>
      <c r="F752" s="81"/>
      <c r="G752" s="138" t="s">
        <v>102</v>
      </c>
      <c r="H752" s="111"/>
    </row>
    <row r="753" spans="1:8">
      <c r="A753" s="80"/>
      <c r="B753" s="81" t="s">
        <v>72</v>
      </c>
      <c r="C753" s="81" t="str">
        <f>+'18_1'!$G$2</f>
        <v>Hijuela Morón</v>
      </c>
      <c r="D753" s="81"/>
      <c r="E753" s="81"/>
      <c r="F753" s="81"/>
      <c r="G753" s="138">
        <v>2</v>
      </c>
      <c r="H753" s="111"/>
    </row>
    <row r="754" spans="1:8">
      <c r="A754" s="80"/>
      <c r="B754" s="81"/>
      <c r="C754" s="81"/>
      <c r="D754" s="81"/>
      <c r="E754" s="81"/>
      <c r="F754" s="81"/>
      <c r="G754" s="81"/>
      <c r="H754" s="111"/>
    </row>
    <row r="755" spans="1:8">
      <c r="A755" s="80"/>
      <c r="B755" s="81" t="s">
        <v>140</v>
      </c>
      <c r="C755" s="138">
        <f>VLOOKUP(G753,'18_1'!$A$203:$B$222,2,0)</f>
        <v>1214</v>
      </c>
      <c r="D755" s="81"/>
      <c r="E755" s="139" t="s">
        <v>141</v>
      </c>
      <c r="F755" s="141" t="e">
        <f>DSUM('18_1'!A$203:J$222,'18_1'!$J$203,G752:G753)</f>
        <v>#REF!</v>
      </c>
      <c r="G755" s="81"/>
      <c r="H755" s="111"/>
    </row>
    <row r="756" spans="1:8">
      <c r="A756" s="80"/>
      <c r="B756" s="81" t="s">
        <v>142</v>
      </c>
      <c r="C756" s="205">
        <v>93</v>
      </c>
      <c r="D756" s="81"/>
      <c r="E756" s="81"/>
      <c r="F756" s="81"/>
      <c r="G756" s="81"/>
      <c r="H756" s="111"/>
    </row>
    <row r="757" spans="1:8">
      <c r="A757" s="80"/>
      <c r="B757" s="81" t="s">
        <v>144</v>
      </c>
      <c r="C757" s="206" t="e">
        <f>DSUM('18_1'!$A$203:$H$222,'18_1'!$H$203,G752:G753)</f>
        <v>#N/A</v>
      </c>
      <c r="D757" s="81"/>
      <c r="E757" s="81"/>
      <c r="F757" s="584"/>
      <c r="G757" s="584"/>
      <c r="H757" s="111"/>
    </row>
    <row r="758" spans="1:8" ht="15.75">
      <c r="A758" s="80"/>
      <c r="B758" s="81"/>
      <c r="C758" s="81" t="s">
        <v>146</v>
      </c>
      <c r="D758" s="145" t="e">
        <f>DMIN('18_1'!A$203:K$222,'18_1'!$J$203,G752:G753)</f>
        <v>#REF!</v>
      </c>
      <c r="E758" s="189" t="e">
        <f>IF(F758=1,"Domingo",IF(F758=2,"Lunes",IF(F758=3,"Martes",IF(F758=4,"Miercoles",IF(F758=5,"Jueves",IF(F758=6,"Viernes",IF(F758=7,"Sábado",0)))))))</f>
        <v>#REF!</v>
      </c>
      <c r="F758" s="190" t="e">
        <f>WEEKDAY(D758)</f>
        <v>#REF!</v>
      </c>
      <c r="G758" s="142"/>
      <c r="H758" s="111"/>
    </row>
    <row r="759" spans="1:8" ht="15.75">
      <c r="A759" s="80"/>
      <c r="B759" s="81"/>
      <c r="C759" s="81" t="s">
        <v>147</v>
      </c>
      <c r="D759" s="145" t="e">
        <f>DMAX('18_1'!A$203:L$222,'18_1'!$K$203,G752:G753)</f>
        <v>#REF!</v>
      </c>
      <c r="E759" s="189" t="e">
        <f>IF(F759=1,"Domingo",IF(F759=2,"Lunes",IF(F759=3,"Martes",IF(F759=4,"Miercoles",IF(F759=5,"Jueves",IF(F759=6,"Viernes",IF(F759=7,"Sábado",0)))))))</f>
        <v>#REF!</v>
      </c>
      <c r="F759" s="190" t="e">
        <f>WEEKDAY(D759)</f>
        <v>#REF!</v>
      </c>
      <c r="G759" s="142"/>
      <c r="H759" s="111"/>
    </row>
    <row r="760" spans="1:8">
      <c r="A760" s="80"/>
      <c r="B760" s="81"/>
      <c r="C760" s="81"/>
      <c r="D760" s="81"/>
      <c r="E760" s="81"/>
      <c r="F760" s="584"/>
      <c r="G760" s="584"/>
      <c r="H760" s="111"/>
    </row>
    <row r="761" spans="1:8">
      <c r="A761" s="80"/>
      <c r="B761" s="146">
        <f>+Mensajes!$B$7</f>
        <v>0</v>
      </c>
      <c r="C761" s="81"/>
      <c r="D761" s="81"/>
      <c r="E761" s="81"/>
      <c r="F761" s="81"/>
      <c r="G761" s="81"/>
      <c r="H761" s="111"/>
    </row>
    <row r="762" spans="1:8">
      <c r="A762" s="80"/>
      <c r="B762" s="146">
        <f>+Mensajes!$B$12</f>
        <v>0</v>
      </c>
      <c r="C762" s="81"/>
      <c r="D762" s="81"/>
      <c r="E762" s="81"/>
      <c r="F762" s="81"/>
      <c r="G762" s="81"/>
      <c r="H762" s="111"/>
    </row>
    <row r="763" spans="1:8">
      <c r="A763" s="80"/>
      <c r="B763" s="146" t="str">
        <f>IF(VLOOKUP(G753,'18_1'!$A$203:$M$222,13,0)=0,"",VLOOKUP(G753,'18_1'!$A$203:$M$222,13,0))</f>
        <v/>
      </c>
      <c r="C763" s="81"/>
      <c r="D763" s="81"/>
      <c r="E763" s="81"/>
      <c r="F763" s="81"/>
      <c r="G763" s="81"/>
      <c r="H763" s="111"/>
    </row>
    <row r="764" spans="1:8">
      <c r="A764" s="140"/>
      <c r="B764" s="188" t="str">
        <f>IF(DSUM('18_1'!$A$203:$P$222,16,G752:G753)=COUNTIF('18_1'!$A$203:$A$222,G753),"","Regularice su Deuda")</f>
        <v/>
      </c>
      <c r="C764" s="82"/>
      <c r="D764" s="82"/>
      <c r="E764" s="82"/>
      <c r="F764" s="82"/>
      <c r="G764" s="82"/>
      <c r="H764" s="83"/>
    </row>
    <row r="766" spans="1:8">
      <c r="A766" s="108"/>
      <c r="B766" s="109"/>
      <c r="C766" s="109"/>
      <c r="D766" s="109"/>
      <c r="E766" s="109"/>
      <c r="F766" s="109"/>
      <c r="G766" s="109"/>
      <c r="H766" s="110"/>
    </row>
    <row r="767" spans="1:8">
      <c r="A767" s="80"/>
      <c r="B767" s="147" t="s">
        <v>64</v>
      </c>
      <c r="C767" s="81"/>
      <c r="D767" s="81"/>
      <c r="E767" s="81"/>
      <c r="F767" s="81"/>
      <c r="G767" s="81"/>
      <c r="H767" s="111"/>
    </row>
    <row r="768" spans="1:8">
      <c r="A768" s="80"/>
      <c r="B768" s="81"/>
      <c r="C768" s="81"/>
      <c r="D768" s="81"/>
      <c r="E768" s="81"/>
      <c r="F768" s="81"/>
      <c r="G768" s="81"/>
      <c r="H768" s="111"/>
    </row>
    <row r="769" spans="1:8">
      <c r="A769" s="80"/>
      <c r="B769" s="81" t="s">
        <v>139</v>
      </c>
      <c r="C769" s="81" t="str">
        <f>VLOOKUP(G770,'18_1'!$A$203:$G$222,6,0)</f>
        <v>HERAS, ALDO DUILIO</v>
      </c>
      <c r="D769" s="81"/>
      <c r="E769" s="81"/>
      <c r="F769" s="81"/>
      <c r="G769" s="138" t="s">
        <v>102</v>
      </c>
      <c r="H769" s="111"/>
    </row>
    <row r="770" spans="1:8">
      <c r="A770" s="80"/>
      <c r="B770" s="81" t="s">
        <v>72</v>
      </c>
      <c r="C770" s="81" t="str">
        <f>+'18_1'!$G$2</f>
        <v>Hijuela Morón</v>
      </c>
      <c r="D770" s="81"/>
      <c r="E770" s="81"/>
      <c r="F770" s="81"/>
      <c r="G770" s="138">
        <v>3</v>
      </c>
      <c r="H770" s="111"/>
    </row>
    <row r="771" spans="1:8">
      <c r="A771" s="80"/>
      <c r="B771" s="81"/>
      <c r="C771" s="81"/>
      <c r="D771" s="81"/>
      <c r="E771" s="81"/>
      <c r="F771" s="81"/>
      <c r="G771" s="81"/>
      <c r="H771" s="111"/>
    </row>
    <row r="772" spans="1:8">
      <c r="A772" s="80"/>
      <c r="B772" s="81" t="s">
        <v>140</v>
      </c>
      <c r="C772" s="138">
        <f>VLOOKUP(G770,'18_1'!$A$203:$B$222,2,0)</f>
        <v>1214</v>
      </c>
      <c r="D772" s="81"/>
      <c r="E772" s="139" t="s">
        <v>141</v>
      </c>
      <c r="F772" s="141" t="e">
        <f>DSUM('18_1'!A$203:J$222,'18_1'!$J$203,G769:G770)</f>
        <v>#REF!</v>
      </c>
      <c r="G772" s="81"/>
      <c r="H772" s="111"/>
    </row>
    <row r="773" spans="1:8">
      <c r="A773" s="80"/>
      <c r="B773" s="81" t="s">
        <v>142</v>
      </c>
      <c r="C773" s="205">
        <v>119</v>
      </c>
      <c r="D773" s="81"/>
      <c r="E773" s="81"/>
      <c r="F773" s="81"/>
      <c r="G773" s="81"/>
      <c r="H773" s="111"/>
    </row>
    <row r="774" spans="1:8">
      <c r="A774" s="80"/>
      <c r="B774" s="81" t="s">
        <v>144</v>
      </c>
      <c r="C774" s="206" t="e">
        <f>DSUM('18_1'!$A$203:$H$222,'18_1'!$H$203,G769:G770)</f>
        <v>#N/A</v>
      </c>
      <c r="D774" s="81"/>
      <c r="E774" s="81"/>
      <c r="F774" s="584"/>
      <c r="G774" s="584"/>
      <c r="H774" s="111"/>
    </row>
    <row r="775" spans="1:8" ht="15.75">
      <c r="A775" s="80"/>
      <c r="B775" s="81"/>
      <c r="C775" s="81" t="s">
        <v>146</v>
      </c>
      <c r="D775" s="145" t="e">
        <f>DMIN('18_1'!A$203:K$222,'18_1'!$J$203,G769:G770)</f>
        <v>#REF!</v>
      </c>
      <c r="E775" s="189" t="e">
        <f>IF(F775=1,"Domingo",IF(F775=2,"Lunes",IF(F775=3,"Martes",IF(F775=4,"Miercoles",IF(F775=5,"Jueves",IF(F775=6,"Viernes",IF(F775=7,"Sábado",0)))))))</f>
        <v>#REF!</v>
      </c>
      <c r="F775" s="190" t="e">
        <f>WEEKDAY(D775)</f>
        <v>#REF!</v>
      </c>
      <c r="G775" s="142"/>
      <c r="H775" s="111"/>
    </row>
    <row r="776" spans="1:8" ht="15.75">
      <c r="A776" s="80"/>
      <c r="B776" s="81"/>
      <c r="C776" s="81" t="s">
        <v>147</v>
      </c>
      <c r="D776" s="145" t="e">
        <f>DMAX('18_1'!A$203:L$222,'18_1'!$K$203,G769:G770)</f>
        <v>#REF!</v>
      </c>
      <c r="E776" s="189" t="e">
        <f>IF(F776=1,"Domingo",IF(F776=2,"Lunes",IF(F776=3,"Martes",IF(F776=4,"Miercoles",IF(F776=5,"Jueves",IF(F776=6,"Viernes",IF(F776=7,"Sábado",0)))))))</f>
        <v>#REF!</v>
      </c>
      <c r="F776" s="190" t="e">
        <f>WEEKDAY(D776)</f>
        <v>#REF!</v>
      </c>
      <c r="G776" s="142"/>
      <c r="H776" s="111"/>
    </row>
    <row r="777" spans="1:8">
      <c r="A777" s="80"/>
      <c r="B777" s="81"/>
      <c r="C777" s="81"/>
      <c r="D777" s="81"/>
      <c r="E777" s="81"/>
      <c r="F777" s="584"/>
      <c r="G777" s="584"/>
      <c r="H777" s="111"/>
    </row>
    <row r="778" spans="1:8">
      <c r="A778" s="80"/>
      <c r="B778" s="146">
        <f>+Mensajes!$B$7</f>
        <v>0</v>
      </c>
      <c r="C778" s="81"/>
      <c r="D778" s="81"/>
      <c r="E778" s="81"/>
      <c r="F778" s="81"/>
      <c r="G778" s="81"/>
      <c r="H778" s="111"/>
    </row>
    <row r="779" spans="1:8">
      <c r="A779" s="80"/>
      <c r="B779" s="146">
        <f>+Mensajes!$B$12</f>
        <v>0</v>
      </c>
      <c r="C779" s="81"/>
      <c r="D779" s="81"/>
      <c r="E779" s="81"/>
      <c r="F779" s="81"/>
      <c r="G779" s="81"/>
      <c r="H779" s="111"/>
    </row>
    <row r="780" spans="1:8">
      <c r="A780" s="80"/>
      <c r="B780" s="146" t="str">
        <f>IF(VLOOKUP(G770,'18_1'!$A$203:$M$222,13,0)=0,"",VLOOKUP(G770,'18_1'!$A$203:$M$222,13,0))</f>
        <v/>
      </c>
      <c r="C780" s="81"/>
      <c r="D780" s="81"/>
      <c r="E780" s="81"/>
      <c r="F780" s="81"/>
      <c r="G780" s="81"/>
      <c r="H780" s="111"/>
    </row>
    <row r="781" spans="1:8">
      <c r="A781" s="140"/>
      <c r="B781" s="188" t="e">
        <f>IF(DSUM('18_1'!$A$203:$P$222,16,G769:G770)=COUNTIF('18_1'!$A$203:$A$222,G770),"","Regularice su Deuda")</f>
        <v>#N/A</v>
      </c>
      <c r="C781" s="82"/>
      <c r="D781" s="82"/>
      <c r="E781" s="82"/>
      <c r="F781" s="82"/>
      <c r="G781" s="82"/>
      <c r="H781" s="83"/>
    </row>
    <row r="783" spans="1:8">
      <c r="A783" s="108"/>
      <c r="B783" s="109"/>
      <c r="C783" s="109"/>
      <c r="D783" s="109"/>
      <c r="E783" s="109"/>
      <c r="F783" s="109"/>
      <c r="G783" s="109"/>
      <c r="H783" s="110"/>
    </row>
    <row r="784" spans="1:8">
      <c r="A784" s="80"/>
      <c r="B784" s="147" t="s">
        <v>64</v>
      </c>
      <c r="C784" s="81"/>
      <c r="D784" s="81"/>
      <c r="E784" s="81"/>
      <c r="F784" s="81"/>
      <c r="G784" s="81"/>
      <c r="H784" s="111"/>
    </row>
    <row r="785" spans="1:8">
      <c r="A785" s="80"/>
      <c r="B785" s="81"/>
      <c r="C785" s="81"/>
      <c r="D785" s="81"/>
      <c r="E785" s="81"/>
      <c r="F785" s="81"/>
      <c r="G785" s="81"/>
      <c r="H785" s="111"/>
    </row>
    <row r="786" spans="1:8">
      <c r="A786" s="80"/>
      <c r="B786" s="81" t="s">
        <v>139</v>
      </c>
      <c r="C786" s="81" t="str">
        <f>VLOOKUP(G787,'18_1'!$A$203:$G$222,6,0)</f>
        <v>SANCHEZ CASARA, JUAN ROMULO</v>
      </c>
      <c r="D786" s="81"/>
      <c r="E786" s="81"/>
      <c r="F786" s="81"/>
      <c r="G786" s="138" t="s">
        <v>102</v>
      </c>
      <c r="H786" s="111"/>
    </row>
    <row r="787" spans="1:8">
      <c r="A787" s="80"/>
      <c r="B787" s="81" t="s">
        <v>72</v>
      </c>
      <c r="C787" s="81" t="str">
        <f>+'18_1'!$G$2</f>
        <v>Hijuela Morón</v>
      </c>
      <c r="D787" s="81"/>
      <c r="E787" s="81"/>
      <c r="F787" s="81"/>
      <c r="G787" s="138">
        <v>4</v>
      </c>
      <c r="H787" s="111"/>
    </row>
    <row r="788" spans="1:8">
      <c r="A788" s="80"/>
      <c r="B788" s="81"/>
      <c r="C788" s="81"/>
      <c r="D788" s="81"/>
      <c r="E788" s="81"/>
      <c r="F788" s="81"/>
      <c r="G788" s="81"/>
      <c r="H788" s="111"/>
    </row>
    <row r="789" spans="1:8">
      <c r="A789" s="80"/>
      <c r="B789" s="81" t="s">
        <v>140</v>
      </c>
      <c r="C789" s="138">
        <f>VLOOKUP(G787,'18_1'!$A$203:$B$222,2,0)</f>
        <v>1214</v>
      </c>
      <c r="D789" s="81"/>
      <c r="E789" s="139" t="s">
        <v>141</v>
      </c>
      <c r="F789" s="141" t="e">
        <f>DSUM('18_1'!A$203:J$222,'18_1'!$J$203,G786:G787)</f>
        <v>#REF!</v>
      </c>
      <c r="G789" s="81"/>
      <c r="H789" s="111"/>
    </row>
    <row r="790" spans="1:8">
      <c r="A790" s="80"/>
      <c r="B790" s="81" t="s">
        <v>142</v>
      </c>
      <c r="C790" s="205" t="s">
        <v>677</v>
      </c>
      <c r="D790" s="81"/>
      <c r="E790" s="81"/>
      <c r="F790" s="81"/>
      <c r="G790" s="81"/>
      <c r="H790" s="111"/>
    </row>
    <row r="791" spans="1:8">
      <c r="A791" s="80"/>
      <c r="B791" s="81" t="s">
        <v>144</v>
      </c>
      <c r="C791" s="206" t="e">
        <f>DSUM('18_1'!$A$203:$H$222,'18_1'!$H$203,G786:G787)</f>
        <v>#N/A</v>
      </c>
      <c r="D791" s="81"/>
      <c r="E791" s="81"/>
      <c r="F791" s="584"/>
      <c r="G791" s="584"/>
      <c r="H791" s="111"/>
    </row>
    <row r="792" spans="1:8" ht="15.75">
      <c r="A792" s="80"/>
      <c r="B792" s="81"/>
      <c r="C792" s="81" t="s">
        <v>146</v>
      </c>
      <c r="D792" s="145" t="e">
        <f>DMIN('18_1'!A$203:K$222,'18_1'!$J$203,G786:G787)</f>
        <v>#REF!</v>
      </c>
      <c r="E792" s="189" t="e">
        <f>IF(F792=1,"Domingo",IF(F792=2,"Lunes",IF(F792=3,"Martes",IF(F792=4,"Miercoles",IF(F792=5,"Jueves",IF(F792=6,"Viernes",IF(F792=7,"Sábado",0)))))))</f>
        <v>#REF!</v>
      </c>
      <c r="F792" s="190" t="e">
        <f>WEEKDAY(D792)</f>
        <v>#REF!</v>
      </c>
      <c r="G792" s="142"/>
      <c r="H792" s="111"/>
    </row>
    <row r="793" spans="1:8" ht="15.75">
      <c r="A793" s="80"/>
      <c r="B793" s="81"/>
      <c r="C793" s="81" t="s">
        <v>147</v>
      </c>
      <c r="D793" s="145" t="e">
        <f>DMAX('18_1'!A$203:L$222,'18_1'!$K$203,G786:G787)</f>
        <v>#REF!</v>
      </c>
      <c r="E793" s="189" t="e">
        <f>IF(F793=1,"Domingo",IF(F793=2,"Lunes",IF(F793=3,"Martes",IF(F793=4,"Miercoles",IF(F793=5,"Jueves",IF(F793=6,"Viernes",IF(F793=7,"Sábado",0)))))))</f>
        <v>#REF!</v>
      </c>
      <c r="F793" s="190" t="e">
        <f>WEEKDAY(D793)</f>
        <v>#REF!</v>
      </c>
      <c r="G793" s="142"/>
      <c r="H793" s="111"/>
    </row>
    <row r="794" spans="1:8">
      <c r="A794" s="80"/>
      <c r="B794" s="81"/>
      <c r="C794" s="81"/>
      <c r="D794" s="81"/>
      <c r="E794" s="81"/>
      <c r="F794" s="584"/>
      <c r="G794" s="584"/>
      <c r="H794" s="111"/>
    </row>
    <row r="795" spans="1:8">
      <c r="A795" s="80"/>
      <c r="B795" s="146">
        <f>+Mensajes!$B$7</f>
        <v>0</v>
      </c>
      <c r="C795" s="81"/>
      <c r="D795" s="81"/>
      <c r="E795" s="81"/>
      <c r="F795" s="81"/>
      <c r="G795" s="81"/>
      <c r="H795" s="111"/>
    </row>
    <row r="796" spans="1:8">
      <c r="A796" s="80"/>
      <c r="B796" s="146">
        <f>+Mensajes!$B$12</f>
        <v>0</v>
      </c>
      <c r="C796" s="81"/>
      <c r="D796" s="81"/>
      <c r="E796" s="81"/>
      <c r="F796" s="81"/>
      <c r="G796" s="81"/>
      <c r="H796" s="111"/>
    </row>
    <row r="797" spans="1:8">
      <c r="A797" s="80"/>
      <c r="B797" s="146" t="str">
        <f>IF(VLOOKUP(G787,'18_1'!$A$203:$M$222,13,0)=0,"",VLOOKUP(G787,'18_1'!$A$203:$M$222,13,0))</f>
        <v/>
      </c>
      <c r="C797" s="81"/>
      <c r="D797" s="81"/>
      <c r="E797" s="81"/>
      <c r="F797" s="81"/>
      <c r="G797" s="81"/>
      <c r="H797" s="111"/>
    </row>
    <row r="798" spans="1:8">
      <c r="A798" s="140"/>
      <c r="B798" s="188" t="e">
        <f>IF(DSUM('18_1'!$A$203:$P$222,16,G786:G787)=COUNTIF('18_1'!$A$203:$A$222,G787),"","Regularice su Deuda")</f>
        <v>#N/A</v>
      </c>
      <c r="C798" s="82"/>
      <c r="D798" s="82"/>
      <c r="E798" s="82"/>
      <c r="F798" s="82"/>
      <c r="G798" s="82"/>
      <c r="H798" s="83"/>
    </row>
    <row r="800" spans="1:8">
      <c r="A800" s="108"/>
      <c r="B800" s="109"/>
      <c r="C800" s="109"/>
      <c r="D800" s="109"/>
      <c r="E800" s="109"/>
      <c r="F800" s="109"/>
      <c r="G800" s="109"/>
      <c r="H800" s="110"/>
    </row>
    <row r="801" spans="1:8">
      <c r="A801" s="80"/>
      <c r="B801" s="147" t="s">
        <v>64</v>
      </c>
      <c r="C801" s="81"/>
      <c r="D801" s="81"/>
      <c r="E801" s="81"/>
      <c r="F801" s="81"/>
      <c r="G801" s="81"/>
      <c r="H801" s="111"/>
    </row>
    <row r="802" spans="1:8">
      <c r="A802" s="80"/>
      <c r="B802" s="81"/>
      <c r="C802" s="81"/>
      <c r="D802" s="81"/>
      <c r="E802" s="81"/>
      <c r="F802" s="81"/>
      <c r="G802" s="81"/>
      <c r="H802" s="111"/>
    </row>
    <row r="803" spans="1:8">
      <c r="A803" s="80"/>
      <c r="B803" s="81" t="s">
        <v>139</v>
      </c>
      <c r="C803" s="81" t="str">
        <f>VLOOKUP(G804,'18_1'!$A$203:$G$222,6,0)</f>
        <v>BONILLA, ALONSO NICOLAS</v>
      </c>
      <c r="D803" s="81"/>
      <c r="E803" s="81"/>
      <c r="F803" s="81"/>
      <c r="G803" s="138" t="s">
        <v>102</v>
      </c>
      <c r="H803" s="111"/>
    </row>
    <row r="804" spans="1:8">
      <c r="A804" s="80"/>
      <c r="B804" s="81" t="s">
        <v>72</v>
      </c>
      <c r="C804" s="81" t="str">
        <f>+'18_1'!$G$2</f>
        <v>Hijuela Morón</v>
      </c>
      <c r="D804" s="81"/>
      <c r="E804" s="81"/>
      <c r="F804" s="81"/>
      <c r="G804" s="138">
        <v>5</v>
      </c>
      <c r="H804" s="111"/>
    </row>
    <row r="805" spans="1:8">
      <c r="A805" s="80"/>
      <c r="B805" s="81"/>
      <c r="C805" s="81"/>
      <c r="D805" s="81"/>
      <c r="E805" s="81"/>
      <c r="F805" s="81"/>
      <c r="G805" s="81"/>
      <c r="H805" s="111"/>
    </row>
    <row r="806" spans="1:8">
      <c r="A806" s="80"/>
      <c r="B806" s="81" t="s">
        <v>140</v>
      </c>
      <c r="C806" s="138">
        <f>VLOOKUP(G804,'18_1'!$A$203:$B$222,2,0)</f>
        <v>1214</v>
      </c>
      <c r="D806" s="81"/>
      <c r="E806" s="139" t="s">
        <v>141</v>
      </c>
      <c r="F806" s="141" t="e">
        <f>DSUM('18_1'!A$203:J$222,'18_1'!$J$203,G803:G804)</f>
        <v>#REF!</v>
      </c>
      <c r="G806" s="81"/>
      <c r="H806" s="111"/>
    </row>
    <row r="807" spans="1:8">
      <c r="A807" s="80"/>
      <c r="B807" s="81" t="s">
        <v>142</v>
      </c>
      <c r="C807" s="205">
        <v>262</v>
      </c>
      <c r="D807" s="81"/>
      <c r="E807" s="81"/>
      <c r="F807" s="81"/>
      <c r="G807" s="81"/>
      <c r="H807" s="111"/>
    </row>
    <row r="808" spans="1:8">
      <c r="A808" s="80"/>
      <c r="B808" s="81" t="s">
        <v>144</v>
      </c>
      <c r="C808" s="206" t="e">
        <f>DSUM('18_1'!$A$203:$H$222,'18_1'!$H$203,G803:G804)</f>
        <v>#N/A</v>
      </c>
      <c r="D808" s="81"/>
      <c r="E808" s="81"/>
      <c r="F808" s="584"/>
      <c r="G808" s="584"/>
      <c r="H808" s="111"/>
    </row>
    <row r="809" spans="1:8" ht="15.75">
      <c r="A809" s="80"/>
      <c r="B809" s="81"/>
      <c r="C809" s="81" t="s">
        <v>146</v>
      </c>
      <c r="D809" s="145" t="e">
        <f>DMIN('18_1'!A$203:K$222,'18_1'!$J$203,G803:G804)</f>
        <v>#REF!</v>
      </c>
      <c r="E809" s="189" t="e">
        <f>IF(F809=1,"Domingo",IF(F809=2,"Lunes",IF(F809=3,"Martes",IF(F809=4,"Miercoles",IF(F809=5,"Jueves",IF(F809=6,"Viernes",IF(F809=7,"Sábado",0)))))))</f>
        <v>#REF!</v>
      </c>
      <c r="F809" s="190" t="e">
        <f>WEEKDAY(D809)</f>
        <v>#REF!</v>
      </c>
      <c r="G809" s="142"/>
      <c r="H809" s="111"/>
    </row>
    <row r="810" spans="1:8" ht="15.75">
      <c r="A810" s="80"/>
      <c r="B810" s="81"/>
      <c r="C810" s="81" t="s">
        <v>147</v>
      </c>
      <c r="D810" s="145" t="e">
        <f>DMAX('18_1'!A$203:L$222,'18_1'!$K$203,G803:G804)</f>
        <v>#REF!</v>
      </c>
      <c r="E810" s="189" t="e">
        <f>IF(F810=1,"Domingo",IF(F810=2,"Lunes",IF(F810=3,"Martes",IF(F810=4,"Miercoles",IF(F810=5,"Jueves",IF(F810=6,"Viernes",IF(F810=7,"Sábado",0)))))))</f>
        <v>#REF!</v>
      </c>
      <c r="F810" s="190" t="e">
        <f>WEEKDAY(D810)</f>
        <v>#REF!</v>
      </c>
      <c r="G810" s="142"/>
      <c r="H810" s="111"/>
    </row>
    <row r="811" spans="1:8">
      <c r="A811" s="80"/>
      <c r="B811" s="81"/>
      <c r="C811" s="81"/>
      <c r="D811" s="81"/>
      <c r="E811" s="81"/>
      <c r="F811" s="584"/>
      <c r="G811" s="584"/>
      <c r="H811" s="111"/>
    </row>
    <row r="812" spans="1:8">
      <c r="A812" s="80"/>
      <c r="B812" s="146">
        <f>+Mensajes!$B$7</f>
        <v>0</v>
      </c>
      <c r="C812" s="81"/>
      <c r="D812" s="81"/>
      <c r="E812" s="81"/>
      <c r="F812" s="81"/>
      <c r="G812" s="81"/>
      <c r="H812" s="111"/>
    </row>
    <row r="813" spans="1:8">
      <c r="A813" s="80"/>
      <c r="B813" s="146">
        <f>+Mensajes!$B$12</f>
        <v>0</v>
      </c>
      <c r="C813" s="81"/>
      <c r="D813" s="81"/>
      <c r="E813" s="81"/>
      <c r="F813" s="81"/>
      <c r="G813" s="81"/>
      <c r="H813" s="111"/>
    </row>
    <row r="814" spans="1:8">
      <c r="A814" s="80"/>
      <c r="B814" s="146" t="str">
        <f>IF(VLOOKUP(G804,'18_1'!$A$203:$M$222,13,0)=0,"",VLOOKUP(G804,'18_1'!$A$203:$M$222,13,0))</f>
        <v/>
      </c>
      <c r="C814" s="81"/>
      <c r="D814" s="81"/>
      <c r="E814" s="81"/>
      <c r="F814" s="81"/>
      <c r="G814" s="81"/>
      <c r="H814" s="111"/>
    </row>
    <row r="815" spans="1:8">
      <c r="A815" s="140"/>
      <c r="B815" s="188" t="e">
        <f>IF(DSUM('18_1'!$A$203:$P$222,16,G803:G804)=COUNTIF('18_1'!$A$203:$A$222,G804),"","Regularice su Deuda")</f>
        <v>#N/A</v>
      </c>
      <c r="C815" s="82"/>
      <c r="D815" s="82"/>
      <c r="E815" s="82"/>
      <c r="F815" s="82"/>
      <c r="G815" s="82"/>
      <c r="H815" s="83"/>
    </row>
    <row r="817" spans="1:8">
      <c r="A817" s="108"/>
      <c r="B817" s="109"/>
      <c r="C817" s="109"/>
      <c r="D817" s="109"/>
      <c r="E817" s="109"/>
      <c r="F817" s="109"/>
      <c r="G817" s="109"/>
      <c r="H817" s="110"/>
    </row>
    <row r="818" spans="1:8">
      <c r="A818" s="80"/>
      <c r="B818" s="147" t="s">
        <v>64</v>
      </c>
      <c r="C818" s="81"/>
      <c r="D818" s="81"/>
      <c r="E818" s="81"/>
      <c r="F818" s="81"/>
      <c r="G818" s="81"/>
      <c r="H818" s="111"/>
    </row>
    <row r="819" spans="1:8">
      <c r="A819" s="80"/>
      <c r="B819" s="81"/>
      <c r="C819" s="81"/>
      <c r="D819" s="81"/>
      <c r="E819" s="81"/>
      <c r="F819" s="81"/>
      <c r="G819" s="81"/>
      <c r="H819" s="111"/>
    </row>
    <row r="820" spans="1:8">
      <c r="A820" s="80"/>
      <c r="B820" s="81" t="s">
        <v>139</v>
      </c>
      <c r="C820" s="81" t="str">
        <f>VLOOKUP(G821,'18_1'!$A$203:$G$222,6,0)</f>
        <v>MARTIN, JOSE ALONSO</v>
      </c>
      <c r="D820" s="81"/>
      <c r="E820" s="81"/>
      <c r="F820" s="81"/>
      <c r="G820" s="138" t="s">
        <v>102</v>
      </c>
      <c r="H820" s="111"/>
    </row>
    <row r="821" spans="1:8">
      <c r="A821" s="80"/>
      <c r="B821" s="81" t="s">
        <v>72</v>
      </c>
      <c r="C821" s="81" t="str">
        <f>+'18_1'!$G$2</f>
        <v>Hijuela Morón</v>
      </c>
      <c r="D821" s="81"/>
      <c r="E821" s="81"/>
      <c r="F821" s="81"/>
      <c r="G821" s="138">
        <v>6</v>
      </c>
      <c r="H821" s="111"/>
    </row>
    <row r="822" spans="1:8">
      <c r="A822" s="80"/>
      <c r="B822" s="81"/>
      <c r="C822" s="81"/>
      <c r="D822" s="81"/>
      <c r="E822" s="81"/>
      <c r="F822" s="81"/>
      <c r="G822" s="81"/>
      <c r="H822" s="111"/>
    </row>
    <row r="823" spans="1:8">
      <c r="A823" s="80"/>
      <c r="B823" s="81" t="s">
        <v>140</v>
      </c>
      <c r="C823" s="138">
        <f>VLOOKUP(G821,'18_1'!$A$203:$B$222,2,0)</f>
        <v>1214</v>
      </c>
      <c r="D823" s="81"/>
      <c r="E823" s="139" t="s">
        <v>141</v>
      </c>
      <c r="F823" s="141" t="e">
        <f>DSUM('18_1'!A$203:J$222,'18_1'!$J$203,G820:G821)</f>
        <v>#REF!</v>
      </c>
      <c r="G823" s="81"/>
      <c r="H823" s="111"/>
    </row>
    <row r="824" spans="1:8">
      <c r="A824" s="80"/>
      <c r="B824" s="81" t="s">
        <v>142</v>
      </c>
      <c r="C824" s="205">
        <v>95</v>
      </c>
      <c r="D824" s="81"/>
      <c r="E824" s="81"/>
      <c r="F824" s="81"/>
      <c r="G824" s="81"/>
      <c r="H824" s="111"/>
    </row>
    <row r="825" spans="1:8">
      <c r="A825" s="80"/>
      <c r="B825" s="81" t="s">
        <v>144</v>
      </c>
      <c r="C825" s="206" t="e">
        <f>DSUM('18_1'!$A$203:$H$222,'18_1'!$H$203,G820:G821)</f>
        <v>#N/A</v>
      </c>
      <c r="D825" s="81"/>
      <c r="E825" s="81"/>
      <c r="F825" s="584"/>
      <c r="G825" s="584"/>
      <c r="H825" s="111"/>
    </row>
    <row r="826" spans="1:8" ht="15.75">
      <c r="A826" s="80"/>
      <c r="B826" s="81"/>
      <c r="C826" s="81" t="s">
        <v>146</v>
      </c>
      <c r="D826" s="145" t="e">
        <f>DMIN('18_1'!A$203:K$222,'18_1'!$J$203,G820:G821)</f>
        <v>#REF!</v>
      </c>
      <c r="E826" s="189" t="e">
        <f>IF(F826=1,"Domingo",IF(F826=2,"Lunes",IF(F826=3,"Martes",IF(F826=4,"Miercoles",IF(F826=5,"Jueves",IF(F826=6,"Viernes",IF(F826=7,"Sábado",0)))))))</f>
        <v>#REF!</v>
      </c>
      <c r="F826" s="190" t="e">
        <f>WEEKDAY(D826)</f>
        <v>#REF!</v>
      </c>
      <c r="G826" s="142"/>
      <c r="H826" s="111"/>
    </row>
    <row r="827" spans="1:8" ht="15.75">
      <c r="A827" s="80"/>
      <c r="B827" s="81"/>
      <c r="C827" s="81" t="s">
        <v>147</v>
      </c>
      <c r="D827" s="145" t="e">
        <f>DMAX('18_1'!A$203:L$222,'18_1'!$K$203,G820:G821)</f>
        <v>#REF!</v>
      </c>
      <c r="E827" s="189" t="e">
        <f>IF(F827=1,"Domingo",IF(F827=2,"Lunes",IF(F827=3,"Martes",IF(F827=4,"Miercoles",IF(F827=5,"Jueves",IF(F827=6,"Viernes",IF(F827=7,"Sábado",0)))))))</f>
        <v>#REF!</v>
      </c>
      <c r="F827" s="190" t="e">
        <f>WEEKDAY(D827)</f>
        <v>#REF!</v>
      </c>
      <c r="G827" s="142"/>
      <c r="H827" s="111"/>
    </row>
    <row r="828" spans="1:8">
      <c r="A828" s="80"/>
      <c r="B828" s="81"/>
      <c r="C828" s="81"/>
      <c r="D828" s="81"/>
      <c r="E828" s="81"/>
      <c r="F828" s="584"/>
      <c r="G828" s="584"/>
      <c r="H828" s="111"/>
    </row>
    <row r="829" spans="1:8">
      <c r="A829" s="80"/>
      <c r="B829" s="146">
        <f>+Mensajes!$B$7</f>
        <v>0</v>
      </c>
      <c r="C829" s="81"/>
      <c r="D829" s="81"/>
      <c r="E829" s="81"/>
      <c r="F829" s="81"/>
      <c r="G829" s="81"/>
      <c r="H829" s="111"/>
    </row>
    <row r="830" spans="1:8">
      <c r="A830" s="80"/>
      <c r="B830" s="146">
        <f>+Mensajes!$B$12</f>
        <v>0</v>
      </c>
      <c r="C830" s="81"/>
      <c r="D830" s="81"/>
      <c r="E830" s="81"/>
      <c r="F830" s="81"/>
      <c r="G830" s="81"/>
      <c r="H830" s="111"/>
    </row>
    <row r="831" spans="1:8">
      <c r="A831" s="80"/>
      <c r="B831" s="146" t="str">
        <f>IF(VLOOKUP(G821,'18_1'!$A$203:$M$222,13,0)=0,"",VLOOKUP(G821,'18_1'!$A$203:$M$222,13,0))</f>
        <v/>
      </c>
      <c r="C831" s="81"/>
      <c r="D831" s="81"/>
      <c r="E831" s="81"/>
      <c r="F831" s="81"/>
      <c r="G831" s="81"/>
      <c r="H831" s="111"/>
    </row>
    <row r="832" spans="1:8">
      <c r="A832" s="140"/>
      <c r="B832" s="188" t="str">
        <f>IF(DSUM('18_1'!$A$203:$P$222,16,G820:G821)=COUNTIF('18_1'!$A$203:$A$222,G821),"","Regularice su Deuda")</f>
        <v/>
      </c>
      <c r="C832" s="82"/>
      <c r="D832" s="82"/>
      <c r="E832" s="82"/>
      <c r="F832" s="82"/>
      <c r="G832" s="82"/>
      <c r="H832" s="83"/>
    </row>
    <row r="834" spans="1:8">
      <c r="A834" s="108"/>
      <c r="B834" s="109"/>
      <c r="C834" s="109"/>
      <c r="D834" s="109"/>
      <c r="E834" s="109"/>
      <c r="F834" s="109"/>
      <c r="G834" s="109"/>
      <c r="H834" s="110"/>
    </row>
    <row r="835" spans="1:8">
      <c r="A835" s="80"/>
      <c r="B835" s="147" t="s">
        <v>64</v>
      </c>
      <c r="C835" s="81"/>
      <c r="D835" s="81"/>
      <c r="E835" s="81"/>
      <c r="F835" s="81"/>
      <c r="G835" s="81"/>
      <c r="H835" s="111"/>
    </row>
    <row r="836" spans="1:8">
      <c r="A836" s="80"/>
      <c r="B836" s="81"/>
      <c r="C836" s="81"/>
      <c r="D836" s="81"/>
      <c r="E836" s="81"/>
      <c r="F836" s="81"/>
      <c r="G836" s="81"/>
      <c r="H836" s="111"/>
    </row>
    <row r="837" spans="1:8">
      <c r="A837" s="80"/>
      <c r="B837" s="81" t="s">
        <v>139</v>
      </c>
      <c r="C837" s="81" t="str">
        <f>VLOOKUP(G838,'18_1'!$A$203:$G$222,6,0)</f>
        <v>BONILLA, ALONSO NICOLAS</v>
      </c>
      <c r="D837" s="81"/>
      <c r="E837" s="81"/>
      <c r="F837" s="81"/>
      <c r="G837" s="138" t="s">
        <v>102</v>
      </c>
      <c r="H837" s="111"/>
    </row>
    <row r="838" spans="1:8">
      <c r="A838" s="80"/>
      <c r="B838" s="81" t="s">
        <v>72</v>
      </c>
      <c r="C838" s="81" t="str">
        <f>+'18_1'!$G$2</f>
        <v>Hijuela Morón</v>
      </c>
      <c r="D838" s="81"/>
      <c r="E838" s="81"/>
      <c r="F838" s="81"/>
      <c r="G838" s="138">
        <v>7</v>
      </c>
      <c r="H838" s="111"/>
    </row>
    <row r="839" spans="1:8">
      <c r="A839" s="80"/>
      <c r="B839" s="81"/>
      <c r="C839" s="81"/>
      <c r="D839" s="81"/>
      <c r="E839" s="81"/>
      <c r="F839" s="81"/>
      <c r="G839" s="81"/>
      <c r="H839" s="111"/>
    </row>
    <row r="840" spans="1:8">
      <c r="A840" s="80"/>
      <c r="B840" s="81" t="s">
        <v>140</v>
      </c>
      <c r="C840" s="138">
        <f>VLOOKUP(G838,'18_1'!$A$203:$B$222,2,0)</f>
        <v>1214</v>
      </c>
      <c r="D840" s="81"/>
      <c r="E840" s="139" t="s">
        <v>141</v>
      </c>
      <c r="F840" s="141" t="e">
        <f>DSUM('18_1'!A$203:J$222,'18_1'!$J$203,G837:G838)</f>
        <v>#REF!</v>
      </c>
      <c r="G840" s="81"/>
      <c r="H840" s="111"/>
    </row>
    <row r="841" spans="1:8">
      <c r="A841" s="80"/>
      <c r="B841" s="81" t="s">
        <v>142</v>
      </c>
      <c r="C841" s="205">
        <v>104</v>
      </c>
      <c r="D841" s="81"/>
      <c r="E841" s="81"/>
      <c r="F841" s="81"/>
      <c r="G841" s="81"/>
      <c r="H841" s="111"/>
    </row>
    <row r="842" spans="1:8">
      <c r="A842" s="80"/>
      <c r="B842" s="81" t="s">
        <v>144</v>
      </c>
      <c r="C842" s="206" t="e">
        <f>DSUM('18_1'!$A$203:$H$222,'18_1'!$H$203,G837:G838)</f>
        <v>#N/A</v>
      </c>
      <c r="D842" s="81"/>
      <c r="E842" s="81"/>
      <c r="F842" s="584"/>
      <c r="G842" s="584"/>
      <c r="H842" s="111"/>
    </row>
    <row r="843" spans="1:8" ht="15.75">
      <c r="A843" s="80"/>
      <c r="B843" s="81"/>
      <c r="C843" s="81" t="s">
        <v>146</v>
      </c>
      <c r="D843" s="145" t="e">
        <f>DMIN('18_1'!A$203:K$222,'18_1'!$J$203,G837:G838)</f>
        <v>#REF!</v>
      </c>
      <c r="E843" s="189" t="e">
        <f>IF(F843=1,"Domingo",IF(F843=2,"Lunes",IF(F843=3,"Martes",IF(F843=4,"Miercoles",IF(F843=5,"Jueves",IF(F843=6,"Viernes",IF(F843=7,"Sábado",0)))))))</f>
        <v>#REF!</v>
      </c>
      <c r="F843" s="190" t="e">
        <f>WEEKDAY(D843)</f>
        <v>#REF!</v>
      </c>
      <c r="G843" s="142"/>
      <c r="H843" s="111"/>
    </row>
    <row r="844" spans="1:8" ht="15.75">
      <c r="A844" s="80"/>
      <c r="B844" s="81"/>
      <c r="C844" s="81" t="s">
        <v>147</v>
      </c>
      <c r="D844" s="145" t="e">
        <f>DMAX('18_1'!A$203:L$222,'18_1'!$K$203,G837:G838)</f>
        <v>#REF!</v>
      </c>
      <c r="E844" s="189" t="e">
        <f>IF(F844=1,"Domingo",IF(F844=2,"Lunes",IF(F844=3,"Martes",IF(F844=4,"Miercoles",IF(F844=5,"Jueves",IF(F844=6,"Viernes",IF(F844=7,"Sábado",0)))))))</f>
        <v>#REF!</v>
      </c>
      <c r="F844" s="190" t="e">
        <f>WEEKDAY(D844)</f>
        <v>#REF!</v>
      </c>
      <c r="G844" s="142"/>
      <c r="H844" s="111"/>
    </row>
    <row r="845" spans="1:8">
      <c r="A845" s="80"/>
      <c r="B845" s="81"/>
      <c r="C845" s="81"/>
      <c r="D845" s="81"/>
      <c r="E845" s="81"/>
      <c r="F845" s="584"/>
      <c r="G845" s="584"/>
      <c r="H845" s="111"/>
    </row>
    <row r="846" spans="1:8">
      <c r="A846" s="80"/>
      <c r="B846" s="146">
        <f>+Mensajes!$B$7</f>
        <v>0</v>
      </c>
      <c r="C846" s="81"/>
      <c r="D846" s="81"/>
      <c r="E846" s="81"/>
      <c r="F846" s="81"/>
      <c r="G846" s="81"/>
      <c r="H846" s="111"/>
    </row>
    <row r="847" spans="1:8">
      <c r="A847" s="80"/>
      <c r="B847" s="146">
        <f>+Mensajes!$B$12</f>
        <v>0</v>
      </c>
      <c r="C847" s="81"/>
      <c r="D847" s="81"/>
      <c r="E847" s="81"/>
      <c r="F847" s="81"/>
      <c r="G847" s="81"/>
      <c r="H847" s="111"/>
    </row>
    <row r="848" spans="1:8">
      <c r="A848" s="80"/>
      <c r="B848" s="146" t="str">
        <f>IF(VLOOKUP(G838,'18_1'!$A$203:$M$222,13,0)=0,"",VLOOKUP(G838,'18_1'!$A$203:$M$222,13,0))</f>
        <v/>
      </c>
      <c r="C848" s="81"/>
      <c r="D848" s="81"/>
      <c r="E848" s="81"/>
      <c r="F848" s="81"/>
      <c r="G848" s="81"/>
      <c r="H848" s="111"/>
    </row>
    <row r="849" spans="1:8">
      <c r="A849" s="140"/>
      <c r="B849" s="188" t="str">
        <f>IF(DSUM('18_1'!$A$203:$P$222,16,G837:G838)=COUNTIF('18_1'!$A$203:$A$222,G838),"","Regularice su Deuda")</f>
        <v/>
      </c>
      <c r="C849" s="82"/>
      <c r="D849" s="82"/>
      <c r="E849" s="82"/>
      <c r="F849" s="82"/>
      <c r="G849" s="82"/>
      <c r="H849" s="83"/>
    </row>
    <row r="851" spans="1:8">
      <c r="A851" s="108"/>
      <c r="B851" s="109"/>
      <c r="C851" s="109"/>
      <c r="D851" s="109"/>
      <c r="E851" s="109"/>
      <c r="F851" s="109"/>
      <c r="G851" s="109"/>
      <c r="H851" s="110"/>
    </row>
    <row r="852" spans="1:8">
      <c r="A852" s="80"/>
      <c r="B852" s="147" t="s">
        <v>64</v>
      </c>
      <c r="C852" s="81"/>
      <c r="D852" s="81"/>
      <c r="E852" s="81"/>
      <c r="F852" s="81"/>
      <c r="G852" s="81"/>
      <c r="H852" s="111"/>
    </row>
    <row r="853" spans="1:8">
      <c r="A853" s="80"/>
      <c r="B853" s="81"/>
      <c r="C853" s="81"/>
      <c r="D853" s="81"/>
      <c r="E853" s="81"/>
      <c r="F853" s="81"/>
      <c r="G853" s="81"/>
      <c r="H853" s="111"/>
    </row>
    <row r="854" spans="1:8">
      <c r="A854" s="80"/>
      <c r="B854" s="81" t="s">
        <v>139</v>
      </c>
      <c r="C854" s="81" t="str">
        <f>VLOOKUP(G855,'18_1'!$A$203:$G$222,6,0)</f>
        <v>COSTA DE ARAUJO -COOPERATIVA VITIVINICOLA</v>
      </c>
      <c r="D854" s="81"/>
      <c r="E854" s="81"/>
      <c r="F854" s="81"/>
      <c r="G854" s="138" t="s">
        <v>102</v>
      </c>
      <c r="H854" s="111"/>
    </row>
    <row r="855" spans="1:8">
      <c r="A855" s="80"/>
      <c r="B855" s="81" t="s">
        <v>72</v>
      </c>
      <c r="C855" s="81" t="str">
        <f>+'18_1'!$G$2</f>
        <v>Hijuela Morón</v>
      </c>
      <c r="D855" s="81"/>
      <c r="E855" s="81"/>
      <c r="F855" s="81"/>
      <c r="G855" s="138">
        <v>8</v>
      </c>
      <c r="H855" s="111"/>
    </row>
    <row r="856" spans="1:8">
      <c r="A856" s="80"/>
      <c r="B856" s="81"/>
      <c r="C856" s="81"/>
      <c r="D856" s="81"/>
      <c r="E856" s="81"/>
      <c r="F856" s="81"/>
      <c r="G856" s="81"/>
      <c r="H856" s="111"/>
    </row>
    <row r="857" spans="1:8">
      <c r="A857" s="80"/>
      <c r="B857" s="81" t="s">
        <v>140</v>
      </c>
      <c r="C857" s="138">
        <f>VLOOKUP(G855,'18_1'!$A$203:$B$222,2,0)</f>
        <v>1214</v>
      </c>
      <c r="D857" s="81"/>
      <c r="E857" s="139" t="s">
        <v>141</v>
      </c>
      <c r="F857" s="141" t="e">
        <f>DSUM('18_1'!A$203:J$222,'18_1'!$J$203,G854:G855)</f>
        <v>#REF!</v>
      </c>
      <c r="G857" s="81"/>
      <c r="H857" s="111"/>
    </row>
    <row r="858" spans="1:8">
      <c r="A858" s="80"/>
      <c r="B858" s="81" t="s">
        <v>142</v>
      </c>
      <c r="C858" s="205">
        <v>280</v>
      </c>
      <c r="D858" s="81"/>
      <c r="E858" s="81"/>
      <c r="F858" s="81"/>
      <c r="G858" s="81"/>
      <c r="H858" s="111"/>
    </row>
    <row r="859" spans="1:8">
      <c r="A859" s="80"/>
      <c r="B859" s="81" t="s">
        <v>144</v>
      </c>
      <c r="C859" s="206" t="e">
        <f>DSUM('18_1'!$A$203:$H$222,'18_1'!$H$203,G854:G855)</f>
        <v>#N/A</v>
      </c>
      <c r="D859" s="81"/>
      <c r="E859" s="81"/>
      <c r="F859" s="584"/>
      <c r="G859" s="584"/>
      <c r="H859" s="111"/>
    </row>
    <row r="860" spans="1:8" ht="15.75">
      <c r="A860" s="80"/>
      <c r="B860" s="81"/>
      <c r="C860" s="81" t="s">
        <v>146</v>
      </c>
      <c r="D860" s="145" t="e">
        <f>DMIN('18_1'!A$203:K$222,'18_1'!$J$203,G854:G855)</f>
        <v>#REF!</v>
      </c>
      <c r="E860" s="189" t="e">
        <f>IF(F860=1,"Domingo",IF(F860=2,"Lunes",IF(F860=3,"Martes",IF(F860=4,"Miercoles",IF(F860=5,"Jueves",IF(F860=6,"Viernes",IF(F860=7,"Sábado",0)))))))</f>
        <v>#REF!</v>
      </c>
      <c r="F860" s="190" t="e">
        <f>WEEKDAY(D860)</f>
        <v>#REF!</v>
      </c>
      <c r="G860" s="142"/>
      <c r="H860" s="111"/>
    </row>
    <row r="861" spans="1:8" ht="15.75">
      <c r="A861" s="80"/>
      <c r="B861" s="81"/>
      <c r="C861" s="81" t="s">
        <v>147</v>
      </c>
      <c r="D861" s="145" t="e">
        <f>DMAX('18_1'!A$203:L$222,'18_1'!$K$203,G854:G855)</f>
        <v>#REF!</v>
      </c>
      <c r="E861" s="189" t="e">
        <f>IF(F861=1,"Domingo",IF(F861=2,"Lunes",IF(F861=3,"Martes",IF(F861=4,"Miercoles",IF(F861=5,"Jueves",IF(F861=6,"Viernes",IF(F861=7,"Sábado",0)))))))</f>
        <v>#REF!</v>
      </c>
      <c r="F861" s="190" t="e">
        <f>WEEKDAY(D861)</f>
        <v>#REF!</v>
      </c>
      <c r="G861" s="142"/>
      <c r="H861" s="111"/>
    </row>
    <row r="862" spans="1:8">
      <c r="A862" s="80"/>
      <c r="B862" s="81"/>
      <c r="C862" s="81"/>
      <c r="D862" s="81"/>
      <c r="E862" s="81"/>
      <c r="F862" s="584"/>
      <c r="G862" s="584"/>
      <c r="H862" s="111"/>
    </row>
    <row r="863" spans="1:8">
      <c r="A863" s="80"/>
      <c r="B863" s="146">
        <f>+Mensajes!$B$7</f>
        <v>0</v>
      </c>
      <c r="C863" s="81"/>
      <c r="D863" s="81"/>
      <c r="E863" s="81"/>
      <c r="F863" s="81"/>
      <c r="G863" s="81"/>
      <c r="H863" s="111"/>
    </row>
    <row r="864" spans="1:8">
      <c r="A864" s="80"/>
      <c r="B864" s="146">
        <f>+Mensajes!$B$12</f>
        <v>0</v>
      </c>
      <c r="C864" s="81"/>
      <c r="D864" s="81"/>
      <c r="E864" s="81"/>
      <c r="F864" s="81"/>
      <c r="G864" s="81"/>
      <c r="H864" s="111"/>
    </row>
    <row r="865" spans="1:8">
      <c r="A865" s="80"/>
      <c r="B865" s="146" t="str">
        <f>IF(VLOOKUP(G855,'18_1'!$A$203:$M$222,13,0)=0,"",VLOOKUP(G855,'18_1'!$A$203:$M$222,13,0))</f>
        <v/>
      </c>
      <c r="C865" s="81"/>
      <c r="D865" s="81"/>
      <c r="E865" s="81"/>
      <c r="F865" s="81"/>
      <c r="G865" s="81"/>
      <c r="H865" s="111"/>
    </row>
    <row r="866" spans="1:8">
      <c r="A866" s="140"/>
      <c r="B866" s="188" t="e">
        <f>IF(DSUM('18_1'!$A$203:$P$222,16,G854:G855)=COUNTIF('18_1'!$A$203:$A$222,G855),"","Regularice su Deuda")</f>
        <v>#N/A</v>
      </c>
      <c r="C866" s="82"/>
      <c r="D866" s="82"/>
      <c r="E866" s="82"/>
      <c r="F866" s="82"/>
      <c r="G866" s="82"/>
      <c r="H866" s="83"/>
    </row>
    <row r="868" spans="1:8">
      <c r="A868" s="108"/>
      <c r="B868" s="109"/>
      <c r="C868" s="109"/>
      <c r="D868" s="109"/>
      <c r="E868" s="109"/>
      <c r="F868" s="109"/>
      <c r="G868" s="109"/>
      <c r="H868" s="110"/>
    </row>
    <row r="869" spans="1:8">
      <c r="A869" s="80"/>
      <c r="B869" s="147" t="s">
        <v>64</v>
      </c>
      <c r="C869" s="81"/>
      <c r="D869" s="81"/>
      <c r="E869" s="81"/>
      <c r="F869" s="81"/>
      <c r="G869" s="81"/>
      <c r="H869" s="111"/>
    </row>
    <row r="870" spans="1:8">
      <c r="A870" s="80"/>
      <c r="B870" s="81"/>
      <c r="C870" s="81"/>
      <c r="D870" s="81"/>
      <c r="E870" s="81"/>
      <c r="F870" s="81"/>
      <c r="G870" s="81"/>
      <c r="H870" s="111"/>
    </row>
    <row r="871" spans="1:8">
      <c r="A871" s="80"/>
      <c r="B871" s="81" t="s">
        <v>139</v>
      </c>
      <c r="C871" s="81" t="str">
        <f>VLOOKUP(G872,'18_1'!$A$203:$G$222,6,0)</f>
        <v>LOPEZ, JUAN JOSE Y LOPEZ, IGNACIO</v>
      </c>
      <c r="D871" s="81"/>
      <c r="E871" s="81"/>
      <c r="F871" s="81"/>
      <c r="G871" s="138" t="s">
        <v>102</v>
      </c>
      <c r="H871" s="111"/>
    </row>
    <row r="872" spans="1:8">
      <c r="A872" s="80"/>
      <c r="B872" s="81" t="s">
        <v>72</v>
      </c>
      <c r="C872" s="81" t="str">
        <f>+'18_1'!$G$2</f>
        <v>Hijuela Morón</v>
      </c>
      <c r="D872" s="81"/>
      <c r="E872" s="81"/>
      <c r="F872" s="81"/>
      <c r="G872" s="138">
        <v>9</v>
      </c>
      <c r="H872" s="111"/>
    </row>
    <row r="873" spans="1:8">
      <c r="A873" s="80"/>
      <c r="B873" s="81"/>
      <c r="C873" s="81"/>
      <c r="D873" s="81"/>
      <c r="E873" s="81"/>
      <c r="F873" s="81"/>
      <c r="G873" s="81"/>
      <c r="H873" s="111"/>
    </row>
    <row r="874" spans="1:8">
      <c r="A874" s="80"/>
      <c r="B874" s="81" t="s">
        <v>140</v>
      </c>
      <c r="C874" s="138">
        <f>VLOOKUP(G872,'18_1'!$A$203:$B$222,2,0)</f>
        <v>1214</v>
      </c>
      <c r="D874" s="81"/>
      <c r="E874" s="139" t="s">
        <v>141</v>
      </c>
      <c r="F874" s="141" t="e">
        <f>DSUM('18_1'!A$203:J$222,'18_1'!$J$203,G871:G872)</f>
        <v>#REF!</v>
      </c>
      <c r="G874" s="81"/>
      <c r="H874" s="111"/>
    </row>
    <row r="875" spans="1:8">
      <c r="A875" s="80"/>
      <c r="B875" s="81" t="s">
        <v>142</v>
      </c>
      <c r="C875" s="205">
        <v>127</v>
      </c>
      <c r="D875" s="81"/>
      <c r="E875" s="81"/>
      <c r="F875" s="81"/>
      <c r="G875" s="81"/>
      <c r="H875" s="111"/>
    </row>
    <row r="876" spans="1:8">
      <c r="A876" s="80"/>
      <c r="B876" s="81" t="s">
        <v>144</v>
      </c>
      <c r="C876" s="206" t="e">
        <f>DSUM('18_1'!$A$203:$H$222,'18_1'!$H$203,G871:G872)</f>
        <v>#N/A</v>
      </c>
      <c r="D876" s="81"/>
      <c r="E876" s="81"/>
      <c r="F876" s="584"/>
      <c r="G876" s="584"/>
      <c r="H876" s="111"/>
    </row>
    <row r="877" spans="1:8" ht="15.75">
      <c r="A877" s="80"/>
      <c r="B877" s="81"/>
      <c r="C877" s="81" t="s">
        <v>146</v>
      </c>
      <c r="D877" s="145" t="e">
        <f>DMIN('18_1'!A$203:K$222,'18_1'!$J$203,G871:G872)</f>
        <v>#REF!</v>
      </c>
      <c r="E877" s="189" t="e">
        <f>IF(F877=1,"Domingo",IF(F877=2,"Lunes",IF(F877=3,"Martes",IF(F877=4,"Miercoles",IF(F877=5,"Jueves",IF(F877=6,"Viernes",IF(F877=7,"Sábado",0)))))))</f>
        <v>#REF!</v>
      </c>
      <c r="F877" s="190" t="e">
        <f>WEEKDAY(D877)</f>
        <v>#REF!</v>
      </c>
      <c r="G877" s="142"/>
      <c r="H877" s="111"/>
    </row>
    <row r="878" spans="1:8" ht="15.75">
      <c r="A878" s="80"/>
      <c r="B878" s="81"/>
      <c r="C878" s="81" t="s">
        <v>147</v>
      </c>
      <c r="D878" s="145" t="e">
        <f>DMAX('18_1'!A$203:L$222,'18_1'!$K$203,G871:G872)</f>
        <v>#REF!</v>
      </c>
      <c r="E878" s="189" t="e">
        <f>IF(F878=1,"Domingo",IF(F878=2,"Lunes",IF(F878=3,"Martes",IF(F878=4,"Miercoles",IF(F878=5,"Jueves",IF(F878=6,"Viernes",IF(F878=7,"Sábado",0)))))))</f>
        <v>#REF!</v>
      </c>
      <c r="F878" s="190" t="e">
        <f>WEEKDAY(D878)</f>
        <v>#REF!</v>
      </c>
      <c r="G878" s="142"/>
      <c r="H878" s="111"/>
    </row>
    <row r="879" spans="1:8">
      <c r="A879" s="80"/>
      <c r="B879" s="81"/>
      <c r="C879" s="81"/>
      <c r="D879" s="81"/>
      <c r="E879" s="81"/>
      <c r="F879" s="584"/>
      <c r="G879" s="584"/>
      <c r="H879" s="111"/>
    </row>
    <row r="880" spans="1:8">
      <c r="A880" s="80"/>
      <c r="B880" s="146">
        <f>+Mensajes!$B$7</f>
        <v>0</v>
      </c>
      <c r="C880" s="81"/>
      <c r="D880" s="81"/>
      <c r="E880" s="81"/>
      <c r="F880" s="81"/>
      <c r="G880" s="81"/>
      <c r="H880" s="111"/>
    </row>
    <row r="881" spans="1:8">
      <c r="A881" s="80"/>
      <c r="B881" s="146">
        <f>+Mensajes!$B$12</f>
        <v>0</v>
      </c>
      <c r="C881" s="81"/>
      <c r="D881" s="81"/>
      <c r="E881" s="81"/>
      <c r="F881" s="81"/>
      <c r="G881" s="81"/>
      <c r="H881" s="111"/>
    </row>
    <row r="882" spans="1:8">
      <c r="A882" s="80"/>
      <c r="B882" s="146" t="str">
        <f>IF(VLOOKUP(G872,'18_1'!$A$203:$M$222,13,0)=0,"",VLOOKUP(G872,'18_1'!$A$203:$M$222,13,0))</f>
        <v/>
      </c>
      <c r="C882" s="81"/>
      <c r="D882" s="81"/>
      <c r="E882" s="81"/>
      <c r="F882" s="81"/>
      <c r="G882" s="81"/>
      <c r="H882" s="111"/>
    </row>
    <row r="883" spans="1:8">
      <c r="A883" s="140"/>
      <c r="B883" s="188" t="str">
        <f>IF(DSUM('18_1'!$A$203:$P$222,16,G871:G872)=COUNTIF('18_1'!$A$203:$A$222,G872),"","Regularice su Deuda")</f>
        <v>Regularice su Deuda</v>
      </c>
      <c r="C883" s="82"/>
      <c r="D883" s="82"/>
      <c r="E883" s="82"/>
      <c r="F883" s="82"/>
      <c r="G883" s="82"/>
      <c r="H883" s="83"/>
    </row>
    <row r="885" spans="1:8">
      <c r="A885" s="108"/>
      <c r="B885" s="109"/>
      <c r="C885" s="109"/>
      <c r="D885" s="109"/>
      <c r="E885" s="109"/>
      <c r="F885" s="109"/>
      <c r="G885" s="109"/>
      <c r="H885" s="110"/>
    </row>
    <row r="886" spans="1:8">
      <c r="A886" s="80"/>
      <c r="B886" s="147" t="s">
        <v>64</v>
      </c>
      <c r="C886" s="81"/>
      <c r="D886" s="81"/>
      <c r="E886" s="81"/>
      <c r="F886" s="81"/>
      <c r="G886" s="81"/>
      <c r="H886" s="111"/>
    </row>
    <row r="887" spans="1:8">
      <c r="A887" s="80"/>
      <c r="B887" s="81"/>
      <c r="C887" s="81"/>
      <c r="D887" s="81"/>
      <c r="E887" s="81"/>
      <c r="F887" s="81"/>
      <c r="G887" s="81"/>
      <c r="H887" s="111"/>
    </row>
    <row r="888" spans="1:8">
      <c r="A888" s="80"/>
      <c r="B888" s="81" t="s">
        <v>139</v>
      </c>
      <c r="C888" s="81" t="str">
        <f>VLOOKUP(G889,'18_1'!$A$203:$G$222,6,0)</f>
        <v>MAURO, ALEJANDRO Y RUIZ DE MAURO, HILDA</v>
      </c>
      <c r="D888" s="81"/>
      <c r="E888" s="81"/>
      <c r="F888" s="81"/>
      <c r="G888" s="138" t="s">
        <v>102</v>
      </c>
      <c r="H888" s="111"/>
    </row>
    <row r="889" spans="1:8">
      <c r="A889" s="80"/>
      <c r="B889" s="81" t="s">
        <v>72</v>
      </c>
      <c r="C889" s="81" t="str">
        <f>+'18_1'!$G$2</f>
        <v>Hijuela Morón</v>
      </c>
      <c r="D889" s="81"/>
      <c r="E889" s="81"/>
      <c r="F889" s="81"/>
      <c r="G889" s="138">
        <v>10</v>
      </c>
      <c r="H889" s="111"/>
    </row>
    <row r="890" spans="1:8">
      <c r="A890" s="80"/>
      <c r="B890" s="81"/>
      <c r="C890" s="81"/>
      <c r="D890" s="81"/>
      <c r="E890" s="81"/>
      <c r="F890" s="81"/>
      <c r="G890" s="81"/>
      <c r="H890" s="111"/>
    </row>
    <row r="891" spans="1:8">
      <c r="A891" s="80"/>
      <c r="B891" s="81" t="s">
        <v>140</v>
      </c>
      <c r="C891" s="138">
        <f>VLOOKUP(G889,'18_1'!$A$203:$B$222,2,0)</f>
        <v>1214</v>
      </c>
      <c r="D891" s="81"/>
      <c r="E891" s="139" t="s">
        <v>141</v>
      </c>
      <c r="F891" s="141" t="e">
        <f>DSUM('18_1'!A$203:J$222,'18_1'!$J$203,G888:G889)</f>
        <v>#REF!</v>
      </c>
      <c r="G891" s="81"/>
      <c r="H891" s="111"/>
    </row>
    <row r="892" spans="1:8">
      <c r="A892" s="80"/>
      <c r="B892" s="81" t="s">
        <v>142</v>
      </c>
      <c r="C892" s="205">
        <v>128</v>
      </c>
      <c r="D892" s="81"/>
      <c r="E892" s="81"/>
      <c r="F892" s="81"/>
      <c r="G892" s="81"/>
      <c r="H892" s="111"/>
    </row>
    <row r="893" spans="1:8">
      <c r="A893" s="80"/>
      <c r="B893" s="81" t="s">
        <v>144</v>
      </c>
      <c r="C893" s="206" t="e">
        <f>DSUM('18_1'!$A$203:$H$222,'18_1'!$H$203,G888:G889)</f>
        <v>#N/A</v>
      </c>
      <c r="D893" s="81"/>
      <c r="E893" s="81"/>
      <c r="F893" s="584"/>
      <c r="G893" s="584"/>
      <c r="H893" s="111"/>
    </row>
    <row r="894" spans="1:8" ht="15.75">
      <c r="A894" s="80"/>
      <c r="B894" s="81"/>
      <c r="C894" s="81" t="s">
        <v>146</v>
      </c>
      <c r="D894" s="145" t="e">
        <f>DMIN('18_1'!A$203:K$222,'18_1'!$J$203,G888:G889)</f>
        <v>#REF!</v>
      </c>
      <c r="E894" s="189" t="e">
        <f>IF(F894=1,"Domingo",IF(F894=2,"Lunes",IF(F894=3,"Martes",IF(F894=4,"Miercoles",IF(F894=5,"Jueves",IF(F894=6,"Viernes",IF(F894=7,"Sábado",0)))))))</f>
        <v>#REF!</v>
      </c>
      <c r="F894" s="190" t="e">
        <f>WEEKDAY(D894)</f>
        <v>#REF!</v>
      </c>
      <c r="G894" s="142"/>
      <c r="H894" s="111"/>
    </row>
    <row r="895" spans="1:8" ht="15.75">
      <c r="A895" s="80"/>
      <c r="B895" s="81"/>
      <c r="C895" s="81" t="s">
        <v>147</v>
      </c>
      <c r="D895" s="145" t="e">
        <f>DMAX('18_1'!A$203:L$222,'18_1'!$K$203,G888:G889)</f>
        <v>#REF!</v>
      </c>
      <c r="E895" s="189" t="e">
        <f>IF(F895=1,"Domingo",IF(F895=2,"Lunes",IF(F895=3,"Martes",IF(F895=4,"Miercoles",IF(F895=5,"Jueves",IF(F895=6,"Viernes",IF(F895=7,"Sábado",0)))))))</f>
        <v>#REF!</v>
      </c>
      <c r="F895" s="190" t="e">
        <f>WEEKDAY(D895)</f>
        <v>#REF!</v>
      </c>
      <c r="G895" s="142"/>
      <c r="H895" s="111"/>
    </row>
    <row r="896" spans="1:8">
      <c r="A896" s="80"/>
      <c r="B896" s="81"/>
      <c r="C896" s="81"/>
      <c r="D896" s="81"/>
      <c r="E896" s="81"/>
      <c r="F896" s="584"/>
      <c r="G896" s="584"/>
      <c r="H896" s="111"/>
    </row>
    <row r="897" spans="1:8">
      <c r="A897" s="80"/>
      <c r="B897" s="146">
        <f>+Mensajes!$B$7</f>
        <v>0</v>
      </c>
      <c r="C897" s="81"/>
      <c r="D897" s="81"/>
      <c r="E897" s="81"/>
      <c r="F897" s="81"/>
      <c r="G897" s="81"/>
      <c r="H897" s="111"/>
    </row>
    <row r="898" spans="1:8">
      <c r="A898" s="80"/>
      <c r="B898" s="146">
        <f>+Mensajes!$B$12</f>
        <v>0</v>
      </c>
      <c r="C898" s="81"/>
      <c r="D898" s="81"/>
      <c r="E898" s="81"/>
      <c r="F898" s="81"/>
      <c r="G898" s="81"/>
      <c r="H898" s="111"/>
    </row>
    <row r="899" spans="1:8">
      <c r="A899" s="80"/>
      <c r="B899" s="146" t="str">
        <f>IF(VLOOKUP(G889,'18_1'!$A$203:$M$222,13,0)=0,"",VLOOKUP(G889,'18_1'!$A$203:$M$222,13,0))</f>
        <v/>
      </c>
      <c r="C899" s="81"/>
      <c r="D899" s="81"/>
      <c r="E899" s="81"/>
      <c r="F899" s="81"/>
      <c r="G899" s="81"/>
      <c r="H899" s="111"/>
    </row>
    <row r="900" spans="1:8">
      <c r="A900" s="140"/>
      <c r="B900" s="188" t="str">
        <f>IF(DSUM('18_1'!$A$203:$P$222,16,G888:G889)=COUNTIF('18_1'!$A$203:$A$222,G889),"","Regularice su Deuda")</f>
        <v/>
      </c>
      <c r="C900" s="82"/>
      <c r="D900" s="82"/>
      <c r="E900" s="82"/>
      <c r="F900" s="82"/>
      <c r="G900" s="82"/>
      <c r="H900" s="83"/>
    </row>
    <row r="902" spans="1:8">
      <c r="A902" s="108"/>
      <c r="B902" s="109"/>
      <c r="C902" s="109"/>
      <c r="D902" s="109"/>
      <c r="E902" s="109"/>
      <c r="F902" s="109"/>
      <c r="G902" s="109"/>
      <c r="H902" s="110"/>
    </row>
    <row r="903" spans="1:8">
      <c r="A903" s="80"/>
      <c r="B903" s="147" t="s">
        <v>64</v>
      </c>
      <c r="C903" s="81"/>
      <c r="D903" s="81"/>
      <c r="E903" s="81"/>
      <c r="F903" s="81"/>
      <c r="G903" s="81"/>
      <c r="H903" s="111"/>
    </row>
    <row r="904" spans="1:8">
      <c r="A904" s="80"/>
      <c r="B904" s="81"/>
      <c r="C904" s="81"/>
      <c r="D904" s="81"/>
      <c r="E904" s="81"/>
      <c r="F904" s="81"/>
      <c r="G904" s="81"/>
      <c r="H904" s="111"/>
    </row>
    <row r="905" spans="1:8">
      <c r="A905" s="80"/>
      <c r="B905" s="81" t="s">
        <v>139</v>
      </c>
      <c r="C905" s="81" t="str">
        <f>VLOOKUP(G906,'18_1'!$A$203:$G$222,6,0)</f>
        <v>ALONSO, MARIELA</v>
      </c>
      <c r="D905" s="81"/>
      <c r="E905" s="81"/>
      <c r="F905" s="81"/>
      <c r="G905" s="138" t="s">
        <v>102</v>
      </c>
      <c r="H905" s="111"/>
    </row>
    <row r="906" spans="1:8">
      <c r="A906" s="80"/>
      <c r="B906" s="81" t="s">
        <v>72</v>
      </c>
      <c r="C906" s="81" t="str">
        <f>+'18_1'!$G$2</f>
        <v>Hijuela Morón</v>
      </c>
      <c r="D906" s="81"/>
      <c r="E906" s="81"/>
      <c r="F906" s="81"/>
      <c r="G906" s="138">
        <v>11</v>
      </c>
      <c r="H906" s="111"/>
    </row>
    <row r="907" spans="1:8">
      <c r="A907" s="80"/>
      <c r="B907" s="81"/>
      <c r="C907" s="81"/>
      <c r="D907" s="81"/>
      <c r="E907" s="81"/>
      <c r="F907" s="81"/>
      <c r="G907" s="81"/>
      <c r="H907" s="111"/>
    </row>
    <row r="908" spans="1:8">
      <c r="A908" s="80"/>
      <c r="B908" s="81" t="s">
        <v>140</v>
      </c>
      <c r="C908" s="138">
        <f>VLOOKUP(G906,'18_1'!$A$203:$B$222,2,0)</f>
        <v>1214</v>
      </c>
      <c r="D908" s="81"/>
      <c r="E908" s="139" t="s">
        <v>141</v>
      </c>
      <c r="F908" s="141" t="e">
        <f>DSUM('18_1'!A$203:J$222,'18_1'!$J$203,G905:G906)</f>
        <v>#REF!</v>
      </c>
      <c r="G908" s="81"/>
      <c r="H908" s="111"/>
    </row>
    <row r="909" spans="1:8">
      <c r="A909" s="80"/>
      <c r="B909" s="81" t="s">
        <v>142</v>
      </c>
      <c r="C909" s="205">
        <v>100</v>
      </c>
      <c r="D909" s="81"/>
      <c r="E909" s="81"/>
      <c r="F909" s="81"/>
      <c r="G909" s="81"/>
      <c r="H909" s="111"/>
    </row>
    <row r="910" spans="1:8">
      <c r="A910" s="80"/>
      <c r="B910" s="81" t="s">
        <v>144</v>
      </c>
      <c r="C910" s="206" t="e">
        <f>DSUM('18_1'!$A$203:$H$222,'18_1'!$H$203,G905:G906)</f>
        <v>#N/A</v>
      </c>
      <c r="D910" s="81"/>
      <c r="E910" s="81"/>
      <c r="F910" s="584"/>
      <c r="G910" s="584"/>
      <c r="H910" s="111"/>
    </row>
    <row r="911" spans="1:8" ht="15.75">
      <c r="A911" s="80"/>
      <c r="B911" s="81"/>
      <c r="C911" s="81" t="s">
        <v>146</v>
      </c>
      <c r="D911" s="145" t="e">
        <f>DMIN('18_1'!A$203:K$222,'18_1'!$J$203,G905:G906)</f>
        <v>#REF!</v>
      </c>
      <c r="E911" s="189" t="e">
        <f>IF(F911=1,"Domingo",IF(F911=2,"Lunes",IF(F911=3,"Martes",IF(F911=4,"Miercoles",IF(F911=5,"Jueves",IF(F911=6,"Viernes",IF(F911=7,"Sábado",0)))))))</f>
        <v>#REF!</v>
      </c>
      <c r="F911" s="190" t="e">
        <f>WEEKDAY(D911)</f>
        <v>#REF!</v>
      </c>
      <c r="G911" s="142"/>
      <c r="H911" s="111"/>
    </row>
    <row r="912" spans="1:8" ht="15.75">
      <c r="A912" s="80"/>
      <c r="B912" s="81"/>
      <c r="C912" s="81" t="s">
        <v>147</v>
      </c>
      <c r="D912" s="145" t="e">
        <f>DMAX('18_1'!A$203:L$222,'18_1'!$K$203,G905:G906)</f>
        <v>#REF!</v>
      </c>
      <c r="E912" s="189" t="e">
        <f>IF(F912=1,"Domingo",IF(F912=2,"Lunes",IF(F912=3,"Martes",IF(F912=4,"Miercoles",IF(F912=5,"Jueves",IF(F912=6,"Viernes",IF(F912=7,"Sábado",0)))))))</f>
        <v>#REF!</v>
      </c>
      <c r="F912" s="190" t="e">
        <f>WEEKDAY(D912)</f>
        <v>#REF!</v>
      </c>
      <c r="G912" s="142"/>
      <c r="H912" s="111"/>
    </row>
    <row r="913" spans="1:8">
      <c r="A913" s="80"/>
      <c r="B913" s="81"/>
      <c r="C913" s="81"/>
      <c r="D913" s="81"/>
      <c r="E913" s="81"/>
      <c r="F913" s="584"/>
      <c r="G913" s="584"/>
      <c r="H913" s="111"/>
    </row>
    <row r="914" spans="1:8">
      <c r="A914" s="80"/>
      <c r="B914" s="146">
        <f>+Mensajes!$B$7</f>
        <v>0</v>
      </c>
      <c r="C914" s="81"/>
      <c r="D914" s="81"/>
      <c r="E914" s="81"/>
      <c r="F914" s="81"/>
      <c r="G914" s="81"/>
      <c r="H914" s="111"/>
    </row>
    <row r="915" spans="1:8">
      <c r="A915" s="80"/>
      <c r="B915" s="146">
        <f>+Mensajes!$B$12</f>
        <v>0</v>
      </c>
      <c r="C915" s="81"/>
      <c r="D915" s="81"/>
      <c r="E915" s="81"/>
      <c r="F915" s="81"/>
      <c r="G915" s="81"/>
      <c r="H915" s="111"/>
    </row>
    <row r="916" spans="1:8">
      <c r="A916" s="80"/>
      <c r="B916" s="146" t="str">
        <f>IF(VLOOKUP(G906,'18_1'!$A$203:$M$222,13,0)=0,"",VLOOKUP(G906,'18_1'!$A$203:$M$222,13,0))</f>
        <v/>
      </c>
      <c r="C916" s="81"/>
      <c r="D916" s="81"/>
      <c r="E916" s="81"/>
      <c r="F916" s="81"/>
      <c r="G916" s="81"/>
      <c r="H916" s="111"/>
    </row>
    <row r="917" spans="1:8">
      <c r="A917" s="140"/>
      <c r="B917" s="188" t="str">
        <f>IF(DSUM('18_1'!$A$203:$P$222,16,G905:G906)=COUNTIF('18_1'!$A$203:$A$222,G906),"","Regularice su Deuda")</f>
        <v/>
      </c>
      <c r="C917" s="82"/>
      <c r="D917" s="82"/>
      <c r="E917" s="82"/>
      <c r="F917" s="82"/>
      <c r="G917" s="82"/>
      <c r="H917" s="83"/>
    </row>
    <row r="919" spans="1:8">
      <c r="A919" s="108"/>
      <c r="B919" s="109"/>
      <c r="C919" s="109"/>
      <c r="D919" s="109"/>
      <c r="E919" s="109"/>
      <c r="F919" s="109"/>
      <c r="G919" s="109"/>
      <c r="H919" s="110"/>
    </row>
    <row r="920" spans="1:8">
      <c r="A920" s="80"/>
      <c r="B920" s="147" t="s">
        <v>64</v>
      </c>
      <c r="C920" s="81"/>
      <c r="D920" s="81"/>
      <c r="E920" s="81"/>
      <c r="F920" s="81"/>
      <c r="G920" s="81"/>
      <c r="H920" s="111"/>
    </row>
    <row r="921" spans="1:8">
      <c r="A921" s="80"/>
      <c r="B921" s="81"/>
      <c r="C921" s="81"/>
      <c r="D921" s="81"/>
      <c r="E921" s="81"/>
      <c r="F921" s="81"/>
      <c r="G921" s="81"/>
      <c r="H921" s="111"/>
    </row>
    <row r="922" spans="1:8">
      <c r="A922" s="80"/>
      <c r="B922" s="81" t="s">
        <v>139</v>
      </c>
      <c r="C922" s="81" t="str">
        <f>VLOOKUP(G923,'18_1'!$A$203:$G$222,6,0)</f>
        <v>YGLESIAS, ROGELIO</v>
      </c>
      <c r="D922" s="81"/>
      <c r="E922" s="81"/>
      <c r="F922" s="81"/>
      <c r="G922" s="138" t="s">
        <v>102</v>
      </c>
      <c r="H922" s="111"/>
    </row>
    <row r="923" spans="1:8">
      <c r="A923" s="80"/>
      <c r="B923" s="81" t="s">
        <v>72</v>
      </c>
      <c r="C923" s="81" t="str">
        <f>+'18_1'!$G$2</f>
        <v>Hijuela Morón</v>
      </c>
      <c r="D923" s="81"/>
      <c r="E923" s="81"/>
      <c r="F923" s="81"/>
      <c r="G923" s="138">
        <v>12</v>
      </c>
      <c r="H923" s="111"/>
    </row>
    <row r="924" spans="1:8">
      <c r="A924" s="80"/>
      <c r="B924" s="81"/>
      <c r="C924" s="81"/>
      <c r="D924" s="81"/>
      <c r="E924" s="81"/>
      <c r="F924" s="81"/>
      <c r="G924" s="81"/>
      <c r="H924" s="111"/>
    </row>
    <row r="925" spans="1:8">
      <c r="A925" s="80"/>
      <c r="B925" s="81" t="s">
        <v>140</v>
      </c>
      <c r="C925" s="138">
        <f>VLOOKUP(G923,'18_1'!$A$203:$B$222,2,0)</f>
        <v>1214</v>
      </c>
      <c r="D925" s="81"/>
      <c r="E925" s="139" t="s">
        <v>141</v>
      </c>
      <c r="F925" s="141" t="e">
        <f>DSUM('18_1'!A$203:J$222,'18_1'!$J$203,G922:G923)</f>
        <v>#REF!</v>
      </c>
      <c r="G925" s="81"/>
      <c r="H925" s="111"/>
    </row>
    <row r="926" spans="1:8">
      <c r="A926" s="80"/>
      <c r="B926" s="81" t="s">
        <v>142</v>
      </c>
      <c r="C926" s="205" t="s">
        <v>678</v>
      </c>
      <c r="D926" s="81"/>
      <c r="E926" s="81"/>
      <c r="F926" s="81"/>
      <c r="G926" s="81"/>
      <c r="H926" s="111"/>
    </row>
    <row r="927" spans="1:8">
      <c r="A927" s="80"/>
      <c r="B927" s="81" t="s">
        <v>144</v>
      </c>
      <c r="C927" s="206" t="e">
        <f>DSUM('18_1'!$A$203:$H$222,'18_1'!$H$203,G922:G923)</f>
        <v>#N/A</v>
      </c>
      <c r="D927" s="81"/>
      <c r="E927" s="81"/>
      <c r="F927" s="584"/>
      <c r="G927" s="584"/>
      <c r="H927" s="111"/>
    </row>
    <row r="928" spans="1:8" ht="15.75">
      <c r="A928" s="80"/>
      <c r="B928" s="81"/>
      <c r="C928" s="81" t="s">
        <v>146</v>
      </c>
      <c r="D928" s="145" t="e">
        <f>DMIN('18_1'!A$203:K$222,'18_1'!$J$203,G922:G923)</f>
        <v>#REF!</v>
      </c>
      <c r="E928" s="189" t="e">
        <f>IF(F928=1,"Domingo",IF(F928=2,"Lunes",IF(F928=3,"Martes",IF(F928=4,"Miercoles",IF(F928=5,"Jueves",IF(F928=6,"Viernes",IF(F928=7,"Sábado",0)))))))</f>
        <v>#REF!</v>
      </c>
      <c r="F928" s="190" t="e">
        <f>WEEKDAY(D928)</f>
        <v>#REF!</v>
      </c>
      <c r="G928" s="142"/>
      <c r="H928" s="111"/>
    </row>
    <row r="929" spans="1:8" ht="15.75">
      <c r="A929" s="80"/>
      <c r="B929" s="81"/>
      <c r="C929" s="81" t="s">
        <v>147</v>
      </c>
      <c r="D929" s="145" t="e">
        <f>DMAX('18_1'!A$203:L$222,'18_1'!$K$203,G922:G923)</f>
        <v>#REF!</v>
      </c>
      <c r="E929" s="189" t="e">
        <f>IF(F929=1,"Domingo",IF(F929=2,"Lunes",IF(F929=3,"Martes",IF(F929=4,"Miercoles",IF(F929=5,"Jueves",IF(F929=6,"Viernes",IF(F929=7,"Sábado",0)))))))</f>
        <v>#REF!</v>
      </c>
      <c r="F929" s="190" t="e">
        <f>WEEKDAY(D929)</f>
        <v>#REF!</v>
      </c>
      <c r="G929" s="142"/>
      <c r="H929" s="111"/>
    </row>
    <row r="930" spans="1:8">
      <c r="A930" s="80"/>
      <c r="B930" s="81"/>
      <c r="C930" s="81"/>
      <c r="D930" s="81"/>
      <c r="E930" s="81"/>
      <c r="F930" s="584"/>
      <c r="G930" s="584"/>
      <c r="H930" s="111"/>
    </row>
    <row r="931" spans="1:8">
      <c r="A931" s="80"/>
      <c r="B931" s="146">
        <f>+Mensajes!$B$7</f>
        <v>0</v>
      </c>
      <c r="C931" s="81"/>
      <c r="D931" s="81"/>
      <c r="E931" s="81"/>
      <c r="F931" s="81"/>
      <c r="G931" s="81"/>
      <c r="H931" s="111"/>
    </row>
    <row r="932" spans="1:8">
      <c r="A932" s="80"/>
      <c r="B932" s="146">
        <f>+Mensajes!$B$12</f>
        <v>0</v>
      </c>
      <c r="C932" s="81"/>
      <c r="D932" s="81"/>
      <c r="E932" s="81"/>
      <c r="F932" s="81"/>
      <c r="G932" s="81"/>
      <c r="H932" s="111"/>
    </row>
    <row r="933" spans="1:8">
      <c r="A933" s="80"/>
      <c r="B933" s="146" t="str">
        <f>IF(VLOOKUP(G923,'18_1'!$A$203:$M$222,13,0)=0,"",VLOOKUP(G923,'18_1'!$A$203:$M$222,13,0))</f>
        <v/>
      </c>
      <c r="C933" s="81"/>
      <c r="D933" s="81"/>
      <c r="E933" s="81"/>
      <c r="F933" s="81"/>
      <c r="G933" s="81"/>
      <c r="H933" s="111"/>
    </row>
    <row r="934" spans="1:8">
      <c r="A934" s="140"/>
      <c r="B934" s="188" t="str">
        <f>IF(DSUM('18_1'!$A$203:$P$222,16,G922:G923)=COUNTIF('18_1'!$A$203:$A$222,G923),"","Regularice su Deuda")</f>
        <v/>
      </c>
      <c r="C934" s="82"/>
      <c r="D934" s="82"/>
      <c r="E934" s="82"/>
      <c r="F934" s="82"/>
      <c r="G934" s="82"/>
      <c r="H934" s="83"/>
    </row>
    <row r="935" spans="1:8">
      <c r="A935" s="81"/>
      <c r="B935" s="146"/>
      <c r="C935" s="81"/>
      <c r="D935" s="81"/>
      <c r="E935" s="81"/>
      <c r="F935" s="81"/>
      <c r="G935" s="81"/>
      <c r="H935" s="81"/>
    </row>
    <row r="936" spans="1:8">
      <c r="A936" s="108"/>
      <c r="B936" s="109"/>
      <c r="C936" s="109"/>
      <c r="D936" s="109"/>
      <c r="E936" s="109"/>
      <c r="F936" s="109"/>
      <c r="G936" s="109"/>
      <c r="H936" s="110"/>
    </row>
    <row r="937" spans="1:8">
      <c r="A937" s="80"/>
      <c r="B937" s="147" t="s">
        <v>64</v>
      </c>
      <c r="C937" s="81"/>
      <c r="D937" s="81"/>
      <c r="E937" s="81"/>
      <c r="F937" s="81"/>
      <c r="G937" s="81"/>
      <c r="H937" s="111"/>
    </row>
    <row r="938" spans="1:8">
      <c r="A938" s="80"/>
      <c r="B938" s="81"/>
      <c r="C938" s="81"/>
      <c r="D938" s="81"/>
      <c r="E938" s="81"/>
      <c r="F938" s="81"/>
      <c r="G938" s="81"/>
      <c r="H938" s="111"/>
    </row>
    <row r="939" spans="1:8">
      <c r="A939" s="80"/>
      <c r="B939" s="81" t="s">
        <v>139</v>
      </c>
      <c r="C939" s="81" t="str">
        <f>VLOOKUP(G940,'18_1'!$A$203:$G$222,6,0)</f>
        <v>LOPEZ ROSA, IGNACIO</v>
      </c>
      <c r="D939" s="81"/>
      <c r="E939" s="81"/>
      <c r="F939" s="81"/>
      <c r="G939" s="138" t="s">
        <v>102</v>
      </c>
      <c r="H939" s="111"/>
    </row>
    <row r="940" spans="1:8">
      <c r="A940" s="80"/>
      <c r="B940" s="81" t="s">
        <v>72</v>
      </c>
      <c r="C940" s="81" t="str">
        <f>+'18_1'!$G$2</f>
        <v>Hijuela Morón</v>
      </c>
      <c r="D940" s="81"/>
      <c r="E940" s="81"/>
      <c r="F940" s="81"/>
      <c r="G940" s="138">
        <v>13</v>
      </c>
      <c r="H940" s="111"/>
    </row>
    <row r="941" spans="1:8">
      <c r="A941" s="80"/>
      <c r="B941" s="81"/>
      <c r="C941" s="81"/>
      <c r="D941" s="81"/>
      <c r="E941" s="81"/>
      <c r="F941" s="81"/>
      <c r="G941" s="81"/>
      <c r="H941" s="111"/>
    </row>
    <row r="942" spans="1:8">
      <c r="A942" s="80"/>
      <c r="B942" s="81" t="s">
        <v>140</v>
      </c>
      <c r="C942" s="138">
        <f>VLOOKUP(G940,'18_1'!$A$203:$B$222,2,0)</f>
        <v>1214</v>
      </c>
      <c r="D942" s="81"/>
      <c r="E942" s="139" t="s">
        <v>141</v>
      </c>
      <c r="F942" s="141" t="e">
        <f>DSUM('18_1'!A$203:J$222,'18_1'!$J$203,G939:G940)</f>
        <v>#REF!</v>
      </c>
      <c r="G942" s="81"/>
      <c r="H942" s="111"/>
    </row>
    <row r="943" spans="1:8">
      <c r="A943" s="80"/>
      <c r="B943" s="81" t="s">
        <v>142</v>
      </c>
      <c r="C943" s="205" t="s">
        <v>679</v>
      </c>
      <c r="D943" s="81"/>
      <c r="E943" s="81"/>
      <c r="F943" s="81"/>
      <c r="G943" s="81"/>
      <c r="H943" s="111"/>
    </row>
    <row r="944" spans="1:8">
      <c r="A944" s="80"/>
      <c r="B944" s="81" t="s">
        <v>144</v>
      </c>
      <c r="C944" s="206" t="e">
        <f>DSUM('18_1'!$A$203:$H$222,'18_1'!$H$203,G939:G940)</f>
        <v>#N/A</v>
      </c>
      <c r="D944" s="81"/>
      <c r="E944" s="81"/>
      <c r="F944" s="584"/>
      <c r="G944" s="584"/>
      <c r="H944" s="111"/>
    </row>
    <row r="945" spans="1:8" ht="15.75">
      <c r="A945" s="80"/>
      <c r="B945" s="81"/>
      <c r="C945" s="81" t="s">
        <v>146</v>
      </c>
      <c r="D945" s="145" t="e">
        <f>DMIN('18_1'!A$203:K$222,'18_1'!$J$203,G939:G940)</f>
        <v>#REF!</v>
      </c>
      <c r="E945" s="189" t="e">
        <f>IF(F945=1,"Domingo",IF(F945=2,"Lunes",IF(F945=3,"Martes",IF(F945=4,"Miercoles",IF(F945=5,"Jueves",IF(F945=6,"Viernes",IF(F945=7,"Sábado",0)))))))</f>
        <v>#REF!</v>
      </c>
      <c r="F945" s="190" t="e">
        <f>WEEKDAY(D945)</f>
        <v>#REF!</v>
      </c>
      <c r="G945" s="142"/>
      <c r="H945" s="111"/>
    </row>
    <row r="946" spans="1:8" ht="15.75">
      <c r="A946" s="80"/>
      <c r="B946" s="81"/>
      <c r="C946" s="81" t="s">
        <v>147</v>
      </c>
      <c r="D946" s="145" t="e">
        <f>DMAX('18_1'!A$203:L$222,'18_1'!$K$203,G939:G940)</f>
        <v>#REF!</v>
      </c>
      <c r="E946" s="189" t="e">
        <f>IF(F946=1,"Domingo",IF(F946=2,"Lunes",IF(F946=3,"Martes",IF(F946=4,"Miercoles",IF(F946=5,"Jueves",IF(F946=6,"Viernes",IF(F946=7,"Sábado",0)))))))</f>
        <v>#REF!</v>
      </c>
      <c r="F946" s="190" t="e">
        <f>WEEKDAY(D946)</f>
        <v>#REF!</v>
      </c>
      <c r="G946" s="142"/>
      <c r="H946" s="111"/>
    </row>
    <row r="947" spans="1:8">
      <c r="A947" s="80"/>
      <c r="B947" s="81"/>
      <c r="C947" s="81"/>
      <c r="D947" s="81"/>
      <c r="E947" s="81"/>
      <c r="F947" s="584"/>
      <c r="G947" s="584"/>
      <c r="H947" s="111"/>
    </row>
    <row r="948" spans="1:8">
      <c r="A948" s="80"/>
      <c r="B948" s="146">
        <f>+Mensajes!$B$7</f>
        <v>0</v>
      </c>
      <c r="C948" s="81"/>
      <c r="D948" s="81"/>
      <c r="E948" s="81"/>
      <c r="F948" s="81"/>
      <c r="G948" s="81"/>
      <c r="H948" s="111"/>
    </row>
    <row r="949" spans="1:8">
      <c r="A949" s="80"/>
      <c r="B949" s="146">
        <f>+Mensajes!$B$12</f>
        <v>0</v>
      </c>
      <c r="C949" s="81"/>
      <c r="D949" s="81"/>
      <c r="E949" s="81"/>
      <c r="F949" s="81"/>
      <c r="G949" s="81"/>
      <c r="H949" s="111"/>
    </row>
    <row r="950" spans="1:8">
      <c r="A950" s="80"/>
      <c r="B950" s="146" t="str">
        <f>IF(VLOOKUP(G940,'18_1'!$A$203:$M$222,13,0)=0,"",VLOOKUP(G940,'18_1'!$A$203:$M$222,13,0))</f>
        <v/>
      </c>
      <c r="C950" s="81"/>
      <c r="D950" s="81"/>
      <c r="E950" s="81"/>
      <c r="F950" s="81"/>
      <c r="G950" s="81"/>
      <c r="H950" s="111"/>
    </row>
    <row r="951" spans="1:8">
      <c r="A951" s="140"/>
      <c r="B951" s="188" t="str">
        <f>IF(DSUM('18_1'!$A$203:$P$222,16,G939:G940)=COUNTIF('18_1'!$A$203:$A$222,G940),"","Regularice su Deuda")</f>
        <v/>
      </c>
      <c r="C951" s="82"/>
      <c r="D951" s="82"/>
      <c r="E951" s="82"/>
      <c r="F951" s="82"/>
      <c r="G951" s="82"/>
      <c r="H951" s="83"/>
    </row>
    <row r="952" spans="1:8">
      <c r="A952" s="81"/>
      <c r="B952" s="146"/>
      <c r="C952" s="81"/>
      <c r="D952" s="81"/>
      <c r="E952" s="81"/>
      <c r="F952" s="81"/>
      <c r="G952" s="81"/>
      <c r="H952" s="81"/>
    </row>
    <row r="953" spans="1:8">
      <c r="A953" s="108"/>
      <c r="B953" s="109"/>
      <c r="C953" s="109"/>
      <c r="D953" s="109"/>
      <c r="E953" s="109"/>
      <c r="F953" s="109"/>
      <c r="G953" s="109"/>
      <c r="H953" s="110"/>
    </row>
    <row r="954" spans="1:8">
      <c r="A954" s="80"/>
      <c r="B954" s="147" t="s">
        <v>64</v>
      </c>
      <c r="C954" s="81"/>
      <c r="D954" s="81"/>
      <c r="E954" s="81"/>
      <c r="F954" s="81"/>
      <c r="G954" s="81"/>
      <c r="H954" s="111"/>
    </row>
    <row r="955" spans="1:8">
      <c r="A955" s="80"/>
      <c r="B955" s="81"/>
      <c r="C955" s="81"/>
      <c r="D955" s="81"/>
      <c r="E955" s="81"/>
      <c r="F955" s="81"/>
      <c r="G955" s="81"/>
      <c r="H955" s="111"/>
    </row>
    <row r="956" spans="1:8">
      <c r="A956" s="80"/>
      <c r="B956" s="81" t="s">
        <v>139</v>
      </c>
      <c r="C956" s="81" t="str">
        <f>VLOOKUP(G957,'18_1'!$A$203:$G$222,6,0)</f>
        <v>BARO, HUGO EDGARDO</v>
      </c>
      <c r="D956" s="81"/>
      <c r="E956" s="81"/>
      <c r="F956" s="81"/>
      <c r="G956" s="138" t="s">
        <v>102</v>
      </c>
      <c r="H956" s="111"/>
    </row>
    <row r="957" spans="1:8">
      <c r="A957" s="80"/>
      <c r="B957" s="81" t="s">
        <v>72</v>
      </c>
      <c r="C957" s="81" t="str">
        <f>+'18_1'!$G$2</f>
        <v>Hijuela Morón</v>
      </c>
      <c r="D957" s="81"/>
      <c r="E957" s="81"/>
      <c r="F957" s="81"/>
      <c r="G957" s="138">
        <v>14</v>
      </c>
      <c r="H957" s="111"/>
    </row>
    <row r="958" spans="1:8">
      <c r="A958" s="80"/>
      <c r="B958" s="81"/>
      <c r="C958" s="81"/>
      <c r="D958" s="81"/>
      <c r="E958" s="81"/>
      <c r="F958" s="81"/>
      <c r="G958" s="81"/>
      <c r="H958" s="111"/>
    </row>
    <row r="959" spans="1:8">
      <c r="A959" s="80"/>
      <c r="B959" s="81" t="s">
        <v>140</v>
      </c>
      <c r="C959" s="138">
        <f>VLOOKUP(G957,'18_1'!$A$203:$B$222,2,0)</f>
        <v>1214</v>
      </c>
      <c r="D959" s="81"/>
      <c r="E959" s="139" t="s">
        <v>141</v>
      </c>
      <c r="F959" s="141" t="e">
        <f>DSUM('18_1'!A$203:J$222,'18_1'!$J$203,G956:G957)</f>
        <v>#REF!</v>
      </c>
      <c r="G959" s="81"/>
      <c r="H959" s="111"/>
    </row>
    <row r="960" spans="1:8">
      <c r="A960" s="80"/>
      <c r="B960" s="81" t="s">
        <v>142</v>
      </c>
      <c r="C960" s="205">
        <v>21</v>
      </c>
      <c r="D960" s="81"/>
      <c r="E960" s="81"/>
      <c r="F960" s="81"/>
      <c r="G960" s="81"/>
      <c r="H960" s="111"/>
    </row>
    <row r="961" spans="1:8">
      <c r="A961" s="80"/>
      <c r="B961" s="81" t="s">
        <v>144</v>
      </c>
      <c r="C961" s="206" t="e">
        <f>DSUM('18_1'!$A$203:$H$222,'18_1'!$H$203,G956:G957)</f>
        <v>#N/A</v>
      </c>
      <c r="D961" s="81"/>
      <c r="E961" s="81"/>
      <c r="F961" s="584"/>
      <c r="G961" s="584"/>
      <c r="H961" s="111"/>
    </row>
    <row r="962" spans="1:8" ht="15.75">
      <c r="A962" s="80"/>
      <c r="B962" s="81"/>
      <c r="C962" s="81" t="s">
        <v>146</v>
      </c>
      <c r="D962" s="145" t="e">
        <f>DMIN('18_1'!A$203:K$222,'18_1'!$J$203,G956:G957)</f>
        <v>#REF!</v>
      </c>
      <c r="E962" s="189" t="e">
        <f>IF(F962=1,"Domingo",IF(F962=2,"Lunes",IF(F962=3,"Martes",IF(F962=4,"Miercoles",IF(F962=5,"Jueves",IF(F962=6,"Viernes",IF(F962=7,"Sábado",0)))))))</f>
        <v>#REF!</v>
      </c>
      <c r="F962" s="190" t="e">
        <f>WEEKDAY(D962)</f>
        <v>#REF!</v>
      </c>
      <c r="G962" s="142"/>
      <c r="H962" s="111"/>
    </row>
    <row r="963" spans="1:8" ht="15.75">
      <c r="A963" s="80"/>
      <c r="B963" s="81"/>
      <c r="C963" s="81" t="s">
        <v>147</v>
      </c>
      <c r="D963" s="145" t="e">
        <f>DMAX('18_1'!A$203:L$222,'18_1'!$K$203,G956:G957)</f>
        <v>#REF!</v>
      </c>
      <c r="E963" s="189" t="e">
        <f>IF(F963=1,"Domingo",IF(F963=2,"Lunes",IF(F963=3,"Martes",IF(F963=4,"Miercoles",IF(F963=5,"Jueves",IF(F963=6,"Viernes",IF(F963=7,"Sábado",0)))))))</f>
        <v>#REF!</v>
      </c>
      <c r="F963" s="190" t="e">
        <f>WEEKDAY(D963)</f>
        <v>#REF!</v>
      </c>
      <c r="G963" s="142"/>
      <c r="H963" s="111"/>
    </row>
    <row r="964" spans="1:8">
      <c r="A964" s="80"/>
      <c r="B964" s="81"/>
      <c r="C964" s="81"/>
      <c r="D964" s="81"/>
      <c r="E964" s="81"/>
      <c r="F964" s="584"/>
      <c r="G964" s="584"/>
      <c r="H964" s="111"/>
    </row>
    <row r="965" spans="1:8">
      <c r="A965" s="80"/>
      <c r="B965" s="146">
        <f>+Mensajes!$B$7</f>
        <v>0</v>
      </c>
      <c r="C965" s="81"/>
      <c r="D965" s="81"/>
      <c r="E965" s="81"/>
      <c r="F965" s="81"/>
      <c r="G965" s="81"/>
      <c r="H965" s="111"/>
    </row>
    <row r="966" spans="1:8">
      <c r="A966" s="80"/>
      <c r="B966" s="146">
        <f>+Mensajes!$B$12</f>
        <v>0</v>
      </c>
      <c r="C966" s="81"/>
      <c r="D966" s="81"/>
      <c r="E966" s="81"/>
      <c r="F966" s="81"/>
      <c r="G966" s="81"/>
      <c r="H966" s="111"/>
    </row>
    <row r="967" spans="1:8">
      <c r="A967" s="80"/>
      <c r="B967" s="146" t="str">
        <f>IF(VLOOKUP(G957,'18_1'!$A$203:$M$222,13,0)=0,"",VLOOKUP(G957,'18_1'!$A$203:$M$222,13,0))</f>
        <v/>
      </c>
      <c r="C967" s="81"/>
      <c r="D967" s="81"/>
      <c r="E967" s="81"/>
      <c r="F967" s="81"/>
      <c r="G967" s="81"/>
      <c r="H967" s="111"/>
    </row>
    <row r="968" spans="1:8">
      <c r="A968" s="140"/>
      <c r="B968" s="188" t="str">
        <f>IF(DSUM('18_1'!$A$203:$P$222,16,G956:G957)=COUNTIF('18_1'!$A$203:$A$222,G957),"","Regularice su Deuda")</f>
        <v>Regularice su Deuda</v>
      </c>
      <c r="C968" s="82"/>
      <c r="D968" s="82"/>
      <c r="E968" s="82"/>
      <c r="F968" s="82"/>
      <c r="G968" s="82"/>
      <c r="H968" s="83"/>
    </row>
    <row r="970" spans="1:8">
      <c r="A970" s="108"/>
      <c r="B970" s="109"/>
      <c r="C970" s="109"/>
      <c r="D970" s="109"/>
      <c r="E970" s="109"/>
      <c r="F970" s="109"/>
      <c r="G970" s="109"/>
      <c r="H970" s="110"/>
    </row>
    <row r="971" spans="1:8">
      <c r="A971" s="80"/>
      <c r="B971" s="147" t="s">
        <v>64</v>
      </c>
      <c r="C971" s="81"/>
      <c r="D971" s="81"/>
      <c r="E971" s="81"/>
      <c r="F971" s="81"/>
      <c r="G971" s="81"/>
      <c r="H971" s="111"/>
    </row>
    <row r="972" spans="1:8">
      <c r="A972" s="80"/>
      <c r="B972" s="81"/>
      <c r="C972" s="81"/>
      <c r="D972" s="81"/>
      <c r="E972" s="81"/>
      <c r="F972" s="81"/>
      <c r="G972" s="81"/>
      <c r="H972" s="111"/>
    </row>
    <row r="973" spans="1:8">
      <c r="A973" s="80"/>
      <c r="B973" s="81" t="s">
        <v>139</v>
      </c>
      <c r="C973" s="81" t="str">
        <f>VLOOKUP(G974,'18_1'!$A$239:$G$257,6,0)</f>
        <v>MEDINA MORALES, JULIO CESAR; MEDINA MORALES, JUANA FILOMENA; MEDINA MOR</v>
      </c>
      <c r="D973" s="81"/>
      <c r="E973" s="81"/>
      <c r="F973" s="81"/>
      <c r="G973" s="138" t="s">
        <v>102</v>
      </c>
      <c r="H973" s="111"/>
    </row>
    <row r="974" spans="1:8">
      <c r="A974" s="80"/>
      <c r="B974" s="81" t="s">
        <v>72</v>
      </c>
      <c r="C974" s="81" t="str">
        <f>+'18_1'!$G$2</f>
        <v>Hijuela Morón</v>
      </c>
      <c r="D974" s="81"/>
      <c r="E974" s="81"/>
      <c r="F974" s="81"/>
      <c r="G974" s="138">
        <v>1</v>
      </c>
      <c r="H974" s="111"/>
    </row>
    <row r="975" spans="1:8">
      <c r="A975" s="80"/>
      <c r="B975" s="81"/>
      <c r="C975" s="81"/>
      <c r="D975" s="81"/>
      <c r="E975" s="81"/>
      <c r="F975" s="81"/>
      <c r="G975" s="81"/>
      <c r="H975" s="111"/>
    </row>
    <row r="976" spans="1:8">
      <c r="A976" s="80"/>
      <c r="B976" s="81" t="s">
        <v>140</v>
      </c>
      <c r="C976" s="138">
        <f>VLOOKUP(G974,'18_1'!$A$239:$B$257,2,0)</f>
        <v>1214</v>
      </c>
      <c r="D976" s="81"/>
      <c r="E976" s="139" t="s">
        <v>141</v>
      </c>
      <c r="F976" s="141" t="e">
        <f>DSUM('18_1'!A$239:J$257,'18_1'!$J$239,G973:G974)</f>
        <v>#REF!</v>
      </c>
      <c r="G976" s="81"/>
      <c r="H976" s="111"/>
    </row>
    <row r="977" spans="1:8">
      <c r="A977" s="80"/>
      <c r="B977" s="81" t="s">
        <v>142</v>
      </c>
      <c r="C977" s="205">
        <v>26</v>
      </c>
      <c r="D977" s="81"/>
      <c r="E977" s="81"/>
      <c r="F977" s="81"/>
      <c r="G977" s="81"/>
      <c r="H977" s="111"/>
    </row>
    <row r="978" spans="1:8">
      <c r="A978" s="80"/>
      <c r="B978" s="81" t="s">
        <v>144</v>
      </c>
      <c r="C978" s="206" t="e">
        <f>DSUM('18_1'!$A$239:$H$257,'18_1'!$H$239,G973:G974)</f>
        <v>#N/A</v>
      </c>
      <c r="D978" s="81"/>
      <c r="E978" s="81"/>
      <c r="F978" s="584"/>
      <c r="G978" s="584"/>
      <c r="H978" s="111"/>
    </row>
    <row r="979" spans="1:8" ht="15.75">
      <c r="A979" s="80"/>
      <c r="B979" s="81"/>
      <c r="C979" s="81" t="s">
        <v>146</v>
      </c>
      <c r="D979" s="145" t="e">
        <f>DMIN('18_1'!A$239:K$257,'18_1'!$J$239,G973:G974)</f>
        <v>#REF!</v>
      </c>
      <c r="E979" s="189" t="e">
        <f>IF(F979=1,"Domingo",IF(F979=2,"Lunes",IF(F979=3,"Martes",IF(F979=4,"Miercoles",IF(F979=5,"Jueves",IF(F979=6,"Viernes",IF(F979=7,"Sábado",0)))))))</f>
        <v>#REF!</v>
      </c>
      <c r="F979" s="190" t="e">
        <f>WEEKDAY(D979)</f>
        <v>#REF!</v>
      </c>
      <c r="G979" s="142"/>
      <c r="H979" s="111"/>
    </row>
    <row r="980" spans="1:8" ht="15.75">
      <c r="A980" s="80"/>
      <c r="B980" s="81"/>
      <c r="C980" s="81" t="s">
        <v>147</v>
      </c>
      <c r="D980" s="145" t="e">
        <f>DMAX('18_1'!A$239:L$257,'18_1'!$K$239,G973:G974)</f>
        <v>#REF!</v>
      </c>
      <c r="E980" s="189" t="e">
        <f>IF(F980=1,"Domingo",IF(F980=2,"Lunes",IF(F980=3,"Martes",IF(F980=4,"Miercoles",IF(F980=5,"Jueves",IF(F980=6,"Viernes",IF(F980=7,"Sábado",0)))))))</f>
        <v>#REF!</v>
      </c>
      <c r="F980" s="190" t="e">
        <f>WEEKDAY(D980)</f>
        <v>#REF!</v>
      </c>
      <c r="G980" s="142"/>
      <c r="H980" s="111"/>
    </row>
    <row r="981" spans="1:8">
      <c r="A981" s="80"/>
      <c r="B981" s="81"/>
      <c r="C981" s="81"/>
      <c r="D981" s="81"/>
      <c r="E981" s="81"/>
      <c r="F981" s="584"/>
      <c r="G981" s="584"/>
      <c r="H981" s="111"/>
    </row>
    <row r="982" spans="1:8">
      <c r="A982" s="80"/>
      <c r="B982" s="146">
        <f>+Mensajes!$B$7</f>
        <v>0</v>
      </c>
      <c r="C982" s="81"/>
      <c r="D982" s="81"/>
      <c r="E982" s="81"/>
      <c r="F982" s="81"/>
      <c r="G982" s="81"/>
      <c r="H982" s="111"/>
    </row>
    <row r="983" spans="1:8">
      <c r="A983" s="80"/>
      <c r="B983" s="146">
        <f>+Mensajes!$B$12</f>
        <v>0</v>
      </c>
      <c r="C983" s="81"/>
      <c r="D983" s="81"/>
      <c r="E983" s="81"/>
      <c r="F983" s="81"/>
      <c r="G983" s="81"/>
      <c r="H983" s="111"/>
    </row>
    <row r="984" spans="1:8">
      <c r="A984" s="80"/>
      <c r="B984" s="146" t="str">
        <f>IF(VLOOKUP(G974,'18_1'!$A$239:$M$257,13,0)=0,"",VLOOKUP(G974,'18_1'!$A$239:$M$257,13,0))</f>
        <v/>
      </c>
      <c r="C984" s="81"/>
      <c r="D984" s="81"/>
      <c r="E984" s="81"/>
      <c r="F984" s="81"/>
      <c r="G984" s="81"/>
      <c r="H984" s="111"/>
    </row>
    <row r="985" spans="1:8">
      <c r="A985" s="140"/>
      <c r="B985" s="188" t="str">
        <f>IF(DSUM('18_1'!$A$239:$P$257,16,G973:G974)=COUNTIF('18_1'!$A$239:$A$257,G974),"","Regularice su Deuda")</f>
        <v>Regularice su Deuda</v>
      </c>
      <c r="C985" s="82"/>
      <c r="D985" s="82"/>
      <c r="E985" s="82"/>
      <c r="F985" s="82"/>
      <c r="G985" s="82"/>
      <c r="H985" s="83"/>
    </row>
    <row r="987" spans="1:8">
      <c r="A987" s="108"/>
      <c r="B987" s="109"/>
      <c r="C987" s="109"/>
      <c r="D987" s="109"/>
      <c r="E987" s="109"/>
      <c r="F987" s="109"/>
      <c r="G987" s="109"/>
      <c r="H987" s="110"/>
    </row>
    <row r="988" spans="1:8">
      <c r="A988" s="80"/>
      <c r="B988" s="147" t="s">
        <v>64</v>
      </c>
      <c r="C988" s="81"/>
      <c r="D988" s="81"/>
      <c r="E988" s="81"/>
      <c r="F988" s="81"/>
      <c r="G988" s="81"/>
      <c r="H988" s="111"/>
    </row>
    <row r="989" spans="1:8">
      <c r="A989" s="80"/>
      <c r="B989" s="81"/>
      <c r="C989" s="81"/>
      <c r="D989" s="81"/>
      <c r="E989" s="81"/>
      <c r="F989" s="81"/>
      <c r="G989" s="81"/>
      <c r="H989" s="111"/>
    </row>
    <row r="990" spans="1:8">
      <c r="A990" s="80"/>
      <c r="B990" s="81" t="s">
        <v>139</v>
      </c>
      <c r="C990" s="81" t="str">
        <f>VLOOKUP(G991,'18_1'!$A$239:$G$257,6,0)</f>
        <v>BOREL, PABLO</v>
      </c>
      <c r="D990" s="81"/>
      <c r="E990" s="81"/>
      <c r="F990" s="81"/>
      <c r="G990" s="138" t="s">
        <v>102</v>
      </c>
      <c r="H990" s="111"/>
    </row>
    <row r="991" spans="1:8">
      <c r="A991" s="80"/>
      <c r="B991" s="81" t="s">
        <v>72</v>
      </c>
      <c r="C991" s="81" t="str">
        <f>+'18_1'!$G$2</f>
        <v>Hijuela Morón</v>
      </c>
      <c r="D991" s="81"/>
      <c r="E991" s="81"/>
      <c r="F991" s="81"/>
      <c r="G991" s="138">
        <v>2</v>
      </c>
      <c r="H991" s="111"/>
    </row>
    <row r="992" spans="1:8">
      <c r="A992" s="80"/>
      <c r="B992" s="81"/>
      <c r="C992" s="81"/>
      <c r="D992" s="81"/>
      <c r="E992" s="81"/>
      <c r="F992" s="81"/>
      <c r="G992" s="81"/>
      <c r="H992" s="111"/>
    </row>
    <row r="993" spans="1:8">
      <c r="A993" s="80"/>
      <c r="B993" s="81" t="s">
        <v>140</v>
      </c>
      <c r="C993" s="138">
        <f>VLOOKUP(G991,'18_1'!$A$239:$B$257,2,0)</f>
        <v>1214</v>
      </c>
      <c r="D993" s="81"/>
      <c r="E993" s="139" t="s">
        <v>141</v>
      </c>
      <c r="F993" s="141" t="e">
        <f>DSUM('18_1'!A$239:J$257,'18_1'!$J$239,G990:G991)</f>
        <v>#REF!</v>
      </c>
      <c r="G993" s="81"/>
      <c r="H993" s="111"/>
    </row>
    <row r="994" spans="1:8">
      <c r="A994" s="80"/>
      <c r="B994" s="81" t="s">
        <v>142</v>
      </c>
      <c r="C994" s="205">
        <v>31</v>
      </c>
      <c r="D994" s="81"/>
      <c r="E994" s="81"/>
      <c r="F994" s="81"/>
      <c r="G994" s="81"/>
      <c r="H994" s="111"/>
    </row>
    <row r="995" spans="1:8">
      <c r="A995" s="80"/>
      <c r="B995" s="81" t="s">
        <v>144</v>
      </c>
      <c r="C995" s="206" t="e">
        <f>DSUM('18_1'!$A$239:$H$257,'18_1'!$H$239,G990:G991)</f>
        <v>#N/A</v>
      </c>
      <c r="D995" s="81"/>
      <c r="E995" s="81"/>
      <c r="F995" s="584"/>
      <c r="G995" s="584"/>
      <c r="H995" s="111"/>
    </row>
    <row r="996" spans="1:8" ht="15.75">
      <c r="A996" s="80"/>
      <c r="B996" s="81"/>
      <c r="C996" s="81" t="s">
        <v>146</v>
      </c>
      <c r="D996" s="145" t="e">
        <f>DMIN('18_1'!A$239:K$257,'18_1'!$J$239,G990:G991)</f>
        <v>#REF!</v>
      </c>
      <c r="E996" s="189" t="e">
        <f>IF(F996=1,"Domingo",IF(F996=2,"Lunes",IF(F996=3,"Martes",IF(F996=4,"Miercoles",IF(F996=5,"Jueves",IF(F996=6,"Viernes",IF(F996=7,"Sábado",0)))))))</f>
        <v>#REF!</v>
      </c>
      <c r="F996" s="190" t="e">
        <f>WEEKDAY(D996)</f>
        <v>#REF!</v>
      </c>
      <c r="G996" s="142"/>
      <c r="H996" s="111"/>
    </row>
    <row r="997" spans="1:8" ht="15.75">
      <c r="A997" s="80"/>
      <c r="B997" s="81"/>
      <c r="C997" s="81" t="s">
        <v>147</v>
      </c>
      <c r="D997" s="145" t="e">
        <f>DMAX('18_1'!A$239:L$257,'18_1'!$K$239,G990:G991)</f>
        <v>#REF!</v>
      </c>
      <c r="E997" s="189" t="e">
        <f>IF(F997=1,"Domingo",IF(F997=2,"Lunes",IF(F997=3,"Martes",IF(F997=4,"Miercoles",IF(F997=5,"Jueves",IF(F997=6,"Viernes",IF(F997=7,"Sábado",0)))))))</f>
        <v>#REF!</v>
      </c>
      <c r="F997" s="190" t="e">
        <f>WEEKDAY(D997)</f>
        <v>#REF!</v>
      </c>
      <c r="G997" s="142"/>
      <c r="H997" s="111"/>
    </row>
    <row r="998" spans="1:8">
      <c r="A998" s="80"/>
      <c r="B998" s="81"/>
      <c r="C998" s="81"/>
      <c r="D998" s="81"/>
      <c r="E998" s="81"/>
      <c r="F998" s="584"/>
      <c r="G998" s="584"/>
      <c r="H998" s="111"/>
    </row>
    <row r="999" spans="1:8">
      <c r="A999" s="80"/>
      <c r="B999" s="146">
        <f>+Mensajes!$B$7</f>
        <v>0</v>
      </c>
      <c r="C999" s="81"/>
      <c r="D999" s="81"/>
      <c r="E999" s="81"/>
      <c r="F999" s="81"/>
      <c r="G999" s="81"/>
      <c r="H999" s="111"/>
    </row>
    <row r="1000" spans="1:8">
      <c r="A1000" s="80"/>
      <c r="B1000" s="146">
        <f>+Mensajes!$B$12</f>
        <v>0</v>
      </c>
      <c r="C1000" s="81"/>
      <c r="D1000" s="81"/>
      <c r="E1000" s="81"/>
      <c r="F1000" s="81"/>
      <c r="G1000" s="81"/>
      <c r="H1000" s="111"/>
    </row>
    <row r="1001" spans="1:8">
      <c r="A1001" s="80"/>
      <c r="B1001" s="146" t="str">
        <f>IF(VLOOKUP(G991,'18_1'!$A$239:$M$257,13,0)=0,"",VLOOKUP(G991,'18_1'!$A$239:$M$257,13,0))</f>
        <v/>
      </c>
      <c r="C1001" s="81"/>
      <c r="D1001" s="81"/>
      <c r="E1001" s="81"/>
      <c r="F1001" s="81"/>
      <c r="G1001" s="81"/>
      <c r="H1001" s="111"/>
    </row>
    <row r="1002" spans="1:8">
      <c r="A1002" s="140"/>
      <c r="B1002" s="188" t="str">
        <f>IF(DSUM('18_1'!$A$239:$P$257,16,G990:G991)=COUNTIF('18_1'!$A$239:$A$257,G991),"","Regularice su Deuda")</f>
        <v>Regularice su Deuda</v>
      </c>
      <c r="C1002" s="82"/>
      <c r="D1002" s="82"/>
      <c r="E1002" s="82"/>
      <c r="F1002" s="82"/>
      <c r="G1002" s="82"/>
      <c r="H1002" s="83"/>
    </row>
    <row r="1004" spans="1:8">
      <c r="A1004" s="108"/>
      <c r="B1004" s="109"/>
      <c r="C1004" s="109"/>
      <c r="D1004" s="109"/>
      <c r="E1004" s="109"/>
      <c r="F1004" s="109"/>
      <c r="G1004" s="109"/>
      <c r="H1004" s="110"/>
    </row>
    <row r="1005" spans="1:8">
      <c r="A1005" s="80"/>
      <c r="B1005" s="147" t="s">
        <v>64</v>
      </c>
      <c r="C1005" s="81"/>
      <c r="D1005" s="81"/>
      <c r="E1005" s="81"/>
      <c r="F1005" s="81"/>
      <c r="G1005" s="81"/>
      <c r="H1005" s="111"/>
    </row>
    <row r="1006" spans="1:8">
      <c r="A1006" s="80"/>
      <c r="B1006" s="81"/>
      <c r="C1006" s="81"/>
      <c r="D1006" s="81"/>
      <c r="E1006" s="81"/>
      <c r="F1006" s="81"/>
      <c r="G1006" s="81"/>
      <c r="H1006" s="111"/>
    </row>
    <row r="1007" spans="1:8">
      <c r="A1007" s="80"/>
      <c r="B1007" s="81" t="s">
        <v>139</v>
      </c>
      <c r="C1007" s="81" t="str">
        <f>VLOOKUP(G1008,'18_1'!$A$239:$G$257,6,0)</f>
        <v>ALBERTTI, JUAN</v>
      </c>
      <c r="D1007" s="81"/>
      <c r="E1007" s="81"/>
      <c r="F1007" s="81"/>
      <c r="G1007" s="138" t="s">
        <v>102</v>
      </c>
      <c r="H1007" s="111"/>
    </row>
    <row r="1008" spans="1:8">
      <c r="A1008" s="80"/>
      <c r="B1008" s="81" t="s">
        <v>72</v>
      </c>
      <c r="C1008" s="81" t="str">
        <f>+'18_1'!$G$2</f>
        <v>Hijuela Morón</v>
      </c>
      <c r="D1008" s="81"/>
      <c r="E1008" s="81"/>
      <c r="F1008" s="81"/>
      <c r="G1008" s="138">
        <v>3</v>
      </c>
      <c r="H1008" s="111"/>
    </row>
    <row r="1009" spans="1:8">
      <c r="A1009" s="80"/>
      <c r="B1009" s="81"/>
      <c r="C1009" s="81"/>
      <c r="D1009" s="81"/>
      <c r="E1009" s="81"/>
      <c r="F1009" s="81"/>
      <c r="G1009" s="81"/>
      <c r="H1009" s="111"/>
    </row>
    <row r="1010" spans="1:8">
      <c r="A1010" s="80"/>
      <c r="B1010" s="81" t="s">
        <v>140</v>
      </c>
      <c r="C1010" s="138">
        <f>VLOOKUP(G1008,'18_1'!$A$239:$B$257,2,0)</f>
        <v>1214</v>
      </c>
      <c r="D1010" s="81"/>
      <c r="E1010" s="139" t="s">
        <v>141</v>
      </c>
      <c r="F1010" s="141" t="e">
        <f>DSUM('18_1'!A$239:J$257,'18_1'!$J$239,G1007:G1008)</f>
        <v>#REF!</v>
      </c>
      <c r="G1010" s="81"/>
      <c r="H1010" s="111"/>
    </row>
    <row r="1011" spans="1:8">
      <c r="A1011" s="80"/>
      <c r="B1011" s="81" t="s">
        <v>142</v>
      </c>
      <c r="C1011" s="205">
        <v>42</v>
      </c>
      <c r="D1011" s="81"/>
      <c r="E1011" s="81"/>
      <c r="F1011" s="81"/>
      <c r="G1011" s="81"/>
      <c r="H1011" s="111"/>
    </row>
    <row r="1012" spans="1:8">
      <c r="A1012" s="80"/>
      <c r="B1012" s="81" t="s">
        <v>144</v>
      </c>
      <c r="C1012" s="206" t="e">
        <f>DSUM('18_1'!$A$239:$H$257,'18_1'!$H$239,G1007:G1008)</f>
        <v>#N/A</v>
      </c>
      <c r="D1012" s="81"/>
      <c r="E1012" s="81"/>
      <c r="F1012" s="584"/>
      <c r="G1012" s="584"/>
      <c r="H1012" s="111"/>
    </row>
    <row r="1013" spans="1:8" ht="15.75">
      <c r="A1013" s="80"/>
      <c r="B1013" s="81"/>
      <c r="C1013" s="81" t="s">
        <v>146</v>
      </c>
      <c r="D1013" s="145" t="e">
        <f>DMIN('18_1'!A$239:K$257,'18_1'!$J$239,G1007:G1008)</f>
        <v>#REF!</v>
      </c>
      <c r="E1013" s="189" t="e">
        <f>IF(F1013=1,"Domingo",IF(F1013=2,"Lunes",IF(F1013=3,"Martes",IF(F1013=4,"Miercoles",IF(F1013=5,"Jueves",IF(F1013=6,"Viernes",IF(F1013=7,"Sábado",0)))))))</f>
        <v>#REF!</v>
      </c>
      <c r="F1013" s="190" t="e">
        <f>WEEKDAY(D1013)</f>
        <v>#REF!</v>
      </c>
      <c r="G1013" s="142"/>
      <c r="H1013" s="111"/>
    </row>
    <row r="1014" spans="1:8" ht="15.75">
      <c r="A1014" s="80"/>
      <c r="B1014" s="81"/>
      <c r="C1014" s="81" t="s">
        <v>147</v>
      </c>
      <c r="D1014" s="145" t="e">
        <f>DMAX('18_1'!A$239:L$257,'18_1'!$K$239,G1007:G1008)</f>
        <v>#REF!</v>
      </c>
      <c r="E1014" s="189" t="e">
        <f>IF(F1014=1,"Domingo",IF(F1014=2,"Lunes",IF(F1014=3,"Martes",IF(F1014=4,"Miercoles",IF(F1014=5,"Jueves",IF(F1014=6,"Viernes",IF(F1014=7,"Sábado",0)))))))</f>
        <v>#REF!</v>
      </c>
      <c r="F1014" s="190" t="e">
        <f>WEEKDAY(D1014)</f>
        <v>#REF!</v>
      </c>
      <c r="G1014" s="142"/>
      <c r="H1014" s="111"/>
    </row>
    <row r="1015" spans="1:8">
      <c r="A1015" s="80"/>
      <c r="B1015" s="81"/>
      <c r="C1015" s="81"/>
      <c r="D1015" s="81"/>
      <c r="E1015" s="81"/>
      <c r="F1015" s="584"/>
      <c r="G1015" s="584"/>
      <c r="H1015" s="111"/>
    </row>
    <row r="1016" spans="1:8">
      <c r="A1016" s="80"/>
      <c r="B1016" s="146">
        <f>+Mensajes!$B$7</f>
        <v>0</v>
      </c>
      <c r="C1016" s="81"/>
      <c r="D1016" s="81"/>
      <c r="E1016" s="81"/>
      <c r="F1016" s="81"/>
      <c r="G1016" s="81"/>
      <c r="H1016" s="111"/>
    </row>
    <row r="1017" spans="1:8">
      <c r="A1017" s="80"/>
      <c r="B1017" s="146">
        <f>+Mensajes!$B$12</f>
        <v>0</v>
      </c>
      <c r="C1017" s="81"/>
      <c r="D1017" s="81"/>
      <c r="E1017" s="81"/>
      <c r="F1017" s="81"/>
      <c r="G1017" s="81"/>
      <c r="H1017" s="111"/>
    </row>
    <row r="1018" spans="1:8">
      <c r="A1018" s="80"/>
      <c r="B1018" s="146" t="str">
        <f>IF(VLOOKUP(G1008,'18_1'!$A$239:$M$257,13,0)=0,"",VLOOKUP(G1008,'18_1'!$A$239:$M$257,13,0))</f>
        <v/>
      </c>
      <c r="C1018" s="81"/>
      <c r="D1018" s="81"/>
      <c r="E1018" s="81"/>
      <c r="F1018" s="81"/>
      <c r="G1018" s="81"/>
      <c r="H1018" s="111"/>
    </row>
    <row r="1019" spans="1:8">
      <c r="A1019" s="140"/>
      <c r="B1019" s="188" t="str">
        <f>IF(DSUM('18_1'!$A$239:$P$257,16,G1007:G1008)=COUNTIF('18_1'!$A$239:$A$257,G1008),"","Regularice su Deuda")</f>
        <v>Regularice su Deuda</v>
      </c>
      <c r="C1019" s="82"/>
      <c r="D1019" s="82"/>
      <c r="E1019" s="82"/>
      <c r="F1019" s="82"/>
      <c r="G1019" s="82"/>
      <c r="H1019" s="83"/>
    </row>
    <row r="1021" spans="1:8">
      <c r="A1021" s="108"/>
      <c r="B1021" s="109"/>
      <c r="C1021" s="109"/>
      <c r="D1021" s="109"/>
      <c r="E1021" s="109"/>
      <c r="F1021" s="109"/>
      <c r="G1021" s="109"/>
      <c r="H1021" s="110"/>
    </row>
    <row r="1022" spans="1:8">
      <c r="A1022" s="80"/>
      <c r="B1022" s="147" t="s">
        <v>64</v>
      </c>
      <c r="C1022" s="81"/>
      <c r="D1022" s="81"/>
      <c r="E1022" s="81"/>
      <c r="F1022" s="81"/>
      <c r="G1022" s="81"/>
      <c r="H1022" s="111"/>
    </row>
    <row r="1023" spans="1:8">
      <c r="A1023" s="80"/>
      <c r="B1023" s="81"/>
      <c r="C1023" s="81"/>
      <c r="D1023" s="81"/>
      <c r="E1023" s="81"/>
      <c r="F1023" s="81"/>
      <c r="G1023" s="81"/>
      <c r="H1023" s="111"/>
    </row>
    <row r="1024" spans="1:8">
      <c r="A1024" s="80"/>
      <c r="B1024" s="81" t="s">
        <v>139</v>
      </c>
      <c r="C1024" s="81" t="str">
        <f>VLOOKUP(G1025,'18_1'!$A$239:$G$257,6,0)</f>
        <v>SANCHEZ, JOSE ANGEL</v>
      </c>
      <c r="D1024" s="81"/>
      <c r="E1024" s="81"/>
      <c r="F1024" s="81"/>
      <c r="G1024" s="138" t="s">
        <v>102</v>
      </c>
      <c r="H1024" s="111"/>
    </row>
    <row r="1025" spans="1:8">
      <c r="A1025" s="80"/>
      <c r="B1025" s="81" t="s">
        <v>72</v>
      </c>
      <c r="C1025" s="81" t="str">
        <f>+'18_1'!$G$2</f>
        <v>Hijuela Morón</v>
      </c>
      <c r="D1025" s="81"/>
      <c r="E1025" s="81"/>
      <c r="F1025" s="81"/>
      <c r="G1025" s="138">
        <v>4</v>
      </c>
      <c r="H1025" s="111"/>
    </row>
    <row r="1026" spans="1:8">
      <c r="A1026" s="80"/>
      <c r="B1026" s="81"/>
      <c r="C1026" s="81"/>
      <c r="D1026" s="81"/>
      <c r="E1026" s="81"/>
      <c r="F1026" s="81"/>
      <c r="G1026" s="81"/>
      <c r="H1026" s="111"/>
    </row>
    <row r="1027" spans="1:8">
      <c r="A1027" s="80"/>
      <c r="B1027" s="81" t="s">
        <v>140</v>
      </c>
      <c r="C1027" s="138">
        <f>VLOOKUP(G1025,'18_1'!$A$239:$B$257,2,0)</f>
        <v>1214</v>
      </c>
      <c r="D1027" s="81"/>
      <c r="E1027" s="139" t="s">
        <v>141</v>
      </c>
      <c r="F1027" s="141" t="e">
        <f>DSUM('18_1'!A$239:J$257,'18_1'!$J$239,G1024:G1025)</f>
        <v>#REF!</v>
      </c>
      <c r="G1027" s="81"/>
      <c r="H1027" s="111"/>
    </row>
    <row r="1028" spans="1:8">
      <c r="A1028" s="80"/>
      <c r="B1028" s="81" t="s">
        <v>142</v>
      </c>
      <c r="C1028" s="205">
        <v>117</v>
      </c>
      <c r="D1028" s="81"/>
      <c r="E1028" s="81"/>
      <c r="F1028" s="81"/>
      <c r="G1028" s="81"/>
      <c r="H1028" s="111"/>
    </row>
    <row r="1029" spans="1:8">
      <c r="A1029" s="80"/>
      <c r="B1029" s="81" t="s">
        <v>144</v>
      </c>
      <c r="C1029" s="206" t="e">
        <f>DSUM('18_1'!$A$239:$H$257,'18_1'!$H$239,G1024:G1025)</f>
        <v>#N/A</v>
      </c>
      <c r="D1029" s="81"/>
      <c r="E1029" s="81"/>
      <c r="F1029" s="584"/>
      <c r="G1029" s="584"/>
      <c r="H1029" s="111"/>
    </row>
    <row r="1030" spans="1:8" ht="15.75">
      <c r="A1030" s="80"/>
      <c r="B1030" s="81"/>
      <c r="C1030" s="81" t="s">
        <v>146</v>
      </c>
      <c r="D1030" s="145" t="e">
        <f>DMIN('18_1'!A$239:K$257,'18_1'!$J$239,G1024:G1025)</f>
        <v>#REF!</v>
      </c>
      <c r="E1030" s="189" t="e">
        <f>IF(F1030=1,"Domingo",IF(F1030=2,"Lunes",IF(F1030=3,"Martes",IF(F1030=4,"Miercoles",IF(F1030=5,"Jueves",IF(F1030=6,"Viernes",IF(F1030=7,"Sábado",0)))))))</f>
        <v>#REF!</v>
      </c>
      <c r="F1030" s="190" t="e">
        <f>WEEKDAY(D1030)</f>
        <v>#REF!</v>
      </c>
      <c r="G1030" s="142"/>
      <c r="H1030" s="111"/>
    </row>
    <row r="1031" spans="1:8" ht="15.75">
      <c r="A1031" s="80"/>
      <c r="B1031" s="81"/>
      <c r="C1031" s="81" t="s">
        <v>147</v>
      </c>
      <c r="D1031" s="145" t="e">
        <f>DMAX('18_1'!A$239:L$257,'18_1'!$K$239,G1024:G1025)</f>
        <v>#REF!</v>
      </c>
      <c r="E1031" s="189" t="e">
        <f>IF(F1031=1,"Domingo",IF(F1031=2,"Lunes",IF(F1031=3,"Martes",IF(F1031=4,"Miercoles",IF(F1031=5,"Jueves",IF(F1031=6,"Viernes",IF(F1031=7,"Sábado",0)))))))</f>
        <v>#REF!</v>
      </c>
      <c r="F1031" s="190" t="e">
        <f>WEEKDAY(D1031)</f>
        <v>#REF!</v>
      </c>
      <c r="G1031" s="142"/>
      <c r="H1031" s="111"/>
    </row>
    <row r="1032" spans="1:8">
      <c r="A1032" s="80"/>
      <c r="B1032" s="81"/>
      <c r="C1032" s="81"/>
      <c r="D1032" s="81"/>
      <c r="E1032" s="81"/>
      <c r="F1032" s="584"/>
      <c r="G1032" s="584"/>
      <c r="H1032" s="111"/>
    </row>
    <row r="1033" spans="1:8">
      <c r="A1033" s="80"/>
      <c r="B1033" s="146">
        <f>+Mensajes!$B$7</f>
        <v>0</v>
      </c>
      <c r="C1033" s="81"/>
      <c r="D1033" s="81"/>
      <c r="E1033" s="81"/>
      <c r="F1033" s="81"/>
      <c r="G1033" s="81"/>
      <c r="H1033" s="111"/>
    </row>
    <row r="1034" spans="1:8">
      <c r="A1034" s="80"/>
      <c r="B1034" s="146">
        <f>+Mensajes!$B$12</f>
        <v>0</v>
      </c>
      <c r="C1034" s="81"/>
      <c r="D1034" s="81"/>
      <c r="E1034" s="81"/>
      <c r="F1034" s="81"/>
      <c r="G1034" s="81"/>
      <c r="H1034" s="111"/>
    </row>
    <row r="1035" spans="1:8">
      <c r="A1035" s="80"/>
      <c r="B1035" s="146" t="str">
        <f>IF(VLOOKUP(G1025,'18_1'!$A$239:$M$257,13,0)=0,"",VLOOKUP(G1025,'18_1'!$A$239:$M$257,13,0))</f>
        <v/>
      </c>
      <c r="C1035" s="81"/>
      <c r="D1035" s="81"/>
      <c r="E1035" s="81"/>
      <c r="F1035" s="81"/>
      <c r="G1035" s="81"/>
      <c r="H1035" s="111"/>
    </row>
    <row r="1036" spans="1:8">
      <c r="A1036" s="140"/>
      <c r="B1036" s="188" t="str">
        <f>IF(DSUM('18_1'!$A$239:$P$257,16,G1024:G1025)=COUNTIF('18_1'!$A$239:$A$257,G1025),"","Regularice su Deuda")</f>
        <v/>
      </c>
      <c r="C1036" s="82"/>
      <c r="D1036" s="82"/>
      <c r="E1036" s="82"/>
      <c r="F1036" s="82"/>
      <c r="G1036" s="82"/>
      <c r="H1036" s="83"/>
    </row>
    <row r="1038" spans="1:8">
      <c r="A1038" s="108"/>
      <c r="B1038" s="109"/>
      <c r="C1038" s="109"/>
      <c r="D1038" s="109"/>
      <c r="E1038" s="109"/>
      <c r="F1038" s="109"/>
      <c r="G1038" s="109"/>
      <c r="H1038" s="110"/>
    </row>
    <row r="1039" spans="1:8">
      <c r="A1039" s="80"/>
      <c r="B1039" s="147" t="s">
        <v>64</v>
      </c>
      <c r="C1039" s="81"/>
      <c r="D1039" s="81"/>
      <c r="E1039" s="81"/>
      <c r="F1039" s="81"/>
      <c r="G1039" s="81"/>
      <c r="H1039" s="111"/>
    </row>
    <row r="1040" spans="1:8">
      <c r="A1040" s="80"/>
      <c r="B1040" s="81"/>
      <c r="C1040" s="81"/>
      <c r="D1040" s="81"/>
      <c r="E1040" s="81"/>
      <c r="F1040" s="81"/>
      <c r="G1040" s="81"/>
      <c r="H1040" s="111"/>
    </row>
    <row r="1041" spans="1:8">
      <c r="A1041" s="80"/>
      <c r="B1041" s="81" t="s">
        <v>139</v>
      </c>
      <c r="C1041" s="81" t="str">
        <f>VLOOKUP(G1042,'18_1'!$A$239:$G$257,6,0)</f>
        <v>MANRESA, BARTOLOME EDGARDO</v>
      </c>
      <c r="D1041" s="81"/>
      <c r="E1041" s="81"/>
      <c r="F1041" s="81"/>
      <c r="G1041" s="138" t="s">
        <v>102</v>
      </c>
      <c r="H1041" s="111"/>
    </row>
    <row r="1042" spans="1:8">
      <c r="A1042" s="80"/>
      <c r="B1042" s="81" t="s">
        <v>72</v>
      </c>
      <c r="C1042" s="81" t="str">
        <f>+'18_1'!$G$2</f>
        <v>Hijuela Morón</v>
      </c>
      <c r="D1042" s="81"/>
      <c r="E1042" s="81"/>
      <c r="F1042" s="81"/>
      <c r="G1042" s="138">
        <v>5</v>
      </c>
      <c r="H1042" s="111"/>
    </row>
    <row r="1043" spans="1:8">
      <c r="A1043" s="80"/>
      <c r="B1043" s="81"/>
      <c r="C1043" s="81"/>
      <c r="D1043" s="81"/>
      <c r="E1043" s="81"/>
      <c r="F1043" s="81"/>
      <c r="G1043" s="81"/>
      <c r="H1043" s="111"/>
    </row>
    <row r="1044" spans="1:8">
      <c r="A1044" s="80"/>
      <c r="B1044" s="81" t="s">
        <v>140</v>
      </c>
      <c r="C1044" s="138">
        <f>VLOOKUP(G1042,'18_1'!$A$239:$B$257,2,0)</f>
        <v>1214</v>
      </c>
      <c r="D1044" s="81"/>
      <c r="E1044" s="139" t="s">
        <v>141</v>
      </c>
      <c r="F1044" s="141" t="e">
        <f>DSUM('18_1'!A$239:J$257,'18_1'!$J$239,G1041:G1042)</f>
        <v>#REF!</v>
      </c>
      <c r="G1044" s="81"/>
      <c r="H1044" s="111"/>
    </row>
    <row r="1045" spans="1:8">
      <c r="A1045" s="80"/>
      <c r="B1045" s="81" t="s">
        <v>142</v>
      </c>
      <c r="C1045" s="205">
        <v>175</v>
      </c>
      <c r="D1045" s="81"/>
      <c r="E1045" s="81"/>
      <c r="F1045" s="81"/>
      <c r="G1045" s="81"/>
      <c r="H1045" s="111"/>
    </row>
    <row r="1046" spans="1:8">
      <c r="A1046" s="80"/>
      <c r="B1046" s="81" t="s">
        <v>144</v>
      </c>
      <c r="C1046" s="206" t="e">
        <f>DSUM('18_1'!$A$239:$H$257,'18_1'!$H$239,G1041:G1042)</f>
        <v>#N/A</v>
      </c>
      <c r="D1046" s="81"/>
      <c r="E1046" s="81"/>
      <c r="F1046" s="584"/>
      <c r="G1046" s="584"/>
      <c r="H1046" s="111"/>
    </row>
    <row r="1047" spans="1:8" ht="15.75">
      <c r="A1047" s="80"/>
      <c r="B1047" s="81"/>
      <c r="C1047" s="81" t="s">
        <v>146</v>
      </c>
      <c r="D1047" s="145" t="e">
        <f>DMIN('18_1'!A$239:K$257,'18_1'!$J$239,G1041:G1042)</f>
        <v>#REF!</v>
      </c>
      <c r="E1047" s="189" t="e">
        <f>IF(F1047=1,"Domingo",IF(F1047=2,"Lunes",IF(F1047=3,"Martes",IF(F1047=4,"Miercoles",IF(F1047=5,"Jueves",IF(F1047=6,"Viernes",IF(F1047=7,"Sábado",0)))))))</f>
        <v>#REF!</v>
      </c>
      <c r="F1047" s="190" t="e">
        <f>WEEKDAY(D1047)</f>
        <v>#REF!</v>
      </c>
      <c r="G1047" s="142"/>
      <c r="H1047" s="111"/>
    </row>
    <row r="1048" spans="1:8" ht="15.75">
      <c r="A1048" s="80"/>
      <c r="B1048" s="81"/>
      <c r="C1048" s="81" t="s">
        <v>147</v>
      </c>
      <c r="D1048" s="145" t="e">
        <f>DMAX('18_1'!A$239:L$257,'18_1'!$K$239,G1041:G1042)</f>
        <v>#REF!</v>
      </c>
      <c r="E1048" s="189" t="e">
        <f>IF(F1048=1,"Domingo",IF(F1048=2,"Lunes",IF(F1048=3,"Martes",IF(F1048=4,"Miercoles",IF(F1048=5,"Jueves",IF(F1048=6,"Viernes",IF(F1048=7,"Sábado",0)))))))</f>
        <v>#REF!</v>
      </c>
      <c r="F1048" s="190" t="e">
        <f>WEEKDAY(D1048)</f>
        <v>#REF!</v>
      </c>
      <c r="G1048" s="142"/>
      <c r="H1048" s="111"/>
    </row>
    <row r="1049" spans="1:8">
      <c r="A1049" s="80"/>
      <c r="B1049" s="81"/>
      <c r="C1049" s="81"/>
      <c r="D1049" s="81"/>
      <c r="E1049" s="81"/>
      <c r="F1049" s="584"/>
      <c r="G1049" s="584"/>
      <c r="H1049" s="111"/>
    </row>
    <row r="1050" spans="1:8">
      <c r="A1050" s="80"/>
      <c r="B1050" s="146">
        <f>+Mensajes!$B$7</f>
        <v>0</v>
      </c>
      <c r="C1050" s="81"/>
      <c r="D1050" s="81"/>
      <c r="E1050" s="81"/>
      <c r="F1050" s="81"/>
      <c r="G1050" s="81"/>
      <c r="H1050" s="111"/>
    </row>
    <row r="1051" spans="1:8">
      <c r="A1051" s="80"/>
      <c r="B1051" s="146">
        <f>+Mensajes!$B$12</f>
        <v>0</v>
      </c>
      <c r="C1051" s="81"/>
      <c r="D1051" s="81"/>
      <c r="E1051" s="81"/>
      <c r="F1051" s="81"/>
      <c r="G1051" s="81"/>
      <c r="H1051" s="111"/>
    </row>
    <row r="1052" spans="1:8">
      <c r="A1052" s="80"/>
      <c r="B1052" s="146" t="str">
        <f>IF(VLOOKUP(G1042,'18_1'!$A$239:$M$257,13,0)=0,"",VLOOKUP(G1042,'18_1'!$A$239:$M$257,13,0))</f>
        <v/>
      </c>
      <c r="C1052" s="81"/>
      <c r="D1052" s="81"/>
      <c r="E1052" s="81"/>
      <c r="F1052" s="81"/>
      <c r="G1052" s="81"/>
      <c r="H1052" s="111"/>
    </row>
    <row r="1053" spans="1:8">
      <c r="A1053" s="140"/>
      <c r="B1053" s="188" t="str">
        <f>IF(DSUM('18_1'!$A$239:$P$257,16,G1041:G1042)=COUNTIF('18_1'!$A$239:$A$257,G1042),"","Regularice su Deuda")</f>
        <v>Regularice su Deuda</v>
      </c>
      <c r="C1053" s="82"/>
      <c r="D1053" s="82"/>
      <c r="E1053" s="82"/>
      <c r="F1053" s="82"/>
      <c r="G1053" s="82"/>
      <c r="H1053" s="83"/>
    </row>
    <row r="1055" spans="1:8">
      <c r="A1055" s="108"/>
      <c r="B1055" s="109"/>
      <c r="C1055" s="109"/>
      <c r="D1055" s="109"/>
      <c r="E1055" s="109"/>
      <c r="F1055" s="109"/>
      <c r="G1055" s="109"/>
      <c r="H1055" s="110"/>
    </row>
    <row r="1056" spans="1:8">
      <c r="A1056" s="80"/>
      <c r="B1056" s="147" t="s">
        <v>64</v>
      </c>
      <c r="C1056" s="81"/>
      <c r="D1056" s="81"/>
      <c r="E1056" s="81"/>
      <c r="F1056" s="81"/>
      <c r="G1056" s="81"/>
      <c r="H1056" s="111"/>
    </row>
    <row r="1057" spans="1:8">
      <c r="A1057" s="80"/>
      <c r="B1057" s="81"/>
      <c r="C1057" s="81"/>
      <c r="D1057" s="81"/>
      <c r="E1057" s="81"/>
      <c r="F1057" s="81"/>
      <c r="G1057" s="81"/>
      <c r="H1057" s="111"/>
    </row>
    <row r="1058" spans="1:8">
      <c r="A1058" s="80"/>
      <c r="B1058" s="81" t="s">
        <v>139</v>
      </c>
      <c r="C1058" s="81" t="str">
        <f>VLOOKUP(G1059,'18_1'!$A$239:$G$257,6,0)</f>
        <v>MUNICIPALIDAD DE LAVALLE</v>
      </c>
      <c r="D1058" s="81"/>
      <c r="E1058" s="81"/>
      <c r="F1058" s="81"/>
      <c r="G1058" s="138" t="s">
        <v>102</v>
      </c>
      <c r="H1058" s="111"/>
    </row>
    <row r="1059" spans="1:8">
      <c r="A1059" s="80"/>
      <c r="B1059" s="81" t="s">
        <v>72</v>
      </c>
      <c r="C1059" s="81" t="str">
        <f>+'18_1'!$G$2</f>
        <v>Hijuela Morón</v>
      </c>
      <c r="D1059" s="81"/>
      <c r="E1059" s="81"/>
      <c r="F1059" s="81"/>
      <c r="G1059" s="138">
        <v>6</v>
      </c>
      <c r="H1059" s="111"/>
    </row>
    <row r="1060" spans="1:8">
      <c r="A1060" s="80"/>
      <c r="B1060" s="81"/>
      <c r="C1060" s="81"/>
      <c r="D1060" s="81"/>
      <c r="E1060" s="81"/>
      <c r="F1060" s="81"/>
      <c r="G1060" s="81"/>
      <c r="H1060" s="111"/>
    </row>
    <row r="1061" spans="1:8">
      <c r="A1061" s="80"/>
      <c r="B1061" s="81" t="s">
        <v>140</v>
      </c>
      <c r="C1061" s="138">
        <f>VLOOKUP(G1059,'18_1'!$A$239:$B$257,2,0)</f>
        <v>1214</v>
      </c>
      <c r="D1061" s="81"/>
      <c r="E1061" s="139" t="s">
        <v>141</v>
      </c>
      <c r="F1061" s="141" t="e">
        <f>DSUM('18_1'!A$239:J$257,'18_1'!$J$239,G1058:G1059)</f>
        <v>#REF!</v>
      </c>
      <c r="G1061" s="81"/>
      <c r="H1061" s="111"/>
    </row>
    <row r="1062" spans="1:8">
      <c r="A1062" s="80"/>
      <c r="B1062" s="81" t="s">
        <v>142</v>
      </c>
      <c r="C1062" s="205">
        <v>202</v>
      </c>
      <c r="D1062" s="81"/>
      <c r="E1062" s="81"/>
      <c r="F1062" s="81"/>
      <c r="G1062" s="81"/>
      <c r="H1062" s="111"/>
    </row>
    <row r="1063" spans="1:8">
      <c r="A1063" s="80"/>
      <c r="B1063" s="81" t="s">
        <v>144</v>
      </c>
      <c r="C1063" s="206" t="e">
        <f>DSUM('18_1'!$A$239:$H$257,'18_1'!$H$239,G1058:G1059)</f>
        <v>#N/A</v>
      </c>
      <c r="D1063" s="81"/>
      <c r="E1063" s="81"/>
      <c r="F1063" s="584"/>
      <c r="G1063" s="584"/>
      <c r="H1063" s="111"/>
    </row>
    <row r="1064" spans="1:8" ht="15.75">
      <c r="A1064" s="80"/>
      <c r="B1064" s="81"/>
      <c r="C1064" s="81" t="s">
        <v>146</v>
      </c>
      <c r="D1064" s="145" t="e">
        <f>DMIN('18_1'!A$239:K$257,'18_1'!$J$239,G1058:G1059)</f>
        <v>#REF!</v>
      </c>
      <c r="E1064" s="189" t="e">
        <f>IF(F1064=1,"Domingo",IF(F1064=2,"Lunes",IF(F1064=3,"Martes",IF(F1064=4,"Miercoles",IF(F1064=5,"Jueves",IF(F1064=6,"Viernes",IF(F1064=7,"Sábado",0)))))))</f>
        <v>#REF!</v>
      </c>
      <c r="F1064" s="190" t="e">
        <f>WEEKDAY(D1064)</f>
        <v>#REF!</v>
      </c>
      <c r="G1064" s="142"/>
      <c r="H1064" s="111"/>
    </row>
    <row r="1065" spans="1:8" ht="15.75">
      <c r="A1065" s="80"/>
      <c r="B1065" s="81"/>
      <c r="C1065" s="81" t="s">
        <v>147</v>
      </c>
      <c r="D1065" s="145" t="e">
        <f>DMAX('18_1'!A$239:L$257,'18_1'!$K$239,G1058:G1059)</f>
        <v>#REF!</v>
      </c>
      <c r="E1065" s="189" t="e">
        <f>IF(F1065=1,"Domingo",IF(F1065=2,"Lunes",IF(F1065=3,"Martes",IF(F1065=4,"Miercoles",IF(F1065=5,"Jueves",IF(F1065=6,"Viernes",IF(F1065=7,"Sábado",0)))))))</f>
        <v>#REF!</v>
      </c>
      <c r="F1065" s="190" t="e">
        <f>WEEKDAY(D1065)</f>
        <v>#REF!</v>
      </c>
      <c r="G1065" s="142"/>
      <c r="H1065" s="111"/>
    </row>
    <row r="1066" spans="1:8">
      <c r="A1066" s="80"/>
      <c r="B1066" s="81"/>
      <c r="C1066" s="81"/>
      <c r="D1066" s="81"/>
      <c r="E1066" s="81"/>
      <c r="F1066" s="584"/>
      <c r="G1066" s="584"/>
      <c r="H1066" s="111"/>
    </row>
    <row r="1067" spans="1:8">
      <c r="A1067" s="80"/>
      <c r="B1067" s="146">
        <f>+Mensajes!$B$7</f>
        <v>0</v>
      </c>
      <c r="C1067" s="81"/>
      <c r="D1067" s="81"/>
      <c r="E1067" s="81"/>
      <c r="F1067" s="81"/>
      <c r="G1067" s="81"/>
      <c r="H1067" s="111"/>
    </row>
    <row r="1068" spans="1:8">
      <c r="A1068" s="80"/>
      <c r="B1068" s="146">
        <f>+Mensajes!$B$12</f>
        <v>0</v>
      </c>
      <c r="C1068" s="81"/>
      <c r="D1068" s="81"/>
      <c r="E1068" s="81"/>
      <c r="F1068" s="81"/>
      <c r="G1068" s="81"/>
      <c r="H1068" s="111"/>
    </row>
    <row r="1069" spans="1:8">
      <c r="A1069" s="80"/>
      <c r="B1069" s="146" t="str">
        <f>IF(VLOOKUP(G1059,'18_1'!$A$239:$M$257,13,0)=0,"",VLOOKUP(G1059,'18_1'!$A$239:$M$257,13,0))</f>
        <v/>
      </c>
      <c r="C1069" s="81"/>
      <c r="D1069" s="81"/>
      <c r="E1069" s="81"/>
      <c r="F1069" s="81"/>
      <c r="G1069" s="81"/>
      <c r="H1069" s="111"/>
    </row>
    <row r="1070" spans="1:8">
      <c r="A1070" s="140"/>
      <c r="B1070" s="188" t="str">
        <f>IF(DSUM('18_1'!$A$239:$P$257,16,G1058:G1059)=COUNTIF('18_1'!$A$239:$A$257,G1059),"","Regularice su Deuda")</f>
        <v>Regularice su Deuda</v>
      </c>
      <c r="C1070" s="82"/>
      <c r="D1070" s="82"/>
      <c r="E1070" s="82"/>
      <c r="F1070" s="82"/>
      <c r="G1070" s="82"/>
      <c r="H1070" s="83"/>
    </row>
    <row r="1072" spans="1:8">
      <c r="A1072" s="108"/>
      <c r="B1072" s="109"/>
      <c r="C1072" s="109"/>
      <c r="D1072" s="109"/>
      <c r="E1072" s="109"/>
      <c r="F1072" s="109"/>
      <c r="G1072" s="109"/>
      <c r="H1072" s="110"/>
    </row>
    <row r="1073" spans="1:8">
      <c r="A1073" s="80"/>
      <c r="B1073" s="147" t="s">
        <v>64</v>
      </c>
      <c r="C1073" s="81"/>
      <c r="D1073" s="81"/>
      <c r="E1073" s="81"/>
      <c r="F1073" s="81"/>
      <c r="G1073" s="81"/>
      <c r="H1073" s="111"/>
    </row>
    <row r="1074" spans="1:8">
      <c r="A1074" s="80"/>
      <c r="B1074" s="81"/>
      <c r="C1074" s="81"/>
      <c r="D1074" s="81"/>
      <c r="E1074" s="81"/>
      <c r="F1074" s="81"/>
      <c r="G1074" s="81"/>
      <c r="H1074" s="111"/>
    </row>
    <row r="1075" spans="1:8">
      <c r="A1075" s="80"/>
      <c r="B1075" s="81" t="s">
        <v>139</v>
      </c>
      <c r="C1075" s="81" t="str">
        <f>VLOOKUP(G1076,'18_1'!$A$239:$G$257,6,0)</f>
        <v>VILLEGAS, ANASTACIO</v>
      </c>
      <c r="D1075" s="81"/>
      <c r="E1075" s="81"/>
      <c r="F1075" s="81"/>
      <c r="G1075" s="138" t="s">
        <v>102</v>
      </c>
      <c r="H1075" s="111"/>
    </row>
    <row r="1076" spans="1:8">
      <c r="A1076" s="80"/>
      <c r="B1076" s="81" t="s">
        <v>72</v>
      </c>
      <c r="C1076" s="81" t="str">
        <f>+'18_1'!$G$2</f>
        <v>Hijuela Morón</v>
      </c>
      <c r="D1076" s="81"/>
      <c r="E1076" s="81"/>
      <c r="F1076" s="81"/>
      <c r="G1076" s="138">
        <v>7</v>
      </c>
      <c r="H1076" s="111"/>
    </row>
    <row r="1077" spans="1:8">
      <c r="A1077" s="80"/>
      <c r="B1077" s="81"/>
      <c r="C1077" s="81"/>
      <c r="D1077" s="81"/>
      <c r="E1077" s="81"/>
      <c r="F1077" s="81"/>
      <c r="G1077" s="81"/>
      <c r="H1077" s="111"/>
    </row>
    <row r="1078" spans="1:8">
      <c r="A1078" s="80"/>
      <c r="B1078" s="81" t="s">
        <v>140</v>
      </c>
      <c r="C1078" s="138">
        <f>VLOOKUP(G1076,'18_1'!$A$239:$B$257,2,0)</f>
        <v>1214</v>
      </c>
      <c r="D1078" s="81"/>
      <c r="E1078" s="139" t="s">
        <v>141</v>
      </c>
      <c r="F1078" s="141" t="e">
        <f>DSUM('18_1'!A$239:J$257,'18_1'!$J$239,G1075:G1076)</f>
        <v>#REF!</v>
      </c>
      <c r="G1078" s="81"/>
      <c r="H1078" s="111"/>
    </row>
    <row r="1079" spans="1:8">
      <c r="A1079" s="80"/>
      <c r="B1079" s="81" t="s">
        <v>142</v>
      </c>
      <c r="C1079" s="205">
        <v>158</v>
      </c>
      <c r="D1079" s="81"/>
      <c r="E1079" s="81"/>
      <c r="F1079" s="81"/>
      <c r="G1079" s="81"/>
      <c r="H1079" s="111"/>
    </row>
    <row r="1080" spans="1:8">
      <c r="A1080" s="80"/>
      <c r="B1080" s="81" t="s">
        <v>144</v>
      </c>
      <c r="C1080" s="206" t="e">
        <f>DSUM('18_1'!$A$239:$H$257,'18_1'!$H$239,G1075:G1076)</f>
        <v>#N/A</v>
      </c>
      <c r="D1080" s="81"/>
      <c r="E1080" s="81"/>
      <c r="F1080" s="584"/>
      <c r="G1080" s="584"/>
      <c r="H1080" s="111"/>
    </row>
    <row r="1081" spans="1:8" ht="15.75">
      <c r="A1081" s="80"/>
      <c r="B1081" s="81"/>
      <c r="C1081" s="81" t="s">
        <v>146</v>
      </c>
      <c r="D1081" s="145" t="e">
        <f>DMIN('18_1'!A$239:K$257,'18_1'!$J$239,G1075:G1076)</f>
        <v>#REF!</v>
      </c>
      <c r="E1081" s="189" t="e">
        <f>IF(F1081=1,"Domingo",IF(F1081=2,"Lunes",IF(F1081=3,"Martes",IF(F1081=4,"Miercoles",IF(F1081=5,"Jueves",IF(F1081=6,"Viernes",IF(F1081=7,"Sábado",0)))))))</f>
        <v>#REF!</v>
      </c>
      <c r="F1081" s="190" t="e">
        <f>WEEKDAY(D1081)</f>
        <v>#REF!</v>
      </c>
      <c r="G1081" s="142"/>
      <c r="H1081" s="111"/>
    </row>
    <row r="1082" spans="1:8" ht="15.75">
      <c r="A1082" s="80"/>
      <c r="B1082" s="81"/>
      <c r="C1082" s="81" t="s">
        <v>147</v>
      </c>
      <c r="D1082" s="145" t="e">
        <f>DMAX('18_1'!A$239:L$257,'18_1'!$K$239,G1075:G1076)</f>
        <v>#REF!</v>
      </c>
      <c r="E1082" s="189" t="e">
        <f>IF(F1082=1,"Domingo",IF(F1082=2,"Lunes",IF(F1082=3,"Martes",IF(F1082=4,"Miercoles",IF(F1082=5,"Jueves",IF(F1082=6,"Viernes",IF(F1082=7,"Sábado",0)))))))</f>
        <v>#REF!</v>
      </c>
      <c r="F1082" s="190" t="e">
        <f>WEEKDAY(D1082)</f>
        <v>#REF!</v>
      </c>
      <c r="G1082" s="142"/>
      <c r="H1082" s="111"/>
    </row>
    <row r="1083" spans="1:8">
      <c r="A1083" s="80"/>
      <c r="B1083" s="81"/>
      <c r="C1083" s="81"/>
      <c r="D1083" s="81"/>
      <c r="E1083" s="81"/>
      <c r="F1083" s="584"/>
      <c r="G1083" s="584"/>
      <c r="H1083" s="111"/>
    </row>
    <row r="1084" spans="1:8">
      <c r="A1084" s="80"/>
      <c r="B1084" s="146">
        <f>+Mensajes!$B$7</f>
        <v>0</v>
      </c>
      <c r="C1084" s="81"/>
      <c r="D1084" s="81"/>
      <c r="E1084" s="81"/>
      <c r="F1084" s="81"/>
      <c r="G1084" s="81"/>
      <c r="H1084" s="111"/>
    </row>
    <row r="1085" spans="1:8">
      <c r="A1085" s="80"/>
      <c r="B1085" s="146">
        <f>+Mensajes!$B$12</f>
        <v>0</v>
      </c>
      <c r="C1085" s="81"/>
      <c r="D1085" s="81"/>
      <c r="E1085" s="81"/>
      <c r="F1085" s="81"/>
      <c r="G1085" s="81"/>
      <c r="H1085" s="111"/>
    </row>
    <row r="1086" spans="1:8">
      <c r="A1086" s="80"/>
      <c r="B1086" s="146" t="str">
        <f>IF(VLOOKUP(G1076,'18_1'!$A$239:$M$257,13,0)=0,"",VLOOKUP(G1076,'18_1'!$A$239:$M$257,13,0))</f>
        <v/>
      </c>
      <c r="C1086" s="81"/>
      <c r="D1086" s="81"/>
      <c r="E1086" s="81"/>
      <c r="F1086" s="81"/>
      <c r="G1086" s="81"/>
      <c r="H1086" s="111"/>
    </row>
    <row r="1087" spans="1:8">
      <c r="A1087" s="140"/>
      <c r="B1087" s="188" t="str">
        <f>IF(DSUM('18_1'!$A$239:$P$257,16,G1075:G1076)=COUNTIF('18_1'!$A$239:$A$257,G1076),"","Regularice su Deuda")</f>
        <v/>
      </c>
      <c r="C1087" s="82"/>
      <c r="D1087" s="82"/>
      <c r="E1087" s="82"/>
      <c r="F1087" s="82"/>
      <c r="G1087" s="82"/>
      <c r="H1087" s="83"/>
    </row>
    <row r="1089" spans="1:8">
      <c r="A1089" s="108"/>
      <c r="B1089" s="109"/>
      <c r="C1089" s="109"/>
      <c r="D1089" s="109"/>
      <c r="E1089" s="109"/>
      <c r="F1089" s="109"/>
      <c r="G1089" s="109"/>
      <c r="H1089" s="110"/>
    </row>
    <row r="1090" spans="1:8">
      <c r="A1090" s="80"/>
      <c r="B1090" s="147" t="s">
        <v>64</v>
      </c>
      <c r="C1090" s="81"/>
      <c r="D1090" s="81"/>
      <c r="E1090" s="81"/>
      <c r="F1090" s="81"/>
      <c r="G1090" s="81"/>
      <c r="H1090" s="111"/>
    </row>
    <row r="1091" spans="1:8">
      <c r="A1091" s="80"/>
      <c r="B1091" s="81"/>
      <c r="C1091" s="81"/>
      <c r="D1091" s="81"/>
      <c r="E1091" s="81"/>
      <c r="F1091" s="81"/>
      <c r="G1091" s="81"/>
      <c r="H1091" s="111"/>
    </row>
    <row r="1092" spans="1:8">
      <c r="A1092" s="80"/>
      <c r="B1092" s="81" t="s">
        <v>139</v>
      </c>
      <c r="C1092" s="81" t="str">
        <f>VLOOKUP(G1093,'18_1'!$A$239:$G$257,6,0)</f>
        <v>BARROSO, CARINA GABRIELA Y BARROSO, IVANA HAYDEE</v>
      </c>
      <c r="D1092" s="81"/>
      <c r="E1092" s="81"/>
      <c r="F1092" s="81"/>
      <c r="G1092" s="138" t="s">
        <v>102</v>
      </c>
      <c r="H1092" s="111"/>
    </row>
    <row r="1093" spans="1:8">
      <c r="A1093" s="80"/>
      <c r="B1093" s="81" t="s">
        <v>72</v>
      </c>
      <c r="C1093" s="81" t="str">
        <f>+'18_1'!$G$2</f>
        <v>Hijuela Morón</v>
      </c>
      <c r="D1093" s="81"/>
      <c r="E1093" s="81"/>
      <c r="F1093" s="81"/>
      <c r="G1093" s="138">
        <v>8</v>
      </c>
      <c r="H1093" s="111"/>
    </row>
    <row r="1094" spans="1:8">
      <c r="A1094" s="80"/>
      <c r="B1094" s="81"/>
      <c r="C1094" s="81"/>
      <c r="D1094" s="81"/>
      <c r="E1094" s="81"/>
      <c r="F1094" s="81"/>
      <c r="G1094" s="81"/>
      <c r="H1094" s="111"/>
    </row>
    <row r="1095" spans="1:8">
      <c r="A1095" s="80"/>
      <c r="B1095" s="81" t="s">
        <v>140</v>
      </c>
      <c r="C1095" s="138">
        <f>VLOOKUP(G1093,'18_1'!$A$239:$B$257,2,0)</f>
        <v>1214</v>
      </c>
      <c r="D1095" s="81"/>
      <c r="E1095" s="139" t="s">
        <v>141</v>
      </c>
      <c r="F1095" s="141" t="e">
        <f>DSUM('18_1'!A$239:J$257,'18_1'!$J$239,G1092:G1093)</f>
        <v>#REF!</v>
      </c>
      <c r="G1095" s="81"/>
      <c r="H1095" s="111"/>
    </row>
    <row r="1096" spans="1:8">
      <c r="A1096" s="80"/>
      <c r="B1096" s="81" t="s">
        <v>142</v>
      </c>
      <c r="C1096" s="205">
        <v>176</v>
      </c>
      <c r="D1096" s="81"/>
      <c r="E1096" s="81"/>
      <c r="F1096" s="81"/>
      <c r="G1096" s="81"/>
      <c r="H1096" s="111"/>
    </row>
    <row r="1097" spans="1:8">
      <c r="A1097" s="80"/>
      <c r="B1097" s="81" t="s">
        <v>144</v>
      </c>
      <c r="C1097" s="206" t="e">
        <f>DSUM('18_1'!$A$239:$H$257,'18_1'!$H$239,G1092:G1093)</f>
        <v>#N/A</v>
      </c>
      <c r="D1097" s="81"/>
      <c r="E1097" s="81"/>
      <c r="F1097" s="584"/>
      <c r="G1097" s="584"/>
      <c r="H1097" s="111"/>
    </row>
    <row r="1098" spans="1:8" ht="15.75">
      <c r="A1098" s="80"/>
      <c r="B1098" s="81"/>
      <c r="C1098" s="81" t="s">
        <v>146</v>
      </c>
      <c r="D1098" s="145" t="e">
        <f>DMIN('18_1'!A$239:K$257,'18_1'!$J$239,G1092:G1093)</f>
        <v>#REF!</v>
      </c>
      <c r="E1098" s="189" t="e">
        <f>IF(F1098=1,"Domingo",IF(F1098=2,"Lunes",IF(F1098=3,"Martes",IF(F1098=4,"Miercoles",IF(F1098=5,"Jueves",IF(F1098=6,"Viernes",IF(F1098=7,"Sábado",0)))))))</f>
        <v>#REF!</v>
      </c>
      <c r="F1098" s="190" t="e">
        <f>WEEKDAY(D1098)</f>
        <v>#REF!</v>
      </c>
      <c r="G1098" s="142"/>
      <c r="H1098" s="111"/>
    </row>
    <row r="1099" spans="1:8" ht="15.75">
      <c r="A1099" s="80"/>
      <c r="B1099" s="81"/>
      <c r="C1099" s="81" t="s">
        <v>147</v>
      </c>
      <c r="D1099" s="145" t="e">
        <f>DMAX('18_1'!A$239:L$257,'18_1'!$K$239,G1092:G1093)</f>
        <v>#REF!</v>
      </c>
      <c r="E1099" s="189" t="e">
        <f>IF(F1099=1,"Domingo",IF(F1099=2,"Lunes",IF(F1099=3,"Martes",IF(F1099=4,"Miercoles",IF(F1099=5,"Jueves",IF(F1099=6,"Viernes",IF(F1099=7,"Sábado",0)))))))</f>
        <v>#REF!</v>
      </c>
      <c r="F1099" s="190" t="e">
        <f>WEEKDAY(D1099)</f>
        <v>#REF!</v>
      </c>
      <c r="G1099" s="142"/>
      <c r="H1099" s="111"/>
    </row>
    <row r="1100" spans="1:8">
      <c r="A1100" s="80"/>
      <c r="B1100" s="81"/>
      <c r="C1100" s="81"/>
      <c r="D1100" s="81"/>
      <c r="E1100" s="81"/>
      <c r="F1100" s="584"/>
      <c r="G1100" s="584"/>
      <c r="H1100" s="111"/>
    </row>
    <row r="1101" spans="1:8">
      <c r="A1101" s="80"/>
      <c r="B1101" s="146">
        <f>+Mensajes!$B$7</f>
        <v>0</v>
      </c>
      <c r="C1101" s="81"/>
      <c r="D1101" s="81"/>
      <c r="E1101" s="81"/>
      <c r="F1101" s="81"/>
      <c r="G1101" s="81"/>
      <c r="H1101" s="111"/>
    </row>
    <row r="1102" spans="1:8">
      <c r="A1102" s="80"/>
      <c r="B1102" s="146">
        <f>+Mensajes!$B$12</f>
        <v>0</v>
      </c>
      <c r="C1102" s="81"/>
      <c r="D1102" s="81"/>
      <c r="E1102" s="81"/>
      <c r="F1102" s="81"/>
      <c r="G1102" s="81"/>
      <c r="H1102" s="111"/>
    </row>
    <row r="1103" spans="1:8">
      <c r="A1103" s="80"/>
      <c r="B1103" s="146" t="str">
        <f>IF(VLOOKUP(G1093,'18_1'!$A$239:$M$257,13,0)=0,"",VLOOKUP(G1093,'18_1'!$A$239:$M$257,13,0))</f>
        <v/>
      </c>
      <c r="C1103" s="81"/>
      <c r="D1103" s="81"/>
      <c r="E1103" s="81"/>
      <c r="F1103" s="81"/>
      <c r="G1103" s="81"/>
      <c r="H1103" s="111"/>
    </row>
    <row r="1104" spans="1:8">
      <c r="A1104" s="140"/>
      <c r="B1104" s="188" t="str">
        <f>IF(DSUM('18_1'!$A$239:$P$257,16,G1092:G1093)=COUNTIF('18_1'!$A$239:$A$257,G1093),"","Regularice su Deuda")</f>
        <v>Regularice su Deuda</v>
      </c>
      <c r="C1104" s="82"/>
      <c r="D1104" s="82"/>
      <c r="E1104" s="82"/>
      <c r="F1104" s="82"/>
      <c r="G1104" s="82"/>
      <c r="H1104" s="83"/>
    </row>
    <row r="1106" spans="1:8">
      <c r="A1106" s="108"/>
      <c r="B1106" s="109"/>
      <c r="C1106" s="109"/>
      <c r="D1106" s="109"/>
      <c r="E1106" s="109"/>
      <c r="F1106" s="109"/>
      <c r="G1106" s="109"/>
      <c r="H1106" s="110"/>
    </row>
    <row r="1107" spans="1:8">
      <c r="A1107" s="80"/>
      <c r="B1107" s="147" t="s">
        <v>64</v>
      </c>
      <c r="C1107" s="81"/>
      <c r="D1107" s="81"/>
      <c r="E1107" s="81"/>
      <c r="F1107" s="81"/>
      <c r="G1107" s="81"/>
      <c r="H1107" s="111"/>
    </row>
    <row r="1108" spans="1:8">
      <c r="A1108" s="80"/>
      <c r="B1108" s="81"/>
      <c r="C1108" s="81"/>
      <c r="D1108" s="81"/>
      <c r="E1108" s="81"/>
      <c r="F1108" s="81"/>
      <c r="G1108" s="81"/>
      <c r="H1108" s="111"/>
    </row>
    <row r="1109" spans="1:8">
      <c r="A1109" s="80"/>
      <c r="B1109" s="81" t="s">
        <v>139</v>
      </c>
      <c r="C1109" s="81" t="str">
        <f>VLOOKUP(G1110,'18_1'!$A$239:$G$257,6,0)</f>
        <v>OLAIZ, FELIX</v>
      </c>
      <c r="D1109" s="81"/>
      <c r="E1109" s="81"/>
      <c r="F1109" s="81"/>
      <c r="G1109" s="138" t="s">
        <v>102</v>
      </c>
      <c r="H1109" s="111"/>
    </row>
    <row r="1110" spans="1:8">
      <c r="A1110" s="80"/>
      <c r="B1110" s="81" t="s">
        <v>72</v>
      </c>
      <c r="C1110" s="81" t="str">
        <f>+'18_1'!$G$2</f>
        <v>Hijuela Morón</v>
      </c>
      <c r="D1110" s="81"/>
      <c r="E1110" s="81"/>
      <c r="F1110" s="81"/>
      <c r="G1110" s="138">
        <v>9</v>
      </c>
      <c r="H1110" s="111"/>
    </row>
    <row r="1111" spans="1:8">
      <c r="A1111" s="80"/>
      <c r="B1111" s="81"/>
      <c r="C1111" s="81"/>
      <c r="D1111" s="81"/>
      <c r="E1111" s="81"/>
      <c r="F1111" s="81"/>
      <c r="G1111" s="81"/>
      <c r="H1111" s="111"/>
    </row>
    <row r="1112" spans="1:8">
      <c r="A1112" s="80"/>
      <c r="B1112" s="81" t="s">
        <v>140</v>
      </c>
      <c r="C1112" s="138">
        <f>VLOOKUP(G1110,'18_1'!$A$239:$B$257,2,0)</f>
        <v>1214</v>
      </c>
      <c r="D1112" s="81"/>
      <c r="E1112" s="139" t="s">
        <v>141</v>
      </c>
      <c r="F1112" s="141" t="e">
        <f>DSUM('18_1'!A$239:J$257,'18_1'!$J$239,G1109:G1110)</f>
        <v>#REF!</v>
      </c>
      <c r="G1112" s="81"/>
      <c r="H1112" s="111"/>
    </row>
    <row r="1113" spans="1:8">
      <c r="A1113" s="80"/>
      <c r="B1113" s="81" t="s">
        <v>142</v>
      </c>
      <c r="C1113" s="205" t="s">
        <v>680</v>
      </c>
      <c r="D1113" s="81"/>
      <c r="E1113" s="81"/>
      <c r="F1113" s="81"/>
      <c r="G1113" s="81"/>
      <c r="H1113" s="111"/>
    </row>
    <row r="1114" spans="1:8">
      <c r="A1114" s="80"/>
      <c r="B1114" s="81" t="s">
        <v>144</v>
      </c>
      <c r="C1114" s="206" t="e">
        <f>DSUM('18_1'!$A$239:$H$257,'18_1'!$H$239,G1109:G1110)</f>
        <v>#N/A</v>
      </c>
      <c r="D1114" s="81"/>
      <c r="E1114" s="81"/>
      <c r="F1114" s="584"/>
      <c r="G1114" s="584"/>
      <c r="H1114" s="111"/>
    </row>
    <row r="1115" spans="1:8" ht="15.75">
      <c r="A1115" s="80"/>
      <c r="B1115" s="81"/>
      <c r="C1115" s="81" t="s">
        <v>146</v>
      </c>
      <c r="D1115" s="145" t="e">
        <f>DMIN('18_1'!A$239:K$257,'18_1'!$J$239,G1109:G1110)</f>
        <v>#REF!</v>
      </c>
      <c r="E1115" s="189" t="e">
        <f>IF(F1115=1,"Domingo",IF(F1115=2,"Lunes",IF(F1115=3,"Martes",IF(F1115=4,"Miercoles",IF(F1115=5,"Jueves",IF(F1115=6,"Viernes",IF(F1115=7,"Sábado",0)))))))</f>
        <v>#REF!</v>
      </c>
      <c r="F1115" s="190" t="e">
        <f>WEEKDAY(D1115)</f>
        <v>#REF!</v>
      </c>
      <c r="G1115" s="142"/>
      <c r="H1115" s="111"/>
    </row>
    <row r="1116" spans="1:8" ht="15.75">
      <c r="A1116" s="80"/>
      <c r="B1116" s="81"/>
      <c r="C1116" s="81" t="s">
        <v>147</v>
      </c>
      <c r="D1116" s="145" t="e">
        <f>DMAX('18_1'!A$239:L$257,'18_1'!$K$239,G1109:G1110)</f>
        <v>#REF!</v>
      </c>
      <c r="E1116" s="189" t="e">
        <f>IF(F1116=1,"Domingo",IF(F1116=2,"Lunes",IF(F1116=3,"Martes",IF(F1116=4,"Miercoles",IF(F1116=5,"Jueves",IF(F1116=6,"Viernes",IF(F1116=7,"Sábado",0)))))))</f>
        <v>#REF!</v>
      </c>
      <c r="F1116" s="190" t="e">
        <f>WEEKDAY(D1116)</f>
        <v>#REF!</v>
      </c>
      <c r="G1116" s="142"/>
      <c r="H1116" s="111"/>
    </row>
    <row r="1117" spans="1:8">
      <c r="A1117" s="80"/>
      <c r="B1117" s="81"/>
      <c r="C1117" s="81"/>
      <c r="D1117" s="81"/>
      <c r="E1117" s="81"/>
      <c r="F1117" s="584"/>
      <c r="G1117" s="584"/>
      <c r="H1117" s="111"/>
    </row>
    <row r="1118" spans="1:8">
      <c r="A1118" s="80"/>
      <c r="B1118" s="146">
        <f>+Mensajes!$B$7</f>
        <v>0</v>
      </c>
      <c r="C1118" s="81"/>
      <c r="D1118" s="81"/>
      <c r="E1118" s="81"/>
      <c r="F1118" s="81"/>
      <c r="G1118" s="81"/>
      <c r="H1118" s="111"/>
    </row>
    <row r="1119" spans="1:8">
      <c r="A1119" s="80"/>
      <c r="B1119" s="146">
        <f>+Mensajes!$B$12</f>
        <v>0</v>
      </c>
      <c r="C1119" s="81"/>
      <c r="D1119" s="81"/>
      <c r="E1119" s="81"/>
      <c r="F1119" s="81"/>
      <c r="G1119" s="81"/>
      <c r="H1119" s="111"/>
    </row>
    <row r="1120" spans="1:8">
      <c r="A1120" s="80"/>
      <c r="B1120" s="146" t="str">
        <f>IF(VLOOKUP(G1110,'18_1'!$A$239:$M$257,13,0)=0,"",VLOOKUP(G1110,'18_1'!$A$239:$M$257,13,0))</f>
        <v/>
      </c>
      <c r="C1120" s="81"/>
      <c r="D1120" s="81"/>
      <c r="E1120" s="81"/>
      <c r="F1120" s="81"/>
      <c r="G1120" s="81"/>
      <c r="H1120" s="111"/>
    </row>
    <row r="1121" spans="1:8">
      <c r="A1121" s="140"/>
      <c r="B1121" s="188" t="e">
        <f>IF(DSUM('18_1'!$A$239:$P$257,16,G1109:G1110)=COUNTIF('18_1'!$A$239:$A$257,G1110),"","Regularice su Deuda")</f>
        <v>#N/A</v>
      </c>
      <c r="C1121" s="82"/>
      <c r="D1121" s="82"/>
      <c r="E1121" s="82"/>
      <c r="F1121" s="82"/>
      <c r="G1121" s="82"/>
      <c r="H1121" s="83"/>
    </row>
    <row r="1123" spans="1:8">
      <c r="A1123" s="108"/>
      <c r="B1123" s="109"/>
      <c r="C1123" s="109"/>
      <c r="D1123" s="109"/>
      <c r="E1123" s="109"/>
      <c r="F1123" s="109"/>
      <c r="G1123" s="109"/>
      <c r="H1123" s="110"/>
    </row>
    <row r="1124" spans="1:8">
      <c r="A1124" s="80"/>
      <c r="B1124" s="147" t="s">
        <v>64</v>
      </c>
      <c r="C1124" s="81"/>
      <c r="D1124" s="81"/>
      <c r="E1124" s="81"/>
      <c r="F1124" s="81"/>
      <c r="G1124" s="81"/>
      <c r="H1124" s="111"/>
    </row>
    <row r="1125" spans="1:8">
      <c r="A1125" s="80"/>
      <c r="B1125" s="81"/>
      <c r="C1125" s="81"/>
      <c r="D1125" s="81"/>
      <c r="E1125" s="81"/>
      <c r="F1125" s="81"/>
      <c r="G1125" s="81"/>
      <c r="H1125" s="111"/>
    </row>
    <row r="1126" spans="1:8">
      <c r="A1126" s="80"/>
      <c r="B1126" s="81" t="s">
        <v>139</v>
      </c>
      <c r="C1126" s="81" t="str">
        <f>VLOOKUP(G1127,'18_1'!$A$239:$G$257,6,0)</f>
        <v>LOPEZ, ROMULO</v>
      </c>
      <c r="D1126" s="81"/>
      <c r="E1126" s="81"/>
      <c r="F1126" s="81"/>
      <c r="G1126" s="138" t="s">
        <v>102</v>
      </c>
      <c r="H1126" s="111"/>
    </row>
    <row r="1127" spans="1:8">
      <c r="A1127" s="80"/>
      <c r="B1127" s="81" t="s">
        <v>72</v>
      </c>
      <c r="C1127" s="81" t="str">
        <f>+'18_1'!$G$2</f>
        <v>Hijuela Morón</v>
      </c>
      <c r="D1127" s="81"/>
      <c r="E1127" s="81"/>
      <c r="F1127" s="81"/>
      <c r="G1127" s="138">
        <v>10</v>
      </c>
      <c r="H1127" s="111"/>
    </row>
    <row r="1128" spans="1:8">
      <c r="A1128" s="80"/>
      <c r="B1128" s="81"/>
      <c r="C1128" s="81"/>
      <c r="D1128" s="81"/>
      <c r="E1128" s="81"/>
      <c r="F1128" s="81"/>
      <c r="G1128" s="81"/>
      <c r="H1128" s="111"/>
    </row>
    <row r="1129" spans="1:8">
      <c r="A1129" s="80"/>
      <c r="B1129" s="81" t="s">
        <v>140</v>
      </c>
      <c r="C1129" s="138">
        <f>VLOOKUP(G1127,'18_1'!$A$239:$B$257,2,0)</f>
        <v>1214</v>
      </c>
      <c r="D1129" s="81"/>
      <c r="E1129" s="139" t="s">
        <v>141</v>
      </c>
      <c r="F1129" s="141" t="e">
        <f>DSUM('18_1'!A$239:J$257,'18_1'!$J$239,G1126:G1127)</f>
        <v>#REF!</v>
      </c>
      <c r="G1129" s="81"/>
      <c r="H1129" s="111"/>
    </row>
    <row r="1130" spans="1:8">
      <c r="A1130" s="80"/>
      <c r="B1130" s="81" t="s">
        <v>142</v>
      </c>
      <c r="C1130" s="205" t="s">
        <v>681</v>
      </c>
      <c r="D1130" s="81"/>
      <c r="E1130" s="81"/>
      <c r="F1130" s="81"/>
      <c r="G1130" s="81"/>
      <c r="H1130" s="111"/>
    </row>
    <row r="1131" spans="1:8">
      <c r="A1131" s="80"/>
      <c r="B1131" s="81" t="s">
        <v>144</v>
      </c>
      <c r="C1131" s="206" t="e">
        <f>DSUM('18_1'!$A$239:$H$257,'18_1'!$H$239,G1126:G1127)</f>
        <v>#N/A</v>
      </c>
      <c r="D1131" s="81"/>
      <c r="E1131" s="81"/>
      <c r="F1131" s="584"/>
      <c r="G1131" s="584"/>
      <c r="H1131" s="111"/>
    </row>
    <row r="1132" spans="1:8" ht="15.75">
      <c r="A1132" s="80"/>
      <c r="B1132" s="81"/>
      <c r="C1132" s="81" t="s">
        <v>146</v>
      </c>
      <c r="D1132" s="145" t="e">
        <f>DMIN('18_1'!A$239:K$257,'18_1'!$J$239,G1126:G1127)</f>
        <v>#REF!</v>
      </c>
      <c r="E1132" s="189" t="e">
        <f>IF(F1132=1,"Domingo",IF(F1132=2,"Lunes",IF(F1132=3,"Martes",IF(F1132=4,"Miercoles",IF(F1132=5,"Jueves",IF(F1132=6,"Viernes",IF(F1132=7,"Sábado",0)))))))</f>
        <v>#REF!</v>
      </c>
      <c r="F1132" s="190" t="e">
        <f>WEEKDAY(D1132)</f>
        <v>#REF!</v>
      </c>
      <c r="G1132" s="142"/>
      <c r="H1132" s="111"/>
    </row>
    <row r="1133" spans="1:8" ht="15.75">
      <c r="A1133" s="80"/>
      <c r="B1133" s="81"/>
      <c r="C1133" s="81" t="s">
        <v>147</v>
      </c>
      <c r="D1133" s="145" t="e">
        <f>DMAX('18_1'!A$239:L$257,'18_1'!$K$239,G1126:G1127)</f>
        <v>#REF!</v>
      </c>
      <c r="E1133" s="189" t="e">
        <f>IF(F1133=1,"Domingo",IF(F1133=2,"Lunes",IF(F1133=3,"Martes",IF(F1133=4,"Miercoles",IF(F1133=5,"Jueves",IF(F1133=6,"Viernes",IF(F1133=7,"Sábado",0)))))))</f>
        <v>#REF!</v>
      </c>
      <c r="F1133" s="190" t="e">
        <f>WEEKDAY(D1133)</f>
        <v>#REF!</v>
      </c>
      <c r="G1133" s="142"/>
      <c r="H1133" s="111"/>
    </row>
    <row r="1134" spans="1:8">
      <c r="A1134" s="80"/>
      <c r="B1134" s="81"/>
      <c r="C1134" s="81"/>
      <c r="D1134" s="81"/>
      <c r="E1134" s="81"/>
      <c r="F1134" s="584"/>
      <c r="G1134" s="584"/>
      <c r="H1134" s="111"/>
    </row>
    <row r="1135" spans="1:8">
      <c r="A1135" s="80"/>
      <c r="B1135" s="146">
        <f>+Mensajes!$B$7</f>
        <v>0</v>
      </c>
      <c r="C1135" s="81"/>
      <c r="D1135" s="81"/>
      <c r="E1135" s="81"/>
      <c r="F1135" s="81"/>
      <c r="G1135" s="81"/>
      <c r="H1135" s="111"/>
    </row>
    <row r="1136" spans="1:8">
      <c r="A1136" s="80"/>
      <c r="B1136" s="146">
        <f>+Mensajes!$B$12</f>
        <v>0</v>
      </c>
      <c r="C1136" s="81"/>
      <c r="D1136" s="81"/>
      <c r="E1136" s="81"/>
      <c r="F1136" s="81"/>
      <c r="G1136" s="81"/>
      <c r="H1136" s="111"/>
    </row>
    <row r="1137" spans="1:8">
      <c r="A1137" s="80"/>
      <c r="B1137" s="146" t="str">
        <f>IF(VLOOKUP(G1127,'18_1'!$A$239:$M$257,13,0)=0,"",VLOOKUP(G1127,'18_1'!$A$239:$M$257,13,0))</f>
        <v/>
      </c>
      <c r="C1137" s="81"/>
      <c r="D1137" s="81"/>
      <c r="E1137" s="81"/>
      <c r="F1137" s="81"/>
      <c r="G1137" s="81"/>
      <c r="H1137" s="111"/>
    </row>
    <row r="1138" spans="1:8">
      <c r="A1138" s="140"/>
      <c r="B1138" s="188" t="e">
        <f>IF(DSUM('18_1'!$A$239:$P$257,16,G1126:G1127)=COUNTIF('18_1'!$A$239:$A$257,G1127),"","Regularice su Deuda")</f>
        <v>#N/A</v>
      </c>
      <c r="C1138" s="82"/>
      <c r="D1138" s="82"/>
      <c r="E1138" s="82"/>
      <c r="F1138" s="82"/>
      <c r="G1138" s="82"/>
      <c r="H1138" s="83"/>
    </row>
    <row r="1139" spans="1:8">
      <c r="A1139" s="81"/>
      <c r="B1139" s="146"/>
      <c r="C1139" s="81"/>
      <c r="D1139" s="81"/>
      <c r="E1139" s="81"/>
      <c r="F1139" s="81"/>
      <c r="G1139" s="81"/>
      <c r="H1139" s="81"/>
    </row>
    <row r="1140" spans="1:8">
      <c r="A1140" s="108"/>
      <c r="B1140" s="109"/>
      <c r="C1140" s="109"/>
      <c r="D1140" s="109"/>
      <c r="E1140" s="109"/>
      <c r="F1140" s="109"/>
      <c r="G1140" s="109"/>
      <c r="H1140" s="110"/>
    </row>
    <row r="1141" spans="1:8">
      <c r="A1141" s="80"/>
      <c r="B1141" s="147" t="s">
        <v>64</v>
      </c>
      <c r="C1141" s="81"/>
      <c r="D1141" s="81"/>
      <c r="E1141" s="81"/>
      <c r="F1141" s="81"/>
      <c r="G1141" s="81"/>
      <c r="H1141" s="111"/>
    </row>
    <row r="1142" spans="1:8">
      <c r="A1142" s="80"/>
      <c r="B1142" s="81"/>
      <c r="C1142" s="81"/>
      <c r="D1142" s="81"/>
      <c r="E1142" s="81"/>
      <c r="F1142" s="81"/>
      <c r="G1142" s="81"/>
      <c r="H1142" s="111"/>
    </row>
    <row r="1143" spans="1:8">
      <c r="A1143" s="80"/>
      <c r="B1143" s="81" t="s">
        <v>139</v>
      </c>
      <c r="C1143" s="81" t="str">
        <f>VLOOKUP(G1144,'18_1'!$A$239:$G$257,6,0)</f>
        <v>GARCIA SANCHEZ, DOMINGO</v>
      </c>
      <c r="D1143" s="81"/>
      <c r="E1143" s="81"/>
      <c r="F1143" s="81"/>
      <c r="G1143" s="138" t="s">
        <v>102</v>
      </c>
      <c r="H1143" s="111"/>
    </row>
    <row r="1144" spans="1:8">
      <c r="A1144" s="80"/>
      <c r="B1144" s="81" t="s">
        <v>72</v>
      </c>
      <c r="C1144" s="81" t="str">
        <f>+'18_1'!$G$2</f>
        <v>Hijuela Morón</v>
      </c>
      <c r="D1144" s="81"/>
      <c r="E1144" s="81"/>
      <c r="F1144" s="81"/>
      <c r="G1144" s="138">
        <v>11</v>
      </c>
      <c r="H1144" s="111"/>
    </row>
    <row r="1145" spans="1:8">
      <c r="A1145" s="80"/>
      <c r="B1145" s="81"/>
      <c r="C1145" s="81"/>
      <c r="D1145" s="81"/>
      <c r="E1145" s="81"/>
      <c r="F1145" s="81"/>
      <c r="G1145" s="81"/>
      <c r="H1145" s="111"/>
    </row>
    <row r="1146" spans="1:8">
      <c r="A1146" s="80"/>
      <c r="B1146" s="81" t="s">
        <v>140</v>
      </c>
      <c r="C1146" s="138">
        <f>VLOOKUP(G1144,'18_1'!$A$239:$B$257,2,0)</f>
        <v>1214</v>
      </c>
      <c r="D1146" s="81"/>
      <c r="E1146" s="139" t="s">
        <v>141</v>
      </c>
      <c r="F1146" s="141" t="e">
        <f>DSUM('18_1'!A$239:J$257,'18_1'!$J$239,G1143:G1144)</f>
        <v>#REF!</v>
      </c>
      <c r="G1146" s="81"/>
      <c r="H1146" s="111"/>
    </row>
    <row r="1147" spans="1:8">
      <c r="A1147" s="80"/>
      <c r="B1147" s="81" t="s">
        <v>142</v>
      </c>
      <c r="C1147" s="205" t="s">
        <v>682</v>
      </c>
      <c r="D1147" s="81"/>
      <c r="E1147" s="81"/>
      <c r="F1147" s="81"/>
      <c r="G1147" s="81"/>
      <c r="H1147" s="111"/>
    </row>
    <row r="1148" spans="1:8">
      <c r="A1148" s="80"/>
      <c r="B1148" s="81" t="s">
        <v>144</v>
      </c>
      <c r="C1148" s="206" t="e">
        <f>DSUM('18_1'!$A$239:$H$257,'18_1'!$H$239,G1143:G1144)</f>
        <v>#N/A</v>
      </c>
      <c r="D1148" s="81"/>
      <c r="E1148" s="81"/>
      <c r="F1148" s="584"/>
      <c r="G1148" s="584"/>
      <c r="H1148" s="111"/>
    </row>
    <row r="1149" spans="1:8" ht="15.75">
      <c r="A1149" s="80"/>
      <c r="B1149" s="81"/>
      <c r="C1149" s="81" t="s">
        <v>146</v>
      </c>
      <c r="D1149" s="145" t="e">
        <f>DMIN('18_1'!A$239:K$257,'18_1'!$J$239,G1143:G1144)</f>
        <v>#REF!</v>
      </c>
      <c r="E1149" s="189" t="e">
        <f>IF(F1149=1,"Domingo",IF(F1149=2,"Lunes",IF(F1149=3,"Martes",IF(F1149=4,"Miercoles",IF(F1149=5,"Jueves",IF(F1149=6,"Viernes",IF(F1149=7,"Sábado",0)))))))</f>
        <v>#REF!</v>
      </c>
      <c r="F1149" s="190" t="e">
        <f>WEEKDAY(D1149)</f>
        <v>#REF!</v>
      </c>
      <c r="G1149" s="142"/>
      <c r="H1149" s="111"/>
    </row>
    <row r="1150" spans="1:8" ht="15.75">
      <c r="A1150" s="80"/>
      <c r="B1150" s="81"/>
      <c r="C1150" s="81" t="s">
        <v>147</v>
      </c>
      <c r="D1150" s="145" t="e">
        <f>DMAX('18_1'!A$239:L$257,'18_1'!$K$239,G1143:G1144)</f>
        <v>#REF!</v>
      </c>
      <c r="E1150" s="189" t="e">
        <f>IF(F1150=1,"Domingo",IF(F1150=2,"Lunes",IF(F1150=3,"Martes",IF(F1150=4,"Miercoles",IF(F1150=5,"Jueves",IF(F1150=6,"Viernes",IF(F1150=7,"Sábado",0)))))))</f>
        <v>#REF!</v>
      </c>
      <c r="F1150" s="190" t="e">
        <f>WEEKDAY(D1150)</f>
        <v>#REF!</v>
      </c>
      <c r="G1150" s="142"/>
      <c r="H1150" s="111"/>
    </row>
    <row r="1151" spans="1:8">
      <c r="A1151" s="80"/>
      <c r="B1151" s="81"/>
      <c r="C1151" s="81"/>
      <c r="D1151" s="81"/>
      <c r="E1151" s="81"/>
      <c r="F1151" s="584"/>
      <c r="G1151" s="584"/>
      <c r="H1151" s="111"/>
    </row>
    <row r="1152" spans="1:8">
      <c r="A1152" s="80"/>
      <c r="B1152" s="146">
        <f>+Mensajes!$B$7</f>
        <v>0</v>
      </c>
      <c r="C1152" s="81"/>
      <c r="D1152" s="81"/>
      <c r="E1152" s="81"/>
      <c r="F1152" s="81"/>
      <c r="G1152" s="81"/>
      <c r="H1152" s="111"/>
    </row>
    <row r="1153" spans="1:8">
      <c r="A1153" s="80"/>
      <c r="B1153" s="146">
        <f>+Mensajes!$B$12</f>
        <v>0</v>
      </c>
      <c r="C1153" s="81"/>
      <c r="D1153" s="81"/>
      <c r="E1153" s="81"/>
      <c r="F1153" s="81"/>
      <c r="G1153" s="81"/>
      <c r="H1153" s="111"/>
    </row>
    <row r="1154" spans="1:8">
      <c r="A1154" s="80"/>
      <c r="B1154" s="146" t="str">
        <f>IF(VLOOKUP(G1144,'18_1'!$A$239:$M$257,13,0)=0,"",VLOOKUP(G1144,'18_1'!$A$239:$M$257,13,0))</f>
        <v/>
      </c>
      <c r="C1154" s="81"/>
      <c r="D1154" s="81"/>
      <c r="E1154" s="81"/>
      <c r="F1154" s="81"/>
      <c r="G1154" s="81"/>
      <c r="H1154" s="111"/>
    </row>
    <row r="1155" spans="1:8">
      <c r="A1155" s="140"/>
      <c r="B1155" s="188" t="e">
        <f>IF(DSUM('18_1'!$A$239:$P$257,16,G1143:G1144)=COUNTIF('18_1'!$A$239:$A$257,G1144),"","Regularice su Deuda")</f>
        <v>#N/A</v>
      </c>
      <c r="C1155" s="82"/>
      <c r="D1155" s="82"/>
      <c r="E1155" s="82"/>
      <c r="F1155" s="82"/>
      <c r="G1155" s="82"/>
      <c r="H1155" s="83"/>
    </row>
    <row r="1156" spans="1:8">
      <c r="A1156" s="81"/>
      <c r="B1156" s="146"/>
      <c r="C1156" s="81"/>
      <c r="D1156" s="81"/>
      <c r="E1156" s="81"/>
      <c r="F1156" s="81"/>
      <c r="G1156" s="81"/>
      <c r="H1156" s="81"/>
    </row>
    <row r="1157" spans="1:8">
      <c r="A1157" s="108"/>
      <c r="B1157" s="109"/>
      <c r="C1157" s="109"/>
      <c r="D1157" s="109"/>
      <c r="E1157" s="109"/>
      <c r="F1157" s="109"/>
      <c r="G1157" s="109"/>
      <c r="H1157" s="110"/>
    </row>
    <row r="1158" spans="1:8">
      <c r="A1158" s="80"/>
      <c r="B1158" s="147" t="s">
        <v>64</v>
      </c>
      <c r="C1158" s="81"/>
      <c r="D1158" s="81"/>
      <c r="E1158" s="81"/>
      <c r="F1158" s="81"/>
      <c r="G1158" s="81"/>
      <c r="H1158" s="111"/>
    </row>
    <row r="1159" spans="1:8">
      <c r="A1159" s="80"/>
      <c r="B1159" s="81"/>
      <c r="C1159" s="81"/>
      <c r="D1159" s="81"/>
      <c r="E1159" s="81"/>
      <c r="F1159" s="81"/>
      <c r="G1159" s="81"/>
      <c r="H1159" s="111"/>
    </row>
    <row r="1160" spans="1:8">
      <c r="A1160" s="80"/>
      <c r="B1160" s="81" t="s">
        <v>139</v>
      </c>
      <c r="C1160" s="81" t="str">
        <f>VLOOKUP(G1161,'18_1'!$A$239:$G$257,6,0)</f>
        <v>ZANIOLO, MICHELE Y GRIFFOULIER DE ZANIOLO, LEONTINA ALICIA</v>
      </c>
      <c r="D1160" s="81"/>
      <c r="E1160" s="81"/>
      <c r="F1160" s="81"/>
      <c r="G1160" s="138" t="s">
        <v>102</v>
      </c>
      <c r="H1160" s="111"/>
    </row>
    <row r="1161" spans="1:8">
      <c r="A1161" s="80"/>
      <c r="B1161" s="81" t="s">
        <v>72</v>
      </c>
      <c r="C1161" s="81" t="str">
        <f>+'18_1'!$G$2</f>
        <v>Hijuela Morón</v>
      </c>
      <c r="D1161" s="81"/>
      <c r="E1161" s="81"/>
      <c r="F1161" s="81"/>
      <c r="G1161" s="138">
        <v>12</v>
      </c>
      <c r="H1161" s="111"/>
    </row>
    <row r="1162" spans="1:8">
      <c r="A1162" s="80"/>
      <c r="B1162" s="81"/>
      <c r="C1162" s="81"/>
      <c r="D1162" s="81"/>
      <c r="E1162" s="81"/>
      <c r="F1162" s="81"/>
      <c r="G1162" s="81"/>
      <c r="H1162" s="111"/>
    </row>
    <row r="1163" spans="1:8">
      <c r="A1163" s="80"/>
      <c r="B1163" s="81" t="s">
        <v>140</v>
      </c>
      <c r="C1163" s="138">
        <f>VLOOKUP(G1161,'18_1'!$A$239:$B$257,2,0)</f>
        <v>1214</v>
      </c>
      <c r="D1163" s="81"/>
      <c r="E1163" s="139" t="s">
        <v>141</v>
      </c>
      <c r="F1163" s="141" t="e">
        <f>DSUM('18_1'!A$239:J$257,'18_1'!$J$239,G1160:G1161)</f>
        <v>#REF!</v>
      </c>
      <c r="G1163" s="81"/>
      <c r="H1163" s="111"/>
    </row>
    <row r="1164" spans="1:8">
      <c r="A1164" s="80"/>
      <c r="B1164" s="81" t="s">
        <v>142</v>
      </c>
      <c r="C1164" s="205">
        <v>268</v>
      </c>
      <c r="D1164" s="81"/>
      <c r="E1164" s="81"/>
      <c r="F1164" s="81"/>
      <c r="G1164" s="81"/>
      <c r="H1164" s="111"/>
    </row>
    <row r="1165" spans="1:8">
      <c r="A1165" s="80"/>
      <c r="B1165" s="81" t="s">
        <v>144</v>
      </c>
      <c r="C1165" s="206" t="e">
        <f>DSUM('18_1'!$A$239:$H$257,'18_1'!$H$239,G1160:G1161)</f>
        <v>#N/A</v>
      </c>
      <c r="D1165" s="81"/>
      <c r="E1165" s="81"/>
      <c r="F1165" s="584"/>
      <c r="G1165" s="584"/>
      <c r="H1165" s="111"/>
    </row>
    <row r="1166" spans="1:8" ht="15.75">
      <c r="A1166" s="80"/>
      <c r="B1166" s="81"/>
      <c r="C1166" s="81" t="s">
        <v>146</v>
      </c>
      <c r="D1166" s="145" t="e">
        <f>DMIN('18_1'!A$239:K$257,'18_1'!$J$239,G1160:G1161)</f>
        <v>#REF!</v>
      </c>
      <c r="E1166" s="189" t="e">
        <f>IF(F1166=1,"Domingo",IF(F1166=2,"Lunes",IF(F1166=3,"Martes",IF(F1166=4,"Miercoles",IF(F1166=5,"Jueves",IF(F1166=6,"Viernes",IF(F1166=7,"Sábado",0)))))))</f>
        <v>#REF!</v>
      </c>
      <c r="F1166" s="190" t="e">
        <f>WEEKDAY(D1166)</f>
        <v>#REF!</v>
      </c>
      <c r="G1166" s="142"/>
      <c r="H1166" s="111"/>
    </row>
    <row r="1167" spans="1:8" ht="15.75">
      <c r="A1167" s="80"/>
      <c r="B1167" s="81"/>
      <c r="C1167" s="81" t="s">
        <v>147</v>
      </c>
      <c r="D1167" s="145" t="e">
        <f>DMAX('18_1'!A$239:L$257,'18_1'!$K$239,G1160:G1161)</f>
        <v>#REF!</v>
      </c>
      <c r="E1167" s="189" t="e">
        <f>IF(F1167=1,"Domingo",IF(F1167=2,"Lunes",IF(F1167=3,"Martes",IF(F1167=4,"Miercoles",IF(F1167=5,"Jueves",IF(F1167=6,"Viernes",IF(F1167=7,"Sábado",0)))))))</f>
        <v>#REF!</v>
      </c>
      <c r="F1167" s="190" t="e">
        <f>WEEKDAY(D1167)</f>
        <v>#REF!</v>
      </c>
      <c r="G1167" s="142"/>
      <c r="H1167" s="111"/>
    </row>
    <row r="1168" spans="1:8">
      <c r="A1168" s="80"/>
      <c r="B1168" s="81"/>
      <c r="C1168" s="81"/>
      <c r="D1168" s="81"/>
      <c r="E1168" s="81"/>
      <c r="F1168" s="584"/>
      <c r="G1168" s="584"/>
      <c r="H1168" s="111"/>
    </row>
    <row r="1169" spans="1:8">
      <c r="A1169" s="80"/>
      <c r="B1169" s="146">
        <f>+Mensajes!$B$7</f>
        <v>0</v>
      </c>
      <c r="C1169" s="81"/>
      <c r="D1169" s="81"/>
      <c r="E1169" s="81"/>
      <c r="F1169" s="81"/>
      <c r="G1169" s="81"/>
      <c r="H1169" s="111"/>
    </row>
    <row r="1170" spans="1:8">
      <c r="A1170" s="80"/>
      <c r="B1170" s="146">
        <f>+Mensajes!$B$12</f>
        <v>0</v>
      </c>
      <c r="C1170" s="81"/>
      <c r="D1170" s="81"/>
      <c r="E1170" s="81"/>
      <c r="F1170" s="81"/>
      <c r="G1170" s="81"/>
      <c r="H1170" s="111"/>
    </row>
    <row r="1171" spans="1:8">
      <c r="A1171" s="80"/>
      <c r="B1171" s="146" t="str">
        <f>IF(VLOOKUP(G1161,'18_1'!$A$239:$M$257,13,0)=0,"",VLOOKUP(G1161,'18_1'!$A$239:$M$257,13,0))</f>
        <v/>
      </c>
      <c r="C1171" s="81"/>
      <c r="D1171" s="81"/>
      <c r="E1171" s="81"/>
      <c r="F1171" s="81"/>
      <c r="G1171" s="81"/>
      <c r="H1171" s="111"/>
    </row>
    <row r="1172" spans="1:8">
      <c r="A1172" s="140"/>
      <c r="B1172" s="188" t="e">
        <f>IF(DSUM('18_1'!$A$239:$P$257,16,G1160:G1161)=COUNTIF('18_1'!$A$239:$A$257,G1161),"","Regularice su Deuda")</f>
        <v>#N/A</v>
      </c>
      <c r="C1172" s="82"/>
      <c r="D1172" s="82"/>
      <c r="E1172" s="82"/>
      <c r="F1172" s="82"/>
      <c r="G1172" s="82"/>
      <c r="H1172" s="83"/>
    </row>
    <row r="1173" spans="1:8">
      <c r="A1173" s="81"/>
      <c r="B1173" s="146"/>
      <c r="C1173" s="81"/>
      <c r="D1173" s="81"/>
      <c r="E1173" s="81"/>
      <c r="F1173" s="81"/>
      <c r="G1173" s="81"/>
      <c r="H1173" s="81"/>
    </row>
    <row r="1174" spans="1:8">
      <c r="A1174" s="108"/>
      <c r="B1174" s="109"/>
      <c r="C1174" s="109"/>
      <c r="D1174" s="109"/>
      <c r="E1174" s="109"/>
      <c r="F1174" s="109"/>
      <c r="G1174" s="109"/>
      <c r="H1174" s="110"/>
    </row>
    <row r="1175" spans="1:8">
      <c r="A1175" s="80"/>
      <c r="B1175" s="147" t="s">
        <v>64</v>
      </c>
      <c r="C1175" s="81"/>
      <c r="D1175" s="81"/>
      <c r="E1175" s="81"/>
      <c r="F1175" s="81"/>
      <c r="G1175" s="81"/>
      <c r="H1175" s="111"/>
    </row>
    <row r="1176" spans="1:8">
      <c r="A1176" s="80"/>
      <c r="B1176" s="81"/>
      <c r="C1176" s="81"/>
      <c r="D1176" s="81"/>
      <c r="E1176" s="81"/>
      <c r="F1176" s="81"/>
      <c r="G1176" s="81"/>
      <c r="H1176" s="111"/>
    </row>
    <row r="1177" spans="1:8">
      <c r="A1177" s="80"/>
      <c r="B1177" s="81" t="s">
        <v>139</v>
      </c>
      <c r="C1177" s="81" t="str">
        <f>VLOOKUP(G1178,'18_1'!$A$239:$G$257,6,0)</f>
        <v>TERRANOVA DE MARIANETTI, MARIA Y MARIANETTI, EMILIO</v>
      </c>
      <c r="D1177" s="81"/>
      <c r="E1177" s="81"/>
      <c r="F1177" s="81"/>
      <c r="G1177" s="138" t="s">
        <v>102</v>
      </c>
      <c r="H1177" s="111"/>
    </row>
    <row r="1178" spans="1:8">
      <c r="A1178" s="80"/>
      <c r="B1178" s="81" t="s">
        <v>72</v>
      </c>
      <c r="C1178" s="81" t="str">
        <f>+'18_1'!$G$2</f>
        <v>Hijuela Morón</v>
      </c>
      <c r="D1178" s="81"/>
      <c r="E1178" s="81"/>
      <c r="F1178" s="81"/>
      <c r="G1178" s="138">
        <v>13</v>
      </c>
      <c r="H1178" s="111"/>
    </row>
    <row r="1179" spans="1:8">
      <c r="A1179" s="80"/>
      <c r="B1179" s="81"/>
      <c r="C1179" s="81"/>
      <c r="D1179" s="81"/>
      <c r="E1179" s="81"/>
      <c r="F1179" s="81"/>
      <c r="G1179" s="81"/>
      <c r="H1179" s="111"/>
    </row>
    <row r="1180" spans="1:8">
      <c r="A1180" s="80"/>
      <c r="B1180" s="81" t="s">
        <v>140</v>
      </c>
      <c r="C1180" s="138">
        <f>VLOOKUP(G1178,'18_1'!$A$239:$B$257,2,0)</f>
        <v>1214</v>
      </c>
      <c r="D1180" s="81"/>
      <c r="E1180" s="139" t="s">
        <v>141</v>
      </c>
      <c r="F1180" s="141" t="e">
        <f>DSUM('18_1'!A$239:J$257,'18_1'!$J$239,G1177:G1178)</f>
        <v>#REF!</v>
      </c>
      <c r="G1180" s="81"/>
      <c r="H1180" s="111"/>
    </row>
    <row r="1181" spans="1:8">
      <c r="A1181" s="80"/>
      <c r="B1181" s="81" t="s">
        <v>142</v>
      </c>
      <c r="C1181" s="205">
        <v>59</v>
      </c>
      <c r="D1181" s="81"/>
      <c r="E1181" s="81"/>
      <c r="F1181" s="81"/>
      <c r="G1181" s="81"/>
      <c r="H1181" s="111"/>
    </row>
    <row r="1182" spans="1:8">
      <c r="A1182" s="80"/>
      <c r="B1182" s="81" t="s">
        <v>144</v>
      </c>
      <c r="C1182" s="206" t="e">
        <f>DSUM('18_1'!$A$239:$H$257,'18_1'!$H$239,G1177:G1178)</f>
        <v>#N/A</v>
      </c>
      <c r="D1182" s="81"/>
      <c r="E1182" s="81"/>
      <c r="F1182" s="584"/>
      <c r="G1182" s="584"/>
      <c r="H1182" s="111"/>
    </row>
    <row r="1183" spans="1:8" ht="15.75">
      <c r="A1183" s="80"/>
      <c r="B1183" s="81"/>
      <c r="C1183" s="81" t="s">
        <v>146</v>
      </c>
      <c r="D1183" s="145" t="e">
        <f>DMIN('18_1'!A$239:K$257,'18_1'!$J$239,G1177:G1178)</f>
        <v>#REF!</v>
      </c>
      <c r="E1183" s="189" t="e">
        <f>IF(F1183=1,"Domingo",IF(F1183=2,"Lunes",IF(F1183=3,"Martes",IF(F1183=4,"Miercoles",IF(F1183=5,"Jueves",IF(F1183=6,"Viernes",IF(F1183=7,"Sábado",0)))))))</f>
        <v>#REF!</v>
      </c>
      <c r="F1183" s="190" t="e">
        <f>WEEKDAY(D1183)</f>
        <v>#REF!</v>
      </c>
      <c r="G1183" s="142"/>
      <c r="H1183" s="111"/>
    </row>
    <row r="1184" spans="1:8" ht="15.75">
      <c r="A1184" s="80"/>
      <c r="B1184" s="81"/>
      <c r="C1184" s="81" t="s">
        <v>147</v>
      </c>
      <c r="D1184" s="145" t="e">
        <f>DMAX('18_1'!A$239:L$257,'18_1'!$K$239,G1177:G1178)</f>
        <v>#REF!</v>
      </c>
      <c r="E1184" s="189" t="e">
        <f>IF(F1184=1,"Domingo",IF(F1184=2,"Lunes",IF(F1184=3,"Martes",IF(F1184=4,"Miercoles",IF(F1184=5,"Jueves",IF(F1184=6,"Viernes",IF(F1184=7,"Sábado",0)))))))</f>
        <v>#REF!</v>
      </c>
      <c r="F1184" s="190" t="e">
        <f>WEEKDAY(D1184)</f>
        <v>#REF!</v>
      </c>
      <c r="G1184" s="142"/>
      <c r="H1184" s="111"/>
    </row>
    <row r="1185" spans="1:8">
      <c r="A1185" s="80"/>
      <c r="B1185" s="81"/>
      <c r="C1185" s="81"/>
      <c r="D1185" s="81"/>
      <c r="E1185" s="81"/>
      <c r="F1185" s="584"/>
      <c r="G1185" s="584"/>
      <c r="H1185" s="111"/>
    </row>
    <row r="1186" spans="1:8">
      <c r="A1186" s="80"/>
      <c r="B1186" s="146">
        <f>+Mensajes!$B$7</f>
        <v>0</v>
      </c>
      <c r="C1186" s="81"/>
      <c r="D1186" s="81"/>
      <c r="E1186" s="81"/>
      <c r="F1186" s="81"/>
      <c r="G1186" s="81"/>
      <c r="H1186" s="111"/>
    </row>
    <row r="1187" spans="1:8">
      <c r="A1187" s="80"/>
      <c r="B1187" s="146">
        <f>+Mensajes!$B$12</f>
        <v>0</v>
      </c>
      <c r="C1187" s="81"/>
      <c r="D1187" s="81"/>
      <c r="E1187" s="81"/>
      <c r="F1187" s="81"/>
      <c r="G1187" s="81"/>
      <c r="H1187" s="111"/>
    </row>
    <row r="1188" spans="1:8">
      <c r="A1188" s="80"/>
      <c r="B1188" s="146" t="str">
        <f>IF(VLOOKUP(G1178,'18_1'!$A$239:$M$257,13,0)=0,"",VLOOKUP(G1178,'18_1'!$A$239:$M$257,13,0))</f>
        <v/>
      </c>
      <c r="C1188" s="81"/>
      <c r="D1188" s="81"/>
      <c r="E1188" s="81"/>
      <c r="F1188" s="81"/>
      <c r="G1188" s="81"/>
      <c r="H1188" s="111"/>
    </row>
    <row r="1189" spans="1:8">
      <c r="A1189" s="140"/>
      <c r="B1189" s="188" t="str">
        <f>IF(DSUM('18_1'!$A$239:$P$257,16,G1177:G1178)=COUNTIF('18_1'!$A$239:$A$257,G1178),"","Regularice su Deuda")</f>
        <v/>
      </c>
      <c r="C1189" s="82"/>
      <c r="D1189" s="82"/>
      <c r="E1189" s="82"/>
      <c r="F1189" s="82"/>
      <c r="G1189" s="82"/>
      <c r="H1189" s="83"/>
    </row>
    <row r="1191" spans="1:8">
      <c r="A1191" s="108"/>
      <c r="B1191" s="109"/>
      <c r="C1191" s="109"/>
      <c r="D1191" s="109"/>
      <c r="E1191" s="109"/>
      <c r="F1191" s="109"/>
      <c r="G1191" s="109"/>
      <c r="H1191" s="110"/>
    </row>
    <row r="1192" spans="1:8">
      <c r="A1192" s="80"/>
      <c r="B1192" s="147" t="s">
        <v>64</v>
      </c>
      <c r="C1192" s="81"/>
      <c r="D1192" s="81"/>
      <c r="E1192" s="81"/>
      <c r="F1192" s="81"/>
      <c r="G1192" s="81"/>
      <c r="H1192" s="111"/>
    </row>
    <row r="1193" spans="1:8">
      <c r="A1193" s="80"/>
      <c r="B1193" s="81"/>
      <c r="C1193" s="81"/>
      <c r="D1193" s="81"/>
      <c r="E1193" s="81"/>
      <c r="F1193" s="81"/>
      <c r="G1193" s="81"/>
      <c r="H1193" s="111"/>
    </row>
    <row r="1194" spans="1:8">
      <c r="A1194" s="80"/>
      <c r="B1194" s="81" t="s">
        <v>139</v>
      </c>
      <c r="C1194" s="81" t="str">
        <f>VLOOKUP(G1195,'18_1'!$A$274:$G$285,6,0)</f>
        <v>MATTOLINI, OSCAR LEANDRO</v>
      </c>
      <c r="D1194" s="81"/>
      <c r="E1194" s="81"/>
      <c r="F1194" s="81"/>
      <c r="G1194" s="138" t="s">
        <v>102</v>
      </c>
      <c r="H1194" s="111"/>
    </row>
    <row r="1195" spans="1:8">
      <c r="A1195" s="80"/>
      <c r="B1195" s="81" t="s">
        <v>72</v>
      </c>
      <c r="C1195" s="81" t="str">
        <f>+'18_1'!$G$2</f>
        <v>Hijuela Morón</v>
      </c>
      <c r="D1195" s="81"/>
      <c r="E1195" s="81"/>
      <c r="F1195" s="81"/>
      <c r="G1195" s="138">
        <v>1</v>
      </c>
      <c r="H1195" s="111"/>
    </row>
    <row r="1196" spans="1:8">
      <c r="A1196" s="80"/>
      <c r="B1196" s="81"/>
      <c r="C1196" s="81"/>
      <c r="D1196" s="81"/>
      <c r="E1196" s="81"/>
      <c r="F1196" s="81"/>
      <c r="G1196" s="81"/>
      <c r="H1196" s="111"/>
    </row>
    <row r="1197" spans="1:8">
      <c r="A1197" s="80"/>
      <c r="B1197" s="81" t="s">
        <v>140</v>
      </c>
      <c r="C1197" s="138">
        <f>VLOOKUP(G1195,'18_1'!$A$274:$B$285,2,0)</f>
        <v>1214</v>
      </c>
      <c r="D1197" s="81"/>
      <c r="E1197" s="139" t="s">
        <v>141</v>
      </c>
      <c r="F1197" s="141" t="e">
        <f>DSUM('18_1'!A$274:J$285,'18_1'!$J$274,G1194:G1195)</f>
        <v>#REF!</v>
      </c>
      <c r="G1197" s="81"/>
      <c r="H1197" s="111"/>
    </row>
    <row r="1198" spans="1:8">
      <c r="A1198" s="80"/>
      <c r="B1198" s="81" t="s">
        <v>142</v>
      </c>
      <c r="C1198" s="205">
        <v>193</v>
      </c>
      <c r="D1198" s="81"/>
      <c r="E1198" s="81"/>
      <c r="F1198" s="81"/>
      <c r="G1198" s="81"/>
      <c r="H1198" s="111"/>
    </row>
    <row r="1199" spans="1:8">
      <c r="A1199" s="80"/>
      <c r="B1199" s="81" t="s">
        <v>144</v>
      </c>
      <c r="C1199" s="206" t="e">
        <f>DSUM('18_1'!$A$274:$H$285,'18_1'!$H$274,G1194:G1195)</f>
        <v>#N/A</v>
      </c>
      <c r="D1199" s="81"/>
      <c r="E1199" s="81"/>
      <c r="F1199" s="584"/>
      <c r="G1199" s="584"/>
      <c r="H1199" s="111"/>
    </row>
    <row r="1200" spans="1:8" ht="15.75">
      <c r="A1200" s="80"/>
      <c r="B1200" s="81"/>
      <c r="C1200" s="81" t="s">
        <v>146</v>
      </c>
      <c r="D1200" s="145" t="e">
        <f>DMIN('18_1'!A$274:K$285,'18_1'!$J$274,G1194:G1195)</f>
        <v>#REF!</v>
      </c>
      <c r="E1200" s="189" t="e">
        <f>IF(F1200=1,"Domingo",IF(F1200=2,"Lunes",IF(F1200=3,"Martes",IF(F1200=4,"Miercoles",IF(F1200=5,"Jueves",IF(F1200=6,"Viernes",IF(F1200=7,"Sábado",0)))))))</f>
        <v>#REF!</v>
      </c>
      <c r="F1200" s="190" t="e">
        <f>WEEKDAY(D1200)</f>
        <v>#REF!</v>
      </c>
      <c r="G1200" s="142"/>
      <c r="H1200" s="111"/>
    </row>
    <row r="1201" spans="1:8" ht="15.75">
      <c r="A1201" s="80"/>
      <c r="B1201" s="81"/>
      <c r="C1201" s="81" t="s">
        <v>147</v>
      </c>
      <c r="D1201" s="145" t="e">
        <f>DMAX('18_1'!A$274:L$285,'18_1'!$K$274,G1194:G1195)</f>
        <v>#REF!</v>
      </c>
      <c r="E1201" s="189" t="e">
        <f>IF(F1201=1,"Domingo",IF(F1201=2,"Lunes",IF(F1201=3,"Martes",IF(F1201=4,"Miercoles",IF(F1201=5,"Jueves",IF(F1201=6,"Viernes",IF(F1201=7,"Sábado",0)))))))</f>
        <v>#REF!</v>
      </c>
      <c r="F1201" s="190" t="e">
        <f>WEEKDAY(D1201)</f>
        <v>#REF!</v>
      </c>
      <c r="G1201" s="142"/>
      <c r="H1201" s="111"/>
    </row>
    <row r="1202" spans="1:8">
      <c r="A1202" s="80"/>
      <c r="B1202" s="81"/>
      <c r="C1202" s="81"/>
      <c r="D1202" s="81"/>
      <c r="E1202" s="81"/>
      <c r="F1202" s="584"/>
      <c r="G1202" s="584"/>
      <c r="H1202" s="111"/>
    </row>
    <row r="1203" spans="1:8">
      <c r="A1203" s="80"/>
      <c r="B1203" s="146">
        <f>+Mensajes!$B$7</f>
        <v>0</v>
      </c>
      <c r="C1203" s="81"/>
      <c r="D1203" s="81"/>
      <c r="E1203" s="81"/>
      <c r="F1203" s="81"/>
      <c r="G1203" s="81"/>
      <c r="H1203" s="111"/>
    </row>
    <row r="1204" spans="1:8">
      <c r="A1204" s="80"/>
      <c r="B1204" s="146">
        <f>+Mensajes!$B$12</f>
        <v>0</v>
      </c>
      <c r="C1204" s="81"/>
      <c r="D1204" s="81"/>
      <c r="E1204" s="81"/>
      <c r="F1204" s="81"/>
      <c r="G1204" s="81"/>
      <c r="H1204" s="111"/>
    </row>
    <row r="1205" spans="1:8">
      <c r="A1205" s="80"/>
      <c r="B1205" s="146" t="str">
        <f>IF(VLOOKUP(G1195,'18_1'!$A$274:$M$285,13,0)=0,"",VLOOKUP(G1195,'18_1'!$A$274:$M$285,13,0))</f>
        <v/>
      </c>
      <c r="C1205" s="81"/>
      <c r="D1205" s="81"/>
      <c r="E1205" s="81"/>
      <c r="F1205" s="81"/>
      <c r="G1205" s="81"/>
      <c r="H1205" s="111"/>
    </row>
    <row r="1206" spans="1:8">
      <c r="A1206" s="140"/>
      <c r="B1206" s="188" t="str">
        <f>IF(DSUM('18_1'!$A$274:$P$285,16,G1194:G1195)=COUNTIF('18_1'!$A$274:$A$285,G1195),"","Regularice su Deuda")</f>
        <v/>
      </c>
      <c r="C1206" s="82"/>
      <c r="D1206" s="82"/>
      <c r="E1206" s="82"/>
      <c r="F1206" s="82"/>
      <c r="G1206" s="82"/>
      <c r="H1206" s="83"/>
    </row>
    <row r="1208" spans="1:8">
      <c r="A1208" s="108"/>
      <c r="B1208" s="109"/>
      <c r="C1208" s="109"/>
      <c r="D1208" s="109"/>
      <c r="E1208" s="109"/>
      <c r="F1208" s="109"/>
      <c r="G1208" s="109"/>
      <c r="H1208" s="110"/>
    </row>
    <row r="1209" spans="1:8">
      <c r="A1209" s="80"/>
      <c r="B1209" s="147" t="s">
        <v>64</v>
      </c>
      <c r="C1209" s="81"/>
      <c r="D1209" s="81"/>
      <c r="E1209" s="81"/>
      <c r="F1209" s="81"/>
      <c r="G1209" s="81"/>
      <c r="H1209" s="111"/>
    </row>
    <row r="1210" spans="1:8">
      <c r="A1210" s="80"/>
      <c r="B1210" s="81"/>
      <c r="C1210" s="81"/>
      <c r="D1210" s="81"/>
      <c r="E1210" s="81"/>
      <c r="F1210" s="81"/>
      <c r="G1210" s="81"/>
      <c r="H1210" s="111"/>
    </row>
    <row r="1211" spans="1:8">
      <c r="A1211" s="80"/>
      <c r="B1211" s="81" t="s">
        <v>139</v>
      </c>
      <c r="C1211" s="81" t="str">
        <f>VLOOKUP(G1212,'18_1'!$A$274:$G$285,6,0)</f>
        <v>SANCHEZ, FRANCISCO APOLINARIO</v>
      </c>
      <c r="D1211" s="81"/>
      <c r="E1211" s="81"/>
      <c r="F1211" s="81"/>
      <c r="G1211" s="138" t="s">
        <v>102</v>
      </c>
      <c r="H1211" s="111"/>
    </row>
    <row r="1212" spans="1:8">
      <c r="A1212" s="80"/>
      <c r="B1212" s="81" t="s">
        <v>72</v>
      </c>
      <c r="C1212" s="81" t="str">
        <f>+'18_1'!$G$2</f>
        <v>Hijuela Morón</v>
      </c>
      <c r="D1212" s="81"/>
      <c r="E1212" s="81"/>
      <c r="F1212" s="81"/>
      <c r="G1212" s="138">
        <v>2</v>
      </c>
      <c r="H1212" s="111"/>
    </row>
    <row r="1213" spans="1:8">
      <c r="A1213" s="80"/>
      <c r="B1213" s="81"/>
      <c r="C1213" s="81"/>
      <c r="D1213" s="81"/>
      <c r="E1213" s="81"/>
      <c r="F1213" s="81"/>
      <c r="G1213" s="81"/>
      <c r="H1213" s="111"/>
    </row>
    <row r="1214" spans="1:8">
      <c r="A1214" s="80"/>
      <c r="B1214" s="81" t="s">
        <v>140</v>
      </c>
      <c r="C1214" s="138">
        <f>VLOOKUP(G1212,'18_1'!$A$274:$B$285,2,0)</f>
        <v>1214</v>
      </c>
      <c r="D1214" s="81"/>
      <c r="E1214" s="139" t="s">
        <v>141</v>
      </c>
      <c r="F1214" s="141" t="e">
        <f>DSUM('18_1'!A$274:J$285,'18_1'!$J$274,G1211:G1212)</f>
        <v>#REF!</v>
      </c>
      <c r="G1214" s="81"/>
      <c r="H1214" s="111"/>
    </row>
    <row r="1215" spans="1:8">
      <c r="A1215" s="80"/>
      <c r="B1215" s="81" t="s">
        <v>142</v>
      </c>
      <c r="C1215" s="205">
        <v>197</v>
      </c>
      <c r="D1215" s="81"/>
      <c r="E1215" s="81"/>
      <c r="F1215" s="81"/>
      <c r="G1215" s="81"/>
      <c r="H1215" s="111"/>
    </row>
    <row r="1216" spans="1:8">
      <c r="A1216" s="80"/>
      <c r="B1216" s="81" t="s">
        <v>144</v>
      </c>
      <c r="C1216" s="206" t="e">
        <f>DSUM('18_1'!$A$274:$H$285,'18_1'!$H$274,G1211:G1212)</f>
        <v>#N/A</v>
      </c>
      <c r="D1216" s="81"/>
      <c r="E1216" s="81"/>
      <c r="F1216" s="584"/>
      <c r="G1216" s="584"/>
      <c r="H1216" s="111"/>
    </row>
    <row r="1217" spans="1:8" ht="15.75">
      <c r="A1217" s="80"/>
      <c r="B1217" s="81"/>
      <c r="C1217" s="81" t="s">
        <v>146</v>
      </c>
      <c r="D1217" s="145" t="e">
        <f>DMIN('18_1'!A$274:K$285,'18_1'!$J$274,G1211:G1212)</f>
        <v>#REF!</v>
      </c>
      <c r="E1217" s="189" t="e">
        <f>IF(F1217=1,"Domingo",IF(F1217=2,"Lunes",IF(F1217=3,"Martes",IF(F1217=4,"Miercoles",IF(F1217=5,"Jueves",IF(F1217=6,"Viernes",IF(F1217=7,"Sábado",0)))))))</f>
        <v>#REF!</v>
      </c>
      <c r="F1217" s="190" t="e">
        <f>WEEKDAY(D1217)</f>
        <v>#REF!</v>
      </c>
      <c r="G1217" s="142"/>
      <c r="H1217" s="111"/>
    </row>
    <row r="1218" spans="1:8" ht="15.75">
      <c r="A1218" s="80"/>
      <c r="B1218" s="81"/>
      <c r="C1218" s="81" t="s">
        <v>147</v>
      </c>
      <c r="D1218" s="145" t="e">
        <f>DMAX('18_1'!A$274:L$285,'18_1'!$K$274,G1211:G1212)</f>
        <v>#REF!</v>
      </c>
      <c r="E1218" s="189" t="e">
        <f>IF(F1218=1,"Domingo",IF(F1218=2,"Lunes",IF(F1218=3,"Martes",IF(F1218=4,"Miercoles",IF(F1218=5,"Jueves",IF(F1218=6,"Viernes",IF(F1218=7,"Sábado",0)))))))</f>
        <v>#REF!</v>
      </c>
      <c r="F1218" s="190" t="e">
        <f>WEEKDAY(D1218)</f>
        <v>#REF!</v>
      </c>
      <c r="G1218" s="142"/>
      <c r="H1218" s="111"/>
    </row>
    <row r="1219" spans="1:8">
      <c r="A1219" s="80"/>
      <c r="B1219" s="81"/>
      <c r="C1219" s="81"/>
      <c r="D1219" s="81"/>
      <c r="E1219" s="81"/>
      <c r="F1219" s="584"/>
      <c r="G1219" s="584"/>
      <c r="H1219" s="111"/>
    </row>
    <row r="1220" spans="1:8">
      <c r="A1220" s="80"/>
      <c r="B1220" s="146">
        <f>+Mensajes!$B$7</f>
        <v>0</v>
      </c>
      <c r="C1220" s="81"/>
      <c r="D1220" s="81"/>
      <c r="E1220" s="81"/>
      <c r="F1220" s="81"/>
      <c r="G1220" s="81"/>
      <c r="H1220" s="111"/>
    </row>
    <row r="1221" spans="1:8">
      <c r="A1221" s="80"/>
      <c r="B1221" s="146">
        <f>+Mensajes!$B$12</f>
        <v>0</v>
      </c>
      <c r="C1221" s="81"/>
      <c r="D1221" s="81"/>
      <c r="E1221" s="81"/>
      <c r="F1221" s="81"/>
      <c r="G1221" s="81"/>
      <c r="H1221" s="111"/>
    </row>
    <row r="1222" spans="1:8">
      <c r="A1222" s="80"/>
      <c r="B1222" s="146" t="str">
        <f>IF(VLOOKUP(G1212,'18_1'!$A$274:$M$285,13,0)=0,"",VLOOKUP(G1212,'18_1'!$A$274:$M$285,13,0))</f>
        <v/>
      </c>
      <c r="C1222" s="81"/>
      <c r="D1222" s="81"/>
      <c r="E1222" s="81"/>
      <c r="F1222" s="81"/>
      <c r="G1222" s="81"/>
      <c r="H1222" s="111"/>
    </row>
    <row r="1223" spans="1:8">
      <c r="A1223" s="140"/>
      <c r="B1223" s="188" t="e">
        <f>IF(DSUM('18_1'!$A$274:$P$285,16,G1211:G1212)=COUNTIF('18_1'!$A$274:$A$285,G1212),"","Regularice su Deuda")</f>
        <v>#N/A</v>
      </c>
      <c r="C1223" s="82"/>
      <c r="D1223" s="82"/>
      <c r="E1223" s="82"/>
      <c r="F1223" s="82"/>
      <c r="G1223" s="82"/>
      <c r="H1223" s="83"/>
    </row>
    <row r="1225" spans="1:8">
      <c r="A1225" s="108"/>
      <c r="B1225" s="109"/>
      <c r="C1225" s="109"/>
      <c r="D1225" s="109"/>
      <c r="E1225" s="109"/>
      <c r="F1225" s="109"/>
      <c r="G1225" s="109"/>
      <c r="H1225" s="110"/>
    </row>
    <row r="1226" spans="1:8">
      <c r="A1226" s="80"/>
      <c r="B1226" s="147" t="s">
        <v>64</v>
      </c>
      <c r="C1226" s="81"/>
      <c r="D1226" s="81"/>
      <c r="E1226" s="81"/>
      <c r="F1226" s="81"/>
      <c r="G1226" s="81"/>
      <c r="H1226" s="111"/>
    </row>
    <row r="1227" spans="1:8">
      <c r="A1227" s="80"/>
      <c r="B1227" s="81"/>
      <c r="C1227" s="81"/>
      <c r="D1227" s="81"/>
      <c r="E1227" s="81"/>
      <c r="F1227" s="81"/>
      <c r="G1227" s="81"/>
      <c r="H1227" s="111"/>
    </row>
    <row r="1228" spans="1:8">
      <c r="A1228" s="80"/>
      <c r="B1228" s="81" t="s">
        <v>139</v>
      </c>
      <c r="C1228" s="81" t="str">
        <f>VLOOKUP(G1229,'18_1'!$A$274:$G$285,6,0)</f>
        <v>SANCHEZ, ELVIRA ANICETA</v>
      </c>
      <c r="D1228" s="81"/>
      <c r="E1228" s="81"/>
      <c r="F1228" s="81"/>
      <c r="G1228" s="138" t="s">
        <v>102</v>
      </c>
      <c r="H1228" s="111"/>
    </row>
    <row r="1229" spans="1:8">
      <c r="A1229" s="80"/>
      <c r="B1229" s="81" t="s">
        <v>72</v>
      </c>
      <c r="C1229" s="81" t="str">
        <f>+'18_1'!$G$2</f>
        <v>Hijuela Morón</v>
      </c>
      <c r="D1229" s="81"/>
      <c r="E1229" s="81"/>
      <c r="F1229" s="81"/>
      <c r="G1229" s="138">
        <v>3</v>
      </c>
      <c r="H1229" s="111"/>
    </row>
    <row r="1230" spans="1:8">
      <c r="A1230" s="80"/>
      <c r="B1230" s="81"/>
      <c r="C1230" s="81"/>
      <c r="D1230" s="81"/>
      <c r="E1230" s="81"/>
      <c r="F1230" s="81"/>
      <c r="G1230" s="81"/>
      <c r="H1230" s="111"/>
    </row>
    <row r="1231" spans="1:8">
      <c r="A1231" s="80"/>
      <c r="B1231" s="81" t="s">
        <v>140</v>
      </c>
      <c r="C1231" s="138">
        <f>VLOOKUP(G1229,'18_1'!$A$274:$B$285,2,0)</f>
        <v>1214</v>
      </c>
      <c r="D1231" s="81"/>
      <c r="E1231" s="139" t="s">
        <v>141</v>
      </c>
      <c r="F1231" s="141" t="e">
        <f>DSUM('18_1'!A$274:J$285,'18_1'!$J$274,G1228:G1229)</f>
        <v>#REF!</v>
      </c>
      <c r="G1231" s="81"/>
      <c r="H1231" s="111"/>
    </row>
    <row r="1232" spans="1:8">
      <c r="A1232" s="80"/>
      <c r="B1232" s="81" t="s">
        <v>142</v>
      </c>
      <c r="C1232" s="205">
        <v>196</v>
      </c>
      <c r="D1232" s="81"/>
      <c r="E1232" s="81"/>
      <c r="F1232" s="81"/>
      <c r="G1232" s="81"/>
      <c r="H1232" s="111"/>
    </row>
    <row r="1233" spans="1:8">
      <c r="A1233" s="80"/>
      <c r="B1233" s="81" t="s">
        <v>144</v>
      </c>
      <c r="C1233" s="206" t="e">
        <f>DSUM('18_1'!$A$274:$H$285,'18_1'!$H$274,G1228:G1229)</f>
        <v>#N/A</v>
      </c>
      <c r="D1233" s="81"/>
      <c r="E1233" s="81"/>
      <c r="F1233" s="584"/>
      <c r="G1233" s="584"/>
      <c r="H1233" s="111"/>
    </row>
    <row r="1234" spans="1:8" ht="15.75">
      <c r="A1234" s="80"/>
      <c r="B1234" s="81"/>
      <c r="C1234" s="81" t="s">
        <v>146</v>
      </c>
      <c r="D1234" s="145" t="e">
        <f>DMIN('18_1'!A$274:K$285,'18_1'!$J$274,G1228:G1229)</f>
        <v>#REF!</v>
      </c>
      <c r="E1234" s="189" t="e">
        <f>IF(F1234=1,"Domingo",IF(F1234=2,"Lunes",IF(F1234=3,"Martes",IF(F1234=4,"Miercoles",IF(F1234=5,"Jueves",IF(F1234=6,"Viernes",IF(F1234=7,"Sábado",0)))))))</f>
        <v>#REF!</v>
      </c>
      <c r="F1234" s="190" t="e">
        <f>WEEKDAY(D1234)</f>
        <v>#REF!</v>
      </c>
      <c r="G1234" s="142"/>
      <c r="H1234" s="111"/>
    </row>
    <row r="1235" spans="1:8" ht="15.75">
      <c r="A1235" s="80"/>
      <c r="B1235" s="81"/>
      <c r="C1235" s="81" t="s">
        <v>147</v>
      </c>
      <c r="D1235" s="145" t="e">
        <f>DMAX('18_1'!A$274:L$285,'18_1'!$K$274,G1228:G1229)</f>
        <v>#REF!</v>
      </c>
      <c r="E1235" s="189" t="e">
        <f>IF(F1235=1,"Domingo",IF(F1235=2,"Lunes",IF(F1235=3,"Martes",IF(F1235=4,"Miercoles",IF(F1235=5,"Jueves",IF(F1235=6,"Viernes",IF(F1235=7,"Sábado",0)))))))</f>
        <v>#REF!</v>
      </c>
      <c r="F1235" s="190" t="e">
        <f>WEEKDAY(D1235)</f>
        <v>#REF!</v>
      </c>
      <c r="G1235" s="142"/>
      <c r="H1235" s="111"/>
    </row>
    <row r="1236" spans="1:8">
      <c r="A1236" s="80"/>
      <c r="B1236" s="81"/>
      <c r="C1236" s="81"/>
      <c r="D1236" s="81"/>
      <c r="E1236" s="81"/>
      <c r="F1236" s="584"/>
      <c r="G1236" s="584"/>
      <c r="H1236" s="111"/>
    </row>
    <row r="1237" spans="1:8">
      <c r="A1237" s="80"/>
      <c r="B1237" s="146">
        <f>+Mensajes!$B$7</f>
        <v>0</v>
      </c>
      <c r="C1237" s="81"/>
      <c r="D1237" s="81"/>
      <c r="E1237" s="81"/>
      <c r="F1237" s="81"/>
      <c r="G1237" s="81"/>
      <c r="H1237" s="111"/>
    </row>
    <row r="1238" spans="1:8">
      <c r="A1238" s="80"/>
      <c r="B1238" s="146">
        <f>+Mensajes!$B$12</f>
        <v>0</v>
      </c>
      <c r="C1238" s="81"/>
      <c r="D1238" s="81"/>
      <c r="E1238" s="81"/>
      <c r="F1238" s="81"/>
      <c r="G1238" s="81"/>
      <c r="H1238" s="111"/>
    </row>
    <row r="1239" spans="1:8">
      <c r="A1239" s="80"/>
      <c r="B1239" s="146" t="str">
        <f>IF(VLOOKUP(G1229,'18_1'!$A$274:$M$285,13,0)=0,"",VLOOKUP(G1229,'18_1'!$A$274:$M$285,13,0))</f>
        <v/>
      </c>
      <c r="C1239" s="81"/>
      <c r="D1239" s="81"/>
      <c r="E1239" s="81"/>
      <c r="F1239" s="81"/>
      <c r="G1239" s="81"/>
      <c r="H1239" s="111"/>
    </row>
    <row r="1240" spans="1:8">
      <c r="A1240" s="140"/>
      <c r="B1240" s="188" t="str">
        <f>IF(DSUM('18_1'!$A$274:$P$285,16,G1228:G1229)=COUNTIF('18_1'!$A$274:$A$285,G1229),"","Regularice su Deuda")</f>
        <v/>
      </c>
      <c r="C1240" s="82"/>
      <c r="D1240" s="82"/>
      <c r="E1240" s="82"/>
      <c r="F1240" s="82"/>
      <c r="G1240" s="82"/>
      <c r="H1240" s="83"/>
    </row>
    <row r="1242" spans="1:8">
      <c r="A1242" s="108"/>
      <c r="B1242" s="109"/>
      <c r="C1242" s="109"/>
      <c r="D1242" s="109"/>
      <c r="E1242" s="109"/>
      <c r="F1242" s="109"/>
      <c r="G1242" s="109"/>
      <c r="H1242" s="110"/>
    </row>
    <row r="1243" spans="1:8">
      <c r="A1243" s="80"/>
      <c r="B1243" s="147" t="s">
        <v>64</v>
      </c>
      <c r="C1243" s="81"/>
      <c r="D1243" s="81"/>
      <c r="E1243" s="81"/>
      <c r="F1243" s="81"/>
      <c r="G1243" s="81"/>
      <c r="H1243" s="111"/>
    </row>
    <row r="1244" spans="1:8">
      <c r="A1244" s="80"/>
      <c r="B1244" s="81"/>
      <c r="C1244" s="81"/>
      <c r="D1244" s="81"/>
      <c r="E1244" s="81"/>
      <c r="F1244" s="81"/>
      <c r="G1244" s="81"/>
      <c r="H1244" s="111"/>
    </row>
    <row r="1245" spans="1:8">
      <c r="A1245" s="80"/>
      <c r="B1245" s="81" t="s">
        <v>139</v>
      </c>
      <c r="C1245" s="81" t="str">
        <f>VLOOKUP(G1246,'18_1'!$A$274:$G$285,6,0)</f>
        <v>OVIEDO, JORGE OMAR</v>
      </c>
      <c r="D1245" s="81"/>
      <c r="E1245" s="81"/>
      <c r="F1245" s="81"/>
      <c r="G1245" s="138" t="s">
        <v>102</v>
      </c>
      <c r="H1245" s="111"/>
    </row>
    <row r="1246" spans="1:8">
      <c r="A1246" s="80"/>
      <c r="B1246" s="81" t="s">
        <v>72</v>
      </c>
      <c r="C1246" s="81" t="str">
        <f>+'18_1'!$G$2</f>
        <v>Hijuela Morón</v>
      </c>
      <c r="D1246" s="81"/>
      <c r="E1246" s="81"/>
      <c r="F1246" s="81"/>
      <c r="G1246" s="138">
        <v>4</v>
      </c>
      <c r="H1246" s="111"/>
    </row>
    <row r="1247" spans="1:8">
      <c r="A1247" s="80"/>
      <c r="B1247" s="81"/>
      <c r="C1247" s="81"/>
      <c r="D1247" s="81"/>
      <c r="E1247" s="81"/>
      <c r="F1247" s="81"/>
      <c r="G1247" s="81"/>
      <c r="H1247" s="111"/>
    </row>
    <row r="1248" spans="1:8">
      <c r="A1248" s="80"/>
      <c r="B1248" s="81" t="s">
        <v>140</v>
      </c>
      <c r="C1248" s="138">
        <f>VLOOKUP(G1246,'18_1'!$A$274:$B$285,2,0)</f>
        <v>1214</v>
      </c>
      <c r="D1248" s="81"/>
      <c r="E1248" s="139" t="s">
        <v>141</v>
      </c>
      <c r="F1248" s="141" t="e">
        <f>DSUM('18_1'!A$274:J$285,'18_1'!$J$274,G1245:G1246)</f>
        <v>#REF!</v>
      </c>
      <c r="G1248" s="81"/>
      <c r="H1248" s="111"/>
    </row>
    <row r="1249" spans="1:8">
      <c r="A1249" s="80"/>
      <c r="B1249" s="81" t="s">
        <v>142</v>
      </c>
      <c r="C1249" s="205">
        <v>278</v>
      </c>
      <c r="D1249" s="81"/>
      <c r="E1249" s="81"/>
      <c r="F1249" s="81"/>
      <c r="G1249" s="81"/>
      <c r="H1249" s="111"/>
    </row>
    <row r="1250" spans="1:8">
      <c r="A1250" s="80"/>
      <c r="B1250" s="81" t="s">
        <v>144</v>
      </c>
      <c r="C1250" s="206" t="e">
        <f>DSUM('18_1'!$A$274:$H$285,'18_1'!$H$274,G1245:G1246)</f>
        <v>#N/A</v>
      </c>
      <c r="D1250" s="81"/>
      <c r="E1250" s="81"/>
      <c r="F1250" s="584"/>
      <c r="G1250" s="584"/>
      <c r="H1250" s="111"/>
    </row>
    <row r="1251" spans="1:8" ht="15.75">
      <c r="A1251" s="80"/>
      <c r="B1251" s="81"/>
      <c r="C1251" s="81" t="s">
        <v>146</v>
      </c>
      <c r="D1251" s="145" t="e">
        <f>DMIN('18_1'!A$274:K$285,'18_1'!$J$274,G1245:G1246)</f>
        <v>#REF!</v>
      </c>
      <c r="E1251" s="189" t="e">
        <f>IF(F1251=1,"Domingo",IF(F1251=2,"Lunes",IF(F1251=3,"Martes",IF(F1251=4,"Miercoles",IF(F1251=5,"Jueves",IF(F1251=6,"Viernes",IF(F1251=7,"Sábado",0)))))))</f>
        <v>#REF!</v>
      </c>
      <c r="F1251" s="190" t="e">
        <f>WEEKDAY(D1251)</f>
        <v>#REF!</v>
      </c>
      <c r="G1251" s="142"/>
      <c r="H1251" s="111"/>
    </row>
    <row r="1252" spans="1:8" ht="15.75">
      <c r="A1252" s="80"/>
      <c r="B1252" s="81"/>
      <c r="C1252" s="81" t="s">
        <v>147</v>
      </c>
      <c r="D1252" s="145" t="e">
        <f>DMAX('18_1'!A$274:L$285,'18_1'!$K$274,G1245:G1246)</f>
        <v>#REF!</v>
      </c>
      <c r="E1252" s="189" t="e">
        <f>IF(F1252=1,"Domingo",IF(F1252=2,"Lunes",IF(F1252=3,"Martes",IF(F1252=4,"Miercoles",IF(F1252=5,"Jueves",IF(F1252=6,"Viernes",IF(F1252=7,"Sábado",0)))))))</f>
        <v>#REF!</v>
      </c>
      <c r="F1252" s="190" t="e">
        <f>WEEKDAY(D1252)</f>
        <v>#REF!</v>
      </c>
      <c r="G1252" s="142"/>
      <c r="H1252" s="111"/>
    </row>
    <row r="1253" spans="1:8">
      <c r="A1253" s="80"/>
      <c r="B1253" s="81"/>
      <c r="C1253" s="81"/>
      <c r="D1253" s="81"/>
      <c r="E1253" s="81"/>
      <c r="F1253" s="584"/>
      <c r="G1253" s="584"/>
      <c r="H1253" s="111"/>
    </row>
    <row r="1254" spans="1:8">
      <c r="A1254" s="80"/>
      <c r="B1254" s="146">
        <f>+Mensajes!$B$7</f>
        <v>0</v>
      </c>
      <c r="C1254" s="81"/>
      <c r="D1254" s="81"/>
      <c r="E1254" s="81"/>
      <c r="F1254" s="81"/>
      <c r="G1254" s="81"/>
      <c r="H1254" s="111"/>
    </row>
    <row r="1255" spans="1:8">
      <c r="A1255" s="80"/>
      <c r="B1255" s="146">
        <f>+Mensajes!$B$12</f>
        <v>0</v>
      </c>
      <c r="C1255" s="81"/>
      <c r="D1255" s="81"/>
      <c r="E1255" s="81"/>
      <c r="F1255" s="81"/>
      <c r="G1255" s="81"/>
      <c r="H1255" s="111"/>
    </row>
    <row r="1256" spans="1:8">
      <c r="A1256" s="80"/>
      <c r="B1256" s="146" t="str">
        <f>IF(VLOOKUP(G1246,'18_1'!$A$274:$M$285,13,0)=0,"",VLOOKUP(G1246,'18_1'!$A$274:$M$285,13,0))</f>
        <v/>
      </c>
      <c r="C1256" s="81"/>
      <c r="D1256" s="81"/>
      <c r="E1256" s="81"/>
      <c r="F1256" s="81"/>
      <c r="G1256" s="81"/>
      <c r="H1256" s="111"/>
    </row>
    <row r="1257" spans="1:8">
      <c r="A1257" s="140"/>
      <c r="B1257" s="188" t="e">
        <f>IF(DSUM('18_1'!$A$274:$P$285,16,G1245:G1246)=COUNTIF('18_1'!$A$274:$A$285,G1246),"","Regularice su Deuda")</f>
        <v>#N/A</v>
      </c>
      <c r="C1257" s="82"/>
      <c r="D1257" s="82"/>
      <c r="E1257" s="82"/>
      <c r="F1257" s="82"/>
      <c r="G1257" s="82"/>
      <c r="H1257" s="83"/>
    </row>
    <row r="1259" spans="1:8">
      <c r="A1259" s="108"/>
      <c r="B1259" s="109"/>
      <c r="C1259" s="109"/>
      <c r="D1259" s="109"/>
      <c r="E1259" s="109"/>
      <c r="F1259" s="109"/>
      <c r="G1259" s="109"/>
      <c r="H1259" s="110"/>
    </row>
    <row r="1260" spans="1:8">
      <c r="A1260" s="80"/>
      <c r="B1260" s="147" t="s">
        <v>64</v>
      </c>
      <c r="C1260" s="81"/>
      <c r="D1260" s="81"/>
      <c r="E1260" s="81"/>
      <c r="F1260" s="81"/>
      <c r="G1260" s="81"/>
      <c r="H1260" s="111"/>
    </row>
    <row r="1261" spans="1:8">
      <c r="A1261" s="80"/>
      <c r="B1261" s="81"/>
      <c r="C1261" s="81"/>
      <c r="D1261" s="81"/>
      <c r="E1261" s="81"/>
      <c r="F1261" s="81"/>
      <c r="G1261" s="81"/>
      <c r="H1261" s="111"/>
    </row>
    <row r="1262" spans="1:8">
      <c r="A1262" s="80"/>
      <c r="B1262" s="81" t="s">
        <v>139</v>
      </c>
      <c r="C1262" s="81" t="str">
        <f>VLOOKUP(G1263,'18_1'!$A$274:$G$285,6,0)</f>
        <v>MANRESA, BARTOLOME EDGARDO</v>
      </c>
      <c r="D1262" s="81"/>
      <c r="E1262" s="81"/>
      <c r="F1262" s="81"/>
      <c r="G1262" s="138" t="s">
        <v>102</v>
      </c>
      <c r="H1262" s="111"/>
    </row>
    <row r="1263" spans="1:8">
      <c r="A1263" s="80"/>
      <c r="B1263" s="81" t="s">
        <v>72</v>
      </c>
      <c r="C1263" s="81" t="str">
        <f>+'18_1'!$G$2</f>
        <v>Hijuela Morón</v>
      </c>
      <c r="D1263" s="81"/>
      <c r="E1263" s="81"/>
      <c r="F1263" s="81"/>
      <c r="G1263" s="138">
        <v>5</v>
      </c>
      <c r="H1263" s="111"/>
    </row>
    <row r="1264" spans="1:8">
      <c r="A1264" s="80"/>
      <c r="B1264" s="81"/>
      <c r="C1264" s="81"/>
      <c r="D1264" s="81"/>
      <c r="E1264" s="81"/>
      <c r="F1264" s="81"/>
      <c r="G1264" s="81"/>
      <c r="H1264" s="111"/>
    </row>
    <row r="1265" spans="1:8">
      <c r="A1265" s="80"/>
      <c r="B1265" s="81" t="s">
        <v>140</v>
      </c>
      <c r="C1265" s="138">
        <f>VLOOKUP(G1263,'18_1'!$A$274:$B$285,2,0)</f>
        <v>1214</v>
      </c>
      <c r="D1265" s="81"/>
      <c r="E1265" s="139" t="s">
        <v>141</v>
      </c>
      <c r="F1265" s="141" t="e">
        <f>DSUM('18_1'!A$274:J$285,'18_1'!$J$274,G1262:G1263)</f>
        <v>#REF!</v>
      </c>
      <c r="G1265" s="81"/>
      <c r="H1265" s="111"/>
    </row>
    <row r="1266" spans="1:8">
      <c r="A1266" s="80"/>
      <c r="B1266" s="81" t="s">
        <v>142</v>
      </c>
      <c r="C1266" s="205">
        <v>175</v>
      </c>
      <c r="D1266" s="81"/>
      <c r="E1266" s="81"/>
      <c r="F1266" s="81"/>
      <c r="G1266" s="81"/>
      <c r="H1266" s="111"/>
    </row>
    <row r="1267" spans="1:8">
      <c r="A1267" s="80"/>
      <c r="B1267" s="81" t="s">
        <v>144</v>
      </c>
      <c r="C1267" s="206" t="e">
        <f>DSUM('18_1'!$A$274:$H$285,'18_1'!$H$274,G1262:G1263)</f>
        <v>#N/A</v>
      </c>
      <c r="D1267" s="81"/>
      <c r="E1267" s="81"/>
      <c r="F1267" s="584"/>
      <c r="G1267" s="584"/>
      <c r="H1267" s="111"/>
    </row>
    <row r="1268" spans="1:8" ht="15.75">
      <c r="A1268" s="80"/>
      <c r="B1268" s="81"/>
      <c r="C1268" s="81" t="s">
        <v>146</v>
      </c>
      <c r="D1268" s="145" t="e">
        <f>DMIN('18_1'!A$274:K$285,'18_1'!$J$274,G1262:G1263)</f>
        <v>#REF!</v>
      </c>
      <c r="E1268" s="189" t="e">
        <f>IF(F1268=1,"Domingo",IF(F1268=2,"Lunes",IF(F1268=3,"Martes",IF(F1268=4,"Miercoles",IF(F1268=5,"Jueves",IF(F1268=6,"Viernes",IF(F1268=7,"Sábado",0)))))))</f>
        <v>#REF!</v>
      </c>
      <c r="F1268" s="190" t="e">
        <f>WEEKDAY(D1268)</f>
        <v>#REF!</v>
      </c>
      <c r="G1268" s="142"/>
      <c r="H1268" s="111"/>
    </row>
    <row r="1269" spans="1:8" ht="15.75">
      <c r="A1269" s="80"/>
      <c r="B1269" s="81"/>
      <c r="C1269" s="81" t="s">
        <v>147</v>
      </c>
      <c r="D1269" s="145" t="e">
        <f>DMAX('18_1'!A$274:L$285,'18_1'!$K$274,G1262:G1263)</f>
        <v>#REF!</v>
      </c>
      <c r="E1269" s="189" t="e">
        <f>IF(F1269=1,"Domingo",IF(F1269=2,"Lunes",IF(F1269=3,"Martes",IF(F1269=4,"Miercoles",IF(F1269=5,"Jueves",IF(F1269=6,"Viernes",IF(F1269=7,"Sábado",0)))))))</f>
        <v>#REF!</v>
      </c>
      <c r="F1269" s="190" t="e">
        <f>WEEKDAY(D1269)</f>
        <v>#REF!</v>
      </c>
      <c r="G1269" s="142"/>
      <c r="H1269" s="111"/>
    </row>
    <row r="1270" spans="1:8">
      <c r="A1270" s="80"/>
      <c r="B1270" s="81"/>
      <c r="C1270" s="81"/>
      <c r="D1270" s="81"/>
      <c r="E1270" s="81"/>
      <c r="F1270" s="584"/>
      <c r="G1270" s="584"/>
      <c r="H1270" s="111"/>
    </row>
    <row r="1271" spans="1:8">
      <c r="A1271" s="80"/>
      <c r="B1271" s="146">
        <f>+Mensajes!$B$7</f>
        <v>0</v>
      </c>
      <c r="C1271" s="81"/>
      <c r="D1271" s="81"/>
      <c r="E1271" s="81"/>
      <c r="F1271" s="81"/>
      <c r="G1271" s="81"/>
      <c r="H1271" s="111"/>
    </row>
    <row r="1272" spans="1:8">
      <c r="A1272" s="80"/>
      <c r="B1272" s="146">
        <f>+Mensajes!$B$12</f>
        <v>0</v>
      </c>
      <c r="C1272" s="81"/>
      <c r="D1272" s="81"/>
      <c r="E1272" s="81"/>
      <c r="F1272" s="81"/>
      <c r="G1272" s="81"/>
      <c r="H1272" s="111"/>
    </row>
    <row r="1273" spans="1:8">
      <c r="A1273" s="80"/>
      <c r="B1273" s="146" t="str">
        <f>IF(VLOOKUP(G1263,'18_1'!$A$274:$M$285,13,0)=0,"",VLOOKUP(G1263,'18_1'!$A$274:$M$285,13,0))</f>
        <v/>
      </c>
      <c r="C1273" s="81"/>
      <c r="D1273" s="81"/>
      <c r="E1273" s="81"/>
      <c r="F1273" s="81"/>
      <c r="G1273" s="81"/>
      <c r="H1273" s="111"/>
    </row>
    <row r="1274" spans="1:8">
      <c r="A1274" s="140"/>
      <c r="B1274" s="188" t="str">
        <f>IF(DSUM('18_1'!$A$274:$P$285,16,G1262:G1263)=COUNTIF('18_1'!$A$274:$A$285,G1263),"","Regularice su Deuda")</f>
        <v>Regularice su Deuda</v>
      </c>
      <c r="C1274" s="82"/>
      <c r="D1274" s="82"/>
      <c r="E1274" s="82"/>
      <c r="F1274" s="82"/>
      <c r="G1274" s="82"/>
      <c r="H1274" s="83"/>
    </row>
    <row r="1276" spans="1:8">
      <c r="A1276" s="108"/>
      <c r="B1276" s="109"/>
      <c r="C1276" s="109"/>
      <c r="D1276" s="109"/>
      <c r="E1276" s="109"/>
      <c r="F1276" s="109"/>
      <c r="G1276" s="109"/>
      <c r="H1276" s="110"/>
    </row>
    <row r="1277" spans="1:8">
      <c r="A1277" s="80"/>
      <c r="B1277" s="147" t="s">
        <v>64</v>
      </c>
      <c r="C1277" s="81"/>
      <c r="D1277" s="81"/>
      <c r="E1277" s="81"/>
      <c r="F1277" s="81"/>
      <c r="G1277" s="81"/>
      <c r="H1277" s="111"/>
    </row>
    <row r="1278" spans="1:8">
      <c r="A1278" s="80"/>
      <c r="B1278" s="81"/>
      <c r="C1278" s="81"/>
      <c r="D1278" s="81"/>
      <c r="E1278" s="81"/>
      <c r="F1278" s="81"/>
      <c r="G1278" s="81"/>
      <c r="H1278" s="111"/>
    </row>
    <row r="1279" spans="1:8">
      <c r="A1279" s="80"/>
      <c r="B1279" s="81" t="s">
        <v>139</v>
      </c>
      <c r="C1279" s="81" t="str">
        <f>VLOOKUP(G1280,'18_1'!$A$274:$G$285,6,0)</f>
        <v>ZIMINO, ANGELA AMELIA; ZIMINO, MARIA ISABEL Y ZIMINO, PASCUAL ALBERTO</v>
      </c>
      <c r="D1279" s="81"/>
      <c r="E1279" s="81"/>
      <c r="F1279" s="81"/>
      <c r="G1279" s="138" t="s">
        <v>102</v>
      </c>
      <c r="H1279" s="111"/>
    </row>
    <row r="1280" spans="1:8">
      <c r="A1280" s="80"/>
      <c r="B1280" s="81" t="s">
        <v>72</v>
      </c>
      <c r="C1280" s="81" t="str">
        <f>+'18_1'!$G$2</f>
        <v>Hijuela Morón</v>
      </c>
      <c r="D1280" s="81"/>
      <c r="E1280" s="81"/>
      <c r="F1280" s="81"/>
      <c r="G1280" s="138">
        <v>6</v>
      </c>
      <c r="H1280" s="111"/>
    </row>
    <row r="1281" spans="1:8">
      <c r="A1281" s="80"/>
      <c r="B1281" s="81"/>
      <c r="C1281" s="81"/>
      <c r="D1281" s="81"/>
      <c r="E1281" s="81"/>
      <c r="F1281" s="81"/>
      <c r="G1281" s="81"/>
      <c r="H1281" s="111"/>
    </row>
    <row r="1282" spans="1:8">
      <c r="A1282" s="80"/>
      <c r="B1282" s="81" t="s">
        <v>140</v>
      </c>
      <c r="C1282" s="138">
        <f>VLOOKUP(G1280,'18_1'!$A$274:$B$285,2,0)</f>
        <v>1214</v>
      </c>
      <c r="D1282" s="81"/>
      <c r="E1282" s="139" t="s">
        <v>141</v>
      </c>
      <c r="F1282" s="141" t="e">
        <f>DSUM('18_1'!A$274:J$285,'18_1'!$J$274,G1279:G1280)</f>
        <v>#REF!</v>
      </c>
      <c r="G1282" s="81"/>
      <c r="H1282" s="111"/>
    </row>
    <row r="1283" spans="1:8">
      <c r="A1283" s="80"/>
      <c r="B1283" s="81" t="s">
        <v>142</v>
      </c>
      <c r="C1283" s="205">
        <v>220</v>
      </c>
      <c r="D1283" s="81"/>
      <c r="E1283" s="81"/>
      <c r="F1283" s="81"/>
      <c r="G1283" s="81"/>
      <c r="H1283" s="111"/>
    </row>
    <row r="1284" spans="1:8">
      <c r="A1284" s="80"/>
      <c r="B1284" s="81" t="s">
        <v>144</v>
      </c>
      <c r="C1284" s="206" t="e">
        <f>DSUM('18_1'!$A$274:$H$285,'18_1'!$H$274,G1279:G1280)</f>
        <v>#N/A</v>
      </c>
      <c r="D1284" s="81"/>
      <c r="E1284" s="81"/>
      <c r="F1284" s="584"/>
      <c r="G1284" s="584"/>
      <c r="H1284" s="111"/>
    </row>
    <row r="1285" spans="1:8" ht="15.75">
      <c r="A1285" s="80"/>
      <c r="B1285" s="81"/>
      <c r="C1285" s="81" t="s">
        <v>146</v>
      </c>
      <c r="D1285" s="145" t="e">
        <f>DMIN('18_1'!A$274:K$285,'18_1'!$J$274,G1279:G1280)</f>
        <v>#REF!</v>
      </c>
      <c r="E1285" s="189" t="e">
        <f>IF(F1285=1,"Domingo",IF(F1285=2,"Lunes",IF(F1285=3,"Martes",IF(F1285=4,"Miercoles",IF(F1285=5,"Jueves",IF(F1285=6,"Viernes",IF(F1285=7,"Sábado",0)))))))</f>
        <v>#REF!</v>
      </c>
      <c r="F1285" s="190" t="e">
        <f>WEEKDAY(D1285)</f>
        <v>#REF!</v>
      </c>
      <c r="G1285" s="142"/>
      <c r="H1285" s="111"/>
    </row>
    <row r="1286" spans="1:8" ht="15.75">
      <c r="A1286" s="80"/>
      <c r="B1286" s="81"/>
      <c r="C1286" s="81" t="s">
        <v>147</v>
      </c>
      <c r="D1286" s="145" t="e">
        <f>DMAX('18_1'!A$274:L$285,'18_1'!$K$274,G1279:G1280)</f>
        <v>#REF!</v>
      </c>
      <c r="E1286" s="189" t="e">
        <f>IF(F1286=1,"Domingo",IF(F1286=2,"Lunes",IF(F1286=3,"Martes",IF(F1286=4,"Miercoles",IF(F1286=5,"Jueves",IF(F1286=6,"Viernes",IF(F1286=7,"Sábado",0)))))))</f>
        <v>#REF!</v>
      </c>
      <c r="F1286" s="190" t="e">
        <f>WEEKDAY(D1286)</f>
        <v>#REF!</v>
      </c>
      <c r="G1286" s="142"/>
      <c r="H1286" s="111"/>
    </row>
    <row r="1287" spans="1:8">
      <c r="A1287" s="80"/>
      <c r="B1287" s="81"/>
      <c r="C1287" s="81"/>
      <c r="D1287" s="81"/>
      <c r="E1287" s="81"/>
      <c r="F1287" s="584"/>
      <c r="G1287" s="584"/>
      <c r="H1287" s="111"/>
    </row>
    <row r="1288" spans="1:8">
      <c r="A1288" s="80"/>
      <c r="B1288" s="146">
        <f>+Mensajes!$B$7</f>
        <v>0</v>
      </c>
      <c r="C1288" s="81"/>
      <c r="D1288" s="81"/>
      <c r="E1288" s="81"/>
      <c r="F1288" s="81"/>
      <c r="G1288" s="81"/>
      <c r="H1288" s="111"/>
    </row>
    <row r="1289" spans="1:8">
      <c r="A1289" s="80"/>
      <c r="B1289" s="146">
        <f>+Mensajes!$B$12</f>
        <v>0</v>
      </c>
      <c r="C1289" s="81"/>
      <c r="D1289" s="81"/>
      <c r="E1289" s="81"/>
      <c r="F1289" s="81"/>
      <c r="G1289" s="81"/>
      <c r="H1289" s="111"/>
    </row>
    <row r="1290" spans="1:8">
      <c r="A1290" s="80"/>
      <c r="B1290" s="146" t="str">
        <f>IF(VLOOKUP(G1280,'18_1'!$A$274:$M$285,13,0)=0,"",VLOOKUP(G1280,'18_1'!$A$274:$M$285,13,0))</f>
        <v/>
      </c>
      <c r="C1290" s="81"/>
      <c r="D1290" s="81"/>
      <c r="E1290" s="81"/>
      <c r="F1290" s="81"/>
      <c r="G1290" s="81"/>
      <c r="H1290" s="111"/>
    </row>
    <row r="1291" spans="1:8">
      <c r="A1291" s="140"/>
      <c r="B1291" s="188" t="str">
        <f>IF(DSUM('18_1'!$A$274:$P$285,16,G1279:G1280)=COUNTIF('18_1'!$A$274:$A$285,G1280),"","Regularice su Deuda")</f>
        <v/>
      </c>
      <c r="C1291" s="82"/>
      <c r="D1291" s="82"/>
      <c r="E1291" s="82"/>
      <c r="F1291" s="82"/>
      <c r="G1291" s="82"/>
      <c r="H1291" s="83"/>
    </row>
    <row r="1293" spans="1:8">
      <c r="A1293" s="108"/>
      <c r="B1293" s="109"/>
      <c r="C1293" s="109"/>
      <c r="D1293" s="109"/>
      <c r="E1293" s="109"/>
      <c r="F1293" s="109"/>
      <c r="G1293" s="109"/>
      <c r="H1293" s="110"/>
    </row>
    <row r="1294" spans="1:8">
      <c r="A1294" s="80"/>
      <c r="B1294" s="147" t="s">
        <v>64</v>
      </c>
      <c r="C1294" s="81"/>
      <c r="D1294" s="81"/>
      <c r="E1294" s="81"/>
      <c r="F1294" s="81"/>
      <c r="G1294" s="81"/>
      <c r="H1294" s="111"/>
    </row>
    <row r="1295" spans="1:8">
      <c r="A1295" s="80"/>
      <c r="B1295" s="81"/>
      <c r="C1295" s="81"/>
      <c r="D1295" s="81"/>
      <c r="E1295" s="81"/>
      <c r="F1295" s="81"/>
      <c r="G1295" s="81"/>
      <c r="H1295" s="111"/>
    </row>
    <row r="1296" spans="1:8">
      <c r="A1296" s="80"/>
      <c r="B1296" s="81" t="s">
        <v>139</v>
      </c>
      <c r="C1296" s="81" t="str">
        <f>VLOOKUP(G1297,'18_1'!$A$274:$G$285,6,0)</f>
        <v>AZCURRA, ELIO CARLOS</v>
      </c>
      <c r="D1296" s="81"/>
      <c r="E1296" s="81"/>
      <c r="F1296" s="81"/>
      <c r="G1296" s="138" t="s">
        <v>102</v>
      </c>
      <c r="H1296" s="111"/>
    </row>
    <row r="1297" spans="1:8">
      <c r="A1297" s="80"/>
      <c r="B1297" s="81" t="s">
        <v>72</v>
      </c>
      <c r="C1297" s="81" t="str">
        <f>+'18_1'!$G$2</f>
        <v>Hijuela Morón</v>
      </c>
      <c r="D1297" s="81"/>
      <c r="E1297" s="81"/>
      <c r="F1297" s="81"/>
      <c r="G1297" s="138">
        <v>7</v>
      </c>
      <c r="H1297" s="111"/>
    </row>
    <row r="1298" spans="1:8">
      <c r="A1298" s="80"/>
      <c r="B1298" s="81"/>
      <c r="C1298" s="81"/>
      <c r="D1298" s="81"/>
      <c r="E1298" s="81"/>
      <c r="F1298" s="81"/>
      <c r="G1298" s="81"/>
      <c r="H1298" s="111"/>
    </row>
    <row r="1299" spans="1:8">
      <c r="A1299" s="80"/>
      <c r="B1299" s="81" t="s">
        <v>140</v>
      </c>
      <c r="C1299" s="138">
        <f>VLOOKUP(G1297,'18_1'!$A$274:$B$285,2,0)</f>
        <v>1214</v>
      </c>
      <c r="D1299" s="81"/>
      <c r="E1299" s="139" t="s">
        <v>141</v>
      </c>
      <c r="F1299" s="141" t="e">
        <f>DSUM('18_1'!A$274:J$285,'18_1'!$J$274,G1296:G1297)</f>
        <v>#REF!</v>
      </c>
      <c r="G1299" s="81"/>
      <c r="H1299" s="111"/>
    </row>
    <row r="1300" spans="1:8">
      <c r="A1300" s="80"/>
      <c r="B1300" s="81" t="s">
        <v>142</v>
      </c>
      <c r="C1300" s="205" t="s">
        <v>683</v>
      </c>
      <c r="D1300" s="81"/>
      <c r="E1300" s="81"/>
      <c r="F1300" s="81"/>
      <c r="G1300" s="81"/>
      <c r="H1300" s="111"/>
    </row>
    <row r="1301" spans="1:8">
      <c r="A1301" s="80"/>
      <c r="B1301" s="81" t="s">
        <v>144</v>
      </c>
      <c r="C1301" s="206" t="e">
        <f>DSUM('18_1'!$A$274:$H$285,'18_1'!$H$274,G1296:G1297)</f>
        <v>#N/A</v>
      </c>
      <c r="D1301" s="81"/>
      <c r="E1301" s="81"/>
      <c r="F1301" s="584"/>
      <c r="G1301" s="584"/>
      <c r="H1301" s="111"/>
    </row>
    <row r="1302" spans="1:8" ht="15.75">
      <c r="A1302" s="80"/>
      <c r="B1302" s="81"/>
      <c r="C1302" s="81" t="s">
        <v>146</v>
      </c>
      <c r="D1302" s="145" t="e">
        <f>DMIN('18_1'!A$274:K$285,'18_1'!$J$274,G1296:G1297)</f>
        <v>#REF!</v>
      </c>
      <c r="E1302" s="189" t="e">
        <f>IF(F1302=1,"Domingo",IF(F1302=2,"Lunes",IF(F1302=3,"Martes",IF(F1302=4,"Miercoles",IF(F1302=5,"Jueves",IF(F1302=6,"Viernes",IF(F1302=7,"Sábado",0)))))))</f>
        <v>#REF!</v>
      </c>
      <c r="F1302" s="190" t="e">
        <f>WEEKDAY(D1302)</f>
        <v>#REF!</v>
      </c>
      <c r="G1302" s="142"/>
      <c r="H1302" s="111"/>
    </row>
    <row r="1303" spans="1:8" ht="15.75">
      <c r="A1303" s="80"/>
      <c r="B1303" s="81"/>
      <c r="C1303" s="81" t="s">
        <v>147</v>
      </c>
      <c r="D1303" s="145" t="e">
        <f>DMAX('18_1'!A$274:L$285,'18_1'!$K$274,G1296:G1297)</f>
        <v>#REF!</v>
      </c>
      <c r="E1303" s="189" t="e">
        <f>IF(F1303=1,"Domingo",IF(F1303=2,"Lunes",IF(F1303=3,"Martes",IF(F1303=4,"Miercoles",IF(F1303=5,"Jueves",IF(F1303=6,"Viernes",IF(F1303=7,"Sábado",0)))))))</f>
        <v>#REF!</v>
      </c>
      <c r="F1303" s="190" t="e">
        <f>WEEKDAY(D1303)</f>
        <v>#REF!</v>
      </c>
      <c r="G1303" s="142"/>
      <c r="H1303" s="111"/>
    </row>
    <row r="1304" spans="1:8">
      <c r="A1304" s="80"/>
      <c r="B1304" s="81"/>
      <c r="C1304" s="81"/>
      <c r="D1304" s="81"/>
      <c r="E1304" s="81"/>
      <c r="F1304" s="584"/>
      <c r="G1304" s="584"/>
      <c r="H1304" s="111"/>
    </row>
    <row r="1305" spans="1:8">
      <c r="A1305" s="80"/>
      <c r="B1305" s="146">
        <f>+Mensajes!$B$7</f>
        <v>0</v>
      </c>
      <c r="C1305" s="81"/>
      <c r="D1305" s="81"/>
      <c r="E1305" s="81"/>
      <c r="F1305" s="81"/>
      <c r="G1305" s="81"/>
      <c r="H1305" s="111"/>
    </row>
    <row r="1306" spans="1:8">
      <c r="A1306" s="80"/>
      <c r="B1306" s="146">
        <f>+Mensajes!$B$12</f>
        <v>0</v>
      </c>
      <c r="C1306" s="81"/>
      <c r="D1306" s="81"/>
      <c r="E1306" s="81"/>
      <c r="F1306" s="81"/>
      <c r="G1306" s="81"/>
      <c r="H1306" s="111"/>
    </row>
    <row r="1307" spans="1:8">
      <c r="A1307" s="80"/>
      <c r="B1307" s="146" t="str">
        <f>IF(VLOOKUP(G1297,'18_1'!$A$274:$M$285,13,0)=0,"",VLOOKUP(G1297,'18_1'!$A$274:$M$285,13,0))</f>
        <v/>
      </c>
      <c r="C1307" s="81"/>
      <c r="D1307" s="81"/>
      <c r="E1307" s="81"/>
      <c r="F1307" s="81"/>
      <c r="G1307" s="81"/>
      <c r="H1307" s="111"/>
    </row>
    <row r="1308" spans="1:8">
      <c r="A1308" s="140"/>
      <c r="B1308" s="188" t="str">
        <f>IF(DSUM('18_1'!$A$274:$P$285,16,G1296:G1297)=COUNTIF('18_1'!$A$274:$A$285,G1297),"","Regularice su Deuda")</f>
        <v>Regularice su Deuda</v>
      </c>
      <c r="C1308" s="82"/>
      <c r="D1308" s="82"/>
      <c r="E1308" s="82"/>
      <c r="F1308" s="82"/>
      <c r="G1308" s="82"/>
      <c r="H1308" s="83"/>
    </row>
    <row r="1310" spans="1:8">
      <c r="A1310" s="108"/>
      <c r="B1310" s="109"/>
      <c r="C1310" s="109"/>
      <c r="D1310" s="109"/>
      <c r="E1310" s="109"/>
      <c r="F1310" s="109"/>
      <c r="G1310" s="109"/>
      <c r="H1310" s="110"/>
    </row>
    <row r="1311" spans="1:8">
      <c r="A1311" s="80"/>
      <c r="B1311" s="147" t="s">
        <v>64</v>
      </c>
      <c r="C1311" s="81"/>
      <c r="D1311" s="81"/>
      <c r="E1311" s="81"/>
      <c r="F1311" s="81"/>
      <c r="G1311" s="81"/>
      <c r="H1311" s="111"/>
    </row>
    <row r="1312" spans="1:8">
      <c r="A1312" s="80"/>
      <c r="B1312" s="81"/>
      <c r="C1312" s="81"/>
      <c r="D1312" s="81"/>
      <c r="E1312" s="81"/>
      <c r="F1312" s="81"/>
      <c r="G1312" s="81"/>
      <c r="H1312" s="111"/>
    </row>
    <row r="1313" spans="1:8">
      <c r="A1313" s="80"/>
      <c r="B1313" s="81" t="s">
        <v>139</v>
      </c>
      <c r="C1313" s="81" t="str">
        <f>VLOOKUP(G1314,'18_1'!$A$274:$G$285,6,0)</f>
        <v>FERNANDEZ, ANGEL DEL ROSARIO</v>
      </c>
      <c r="D1313" s="81"/>
      <c r="E1313" s="81"/>
      <c r="F1313" s="81"/>
      <c r="G1313" s="138" t="s">
        <v>102</v>
      </c>
      <c r="H1313" s="111"/>
    </row>
    <row r="1314" spans="1:8">
      <c r="A1314" s="80"/>
      <c r="B1314" s="81" t="s">
        <v>72</v>
      </c>
      <c r="C1314" s="81" t="str">
        <f>+'18_1'!$G$2</f>
        <v>Hijuela Morón</v>
      </c>
      <c r="D1314" s="81"/>
      <c r="E1314" s="81"/>
      <c r="F1314" s="81"/>
      <c r="G1314" s="138">
        <v>8</v>
      </c>
      <c r="H1314" s="111"/>
    </row>
    <row r="1315" spans="1:8">
      <c r="A1315" s="80"/>
      <c r="B1315" s="81"/>
      <c r="C1315" s="81"/>
      <c r="D1315" s="81"/>
      <c r="E1315" s="81"/>
      <c r="F1315" s="81"/>
      <c r="G1315" s="81"/>
      <c r="H1315" s="111"/>
    </row>
    <row r="1316" spans="1:8">
      <c r="A1316" s="80"/>
      <c r="B1316" s="81" t="s">
        <v>140</v>
      </c>
      <c r="C1316" s="138">
        <f>VLOOKUP(G1314,'18_1'!$A$274:$B$285,2,0)</f>
        <v>1214</v>
      </c>
      <c r="D1316" s="81"/>
      <c r="E1316" s="139" t="s">
        <v>141</v>
      </c>
      <c r="F1316" s="141" t="e">
        <f>DSUM('18_1'!A$274:J$285,'18_1'!$J$274,G1313:G1314)</f>
        <v>#REF!</v>
      </c>
      <c r="G1316" s="81"/>
      <c r="H1316" s="111"/>
    </row>
    <row r="1317" spans="1:8">
      <c r="A1317" s="80"/>
      <c r="B1317" s="81" t="s">
        <v>142</v>
      </c>
      <c r="C1317" s="205">
        <v>223</v>
      </c>
      <c r="D1317" s="81"/>
      <c r="E1317" s="81"/>
      <c r="F1317" s="81"/>
      <c r="G1317" s="81"/>
      <c r="H1317" s="111"/>
    </row>
    <row r="1318" spans="1:8">
      <c r="A1318" s="80"/>
      <c r="B1318" s="81" t="s">
        <v>144</v>
      </c>
      <c r="C1318" s="206" t="e">
        <f>DSUM('18_1'!$A$274:$H$285,'18_1'!$H$274,G1313:G1314)</f>
        <v>#N/A</v>
      </c>
      <c r="D1318" s="81"/>
      <c r="E1318" s="81"/>
      <c r="F1318" s="584"/>
      <c r="G1318" s="584"/>
      <c r="H1318" s="111"/>
    </row>
    <row r="1319" spans="1:8" ht="15.75">
      <c r="A1319" s="80"/>
      <c r="B1319" s="81"/>
      <c r="C1319" s="81" t="s">
        <v>146</v>
      </c>
      <c r="D1319" s="145" t="e">
        <f>DMIN('18_1'!A$274:K$285,'18_1'!$J$274,G1313:G1314)</f>
        <v>#REF!</v>
      </c>
      <c r="E1319" s="189" t="e">
        <f>IF(F1319=1,"Domingo",IF(F1319=2,"Lunes",IF(F1319=3,"Martes",IF(F1319=4,"Miercoles",IF(F1319=5,"Jueves",IF(F1319=6,"Viernes",IF(F1319=7,"Sábado",0)))))))</f>
        <v>#REF!</v>
      </c>
      <c r="F1319" s="190" t="e">
        <f>WEEKDAY(D1319)</f>
        <v>#REF!</v>
      </c>
      <c r="G1319" s="142"/>
      <c r="H1319" s="111"/>
    </row>
    <row r="1320" spans="1:8" ht="15.75">
      <c r="A1320" s="80"/>
      <c r="B1320" s="81"/>
      <c r="C1320" s="81" t="s">
        <v>147</v>
      </c>
      <c r="D1320" s="145" t="e">
        <f>DMAX('18_1'!A$274:L$285,'18_1'!$K$274,G1313:G1314)</f>
        <v>#REF!</v>
      </c>
      <c r="E1320" s="189" t="e">
        <f>IF(F1320=1,"Domingo",IF(F1320=2,"Lunes",IF(F1320=3,"Martes",IF(F1320=4,"Miercoles",IF(F1320=5,"Jueves",IF(F1320=6,"Viernes",IF(F1320=7,"Sábado",0)))))))</f>
        <v>#REF!</v>
      </c>
      <c r="F1320" s="190" t="e">
        <f>WEEKDAY(D1320)</f>
        <v>#REF!</v>
      </c>
      <c r="G1320" s="142"/>
      <c r="H1320" s="111"/>
    </row>
    <row r="1321" spans="1:8">
      <c r="A1321" s="80"/>
      <c r="B1321" s="81"/>
      <c r="C1321" s="81"/>
      <c r="D1321" s="81"/>
      <c r="E1321" s="81"/>
      <c r="F1321" s="584"/>
      <c r="G1321" s="584"/>
      <c r="H1321" s="111"/>
    </row>
    <row r="1322" spans="1:8">
      <c r="A1322" s="80"/>
      <c r="B1322" s="146">
        <f>+Mensajes!$B$7</f>
        <v>0</v>
      </c>
      <c r="C1322" s="81"/>
      <c r="D1322" s="81"/>
      <c r="E1322" s="81"/>
      <c r="F1322" s="81"/>
      <c r="G1322" s="81"/>
      <c r="H1322" s="111"/>
    </row>
    <row r="1323" spans="1:8">
      <c r="A1323" s="80"/>
      <c r="B1323" s="146">
        <f>+Mensajes!$B$12</f>
        <v>0</v>
      </c>
      <c r="C1323" s="81"/>
      <c r="D1323" s="81"/>
      <c r="E1323" s="81"/>
      <c r="F1323" s="81"/>
      <c r="G1323" s="81"/>
      <c r="H1323" s="111"/>
    </row>
    <row r="1324" spans="1:8">
      <c r="A1324" s="80"/>
      <c r="B1324" s="146" t="str">
        <f>IF(VLOOKUP(G1314,'18_1'!$A$274:$M$285,13,0)=0,"",VLOOKUP(G1314,'18_1'!$A$274:$M$285,13,0))</f>
        <v/>
      </c>
      <c r="C1324" s="81"/>
      <c r="D1324" s="81"/>
      <c r="E1324" s="81"/>
      <c r="F1324" s="81"/>
      <c r="G1324" s="81"/>
      <c r="H1324" s="111"/>
    </row>
    <row r="1325" spans="1:8">
      <c r="A1325" s="140"/>
      <c r="B1325" s="188" t="str">
        <f>IF(DSUM('18_1'!$A$274:$P$285,16,G1313:G1314)=COUNTIF('18_1'!$A$274:$A$285,G1314),"","Regularice su Deuda")</f>
        <v>Regularice su Deuda</v>
      </c>
      <c r="C1325" s="82"/>
      <c r="D1325" s="82"/>
      <c r="E1325" s="82"/>
      <c r="F1325" s="82"/>
      <c r="G1325" s="82"/>
      <c r="H1325" s="83"/>
    </row>
    <row r="1327" spans="1:8">
      <c r="A1327" s="108"/>
      <c r="B1327" s="109"/>
      <c r="C1327" s="109"/>
      <c r="D1327" s="109"/>
      <c r="E1327" s="109"/>
      <c r="F1327" s="109"/>
      <c r="G1327" s="109"/>
      <c r="H1327" s="110"/>
    </row>
    <row r="1328" spans="1:8">
      <c r="A1328" s="80"/>
      <c r="B1328" s="147" t="s">
        <v>64</v>
      </c>
      <c r="C1328" s="81"/>
      <c r="D1328" s="81"/>
      <c r="E1328" s="81"/>
      <c r="F1328" s="81"/>
      <c r="G1328" s="81"/>
      <c r="H1328" s="111"/>
    </row>
    <row r="1329" spans="1:8">
      <c r="A1329" s="80"/>
      <c r="B1329" s="81"/>
      <c r="C1329" s="81"/>
      <c r="D1329" s="81"/>
      <c r="E1329" s="81"/>
      <c r="F1329" s="81"/>
      <c r="G1329" s="81"/>
      <c r="H1329" s="111"/>
    </row>
    <row r="1330" spans="1:8">
      <c r="A1330" s="80"/>
      <c r="B1330" s="81" t="s">
        <v>139</v>
      </c>
      <c r="C1330" s="81" t="str">
        <f>VLOOKUP(G1331,'18_1'!$A$274:$G$285,6,0)</f>
        <v>MIRANDA, PEDRO ANTONIO-SUCESORES</v>
      </c>
      <c r="D1330" s="81"/>
      <c r="E1330" s="81"/>
      <c r="F1330" s="81"/>
      <c r="G1330" s="138" t="s">
        <v>102</v>
      </c>
      <c r="H1330" s="111"/>
    </row>
    <row r="1331" spans="1:8">
      <c r="A1331" s="80"/>
      <c r="B1331" s="81" t="s">
        <v>72</v>
      </c>
      <c r="C1331" s="81" t="str">
        <f>+'18_1'!$G$2</f>
        <v>Hijuela Morón</v>
      </c>
      <c r="D1331" s="81"/>
      <c r="E1331" s="81"/>
      <c r="F1331" s="81"/>
      <c r="G1331" s="138">
        <v>9</v>
      </c>
      <c r="H1331" s="111"/>
    </row>
    <row r="1332" spans="1:8">
      <c r="A1332" s="80"/>
      <c r="B1332" s="81"/>
      <c r="C1332" s="81"/>
      <c r="D1332" s="81"/>
      <c r="E1332" s="81"/>
      <c r="F1332" s="81"/>
      <c r="G1332" s="81"/>
      <c r="H1332" s="111"/>
    </row>
    <row r="1333" spans="1:8">
      <c r="A1333" s="80"/>
      <c r="B1333" s="81" t="s">
        <v>140</v>
      </c>
      <c r="C1333" s="138">
        <f>VLOOKUP(G1331,'18_1'!$A$274:$B$285,2,0)</f>
        <v>1214</v>
      </c>
      <c r="D1333" s="81"/>
      <c r="E1333" s="139" t="s">
        <v>141</v>
      </c>
      <c r="F1333" s="141" t="e">
        <f>DSUM('18_1'!A$274:J$285,'18_1'!$J$274,G1330:G1331)</f>
        <v>#REF!</v>
      </c>
      <c r="G1333" s="81"/>
      <c r="H1333" s="111"/>
    </row>
    <row r="1334" spans="1:8">
      <c r="A1334" s="80"/>
      <c r="B1334" s="81" t="s">
        <v>142</v>
      </c>
      <c r="C1334" s="205">
        <v>153</v>
      </c>
      <c r="D1334" s="81"/>
      <c r="E1334" s="81"/>
      <c r="F1334" s="81"/>
      <c r="G1334" s="81"/>
      <c r="H1334" s="111"/>
    </row>
    <row r="1335" spans="1:8">
      <c r="A1335" s="80"/>
      <c r="B1335" s="81" t="s">
        <v>144</v>
      </c>
      <c r="C1335" s="206" t="e">
        <f>DSUM('18_1'!$A$274:$H$285,'18_1'!$H$274,G1330:G1331)</f>
        <v>#N/A</v>
      </c>
      <c r="D1335" s="81"/>
      <c r="E1335" s="81"/>
      <c r="F1335" s="584"/>
      <c r="G1335" s="584"/>
      <c r="H1335" s="111"/>
    </row>
    <row r="1336" spans="1:8" ht="15.75">
      <c r="A1336" s="80"/>
      <c r="B1336" s="81"/>
      <c r="C1336" s="81" t="s">
        <v>146</v>
      </c>
      <c r="D1336" s="145" t="e">
        <f>DMIN('18_1'!A$274:K$285,'18_1'!$J$274,G1330:G1331)</f>
        <v>#REF!</v>
      </c>
      <c r="E1336" s="189" t="e">
        <f>IF(F1336=1,"Domingo",IF(F1336=2,"Lunes",IF(F1336=3,"Martes",IF(F1336=4,"Miercoles",IF(F1336=5,"Jueves",IF(F1336=6,"Viernes",IF(F1336=7,"Sábado",0)))))))</f>
        <v>#REF!</v>
      </c>
      <c r="F1336" s="190" t="e">
        <f>WEEKDAY(D1336)</f>
        <v>#REF!</v>
      </c>
      <c r="G1336" s="142"/>
      <c r="H1336" s="111"/>
    </row>
    <row r="1337" spans="1:8" ht="15.75">
      <c r="A1337" s="80"/>
      <c r="B1337" s="81"/>
      <c r="C1337" s="81" t="s">
        <v>147</v>
      </c>
      <c r="D1337" s="145" t="e">
        <f>DMAX('18_1'!A$274:L$285,'18_1'!$K$274,G1330:G1331)</f>
        <v>#REF!</v>
      </c>
      <c r="E1337" s="189" t="e">
        <f>IF(F1337=1,"Domingo",IF(F1337=2,"Lunes",IF(F1337=3,"Martes",IF(F1337=4,"Miercoles",IF(F1337=5,"Jueves",IF(F1337=6,"Viernes",IF(F1337=7,"Sábado",0)))))))</f>
        <v>#REF!</v>
      </c>
      <c r="F1337" s="190" t="e">
        <f>WEEKDAY(D1337)</f>
        <v>#REF!</v>
      </c>
      <c r="G1337" s="142"/>
      <c r="H1337" s="111"/>
    </row>
    <row r="1338" spans="1:8">
      <c r="A1338" s="80"/>
      <c r="B1338" s="81"/>
      <c r="C1338" s="81"/>
      <c r="D1338" s="81"/>
      <c r="E1338" s="81"/>
      <c r="F1338" s="584"/>
      <c r="G1338" s="584"/>
      <c r="H1338" s="111"/>
    </row>
    <row r="1339" spans="1:8">
      <c r="A1339" s="80"/>
      <c r="B1339" s="146">
        <f>+Mensajes!$B$7</f>
        <v>0</v>
      </c>
      <c r="C1339" s="81"/>
      <c r="D1339" s="81"/>
      <c r="E1339" s="81"/>
      <c r="F1339" s="81"/>
      <c r="G1339" s="81"/>
      <c r="H1339" s="111"/>
    </row>
    <row r="1340" spans="1:8">
      <c r="A1340" s="80"/>
      <c r="B1340" s="146">
        <f>+Mensajes!$B$12</f>
        <v>0</v>
      </c>
      <c r="C1340" s="81"/>
      <c r="D1340" s="81"/>
      <c r="E1340" s="81"/>
      <c r="F1340" s="81"/>
      <c r="G1340" s="81"/>
      <c r="H1340" s="111"/>
    </row>
    <row r="1341" spans="1:8">
      <c r="A1341" s="80"/>
      <c r="B1341" s="146" t="str">
        <f>IF(VLOOKUP(G1331,'18_1'!$A$274:$M$285,13,0)=0,"",VLOOKUP(G1331,'18_1'!$A$274:$M$285,13,0))</f>
        <v/>
      </c>
      <c r="C1341" s="81"/>
      <c r="D1341" s="81"/>
      <c r="E1341" s="81"/>
      <c r="F1341" s="81"/>
      <c r="G1341" s="81"/>
      <c r="H1341" s="111"/>
    </row>
    <row r="1342" spans="1:8">
      <c r="A1342" s="140"/>
      <c r="B1342" s="188" t="str">
        <f>IF(DSUM('18_1'!$A$274:$P$285,16,G1330:G1331)=COUNTIF('18_1'!$A$274:$A$285,G1331),"","Regularice su Deuda")</f>
        <v>Regularice su Deuda</v>
      </c>
      <c r="C1342" s="82"/>
      <c r="D1342" s="82"/>
      <c r="E1342" s="82"/>
      <c r="F1342" s="82"/>
      <c r="G1342" s="82"/>
      <c r="H1342" s="83"/>
    </row>
    <row r="1344" spans="1:8">
      <c r="A1344" s="108"/>
      <c r="B1344" s="109"/>
      <c r="C1344" s="109"/>
      <c r="D1344" s="109"/>
      <c r="E1344" s="109"/>
      <c r="F1344" s="109"/>
      <c r="G1344" s="109"/>
      <c r="H1344" s="110"/>
    </row>
    <row r="1345" spans="1:8">
      <c r="A1345" s="80"/>
      <c r="B1345" s="147" t="s">
        <v>64</v>
      </c>
      <c r="C1345" s="81"/>
      <c r="D1345" s="81"/>
      <c r="E1345" s="81"/>
      <c r="F1345" s="81"/>
      <c r="G1345" s="81"/>
      <c r="H1345" s="111"/>
    </row>
    <row r="1346" spans="1:8">
      <c r="A1346" s="80"/>
      <c r="B1346" s="81"/>
      <c r="C1346" s="81"/>
      <c r="D1346" s="81"/>
      <c r="E1346" s="81"/>
      <c r="F1346" s="81"/>
      <c r="G1346" s="81"/>
      <c r="H1346" s="111"/>
    </row>
    <row r="1347" spans="1:8">
      <c r="A1347" s="80"/>
      <c r="B1347" s="81" t="s">
        <v>139</v>
      </c>
      <c r="C1347" s="81" t="str">
        <f>VLOOKUP(G1348,'18_1'!$A$274:$G$285,6,0)</f>
        <v>ROSALES, GABRIEL</v>
      </c>
      <c r="D1347" s="81"/>
      <c r="E1347" s="81"/>
      <c r="F1347" s="81"/>
      <c r="G1347" s="138" t="s">
        <v>102</v>
      </c>
      <c r="H1347" s="111"/>
    </row>
    <row r="1348" spans="1:8">
      <c r="A1348" s="80"/>
      <c r="B1348" s="81" t="s">
        <v>72</v>
      </c>
      <c r="C1348" s="81" t="str">
        <f>+'18_1'!$G$2</f>
        <v>Hijuela Morón</v>
      </c>
      <c r="D1348" s="81"/>
      <c r="E1348" s="81"/>
      <c r="F1348" s="81"/>
      <c r="G1348" s="138">
        <v>10</v>
      </c>
      <c r="H1348" s="111"/>
    </row>
    <row r="1349" spans="1:8">
      <c r="A1349" s="80"/>
      <c r="B1349" s="81"/>
      <c r="C1349" s="81"/>
      <c r="D1349" s="81"/>
      <c r="E1349" s="81"/>
      <c r="F1349" s="81"/>
      <c r="G1349" s="81"/>
      <c r="H1349" s="111"/>
    </row>
    <row r="1350" spans="1:8">
      <c r="A1350" s="80"/>
      <c r="B1350" s="81" t="s">
        <v>140</v>
      </c>
      <c r="C1350" s="138">
        <f>VLOOKUP(G1348,'18_1'!$A$274:$B$285,2,0)</f>
        <v>1214</v>
      </c>
      <c r="D1350" s="81"/>
      <c r="E1350" s="139" t="s">
        <v>141</v>
      </c>
      <c r="F1350" s="141" t="e">
        <f>DSUM('18_1'!A$274:J$285,'18_1'!$J$274,G1347:G1348)</f>
        <v>#REF!</v>
      </c>
      <c r="G1350" s="81"/>
      <c r="H1350" s="111"/>
    </row>
    <row r="1351" spans="1:8">
      <c r="A1351" s="80"/>
      <c r="B1351" s="81" t="s">
        <v>142</v>
      </c>
      <c r="C1351" s="205">
        <v>156</v>
      </c>
      <c r="D1351" s="81"/>
      <c r="E1351" s="81"/>
      <c r="F1351" s="81"/>
      <c r="G1351" s="81"/>
      <c r="H1351" s="111"/>
    </row>
    <row r="1352" spans="1:8">
      <c r="A1352" s="80"/>
      <c r="B1352" s="81" t="s">
        <v>144</v>
      </c>
      <c r="C1352" s="206" t="e">
        <f>DSUM('18_1'!$A$274:$H$285,'18_1'!$H$274,G1347:G1348)</f>
        <v>#N/A</v>
      </c>
      <c r="D1352" s="81"/>
      <c r="E1352" s="81"/>
      <c r="F1352" s="584"/>
      <c r="G1352" s="584"/>
      <c r="H1352" s="111"/>
    </row>
    <row r="1353" spans="1:8" ht="15.75">
      <c r="A1353" s="80"/>
      <c r="B1353" s="81"/>
      <c r="C1353" s="81" t="s">
        <v>146</v>
      </c>
      <c r="D1353" s="145" t="e">
        <f>DMIN('18_1'!A$274:K$285,'18_1'!$J$274,G1347:G1348)</f>
        <v>#REF!</v>
      </c>
      <c r="E1353" s="189" t="e">
        <f>IF(F1353=1,"Domingo",IF(F1353=2,"Lunes",IF(F1353=3,"Martes",IF(F1353=4,"Miercoles",IF(F1353=5,"Jueves",IF(F1353=6,"Viernes",IF(F1353=7,"Sábado",0)))))))</f>
        <v>#REF!</v>
      </c>
      <c r="F1353" s="190" t="e">
        <f>WEEKDAY(D1353)</f>
        <v>#REF!</v>
      </c>
      <c r="G1353" s="142"/>
      <c r="H1353" s="111"/>
    </row>
    <row r="1354" spans="1:8" ht="15.75">
      <c r="A1354" s="80"/>
      <c r="B1354" s="81"/>
      <c r="C1354" s="81" t="s">
        <v>147</v>
      </c>
      <c r="D1354" s="145" t="e">
        <f>DMAX('18_1'!A$274:L$285,'18_1'!$K$274,G1347:G1348)</f>
        <v>#REF!</v>
      </c>
      <c r="E1354" s="189" t="e">
        <f>IF(F1354=1,"Domingo",IF(F1354=2,"Lunes",IF(F1354=3,"Martes",IF(F1354=4,"Miercoles",IF(F1354=5,"Jueves",IF(F1354=6,"Viernes",IF(F1354=7,"Sábado",0)))))))</f>
        <v>#REF!</v>
      </c>
      <c r="F1354" s="190" t="e">
        <f>WEEKDAY(D1354)</f>
        <v>#REF!</v>
      </c>
      <c r="G1354" s="142"/>
      <c r="H1354" s="111"/>
    </row>
    <row r="1355" spans="1:8">
      <c r="A1355" s="80"/>
      <c r="B1355" s="81"/>
      <c r="C1355" s="81"/>
      <c r="D1355" s="81"/>
      <c r="E1355" s="81"/>
      <c r="F1355" s="584"/>
      <c r="G1355" s="584"/>
      <c r="H1355" s="111"/>
    </row>
    <row r="1356" spans="1:8">
      <c r="A1356" s="80"/>
      <c r="B1356" s="146">
        <f>+Mensajes!$B$7</f>
        <v>0</v>
      </c>
      <c r="C1356" s="81"/>
      <c r="D1356" s="81"/>
      <c r="E1356" s="81"/>
      <c r="F1356" s="81"/>
      <c r="G1356" s="81"/>
      <c r="H1356" s="111"/>
    </row>
    <row r="1357" spans="1:8">
      <c r="A1357" s="80"/>
      <c r="B1357" s="146">
        <f>+Mensajes!$B$12</f>
        <v>0</v>
      </c>
      <c r="C1357" s="81"/>
      <c r="D1357" s="81"/>
      <c r="E1357" s="81"/>
      <c r="F1357" s="81"/>
      <c r="G1357" s="81"/>
      <c r="H1357" s="111"/>
    </row>
    <row r="1358" spans="1:8">
      <c r="A1358" s="80"/>
      <c r="B1358" s="146" t="str">
        <f>IF(VLOOKUP(G1348,'18_1'!$A$274:$M$285,13,0)=0,"",VLOOKUP(G1348,'18_1'!$A$274:$M$285,13,0))</f>
        <v/>
      </c>
      <c r="C1358" s="81"/>
      <c r="D1358" s="81"/>
      <c r="E1358" s="81"/>
      <c r="F1358" s="81"/>
      <c r="G1358" s="81"/>
      <c r="H1358" s="111"/>
    </row>
    <row r="1359" spans="1:8">
      <c r="A1359" s="140"/>
      <c r="B1359" s="188" t="str">
        <f>IF(DSUM('18_1'!$A$274:$P$285,16,G1347:G1348)=COUNTIF('18_1'!$A$274:$A$285,G1348),"","Regularice su Deuda")</f>
        <v>Regularice su Deuda</v>
      </c>
      <c r="C1359" s="82"/>
      <c r="D1359" s="82"/>
      <c r="E1359" s="82"/>
      <c r="F1359" s="82"/>
      <c r="G1359" s="82"/>
      <c r="H1359" s="83"/>
    </row>
    <row r="1361" spans="1:8">
      <c r="A1361" s="108"/>
      <c r="B1361" s="109"/>
      <c r="C1361" s="109"/>
      <c r="D1361" s="109"/>
      <c r="E1361" s="109"/>
      <c r="F1361" s="109"/>
      <c r="G1361" s="109"/>
      <c r="H1361" s="110"/>
    </row>
    <row r="1362" spans="1:8">
      <c r="A1362" s="80"/>
      <c r="B1362" s="147" t="s">
        <v>64</v>
      </c>
      <c r="C1362" s="81"/>
      <c r="D1362" s="81"/>
      <c r="E1362" s="81"/>
      <c r="F1362" s="81"/>
      <c r="G1362" s="81"/>
      <c r="H1362" s="111"/>
    </row>
    <row r="1363" spans="1:8">
      <c r="A1363" s="80"/>
      <c r="B1363" s="81"/>
      <c r="C1363" s="81"/>
      <c r="D1363" s="81"/>
      <c r="E1363" s="81"/>
      <c r="F1363" s="81"/>
      <c r="G1363" s="81"/>
      <c r="H1363" s="111"/>
    </row>
    <row r="1364" spans="1:8">
      <c r="A1364" s="80"/>
      <c r="B1364" s="81" t="s">
        <v>139</v>
      </c>
      <c r="C1364" s="81" t="str">
        <f>VLOOKUP(G1365,'18_1'!$A$67:$G$81,6,0)</f>
        <v>CICCHINELLI, RAFAEL ALBINO Y MITRE, NAZRE EDUARDO</v>
      </c>
      <c r="D1364" s="81"/>
      <c r="E1364" s="81"/>
      <c r="F1364" s="81"/>
      <c r="G1364" s="138" t="s">
        <v>102</v>
      </c>
      <c r="H1364" s="111"/>
    </row>
    <row r="1365" spans="1:8">
      <c r="A1365" s="80"/>
      <c r="B1365" s="81" t="s">
        <v>72</v>
      </c>
      <c r="C1365" s="81" t="str">
        <f>+'18_1'!$G$2</f>
        <v>Hijuela Morón</v>
      </c>
      <c r="D1365" s="81"/>
      <c r="E1365" s="81"/>
      <c r="F1365" s="81"/>
      <c r="G1365" s="138">
        <v>1</v>
      </c>
      <c r="H1365" s="111"/>
    </row>
    <row r="1366" spans="1:8">
      <c r="A1366" s="80"/>
      <c r="B1366" s="81"/>
      <c r="C1366" s="81"/>
      <c r="D1366" s="81"/>
      <c r="E1366" s="81"/>
      <c r="F1366" s="81"/>
      <c r="G1366" s="81"/>
      <c r="H1366" s="111"/>
    </row>
    <row r="1367" spans="1:8">
      <c r="A1367" s="80"/>
      <c r="B1367" s="81" t="s">
        <v>140</v>
      </c>
      <c r="C1367" s="138">
        <f>VLOOKUP(G1365,'18_1'!$A$67:$B$81,2,0)</f>
        <v>1214</v>
      </c>
      <c r="D1367" s="81"/>
      <c r="E1367" s="139" t="s">
        <v>141</v>
      </c>
      <c r="F1367" s="141" t="e">
        <f>DSUM('18_1'!A$67:J$81,'18_1'!$J$67,G1364:G1365)</f>
        <v>#REF!</v>
      </c>
      <c r="G1367" s="81"/>
      <c r="H1367" s="111"/>
    </row>
    <row r="1368" spans="1:8">
      <c r="A1368" s="80"/>
      <c r="B1368" s="81" t="s">
        <v>142</v>
      </c>
      <c r="C1368" s="205">
        <v>226</v>
      </c>
      <c r="D1368" s="81"/>
      <c r="E1368" s="81"/>
      <c r="F1368" s="81"/>
      <c r="G1368" s="81"/>
      <c r="H1368" s="111"/>
    </row>
    <row r="1369" spans="1:8">
      <c r="A1369" s="80"/>
      <c r="B1369" s="81" t="s">
        <v>144</v>
      </c>
      <c r="C1369" s="206" t="e">
        <f>DSUM('18_1'!$A$67:$H$81,'18_1'!$H$67,G1364:G1365)</f>
        <v>#N/A</v>
      </c>
      <c r="D1369" s="81"/>
      <c r="E1369" s="81"/>
      <c r="F1369" s="584"/>
      <c r="G1369" s="584"/>
      <c r="H1369" s="111"/>
    </row>
    <row r="1370" spans="1:8" ht="15.75">
      <c r="A1370" s="80"/>
      <c r="B1370" s="81"/>
      <c r="C1370" s="81" t="s">
        <v>146</v>
      </c>
      <c r="D1370" s="145" t="e">
        <f>DMIN('18_1'!A$67:K$81,'18_1'!$J$67,G1364:G1365)</f>
        <v>#REF!</v>
      </c>
      <c r="E1370" s="189" t="e">
        <f>IF(F1370=1,"Domingo",IF(F1370=2,"Lunes",IF(F1370=3,"Martes",IF(F1370=4,"Miercoles",IF(F1370=5,"Jueves",IF(F1370=6,"Viernes",IF(F1370=7,"Sábado",0)))))))</f>
        <v>#REF!</v>
      </c>
      <c r="F1370" s="190" t="e">
        <f>WEEKDAY(D1370)</f>
        <v>#REF!</v>
      </c>
      <c r="G1370" s="142"/>
      <c r="H1370" s="111"/>
    </row>
    <row r="1371" spans="1:8" ht="15.75">
      <c r="A1371" s="80"/>
      <c r="B1371" s="81"/>
      <c r="C1371" s="81" t="s">
        <v>147</v>
      </c>
      <c r="D1371" s="145" t="e">
        <f>DMAX('18_1'!A$67:L$81,'18_1'!$K$67,G1364:G1365)</f>
        <v>#REF!</v>
      </c>
      <c r="E1371" s="189" t="e">
        <f>IF(F1371=1,"Domingo",IF(F1371=2,"Lunes",IF(F1371=3,"Martes",IF(F1371=4,"Miercoles",IF(F1371=5,"Jueves",IF(F1371=6,"Viernes",IF(F1371=7,"Sábado",0)))))))</f>
        <v>#REF!</v>
      </c>
      <c r="F1371" s="190" t="e">
        <f>WEEKDAY(D1371)</f>
        <v>#REF!</v>
      </c>
      <c r="G1371" s="142"/>
      <c r="H1371" s="111"/>
    </row>
    <row r="1372" spans="1:8">
      <c r="A1372" s="80"/>
      <c r="B1372" s="81"/>
      <c r="C1372" s="81"/>
      <c r="D1372" s="81"/>
      <c r="E1372" s="81"/>
      <c r="F1372" s="584"/>
      <c r="G1372" s="584"/>
      <c r="H1372" s="111"/>
    </row>
    <row r="1373" spans="1:8">
      <c r="A1373" s="80"/>
      <c r="B1373" s="146">
        <f>+Mensajes!$B$7</f>
        <v>0</v>
      </c>
      <c r="C1373" s="81"/>
      <c r="D1373" s="81"/>
      <c r="E1373" s="81"/>
      <c r="F1373" s="81"/>
      <c r="G1373" s="81"/>
      <c r="H1373" s="111"/>
    </row>
    <row r="1374" spans="1:8">
      <c r="A1374" s="80"/>
      <c r="B1374" s="146">
        <f>+Mensajes!$B$12</f>
        <v>0</v>
      </c>
      <c r="C1374" s="81"/>
      <c r="D1374" s="81"/>
      <c r="E1374" s="81"/>
      <c r="F1374" s="81"/>
      <c r="G1374" s="81"/>
      <c r="H1374" s="111"/>
    </row>
    <row r="1375" spans="1:8">
      <c r="A1375" s="80"/>
      <c r="B1375" s="146" t="str">
        <f>IF(VLOOKUP(G1365,'18_1'!$A$67:$M$81,13,0)=0,"",VLOOKUP(G1365,'18_1'!$A$67:$M$81,13,0))</f>
        <v/>
      </c>
      <c r="C1375" s="81"/>
      <c r="D1375" s="81"/>
      <c r="E1375" s="81"/>
      <c r="F1375" s="81"/>
      <c r="G1375" s="81"/>
      <c r="H1375" s="111"/>
    </row>
    <row r="1376" spans="1:8">
      <c r="A1376" s="140"/>
      <c r="B1376" s="188" t="str">
        <f>IF(DSUM('18_1'!$A$67:$P$81,16,G1364:G1365)=COUNTIF('18_1'!$A$67:$A$81,G1365),"","Regularice su Deuda")</f>
        <v/>
      </c>
      <c r="C1376" s="82"/>
      <c r="D1376" s="82"/>
      <c r="E1376" s="82"/>
      <c r="F1376" s="82"/>
      <c r="G1376" s="82"/>
      <c r="H1376" s="83"/>
    </row>
    <row r="1378" spans="1:8">
      <c r="A1378" s="108"/>
      <c r="B1378" s="109"/>
      <c r="C1378" s="109"/>
      <c r="D1378" s="109"/>
      <c r="E1378" s="109"/>
      <c r="F1378" s="109"/>
      <c r="G1378" s="109"/>
      <c r="H1378" s="110"/>
    </row>
    <row r="1379" spans="1:8">
      <c r="A1379" s="80"/>
      <c r="B1379" s="147" t="s">
        <v>64</v>
      </c>
      <c r="C1379" s="81"/>
      <c r="D1379" s="81"/>
      <c r="E1379" s="81"/>
      <c r="F1379" s="81"/>
      <c r="G1379" s="81"/>
      <c r="H1379" s="111"/>
    </row>
    <row r="1380" spans="1:8">
      <c r="A1380" s="80"/>
      <c r="B1380" s="81"/>
      <c r="C1380" s="81"/>
      <c r="D1380" s="81"/>
      <c r="E1380" s="81"/>
      <c r="F1380" s="81"/>
      <c r="G1380" s="81"/>
      <c r="H1380" s="111"/>
    </row>
    <row r="1381" spans="1:8">
      <c r="A1381" s="80"/>
      <c r="B1381" s="81" t="s">
        <v>139</v>
      </c>
      <c r="C1381" s="81" t="str">
        <f>VLOOKUP(G1382,'18_1'!$A$67:$G$81,6,0)</f>
        <v>GIMENEZ ALONSO, IGNACIO</v>
      </c>
      <c r="D1381" s="81"/>
      <c r="E1381" s="81"/>
      <c r="F1381" s="81"/>
      <c r="G1381" s="138" t="s">
        <v>102</v>
      </c>
      <c r="H1381" s="111"/>
    </row>
    <row r="1382" spans="1:8">
      <c r="A1382" s="80"/>
      <c r="B1382" s="81" t="s">
        <v>72</v>
      </c>
      <c r="C1382" s="81" t="str">
        <f>+'18_1'!$G$2</f>
        <v>Hijuela Morón</v>
      </c>
      <c r="D1382" s="81"/>
      <c r="E1382" s="81"/>
      <c r="F1382" s="81"/>
      <c r="G1382" s="138">
        <v>2</v>
      </c>
      <c r="H1382" s="111"/>
    </row>
    <row r="1383" spans="1:8">
      <c r="A1383" s="80"/>
      <c r="B1383" s="81"/>
      <c r="C1383" s="81"/>
      <c r="D1383" s="81"/>
      <c r="E1383" s="81"/>
      <c r="F1383" s="81"/>
      <c r="G1383" s="81"/>
      <c r="H1383" s="111"/>
    </row>
    <row r="1384" spans="1:8">
      <c r="A1384" s="80"/>
      <c r="B1384" s="81" t="s">
        <v>140</v>
      </c>
      <c r="C1384" s="138">
        <f>VLOOKUP(G1382,'18_1'!$A$67:$B$81,2,0)</f>
        <v>1214</v>
      </c>
      <c r="D1384" s="81"/>
      <c r="E1384" s="139" t="s">
        <v>141</v>
      </c>
      <c r="F1384" s="141" t="e">
        <f>DSUM('18_1'!A$67:J$81,'18_1'!$J$67,G1381:G1382)</f>
        <v>#REF!</v>
      </c>
      <c r="G1384" s="81"/>
      <c r="H1384" s="111"/>
    </row>
    <row r="1385" spans="1:8">
      <c r="A1385" s="80"/>
      <c r="B1385" s="81" t="s">
        <v>142</v>
      </c>
      <c r="C1385" s="205">
        <v>277</v>
      </c>
      <c r="D1385" s="81"/>
      <c r="E1385" s="81"/>
      <c r="F1385" s="81"/>
      <c r="G1385" s="81"/>
      <c r="H1385" s="111"/>
    </row>
    <row r="1386" spans="1:8">
      <c r="A1386" s="80"/>
      <c r="B1386" s="81" t="s">
        <v>144</v>
      </c>
      <c r="C1386" s="206" t="e">
        <f>DSUM('18_1'!$A$67:$H$81,'18_1'!$H$67,G1381:G1382)</f>
        <v>#N/A</v>
      </c>
      <c r="D1386" s="81"/>
      <c r="E1386" s="81"/>
      <c r="F1386" s="584"/>
      <c r="G1386" s="584"/>
      <c r="H1386" s="111"/>
    </row>
    <row r="1387" spans="1:8" ht="15.75">
      <c r="A1387" s="80"/>
      <c r="B1387" s="81"/>
      <c r="C1387" s="81" t="s">
        <v>146</v>
      </c>
      <c r="D1387" s="145" t="e">
        <f>DMIN('18_1'!A$67:K$81,'18_1'!$J$67,G1381:G1382)</f>
        <v>#REF!</v>
      </c>
      <c r="E1387" s="189" t="e">
        <f>IF(F1387=1,"Domingo",IF(F1387=2,"Lunes",IF(F1387=3,"Martes",IF(F1387=4,"Miercoles",IF(F1387=5,"Jueves",IF(F1387=6,"Viernes",IF(F1387=7,"Sábado",0)))))))</f>
        <v>#REF!</v>
      </c>
      <c r="F1387" s="190" t="e">
        <f>WEEKDAY(D1387)</f>
        <v>#REF!</v>
      </c>
      <c r="G1387" s="142"/>
      <c r="H1387" s="111"/>
    </row>
    <row r="1388" spans="1:8" ht="15.75">
      <c r="A1388" s="80"/>
      <c r="B1388" s="81"/>
      <c r="C1388" s="81" t="s">
        <v>147</v>
      </c>
      <c r="D1388" s="145" t="e">
        <f>DMAX('18_1'!A$67:L$81,'18_1'!$K$67,G1381:G1382)</f>
        <v>#REF!</v>
      </c>
      <c r="E1388" s="189" t="e">
        <f>IF(F1388=1,"Domingo",IF(F1388=2,"Lunes",IF(F1388=3,"Martes",IF(F1388=4,"Miercoles",IF(F1388=5,"Jueves",IF(F1388=6,"Viernes",IF(F1388=7,"Sábado",0)))))))</f>
        <v>#REF!</v>
      </c>
      <c r="F1388" s="190" t="e">
        <f>WEEKDAY(D1388)</f>
        <v>#REF!</v>
      </c>
      <c r="G1388" s="142"/>
      <c r="H1388" s="111"/>
    </row>
    <row r="1389" spans="1:8">
      <c r="A1389" s="80"/>
      <c r="B1389" s="81"/>
      <c r="C1389" s="81"/>
      <c r="D1389" s="81"/>
      <c r="E1389" s="81"/>
      <c r="F1389" s="584"/>
      <c r="G1389" s="584"/>
      <c r="H1389" s="111"/>
    </row>
    <row r="1390" spans="1:8">
      <c r="A1390" s="80"/>
      <c r="B1390" s="146">
        <f>+Mensajes!$B$7</f>
        <v>0</v>
      </c>
      <c r="C1390" s="81"/>
      <c r="D1390" s="81"/>
      <c r="E1390" s="81"/>
      <c r="F1390" s="81"/>
      <c r="G1390" s="81"/>
      <c r="H1390" s="111"/>
    </row>
    <row r="1391" spans="1:8">
      <c r="A1391" s="80"/>
      <c r="B1391" s="146">
        <f>+Mensajes!$B$12</f>
        <v>0</v>
      </c>
      <c r="C1391" s="81"/>
      <c r="D1391" s="81"/>
      <c r="E1391" s="81"/>
      <c r="F1391" s="81"/>
      <c r="G1391" s="81"/>
      <c r="H1391" s="111"/>
    </row>
    <row r="1392" spans="1:8">
      <c r="A1392" s="80"/>
      <c r="B1392" s="146" t="str">
        <f>IF(VLOOKUP(G1382,'18_1'!$A$67:$M$81,13,0)=0,"",VLOOKUP(G1382,'18_1'!$A$67:$M$81,13,0))</f>
        <v/>
      </c>
      <c r="C1392" s="81"/>
      <c r="D1392" s="81"/>
      <c r="E1392" s="81"/>
      <c r="F1392" s="81"/>
      <c r="G1392" s="81"/>
      <c r="H1392" s="111"/>
    </row>
    <row r="1393" spans="1:8">
      <c r="A1393" s="140"/>
      <c r="B1393" s="188" t="str">
        <f>IF(DSUM('18_1'!$A$67:$P$81,16,G1381:G1382)=COUNTIF('18_1'!$A$67:$A$81,G1382),"","Regularice su Deuda")</f>
        <v>Regularice su Deuda</v>
      </c>
      <c r="C1393" s="82"/>
      <c r="D1393" s="82"/>
      <c r="E1393" s="82"/>
      <c r="F1393" s="82"/>
      <c r="G1393" s="82"/>
      <c r="H1393" s="83"/>
    </row>
    <row r="1395" spans="1:8">
      <c r="A1395" s="108"/>
      <c r="B1395" s="109"/>
      <c r="C1395" s="109"/>
      <c r="D1395" s="109"/>
      <c r="E1395" s="109"/>
      <c r="F1395" s="109"/>
      <c r="G1395" s="109"/>
      <c r="H1395" s="110"/>
    </row>
    <row r="1396" spans="1:8">
      <c r="A1396" s="80"/>
      <c r="B1396" s="147" t="s">
        <v>64</v>
      </c>
      <c r="C1396" s="81"/>
      <c r="D1396" s="81"/>
      <c r="E1396" s="81"/>
      <c r="F1396" s="81"/>
      <c r="G1396" s="81"/>
      <c r="H1396" s="111"/>
    </row>
    <row r="1397" spans="1:8">
      <c r="A1397" s="80"/>
      <c r="B1397" s="81"/>
      <c r="C1397" s="81"/>
      <c r="D1397" s="81"/>
      <c r="E1397" s="81"/>
      <c r="F1397" s="81"/>
      <c r="G1397" s="81"/>
      <c r="H1397" s="111"/>
    </row>
    <row r="1398" spans="1:8">
      <c r="A1398" s="80"/>
      <c r="B1398" s="81" t="s">
        <v>139</v>
      </c>
      <c r="C1398" s="81" t="str">
        <f>VLOOKUP(G1399,'18_1'!$A$67:$G$81,6,0)</f>
        <v>RODRIGUEZ DE GONZALEZ, GERONIMA Y RODRIGUEZ, SILVIA DEL CARMEN</v>
      </c>
      <c r="D1398" s="81"/>
      <c r="E1398" s="81"/>
      <c r="F1398" s="81"/>
      <c r="G1398" s="138" t="s">
        <v>102</v>
      </c>
      <c r="H1398" s="111"/>
    </row>
    <row r="1399" spans="1:8">
      <c r="A1399" s="80"/>
      <c r="B1399" s="81" t="s">
        <v>72</v>
      </c>
      <c r="C1399" s="81" t="str">
        <f>+'18_1'!$G$2</f>
        <v>Hijuela Morón</v>
      </c>
      <c r="D1399" s="81"/>
      <c r="E1399" s="81"/>
      <c r="F1399" s="81"/>
      <c r="G1399" s="138">
        <v>3</v>
      </c>
      <c r="H1399" s="111"/>
    </row>
    <row r="1400" spans="1:8">
      <c r="A1400" s="80"/>
      <c r="B1400" s="81"/>
      <c r="C1400" s="81"/>
      <c r="D1400" s="81"/>
      <c r="E1400" s="81"/>
      <c r="F1400" s="81"/>
      <c r="G1400" s="81"/>
      <c r="H1400" s="111"/>
    </row>
    <row r="1401" spans="1:8">
      <c r="A1401" s="80"/>
      <c r="B1401" s="81" t="s">
        <v>140</v>
      </c>
      <c r="C1401" s="138">
        <f>VLOOKUP(G1399,'18_1'!$A$67:$B$81,2,0)</f>
        <v>1214</v>
      </c>
      <c r="D1401" s="81"/>
      <c r="E1401" s="139" t="s">
        <v>141</v>
      </c>
      <c r="F1401" s="141" t="e">
        <f>DSUM('18_1'!A$67:J$81,'18_1'!$J$67,G1398:G1399)</f>
        <v>#REF!</v>
      </c>
      <c r="G1401" s="81"/>
      <c r="H1401" s="111"/>
    </row>
    <row r="1402" spans="1:8">
      <c r="A1402" s="80"/>
      <c r="B1402" s="81" t="s">
        <v>142</v>
      </c>
      <c r="C1402" s="205">
        <v>25</v>
      </c>
      <c r="D1402" s="81"/>
      <c r="E1402" s="81"/>
      <c r="F1402" s="81"/>
      <c r="G1402" s="81"/>
      <c r="H1402" s="111"/>
    </row>
    <row r="1403" spans="1:8">
      <c r="A1403" s="80"/>
      <c r="B1403" s="81" t="s">
        <v>144</v>
      </c>
      <c r="C1403" s="206" t="e">
        <f>DSUM('18_1'!$A$67:$H$81,'18_1'!$H$67,G1398:G1399)</f>
        <v>#N/A</v>
      </c>
      <c r="D1403" s="81"/>
      <c r="E1403" s="81"/>
      <c r="F1403" s="584"/>
      <c r="G1403" s="584"/>
      <c r="H1403" s="111"/>
    </row>
    <row r="1404" spans="1:8" ht="15.75">
      <c r="A1404" s="80"/>
      <c r="B1404" s="81"/>
      <c r="C1404" s="81" t="s">
        <v>146</v>
      </c>
      <c r="D1404" s="145" t="e">
        <f>DMIN('18_1'!A$67:K$81,'18_1'!$J$67,G1398:G1399)</f>
        <v>#REF!</v>
      </c>
      <c r="E1404" s="189" t="e">
        <f>IF(F1404=1,"Domingo",IF(F1404=2,"Lunes",IF(F1404=3,"Martes",IF(F1404=4,"Miercoles",IF(F1404=5,"Jueves",IF(F1404=6,"Viernes",IF(F1404=7,"Sábado",0)))))))</f>
        <v>#REF!</v>
      </c>
      <c r="F1404" s="190" t="e">
        <f>WEEKDAY(D1404)</f>
        <v>#REF!</v>
      </c>
      <c r="G1404" s="142"/>
      <c r="H1404" s="111"/>
    </row>
    <row r="1405" spans="1:8" ht="15.75">
      <c r="A1405" s="80"/>
      <c r="B1405" s="81"/>
      <c r="C1405" s="81" t="s">
        <v>147</v>
      </c>
      <c r="D1405" s="145" t="e">
        <f>DMAX('18_1'!A$67:L$81,'18_1'!$K$67,G1398:G1399)</f>
        <v>#REF!</v>
      </c>
      <c r="E1405" s="189" t="e">
        <f>IF(F1405=1,"Domingo",IF(F1405=2,"Lunes",IF(F1405=3,"Martes",IF(F1405=4,"Miercoles",IF(F1405=5,"Jueves",IF(F1405=6,"Viernes",IF(F1405=7,"Sábado",0)))))))</f>
        <v>#REF!</v>
      </c>
      <c r="F1405" s="190" t="e">
        <f>WEEKDAY(D1405)</f>
        <v>#REF!</v>
      </c>
      <c r="G1405" s="142"/>
      <c r="H1405" s="111"/>
    </row>
    <row r="1406" spans="1:8">
      <c r="A1406" s="80"/>
      <c r="B1406" s="81"/>
      <c r="C1406" s="81"/>
      <c r="D1406" s="81"/>
      <c r="E1406" s="81"/>
      <c r="F1406" s="584"/>
      <c r="G1406" s="584"/>
      <c r="H1406" s="111"/>
    </row>
    <row r="1407" spans="1:8">
      <c r="A1407" s="80"/>
      <c r="B1407" s="146">
        <f>+Mensajes!$B$7</f>
        <v>0</v>
      </c>
      <c r="C1407" s="81"/>
      <c r="D1407" s="81"/>
      <c r="E1407" s="81"/>
      <c r="F1407" s="81"/>
      <c r="G1407" s="81"/>
      <c r="H1407" s="111"/>
    </row>
    <row r="1408" spans="1:8">
      <c r="A1408" s="80"/>
      <c r="B1408" s="146">
        <f>+Mensajes!$B$12</f>
        <v>0</v>
      </c>
      <c r="C1408" s="81"/>
      <c r="D1408" s="81"/>
      <c r="E1408" s="81"/>
      <c r="F1408" s="81"/>
      <c r="G1408" s="81"/>
      <c r="H1408" s="111"/>
    </row>
    <row r="1409" spans="1:8">
      <c r="A1409" s="80"/>
      <c r="B1409" s="146" t="str">
        <f>IF(VLOOKUP(G1399,'18_1'!$A$67:$M$81,13,0)=0,"",VLOOKUP(G1399,'18_1'!$A$67:$M$81,13,0))</f>
        <v/>
      </c>
      <c r="C1409" s="81"/>
      <c r="D1409" s="81"/>
      <c r="E1409" s="81"/>
      <c r="F1409" s="81"/>
      <c r="G1409" s="81"/>
      <c r="H1409" s="111"/>
    </row>
    <row r="1410" spans="1:8">
      <c r="A1410" s="140"/>
      <c r="B1410" s="188" t="e">
        <f>IF(DSUM('18_1'!$A$67:$P$81,16,G1398:G1399)=COUNTIF('18_1'!$A$67:$A$81,G1399),"","Regularice su Deuda")</f>
        <v>#N/A</v>
      </c>
      <c r="C1410" s="82"/>
      <c r="D1410" s="82"/>
      <c r="E1410" s="82"/>
      <c r="F1410" s="82"/>
      <c r="G1410" s="82"/>
      <c r="H1410" s="83"/>
    </row>
    <row r="1412" spans="1:8">
      <c r="A1412" s="108"/>
      <c r="B1412" s="109"/>
      <c r="C1412" s="109"/>
      <c r="D1412" s="109"/>
      <c r="E1412" s="109"/>
      <c r="F1412" s="109"/>
      <c r="G1412" s="109"/>
      <c r="H1412" s="110"/>
    </row>
    <row r="1413" spans="1:8">
      <c r="A1413" s="80"/>
      <c r="B1413" s="147" t="s">
        <v>64</v>
      </c>
      <c r="C1413" s="81"/>
      <c r="D1413" s="81"/>
      <c r="E1413" s="81"/>
      <c r="F1413" s="81"/>
      <c r="G1413" s="81"/>
      <c r="H1413" s="111"/>
    </row>
    <row r="1414" spans="1:8">
      <c r="A1414" s="80"/>
      <c r="B1414" s="81"/>
      <c r="C1414" s="81"/>
      <c r="D1414" s="81"/>
      <c r="E1414" s="81"/>
      <c r="F1414" s="81"/>
      <c r="G1414" s="81"/>
      <c r="H1414" s="111"/>
    </row>
    <row r="1415" spans="1:8">
      <c r="A1415" s="80"/>
      <c r="B1415" s="81" t="s">
        <v>139</v>
      </c>
      <c r="C1415" s="81" t="str">
        <f>VLOOKUP(G1416,'18_1'!$A$67:$G$81,6,0)</f>
        <v>GOMEZ, DIEGO</v>
      </c>
      <c r="D1415" s="81"/>
      <c r="E1415" s="81"/>
      <c r="F1415" s="81"/>
      <c r="G1415" s="138" t="s">
        <v>102</v>
      </c>
      <c r="H1415" s="111"/>
    </row>
    <row r="1416" spans="1:8">
      <c r="A1416" s="80"/>
      <c r="B1416" s="81" t="s">
        <v>72</v>
      </c>
      <c r="C1416" s="81" t="str">
        <f>+'18_1'!$G$2</f>
        <v>Hijuela Morón</v>
      </c>
      <c r="D1416" s="81"/>
      <c r="E1416" s="81"/>
      <c r="F1416" s="81"/>
      <c r="G1416" s="138">
        <v>4</v>
      </c>
      <c r="H1416" s="111"/>
    </row>
    <row r="1417" spans="1:8">
      <c r="A1417" s="80"/>
      <c r="B1417" s="81"/>
      <c r="C1417" s="81"/>
      <c r="D1417" s="81"/>
      <c r="E1417" s="81"/>
      <c r="F1417" s="81"/>
      <c r="G1417" s="81"/>
      <c r="H1417" s="111"/>
    </row>
    <row r="1418" spans="1:8">
      <c r="A1418" s="80"/>
      <c r="B1418" s="81" t="s">
        <v>140</v>
      </c>
      <c r="C1418" s="138">
        <f>VLOOKUP(G1416,'18_1'!$A$67:$B$81,2,0)</f>
        <v>1214</v>
      </c>
      <c r="D1418" s="81"/>
      <c r="E1418" s="139" t="s">
        <v>141</v>
      </c>
      <c r="F1418" s="141" t="e">
        <f>DSUM('18_1'!A$67:J$81,'18_1'!$J$67,G1415:G1416)</f>
        <v>#REF!</v>
      </c>
      <c r="G1418" s="81"/>
      <c r="H1418" s="111"/>
    </row>
    <row r="1419" spans="1:8">
      <c r="A1419" s="80"/>
      <c r="B1419" s="81" t="s">
        <v>142</v>
      </c>
      <c r="C1419" s="205">
        <v>19</v>
      </c>
      <c r="D1419" s="81"/>
      <c r="E1419" s="81"/>
      <c r="F1419" s="81"/>
      <c r="G1419" s="81"/>
      <c r="H1419" s="111"/>
    </row>
    <row r="1420" spans="1:8">
      <c r="A1420" s="80"/>
      <c r="B1420" s="81" t="s">
        <v>144</v>
      </c>
      <c r="C1420" s="206" t="e">
        <f>DSUM('18_1'!$A$67:$H$81,'18_1'!$H$67,G1415:G1416)</f>
        <v>#N/A</v>
      </c>
      <c r="D1420" s="81"/>
      <c r="E1420" s="81"/>
      <c r="F1420" s="584"/>
      <c r="G1420" s="584"/>
      <c r="H1420" s="111"/>
    </row>
    <row r="1421" spans="1:8" ht="15.75">
      <c r="A1421" s="80"/>
      <c r="B1421" s="81"/>
      <c r="C1421" s="81" t="s">
        <v>146</v>
      </c>
      <c r="D1421" s="145" t="e">
        <f>DMIN('18_1'!A$67:K$81,'18_1'!$J$67,G1415:G1416)</f>
        <v>#REF!</v>
      </c>
      <c r="E1421" s="189" t="e">
        <f>IF(F1421=1,"Domingo",IF(F1421=2,"Lunes",IF(F1421=3,"Martes",IF(F1421=4,"Miercoles",IF(F1421=5,"Jueves",IF(F1421=6,"Viernes",IF(F1421=7,"Sábado",0)))))))</f>
        <v>#REF!</v>
      </c>
      <c r="F1421" s="190" t="e">
        <f>WEEKDAY(D1421)</f>
        <v>#REF!</v>
      </c>
      <c r="G1421" s="142"/>
      <c r="H1421" s="111"/>
    </row>
    <row r="1422" spans="1:8" ht="15.75">
      <c r="A1422" s="80"/>
      <c r="B1422" s="81"/>
      <c r="C1422" s="81" t="s">
        <v>147</v>
      </c>
      <c r="D1422" s="145" t="e">
        <f>DMAX('18_1'!A$67:L$81,'18_1'!$K$67,G1415:G1416)</f>
        <v>#REF!</v>
      </c>
      <c r="E1422" s="189" t="e">
        <f>IF(F1422=1,"Domingo",IF(F1422=2,"Lunes",IF(F1422=3,"Martes",IF(F1422=4,"Miercoles",IF(F1422=5,"Jueves",IF(F1422=6,"Viernes",IF(F1422=7,"Sábado",0)))))))</f>
        <v>#REF!</v>
      </c>
      <c r="F1422" s="190" t="e">
        <f>WEEKDAY(D1422)</f>
        <v>#REF!</v>
      </c>
      <c r="G1422" s="142"/>
      <c r="H1422" s="111"/>
    </row>
    <row r="1423" spans="1:8">
      <c r="A1423" s="80"/>
      <c r="B1423" s="81"/>
      <c r="C1423" s="81"/>
      <c r="D1423" s="81"/>
      <c r="E1423" s="81"/>
      <c r="F1423" s="584"/>
      <c r="G1423" s="584"/>
      <c r="H1423" s="111"/>
    </row>
    <row r="1424" spans="1:8">
      <c r="A1424" s="80"/>
      <c r="B1424" s="146">
        <f>+Mensajes!$B$7</f>
        <v>0</v>
      </c>
      <c r="C1424" s="81"/>
      <c r="D1424" s="81"/>
      <c r="E1424" s="81"/>
      <c r="F1424" s="81"/>
      <c r="G1424" s="81"/>
      <c r="H1424" s="111"/>
    </row>
    <row r="1425" spans="1:8">
      <c r="A1425" s="80"/>
      <c r="B1425" s="146">
        <f>+Mensajes!$B$12</f>
        <v>0</v>
      </c>
      <c r="C1425" s="81"/>
      <c r="D1425" s="81"/>
      <c r="E1425" s="81"/>
      <c r="F1425" s="81"/>
      <c r="G1425" s="81"/>
      <c r="H1425" s="111"/>
    </row>
    <row r="1426" spans="1:8">
      <c r="A1426" s="80"/>
      <c r="B1426" s="146" t="str">
        <f>IF(VLOOKUP(G1416,'18_1'!$A$67:$M$81,13,0)=0,"",VLOOKUP(G1416,'18_1'!$A$67:$M$81,13,0))</f>
        <v/>
      </c>
      <c r="C1426" s="81"/>
      <c r="D1426" s="81"/>
      <c r="E1426" s="81"/>
      <c r="F1426" s="81"/>
      <c r="G1426" s="81"/>
      <c r="H1426" s="111"/>
    </row>
    <row r="1427" spans="1:8">
      <c r="A1427" s="140"/>
      <c r="B1427" s="188" t="str">
        <f>IF(DSUM('18_1'!$A$67:$P$81,16,G1415:G1416)=COUNTIF('18_1'!$A$67:$A$81,G1416),"","Regularice su Deuda")</f>
        <v/>
      </c>
      <c r="C1427" s="82"/>
      <c r="D1427" s="82"/>
      <c r="E1427" s="82"/>
      <c r="F1427" s="82"/>
      <c r="G1427" s="82"/>
      <c r="H1427" s="83"/>
    </row>
    <row r="1429" spans="1:8">
      <c r="A1429" s="108"/>
      <c r="B1429" s="109"/>
      <c r="C1429" s="109"/>
      <c r="D1429" s="109"/>
      <c r="E1429" s="109"/>
      <c r="F1429" s="109"/>
      <c r="G1429" s="109"/>
      <c r="H1429" s="110"/>
    </row>
    <row r="1430" spans="1:8">
      <c r="A1430" s="80"/>
      <c r="B1430" s="147" t="s">
        <v>64</v>
      </c>
      <c r="C1430" s="81"/>
      <c r="D1430" s="81"/>
      <c r="E1430" s="81"/>
      <c r="F1430" s="81"/>
      <c r="G1430" s="81"/>
      <c r="H1430" s="111"/>
    </row>
    <row r="1431" spans="1:8">
      <c r="A1431" s="80"/>
      <c r="B1431" s="81"/>
      <c r="C1431" s="81"/>
      <c r="D1431" s="81"/>
      <c r="E1431" s="81"/>
      <c r="F1431" s="81"/>
      <c r="G1431" s="81"/>
      <c r="H1431" s="111"/>
    </row>
    <row r="1432" spans="1:8">
      <c r="A1432" s="80"/>
      <c r="B1432" s="81" t="s">
        <v>139</v>
      </c>
      <c r="C1432" s="81" t="str">
        <f>VLOOKUP(G1433,'18_1'!$A$67:$G$81,6,0)</f>
        <v>GOMEZ ROMAN, MANUELA</v>
      </c>
      <c r="D1432" s="81"/>
      <c r="E1432" s="81"/>
      <c r="F1432" s="81"/>
      <c r="G1432" s="138" t="s">
        <v>102</v>
      </c>
      <c r="H1432" s="111"/>
    </row>
    <row r="1433" spans="1:8">
      <c r="A1433" s="80"/>
      <c r="B1433" s="81" t="s">
        <v>72</v>
      </c>
      <c r="C1433" s="81" t="str">
        <f>+'18_1'!$G$2</f>
        <v>Hijuela Morón</v>
      </c>
      <c r="D1433" s="81"/>
      <c r="E1433" s="81"/>
      <c r="F1433" s="81"/>
      <c r="G1433" s="138">
        <v>5</v>
      </c>
      <c r="H1433" s="111"/>
    </row>
    <row r="1434" spans="1:8">
      <c r="A1434" s="80"/>
      <c r="B1434" s="81"/>
      <c r="C1434" s="81"/>
      <c r="D1434" s="81"/>
      <c r="E1434" s="81"/>
      <c r="F1434" s="81"/>
      <c r="G1434" s="81"/>
      <c r="H1434" s="111"/>
    </row>
    <row r="1435" spans="1:8">
      <c r="A1435" s="80"/>
      <c r="B1435" s="81" t="s">
        <v>140</v>
      </c>
      <c r="C1435" s="138">
        <f>VLOOKUP(G1433,'18_1'!$A$67:$B$81,2,0)</f>
        <v>1214</v>
      </c>
      <c r="D1435" s="81"/>
      <c r="E1435" s="139" t="s">
        <v>141</v>
      </c>
      <c r="F1435" s="141" t="e">
        <f>DSUM('18_1'!A$67:J$81,'18_1'!$J$67,G1432:G1433)</f>
        <v>#REF!</v>
      </c>
      <c r="G1435" s="81"/>
      <c r="H1435" s="111"/>
    </row>
    <row r="1436" spans="1:8">
      <c r="A1436" s="80"/>
      <c r="B1436" s="81" t="s">
        <v>142</v>
      </c>
      <c r="C1436" s="205" t="s">
        <v>684</v>
      </c>
      <c r="D1436" s="81"/>
      <c r="E1436" s="81"/>
      <c r="F1436" s="81"/>
      <c r="G1436" s="81"/>
      <c r="H1436" s="111"/>
    </row>
    <row r="1437" spans="1:8">
      <c r="A1437" s="80"/>
      <c r="B1437" s="81" t="s">
        <v>144</v>
      </c>
      <c r="C1437" s="206" t="e">
        <f>DSUM('18_1'!$A$67:$H$81,'18_1'!$H$67,G1432:G1433)</f>
        <v>#N/A</v>
      </c>
      <c r="D1437" s="81"/>
      <c r="E1437" s="81"/>
      <c r="F1437" s="584"/>
      <c r="G1437" s="584"/>
      <c r="H1437" s="111"/>
    </row>
    <row r="1438" spans="1:8" ht="15.75">
      <c r="A1438" s="80"/>
      <c r="B1438" s="81"/>
      <c r="C1438" s="81" t="s">
        <v>146</v>
      </c>
      <c r="D1438" s="145" t="e">
        <f>DMIN('18_1'!A$67:K$81,'18_1'!$J$67,G1432:G1433)</f>
        <v>#REF!</v>
      </c>
      <c r="E1438" s="189" t="e">
        <f>IF(F1438=1,"Domingo",IF(F1438=2,"Lunes",IF(F1438=3,"Martes",IF(F1438=4,"Miercoles",IF(F1438=5,"Jueves",IF(F1438=6,"Viernes",IF(F1438=7,"Sábado",0)))))))</f>
        <v>#REF!</v>
      </c>
      <c r="F1438" s="190" t="e">
        <f>WEEKDAY(D1438)</f>
        <v>#REF!</v>
      </c>
      <c r="G1438" s="142"/>
      <c r="H1438" s="111"/>
    </row>
    <row r="1439" spans="1:8" ht="15.75">
      <c r="A1439" s="80"/>
      <c r="B1439" s="81"/>
      <c r="C1439" s="81" t="s">
        <v>147</v>
      </c>
      <c r="D1439" s="145" t="e">
        <f>DMAX('18_1'!A$67:L$81,'18_1'!$K$67,G1432:G1433)</f>
        <v>#REF!</v>
      </c>
      <c r="E1439" s="189" t="e">
        <f>IF(F1439=1,"Domingo",IF(F1439=2,"Lunes",IF(F1439=3,"Martes",IF(F1439=4,"Miercoles",IF(F1439=5,"Jueves",IF(F1439=6,"Viernes",IF(F1439=7,"Sábado",0)))))))</f>
        <v>#REF!</v>
      </c>
      <c r="F1439" s="190" t="e">
        <f>WEEKDAY(D1439)</f>
        <v>#REF!</v>
      </c>
      <c r="G1439" s="142"/>
      <c r="H1439" s="111"/>
    </row>
    <row r="1440" spans="1:8">
      <c r="A1440" s="80"/>
      <c r="B1440" s="81"/>
      <c r="C1440" s="81"/>
      <c r="D1440" s="81"/>
      <c r="E1440" s="81"/>
      <c r="F1440" s="584"/>
      <c r="G1440" s="584"/>
      <c r="H1440" s="111"/>
    </row>
    <row r="1441" spans="1:8">
      <c r="A1441" s="80"/>
      <c r="B1441" s="146">
        <f>+Mensajes!$B$7</f>
        <v>0</v>
      </c>
      <c r="C1441" s="81"/>
      <c r="D1441" s="81"/>
      <c r="E1441" s="81"/>
      <c r="F1441" s="81"/>
      <c r="G1441" s="81"/>
      <c r="H1441" s="111"/>
    </row>
    <row r="1442" spans="1:8">
      <c r="A1442" s="80"/>
      <c r="B1442" s="146">
        <f>+Mensajes!$B$12</f>
        <v>0</v>
      </c>
      <c r="C1442" s="81"/>
      <c r="D1442" s="81"/>
      <c r="E1442" s="81"/>
      <c r="F1442" s="81"/>
      <c r="G1442" s="81"/>
      <c r="H1442" s="111"/>
    </row>
    <row r="1443" spans="1:8">
      <c r="A1443" s="80"/>
      <c r="B1443" s="146" t="str">
        <f>IF(VLOOKUP(G1433,'18_1'!$A$67:$M$81,13,0)=0,"",VLOOKUP(G1433,'18_1'!$A$67:$M$81,13,0))</f>
        <v/>
      </c>
      <c r="C1443" s="81"/>
      <c r="D1443" s="81"/>
      <c r="E1443" s="81"/>
      <c r="F1443" s="81"/>
      <c r="G1443" s="81"/>
      <c r="H1443" s="111"/>
    </row>
    <row r="1444" spans="1:8">
      <c r="A1444" s="140"/>
      <c r="B1444" s="188" t="e">
        <f>IF(DSUM('18_1'!$A$67:$P$81,16,G1432:G1433)=COUNTIF('18_1'!$A$67:$A$81,G1433),"","Regularice su Deuda")</f>
        <v>#N/A</v>
      </c>
      <c r="C1444" s="82"/>
      <c r="D1444" s="82"/>
      <c r="E1444" s="82"/>
      <c r="F1444" s="82"/>
      <c r="G1444" s="82"/>
      <c r="H1444" s="83"/>
    </row>
    <row r="1446" spans="1:8">
      <c r="A1446" s="108"/>
      <c r="B1446" s="109"/>
      <c r="C1446" s="109"/>
      <c r="D1446" s="109"/>
      <c r="E1446" s="109"/>
      <c r="F1446" s="109"/>
      <c r="G1446" s="109"/>
      <c r="H1446" s="110"/>
    </row>
    <row r="1447" spans="1:8">
      <c r="A1447" s="80"/>
      <c r="B1447" s="147" t="s">
        <v>64</v>
      </c>
      <c r="C1447" s="81"/>
      <c r="D1447" s="81"/>
      <c r="E1447" s="81"/>
      <c r="F1447" s="81"/>
      <c r="G1447" s="81"/>
      <c r="H1447" s="111"/>
    </row>
    <row r="1448" spans="1:8">
      <c r="A1448" s="80"/>
      <c r="B1448" s="81"/>
      <c r="C1448" s="81"/>
      <c r="D1448" s="81"/>
      <c r="E1448" s="81"/>
      <c r="F1448" s="81"/>
      <c r="G1448" s="81"/>
      <c r="H1448" s="111"/>
    </row>
    <row r="1449" spans="1:8">
      <c r="A1449" s="80"/>
      <c r="B1449" s="81" t="s">
        <v>139</v>
      </c>
      <c r="C1449" s="81" t="str">
        <f>VLOOKUP(G1450,'18_1'!$A$67:$G$81,6,0)</f>
        <v>HITA, ROBERTO FERMIN</v>
      </c>
      <c r="D1449" s="81"/>
      <c r="E1449" s="81"/>
      <c r="F1449" s="81"/>
      <c r="G1449" s="138" t="s">
        <v>102</v>
      </c>
      <c r="H1449" s="111"/>
    </row>
    <row r="1450" spans="1:8">
      <c r="A1450" s="80"/>
      <c r="B1450" s="81" t="s">
        <v>72</v>
      </c>
      <c r="C1450" s="81" t="str">
        <f>+'18_1'!$G$2</f>
        <v>Hijuela Morón</v>
      </c>
      <c r="D1450" s="81"/>
      <c r="E1450" s="81"/>
      <c r="F1450" s="81"/>
      <c r="G1450" s="138">
        <v>6</v>
      </c>
      <c r="H1450" s="111"/>
    </row>
    <row r="1451" spans="1:8">
      <c r="A1451" s="80"/>
      <c r="B1451" s="81"/>
      <c r="C1451" s="81"/>
      <c r="D1451" s="81"/>
      <c r="E1451" s="81"/>
      <c r="F1451" s="81"/>
      <c r="G1451" s="81"/>
      <c r="H1451" s="111"/>
    </row>
    <row r="1452" spans="1:8">
      <c r="A1452" s="80"/>
      <c r="B1452" s="81" t="s">
        <v>140</v>
      </c>
      <c r="C1452" s="138">
        <f>VLOOKUP(G1450,'18_1'!$A$67:$B$81,2,0)</f>
        <v>1214</v>
      </c>
      <c r="D1452" s="81"/>
      <c r="E1452" s="139" t="s">
        <v>141</v>
      </c>
      <c r="F1452" s="141" t="e">
        <f>DSUM('18_1'!A$67:J$81,'18_1'!$J$67,G1449:G1450)</f>
        <v>#REF!</v>
      </c>
      <c r="G1452" s="81"/>
      <c r="H1452" s="111"/>
    </row>
    <row r="1453" spans="1:8">
      <c r="A1453" s="80"/>
      <c r="B1453" s="81" t="s">
        <v>142</v>
      </c>
      <c r="C1453" s="205">
        <v>115</v>
      </c>
      <c r="D1453" s="81"/>
      <c r="E1453" s="81"/>
      <c r="F1453" s="81"/>
      <c r="G1453" s="81"/>
      <c r="H1453" s="111"/>
    </row>
    <row r="1454" spans="1:8">
      <c r="A1454" s="80"/>
      <c r="B1454" s="81" t="s">
        <v>144</v>
      </c>
      <c r="C1454" s="206" t="e">
        <f>DSUM('18_1'!$A$67:$H$81,'18_1'!$H$67,G1449:G1450)</f>
        <v>#N/A</v>
      </c>
      <c r="D1454" s="81"/>
      <c r="E1454" s="81"/>
      <c r="F1454" s="584"/>
      <c r="G1454" s="584"/>
      <c r="H1454" s="111"/>
    </row>
    <row r="1455" spans="1:8" ht="15.75">
      <c r="A1455" s="80"/>
      <c r="B1455" s="81"/>
      <c r="C1455" s="81" t="s">
        <v>146</v>
      </c>
      <c r="D1455" s="145" t="e">
        <f>DMIN('18_1'!A$67:K$81,'18_1'!$J$67,G1449:G1450)</f>
        <v>#REF!</v>
      </c>
      <c r="E1455" s="189" t="e">
        <f>IF(F1455=1,"Domingo",IF(F1455=2,"Lunes",IF(F1455=3,"Martes",IF(F1455=4,"Miercoles",IF(F1455=5,"Jueves",IF(F1455=6,"Viernes",IF(F1455=7,"Sábado",0)))))))</f>
        <v>#REF!</v>
      </c>
      <c r="F1455" s="190" t="e">
        <f>WEEKDAY(D1455)</f>
        <v>#REF!</v>
      </c>
      <c r="G1455" s="142"/>
      <c r="H1455" s="111"/>
    </row>
    <row r="1456" spans="1:8" ht="15.75">
      <c r="A1456" s="80"/>
      <c r="B1456" s="81"/>
      <c r="C1456" s="81" t="s">
        <v>147</v>
      </c>
      <c r="D1456" s="145" t="e">
        <f>DMAX('18_1'!A$67:L$81,'18_1'!$K$67,G1449:G1450)</f>
        <v>#REF!</v>
      </c>
      <c r="E1456" s="189" t="e">
        <f>IF(F1456=1,"Domingo",IF(F1456=2,"Lunes",IF(F1456=3,"Martes",IF(F1456=4,"Miercoles",IF(F1456=5,"Jueves",IF(F1456=6,"Viernes",IF(F1456=7,"Sábado",0)))))))</f>
        <v>#REF!</v>
      </c>
      <c r="F1456" s="190" t="e">
        <f>WEEKDAY(D1456)</f>
        <v>#REF!</v>
      </c>
      <c r="G1456" s="142"/>
      <c r="H1456" s="111"/>
    </row>
    <row r="1457" spans="1:8">
      <c r="A1457" s="80"/>
      <c r="B1457" s="81"/>
      <c r="C1457" s="81"/>
      <c r="D1457" s="81"/>
      <c r="E1457" s="81"/>
      <c r="F1457" s="584"/>
      <c r="G1457" s="584"/>
      <c r="H1457" s="111"/>
    </row>
    <row r="1458" spans="1:8">
      <c r="A1458" s="80"/>
      <c r="B1458" s="146">
        <f>+Mensajes!$B$7</f>
        <v>0</v>
      </c>
      <c r="C1458" s="81"/>
      <c r="D1458" s="81"/>
      <c r="E1458" s="81"/>
      <c r="F1458" s="81"/>
      <c r="G1458" s="81"/>
      <c r="H1458" s="111"/>
    </row>
    <row r="1459" spans="1:8">
      <c r="A1459" s="80"/>
      <c r="B1459" s="146">
        <f>+Mensajes!$B$12</f>
        <v>0</v>
      </c>
      <c r="C1459" s="81"/>
      <c r="D1459" s="81"/>
      <c r="E1459" s="81"/>
      <c r="F1459" s="81"/>
      <c r="G1459" s="81"/>
      <c r="H1459" s="111"/>
    </row>
    <row r="1460" spans="1:8">
      <c r="A1460" s="80"/>
      <c r="B1460" s="146" t="str">
        <f>IF(VLOOKUP(G1450,'18_1'!$A$67:$M$81,13,0)=0,"",VLOOKUP(G1450,'18_1'!$A$67:$M$81,13,0))</f>
        <v/>
      </c>
      <c r="C1460" s="81"/>
      <c r="D1460" s="81"/>
      <c r="E1460" s="81"/>
      <c r="F1460" s="81"/>
      <c r="G1460" s="81"/>
      <c r="H1460" s="111"/>
    </row>
    <row r="1461" spans="1:8">
      <c r="A1461" s="140"/>
      <c r="B1461" s="188" t="e">
        <f>IF(DSUM('18_1'!$A$67:$P$81,16,G1449:G1450)=COUNTIF('18_1'!$A$67:$A$81,G1450),"","Regularice su Deuda")</f>
        <v>#N/A</v>
      </c>
      <c r="C1461" s="82"/>
      <c r="D1461" s="82"/>
      <c r="E1461" s="82"/>
      <c r="F1461" s="82"/>
      <c r="G1461" s="82"/>
      <c r="H1461" s="83"/>
    </row>
    <row r="1463" spans="1:8">
      <c r="A1463" s="108"/>
      <c r="B1463" s="109"/>
      <c r="C1463" s="109"/>
      <c r="D1463" s="109"/>
      <c r="E1463" s="109"/>
      <c r="F1463" s="109"/>
      <c r="G1463" s="109"/>
      <c r="H1463" s="110"/>
    </row>
    <row r="1464" spans="1:8">
      <c r="A1464" s="80"/>
      <c r="B1464" s="147" t="s">
        <v>64</v>
      </c>
      <c r="C1464" s="81"/>
      <c r="D1464" s="81"/>
      <c r="E1464" s="81"/>
      <c r="F1464" s="81"/>
      <c r="G1464" s="81"/>
      <c r="H1464" s="111"/>
    </row>
    <row r="1465" spans="1:8">
      <c r="A1465" s="80"/>
      <c r="B1465" s="81"/>
      <c r="C1465" s="81"/>
      <c r="D1465" s="81"/>
      <c r="E1465" s="81"/>
      <c r="F1465" s="81"/>
      <c r="G1465" s="81"/>
      <c r="H1465" s="111"/>
    </row>
    <row r="1466" spans="1:8">
      <c r="A1466" s="80"/>
      <c r="B1466" s="81" t="s">
        <v>139</v>
      </c>
      <c r="C1466" s="81" t="str">
        <f>VLOOKUP(G1467,'18_1'!$A$67:$G$81,6,0)</f>
        <v>WOLFAR, ENRIQUE</v>
      </c>
      <c r="D1466" s="81"/>
      <c r="E1466" s="81"/>
      <c r="F1466" s="81"/>
      <c r="G1466" s="138" t="s">
        <v>102</v>
      </c>
      <c r="H1466" s="111"/>
    </row>
    <row r="1467" spans="1:8">
      <c r="A1467" s="80"/>
      <c r="B1467" s="81" t="s">
        <v>72</v>
      </c>
      <c r="C1467" s="81" t="str">
        <f>+'18_1'!$G$2</f>
        <v>Hijuela Morón</v>
      </c>
      <c r="D1467" s="81"/>
      <c r="E1467" s="81"/>
      <c r="F1467" s="81"/>
      <c r="G1467" s="138">
        <v>7</v>
      </c>
      <c r="H1467" s="111"/>
    </row>
    <row r="1468" spans="1:8">
      <c r="A1468" s="80"/>
      <c r="B1468" s="81"/>
      <c r="C1468" s="81"/>
      <c r="D1468" s="81"/>
      <c r="E1468" s="81"/>
      <c r="F1468" s="81"/>
      <c r="G1468" s="81"/>
      <c r="H1468" s="111"/>
    </row>
    <row r="1469" spans="1:8">
      <c r="A1469" s="80"/>
      <c r="B1469" s="81" t="s">
        <v>140</v>
      </c>
      <c r="C1469" s="138">
        <f>VLOOKUP(G1467,'18_1'!$A$67:$B$81,2,0)</f>
        <v>1214</v>
      </c>
      <c r="D1469" s="81"/>
      <c r="E1469" s="139" t="s">
        <v>141</v>
      </c>
      <c r="F1469" s="141" t="e">
        <f>DSUM('18_1'!A$67:J$81,'18_1'!$J$67,G1466:G1467)</f>
        <v>#REF!</v>
      </c>
      <c r="G1469" s="81"/>
      <c r="H1469" s="111"/>
    </row>
    <row r="1470" spans="1:8">
      <c r="A1470" s="80"/>
      <c r="B1470" s="81" t="s">
        <v>142</v>
      </c>
      <c r="C1470" s="205">
        <v>274</v>
      </c>
      <c r="D1470" s="81"/>
      <c r="E1470" s="81"/>
      <c r="F1470" s="81"/>
      <c r="G1470" s="81"/>
      <c r="H1470" s="111"/>
    </row>
    <row r="1471" spans="1:8">
      <c r="A1471" s="80"/>
      <c r="B1471" s="81" t="s">
        <v>144</v>
      </c>
      <c r="C1471" s="206" t="e">
        <f>DSUM('18_1'!$A$67:$H$81,'18_1'!$H$67,G1466:G1467)</f>
        <v>#N/A</v>
      </c>
      <c r="D1471" s="81"/>
      <c r="E1471" s="81"/>
      <c r="F1471" s="584"/>
      <c r="G1471" s="584"/>
      <c r="H1471" s="111"/>
    </row>
    <row r="1472" spans="1:8" ht="15.75">
      <c r="A1472" s="80"/>
      <c r="B1472" s="81"/>
      <c r="C1472" s="81" t="s">
        <v>146</v>
      </c>
      <c r="D1472" s="145" t="e">
        <f>DMIN('18_1'!A$67:K$81,'18_1'!$J$67,G1466:G1467)</f>
        <v>#REF!</v>
      </c>
      <c r="E1472" s="189" t="e">
        <f>IF(F1472=1,"Domingo",IF(F1472=2,"Lunes",IF(F1472=3,"Martes",IF(F1472=4,"Miercoles",IF(F1472=5,"Jueves",IF(F1472=6,"Viernes",IF(F1472=7,"Sábado",0)))))))</f>
        <v>#REF!</v>
      </c>
      <c r="F1472" s="190" t="e">
        <f>WEEKDAY(D1472)</f>
        <v>#REF!</v>
      </c>
      <c r="G1472" s="142"/>
      <c r="H1472" s="111"/>
    </row>
    <row r="1473" spans="1:8" ht="15.75">
      <c r="A1473" s="80"/>
      <c r="B1473" s="81"/>
      <c r="C1473" s="81" t="s">
        <v>147</v>
      </c>
      <c r="D1473" s="145" t="e">
        <f>DMAX('18_1'!A$67:L$81,'18_1'!$K$67,G1466:G1467)</f>
        <v>#REF!</v>
      </c>
      <c r="E1473" s="189" t="e">
        <f>IF(F1473=1,"Domingo",IF(F1473=2,"Lunes",IF(F1473=3,"Martes",IF(F1473=4,"Miercoles",IF(F1473=5,"Jueves",IF(F1473=6,"Viernes",IF(F1473=7,"Sábado",0)))))))</f>
        <v>#REF!</v>
      </c>
      <c r="F1473" s="190" t="e">
        <f>WEEKDAY(D1473)</f>
        <v>#REF!</v>
      </c>
      <c r="G1473" s="142"/>
      <c r="H1473" s="111"/>
    </row>
    <row r="1474" spans="1:8">
      <c r="A1474" s="80"/>
      <c r="B1474" s="81"/>
      <c r="C1474" s="81"/>
      <c r="D1474" s="81"/>
      <c r="E1474" s="81"/>
      <c r="F1474" s="584"/>
      <c r="G1474" s="584"/>
      <c r="H1474" s="111"/>
    </row>
    <row r="1475" spans="1:8">
      <c r="A1475" s="80"/>
      <c r="B1475" s="146">
        <f>+Mensajes!$B$7</f>
        <v>0</v>
      </c>
      <c r="C1475" s="81"/>
      <c r="D1475" s="81"/>
      <c r="E1475" s="81"/>
      <c r="F1475" s="81"/>
      <c r="G1475" s="81"/>
      <c r="H1475" s="111"/>
    </row>
    <row r="1476" spans="1:8">
      <c r="A1476" s="80"/>
      <c r="B1476" s="146">
        <f>+Mensajes!$B$12</f>
        <v>0</v>
      </c>
      <c r="C1476" s="81"/>
      <c r="D1476" s="81"/>
      <c r="E1476" s="81"/>
      <c r="F1476" s="81"/>
      <c r="G1476" s="81"/>
      <c r="H1476" s="111"/>
    </row>
    <row r="1477" spans="1:8">
      <c r="A1477" s="80"/>
      <c r="B1477" s="146" t="str">
        <f>IF(VLOOKUP(G1467,'18_1'!$A$67:$M$81,13,0)=0,"",VLOOKUP(G1467,'18_1'!$A$67:$M$81,13,0))</f>
        <v/>
      </c>
      <c r="C1477" s="81"/>
      <c r="D1477" s="81"/>
      <c r="E1477" s="81"/>
      <c r="F1477" s="81"/>
      <c r="G1477" s="81"/>
      <c r="H1477" s="111"/>
    </row>
    <row r="1478" spans="1:8">
      <c r="A1478" s="140"/>
      <c r="B1478" s="188" t="e">
        <f>IF(DSUM('18_1'!$A$67:$P$81,16,G1466:G1467)=COUNTIF('18_1'!$A$67:$A$81,G1467),"","Regularice su Deuda")</f>
        <v>#N/A</v>
      </c>
      <c r="C1478" s="82"/>
      <c r="D1478" s="82"/>
      <c r="E1478" s="82"/>
      <c r="F1478" s="82"/>
      <c r="G1478" s="82"/>
      <c r="H1478" s="83"/>
    </row>
    <row r="1480" spans="1:8">
      <c r="A1480" s="108"/>
      <c r="B1480" s="109"/>
      <c r="C1480" s="109"/>
      <c r="D1480" s="109"/>
      <c r="E1480" s="109"/>
      <c r="F1480" s="109"/>
      <c r="G1480" s="109"/>
      <c r="H1480" s="110"/>
    </row>
    <row r="1481" spans="1:8">
      <c r="A1481" s="80"/>
      <c r="B1481" s="147" t="s">
        <v>64</v>
      </c>
      <c r="C1481" s="81"/>
      <c r="D1481" s="81"/>
      <c r="E1481" s="81"/>
      <c r="F1481" s="81"/>
      <c r="G1481" s="81"/>
      <c r="H1481" s="111"/>
    </row>
    <row r="1482" spans="1:8">
      <c r="A1482" s="80"/>
      <c r="B1482" s="81"/>
      <c r="C1482" s="81"/>
      <c r="D1482" s="81"/>
      <c r="E1482" s="81"/>
      <c r="F1482" s="81"/>
      <c r="G1482" s="81"/>
      <c r="H1482" s="111"/>
    </row>
    <row r="1483" spans="1:8">
      <c r="A1483" s="80"/>
      <c r="B1483" s="81" t="s">
        <v>139</v>
      </c>
      <c r="C1483" s="81" t="str">
        <f>VLOOKUP(G1484,'18_1'!$A$67:$G$81,6,0)</f>
        <v>TARIFA, JUAN Y DE LA TORRES DE TARIFA, ELENA</v>
      </c>
      <c r="D1483" s="81"/>
      <c r="E1483" s="81"/>
      <c r="F1483" s="81"/>
      <c r="G1483" s="138" t="s">
        <v>102</v>
      </c>
      <c r="H1483" s="111"/>
    </row>
    <row r="1484" spans="1:8">
      <c r="A1484" s="80"/>
      <c r="B1484" s="81" t="s">
        <v>72</v>
      </c>
      <c r="C1484" s="81" t="str">
        <f>+'18_1'!$G$2</f>
        <v>Hijuela Morón</v>
      </c>
      <c r="D1484" s="81"/>
      <c r="E1484" s="81"/>
      <c r="F1484" s="81"/>
      <c r="G1484" s="138">
        <v>8</v>
      </c>
      <c r="H1484" s="111"/>
    </row>
    <row r="1485" spans="1:8">
      <c r="A1485" s="80"/>
      <c r="B1485" s="81"/>
      <c r="C1485" s="81"/>
      <c r="D1485" s="81"/>
      <c r="E1485" s="81"/>
      <c r="F1485" s="81"/>
      <c r="G1485" s="81"/>
      <c r="H1485" s="111"/>
    </row>
    <row r="1486" spans="1:8">
      <c r="A1486" s="80"/>
      <c r="B1486" s="81" t="s">
        <v>140</v>
      </c>
      <c r="C1486" s="138">
        <f>VLOOKUP(G1484,'18_1'!$A$67:$B$81,2,0)</f>
        <v>1214</v>
      </c>
      <c r="D1486" s="81"/>
      <c r="E1486" s="139" t="s">
        <v>141</v>
      </c>
      <c r="F1486" s="141" t="e">
        <f>DSUM('18_1'!A$67:J$81,'18_1'!$J$67,G1483:G1484)</f>
        <v>#REF!</v>
      </c>
      <c r="G1486" s="81"/>
      <c r="H1486" s="111"/>
    </row>
    <row r="1487" spans="1:8">
      <c r="A1487" s="80"/>
      <c r="B1487" s="81" t="s">
        <v>142</v>
      </c>
      <c r="C1487" s="205">
        <v>267</v>
      </c>
      <c r="D1487" s="81"/>
      <c r="E1487" s="81"/>
      <c r="F1487" s="81"/>
      <c r="G1487" s="81"/>
      <c r="H1487" s="111"/>
    </row>
    <row r="1488" spans="1:8">
      <c r="A1488" s="80"/>
      <c r="B1488" s="81" t="s">
        <v>144</v>
      </c>
      <c r="C1488" s="206" t="e">
        <f>DSUM('18_1'!$A$67:$H$81,'18_1'!$H$67,G1483:G1484)</f>
        <v>#N/A</v>
      </c>
      <c r="D1488" s="81"/>
      <c r="E1488" s="81"/>
      <c r="F1488" s="584"/>
      <c r="G1488" s="584"/>
      <c r="H1488" s="111"/>
    </row>
    <row r="1489" spans="1:8" ht="15.75">
      <c r="A1489" s="80"/>
      <c r="B1489" s="81"/>
      <c r="C1489" s="81" t="s">
        <v>146</v>
      </c>
      <c r="D1489" s="145" t="e">
        <f>DMIN('18_1'!A$67:K$81,'18_1'!$J$67,G1483:G1484)</f>
        <v>#REF!</v>
      </c>
      <c r="E1489" s="189" t="e">
        <f>IF(F1489=1,"Domingo",IF(F1489=2,"Lunes",IF(F1489=3,"Martes",IF(F1489=4,"Miercoles",IF(F1489=5,"Jueves",IF(F1489=6,"Viernes",IF(F1489=7,"Sábado",0)))))))</f>
        <v>#REF!</v>
      </c>
      <c r="F1489" s="190" t="e">
        <f>WEEKDAY(D1489)</f>
        <v>#REF!</v>
      </c>
      <c r="G1489" s="142"/>
      <c r="H1489" s="111"/>
    </row>
    <row r="1490" spans="1:8" ht="15.75">
      <c r="A1490" s="80"/>
      <c r="B1490" s="81"/>
      <c r="C1490" s="81" t="s">
        <v>147</v>
      </c>
      <c r="D1490" s="145" t="e">
        <f>DMAX('18_1'!A$67:L$81,'18_1'!$K$67,G1483:G1484)</f>
        <v>#REF!</v>
      </c>
      <c r="E1490" s="189" t="e">
        <f>IF(F1490=1,"Domingo",IF(F1490=2,"Lunes",IF(F1490=3,"Martes",IF(F1490=4,"Miercoles",IF(F1490=5,"Jueves",IF(F1490=6,"Viernes",IF(F1490=7,"Sábado",0)))))))</f>
        <v>#REF!</v>
      </c>
      <c r="F1490" s="190" t="e">
        <f>WEEKDAY(D1490)</f>
        <v>#REF!</v>
      </c>
      <c r="G1490" s="142"/>
      <c r="H1490" s="111"/>
    </row>
    <row r="1491" spans="1:8">
      <c r="A1491" s="80"/>
      <c r="B1491" s="81"/>
      <c r="C1491" s="81"/>
      <c r="D1491" s="81"/>
      <c r="E1491" s="81"/>
      <c r="F1491" s="584"/>
      <c r="G1491" s="584"/>
      <c r="H1491" s="111"/>
    </row>
    <row r="1492" spans="1:8">
      <c r="A1492" s="80"/>
      <c r="B1492" s="146">
        <f>+Mensajes!$B$7</f>
        <v>0</v>
      </c>
      <c r="C1492" s="81"/>
      <c r="D1492" s="81"/>
      <c r="E1492" s="81"/>
      <c r="F1492" s="81"/>
      <c r="G1492" s="81"/>
      <c r="H1492" s="111"/>
    </row>
    <row r="1493" spans="1:8">
      <c r="A1493" s="80"/>
      <c r="B1493" s="146">
        <f>+Mensajes!$B$12</f>
        <v>0</v>
      </c>
      <c r="C1493" s="81"/>
      <c r="D1493" s="81"/>
      <c r="E1493" s="81"/>
      <c r="F1493" s="81"/>
      <c r="G1493" s="81"/>
      <c r="H1493" s="111"/>
    </row>
    <row r="1494" spans="1:8">
      <c r="A1494" s="80"/>
      <c r="B1494" s="146" t="str">
        <f>IF(VLOOKUP(G1484,'18_1'!$A$67:$M$81,13,0)=0,"",VLOOKUP(G1484,'18_1'!$A$67:$M$81,13,0))</f>
        <v/>
      </c>
      <c r="C1494" s="81"/>
      <c r="D1494" s="81"/>
      <c r="E1494" s="81"/>
      <c r="F1494" s="81"/>
      <c r="G1494" s="81"/>
      <c r="H1494" s="111"/>
    </row>
    <row r="1495" spans="1:8">
      <c r="A1495" s="140"/>
      <c r="B1495" s="188" t="str">
        <f>IF(DSUM('18_1'!$A$67:$P$81,16,G1483:G1484)=COUNTIF('18_1'!$A$67:$A$81,G1484),"","Regularice su Deuda")</f>
        <v>Regularice su Deuda</v>
      </c>
      <c r="C1495" s="82"/>
      <c r="D1495" s="82"/>
      <c r="E1495" s="82"/>
      <c r="F1495" s="82"/>
      <c r="G1495" s="82"/>
      <c r="H1495" s="83"/>
    </row>
    <row r="1497" spans="1:8">
      <c r="A1497" s="108"/>
      <c r="B1497" s="109"/>
      <c r="C1497" s="109"/>
      <c r="D1497" s="109"/>
      <c r="E1497" s="109"/>
      <c r="F1497" s="109"/>
      <c r="G1497" s="109"/>
      <c r="H1497" s="110"/>
    </row>
    <row r="1498" spans="1:8">
      <c r="A1498" s="80"/>
      <c r="B1498" s="147" t="s">
        <v>64</v>
      </c>
      <c r="C1498" s="81"/>
      <c r="D1498" s="81"/>
      <c r="E1498" s="81"/>
      <c r="F1498" s="81"/>
      <c r="G1498" s="81"/>
      <c r="H1498" s="111"/>
    </row>
    <row r="1499" spans="1:8">
      <c r="A1499" s="80"/>
      <c r="B1499" s="81"/>
      <c r="C1499" s="81"/>
      <c r="D1499" s="81"/>
      <c r="E1499" s="81"/>
      <c r="F1499" s="81"/>
      <c r="G1499" s="81"/>
      <c r="H1499" s="111"/>
    </row>
    <row r="1500" spans="1:8">
      <c r="A1500" s="80"/>
      <c r="B1500" s="81" t="s">
        <v>139</v>
      </c>
      <c r="C1500" s="81" t="str">
        <f>VLOOKUP(G1501,'18_1'!$A$67:$G$81,6,0)</f>
        <v>FAMA, JOSE</v>
      </c>
      <c r="D1500" s="81"/>
      <c r="E1500" s="81"/>
      <c r="F1500" s="81"/>
      <c r="G1500" s="138" t="s">
        <v>102</v>
      </c>
      <c r="H1500" s="111"/>
    </row>
    <row r="1501" spans="1:8">
      <c r="A1501" s="80"/>
      <c r="B1501" s="81" t="s">
        <v>72</v>
      </c>
      <c r="C1501" s="81" t="str">
        <f>+'18_1'!$G$2</f>
        <v>Hijuela Morón</v>
      </c>
      <c r="D1501" s="81"/>
      <c r="E1501" s="81"/>
      <c r="F1501" s="81"/>
      <c r="G1501" s="138">
        <v>9</v>
      </c>
      <c r="H1501" s="111"/>
    </row>
    <row r="1502" spans="1:8">
      <c r="A1502" s="80"/>
      <c r="B1502" s="81"/>
      <c r="C1502" s="81"/>
      <c r="D1502" s="81"/>
      <c r="E1502" s="81"/>
      <c r="F1502" s="81"/>
      <c r="G1502" s="81"/>
      <c r="H1502" s="111"/>
    </row>
    <row r="1503" spans="1:8">
      <c r="A1503" s="80"/>
      <c r="B1503" s="81" t="s">
        <v>140</v>
      </c>
      <c r="C1503" s="138">
        <f>VLOOKUP(G1501,'18_1'!$A$67:$B$81,2,0)</f>
        <v>1214</v>
      </c>
      <c r="D1503" s="81"/>
      <c r="E1503" s="139" t="s">
        <v>141</v>
      </c>
      <c r="F1503" s="141" t="e">
        <f>DSUM('18_1'!A$67:J$81,'18_1'!$J$67,G1500:G1501)</f>
        <v>#REF!</v>
      </c>
      <c r="G1503" s="81"/>
      <c r="H1503" s="111"/>
    </row>
    <row r="1504" spans="1:8">
      <c r="A1504" s="80"/>
      <c r="B1504" s="81" t="s">
        <v>142</v>
      </c>
      <c r="C1504" s="205">
        <v>219</v>
      </c>
      <c r="D1504" s="81"/>
      <c r="E1504" s="81"/>
      <c r="F1504" s="81"/>
      <c r="G1504" s="81"/>
      <c r="H1504" s="111"/>
    </row>
    <row r="1505" spans="1:8">
      <c r="A1505" s="80"/>
      <c r="B1505" s="81" t="s">
        <v>144</v>
      </c>
      <c r="C1505" s="206" t="e">
        <f>DSUM('18_1'!$A$67:$H$81,'18_1'!$H$67,G1500:G1501)</f>
        <v>#N/A</v>
      </c>
      <c r="D1505" s="81"/>
      <c r="E1505" s="81"/>
      <c r="F1505" s="584"/>
      <c r="G1505" s="584"/>
      <c r="H1505" s="111"/>
    </row>
    <row r="1506" spans="1:8" ht="15.75">
      <c r="A1506" s="80"/>
      <c r="B1506" s="81"/>
      <c r="C1506" s="81" t="s">
        <v>146</v>
      </c>
      <c r="D1506" s="145" t="e">
        <f>DMIN('18_1'!A$67:K$81,'18_1'!$J$67,G1500:G1501)</f>
        <v>#REF!</v>
      </c>
      <c r="E1506" s="189" t="e">
        <f>IF(F1506=1,"Domingo",IF(F1506=2,"Lunes",IF(F1506=3,"Martes",IF(F1506=4,"Miercoles",IF(F1506=5,"Jueves",IF(F1506=6,"Viernes",IF(F1506=7,"Sábado",0)))))))</f>
        <v>#REF!</v>
      </c>
      <c r="F1506" s="190" t="e">
        <f>WEEKDAY(D1506)</f>
        <v>#REF!</v>
      </c>
      <c r="G1506" s="142"/>
      <c r="H1506" s="111"/>
    </row>
    <row r="1507" spans="1:8" ht="15.75">
      <c r="A1507" s="80"/>
      <c r="B1507" s="81"/>
      <c r="C1507" s="81" t="s">
        <v>147</v>
      </c>
      <c r="D1507" s="145" t="e">
        <f>DMAX('18_1'!A$67:L$81,'18_1'!$K$67,G1500:G1501)</f>
        <v>#REF!</v>
      </c>
      <c r="E1507" s="189" t="e">
        <f>IF(F1507=1,"Domingo",IF(F1507=2,"Lunes",IF(F1507=3,"Martes",IF(F1507=4,"Miercoles",IF(F1507=5,"Jueves",IF(F1507=6,"Viernes",IF(F1507=7,"Sábado",0)))))))</f>
        <v>#REF!</v>
      </c>
      <c r="F1507" s="190" t="e">
        <f>WEEKDAY(D1507)</f>
        <v>#REF!</v>
      </c>
      <c r="G1507" s="142"/>
      <c r="H1507" s="111"/>
    </row>
    <row r="1508" spans="1:8">
      <c r="A1508" s="80"/>
      <c r="B1508" s="81"/>
      <c r="C1508" s="81"/>
      <c r="D1508" s="81"/>
      <c r="E1508" s="81"/>
      <c r="F1508" s="584"/>
      <c r="G1508" s="584"/>
      <c r="H1508" s="111"/>
    </row>
    <row r="1509" spans="1:8">
      <c r="A1509" s="80"/>
      <c r="B1509" s="146">
        <f>+Mensajes!$B$7</f>
        <v>0</v>
      </c>
      <c r="C1509" s="81"/>
      <c r="D1509" s="81"/>
      <c r="E1509" s="81"/>
      <c r="F1509" s="81"/>
      <c r="G1509" s="81"/>
      <c r="H1509" s="111"/>
    </row>
    <row r="1510" spans="1:8">
      <c r="A1510" s="80"/>
      <c r="B1510" s="146">
        <f>+Mensajes!$B$12</f>
        <v>0</v>
      </c>
      <c r="C1510" s="81"/>
      <c r="D1510" s="81"/>
      <c r="E1510" s="81"/>
      <c r="F1510" s="81"/>
      <c r="G1510" s="81"/>
      <c r="H1510" s="111"/>
    </row>
    <row r="1511" spans="1:8">
      <c r="A1511" s="80"/>
      <c r="B1511" s="146" t="str">
        <f>IF(VLOOKUP(G1501,'18_1'!$A$67:$M$81,13,0)=0,"",VLOOKUP(G1501,'18_1'!$A$67:$M$81,13,0))</f>
        <v/>
      </c>
      <c r="C1511" s="81"/>
      <c r="D1511" s="81"/>
      <c r="E1511" s="81"/>
      <c r="F1511" s="81"/>
      <c r="G1511" s="81"/>
      <c r="H1511" s="111"/>
    </row>
    <row r="1512" spans="1:8">
      <c r="A1512" s="140"/>
      <c r="B1512" s="188" t="str">
        <f>IF(DSUM('18_1'!$A$67:$P$81,16,G1500:G1501)=COUNTIF('18_1'!$A$67:$A$81,G1501),"","Regularice su Deuda")</f>
        <v>Regularice su Deuda</v>
      </c>
      <c r="C1512" s="82"/>
      <c r="D1512" s="82"/>
      <c r="E1512" s="82"/>
      <c r="F1512" s="82"/>
      <c r="G1512" s="82"/>
      <c r="H1512" s="83"/>
    </row>
    <row r="1514" spans="1:8">
      <c r="A1514" s="108"/>
      <c r="B1514" s="109"/>
      <c r="C1514" s="109"/>
      <c r="D1514" s="109"/>
      <c r="E1514" s="109"/>
      <c r="F1514" s="109"/>
      <c r="G1514" s="109"/>
      <c r="H1514" s="110"/>
    </row>
    <row r="1515" spans="1:8">
      <c r="A1515" s="80"/>
      <c r="B1515" s="147" t="s">
        <v>64</v>
      </c>
      <c r="C1515" s="81"/>
      <c r="D1515" s="81"/>
      <c r="E1515" s="81"/>
      <c r="F1515" s="81"/>
      <c r="G1515" s="81"/>
      <c r="H1515" s="111"/>
    </row>
    <row r="1516" spans="1:8">
      <c r="A1516" s="80"/>
      <c r="B1516" s="81"/>
      <c r="C1516" s="81"/>
      <c r="D1516" s="81"/>
      <c r="E1516" s="81"/>
      <c r="F1516" s="81"/>
      <c r="G1516" s="81"/>
      <c r="H1516" s="111"/>
    </row>
    <row r="1517" spans="1:8">
      <c r="A1517" s="80"/>
      <c r="B1517" s="81" t="s">
        <v>139</v>
      </c>
      <c r="C1517" s="81" t="str">
        <f>VLOOKUP(G1518,'18_1'!$A$67:$G$81,6,0)</f>
        <v>LOPEZ, SERAFIN</v>
      </c>
      <c r="D1517" s="81"/>
      <c r="E1517" s="81"/>
      <c r="F1517" s="81"/>
      <c r="G1517" s="138" t="s">
        <v>102</v>
      </c>
      <c r="H1517" s="111"/>
    </row>
    <row r="1518" spans="1:8">
      <c r="A1518" s="80"/>
      <c r="B1518" s="81" t="s">
        <v>72</v>
      </c>
      <c r="C1518" s="81" t="str">
        <f>+'18_1'!$G$2</f>
        <v>Hijuela Morón</v>
      </c>
      <c r="D1518" s="81"/>
      <c r="E1518" s="81"/>
      <c r="F1518" s="81"/>
      <c r="G1518" s="138">
        <v>10</v>
      </c>
      <c r="H1518" s="111"/>
    </row>
    <row r="1519" spans="1:8">
      <c r="A1519" s="80"/>
      <c r="B1519" s="81"/>
      <c r="C1519" s="81"/>
      <c r="D1519" s="81"/>
      <c r="E1519" s="81"/>
      <c r="F1519" s="81"/>
      <c r="G1519" s="81"/>
      <c r="H1519" s="111"/>
    </row>
    <row r="1520" spans="1:8">
      <c r="A1520" s="80"/>
      <c r="B1520" s="81" t="s">
        <v>140</v>
      </c>
      <c r="C1520" s="138">
        <f>VLOOKUP(G1518,'18_1'!$A$67:$B$81,2,0)</f>
        <v>1214</v>
      </c>
      <c r="D1520" s="81"/>
      <c r="E1520" s="139" t="s">
        <v>141</v>
      </c>
      <c r="F1520" s="141" t="e">
        <f>DSUM('18_1'!A$67:J$81,'18_1'!$J$67,G1517:G1518)</f>
        <v>#REF!</v>
      </c>
      <c r="G1520" s="81"/>
      <c r="H1520" s="111"/>
    </row>
    <row r="1521" spans="1:8">
      <c r="A1521" s="80"/>
      <c r="B1521" s="81" t="s">
        <v>142</v>
      </c>
      <c r="C1521" s="205">
        <v>187</v>
      </c>
      <c r="D1521" s="81"/>
      <c r="E1521" s="81"/>
      <c r="F1521" s="81"/>
      <c r="G1521" s="81"/>
      <c r="H1521" s="111"/>
    </row>
    <row r="1522" spans="1:8">
      <c r="A1522" s="80"/>
      <c r="B1522" s="81" t="s">
        <v>144</v>
      </c>
      <c r="C1522" s="206" t="e">
        <f>DSUM('18_1'!$A$67:$H$81,'18_1'!$H$67,G1517:G1518)</f>
        <v>#N/A</v>
      </c>
      <c r="D1522" s="81"/>
      <c r="E1522" s="81"/>
      <c r="F1522" s="584"/>
      <c r="G1522" s="584"/>
      <c r="H1522" s="111"/>
    </row>
    <row r="1523" spans="1:8" ht="15.75">
      <c r="A1523" s="80"/>
      <c r="B1523" s="81"/>
      <c r="C1523" s="81" t="s">
        <v>146</v>
      </c>
      <c r="D1523" s="145" t="e">
        <f>DMIN('18_1'!A$67:K$81,'18_1'!$J$67,G1517:G1518)</f>
        <v>#REF!</v>
      </c>
      <c r="E1523" s="189" t="e">
        <f>IF(F1523=1,"Domingo",IF(F1523=2,"Lunes",IF(F1523=3,"Martes",IF(F1523=4,"Miercoles",IF(F1523=5,"Jueves",IF(F1523=6,"Viernes",IF(F1523=7,"Sábado",0)))))))</f>
        <v>#REF!</v>
      </c>
      <c r="F1523" s="190" t="e">
        <f>WEEKDAY(D1523)</f>
        <v>#REF!</v>
      </c>
      <c r="G1523" s="142"/>
      <c r="H1523" s="111"/>
    </row>
    <row r="1524" spans="1:8" ht="15.75">
      <c r="A1524" s="80"/>
      <c r="B1524" s="81"/>
      <c r="C1524" s="81" t="s">
        <v>147</v>
      </c>
      <c r="D1524" s="145" t="e">
        <f>DMAX('18_1'!A$67:L$81,'18_1'!$K$67,G1517:G1518)</f>
        <v>#REF!</v>
      </c>
      <c r="E1524" s="189" t="e">
        <f>IF(F1524=1,"Domingo",IF(F1524=2,"Lunes",IF(F1524=3,"Martes",IF(F1524=4,"Miercoles",IF(F1524=5,"Jueves",IF(F1524=6,"Viernes",IF(F1524=7,"Sábado",0)))))))</f>
        <v>#REF!</v>
      </c>
      <c r="F1524" s="190" t="e">
        <f>WEEKDAY(D1524)</f>
        <v>#REF!</v>
      </c>
      <c r="G1524" s="142"/>
      <c r="H1524" s="111"/>
    </row>
    <row r="1525" spans="1:8">
      <c r="A1525" s="80"/>
      <c r="B1525" s="81"/>
      <c r="C1525" s="81"/>
      <c r="D1525" s="81"/>
      <c r="E1525" s="81"/>
      <c r="F1525" s="584"/>
      <c r="G1525" s="584"/>
      <c r="H1525" s="111"/>
    </row>
    <row r="1526" spans="1:8">
      <c r="A1526" s="80"/>
      <c r="B1526" s="146">
        <f>+Mensajes!$B$7</f>
        <v>0</v>
      </c>
      <c r="C1526" s="81"/>
      <c r="D1526" s="81"/>
      <c r="E1526" s="81"/>
      <c r="F1526" s="81"/>
      <c r="G1526" s="81"/>
      <c r="H1526" s="111"/>
    </row>
    <row r="1527" spans="1:8">
      <c r="A1527" s="80"/>
      <c r="B1527" s="146">
        <f>+Mensajes!$B$12</f>
        <v>0</v>
      </c>
      <c r="C1527" s="81"/>
      <c r="D1527" s="81"/>
      <c r="E1527" s="81"/>
      <c r="F1527" s="81"/>
      <c r="G1527" s="81"/>
      <c r="H1527" s="111"/>
    </row>
    <row r="1528" spans="1:8">
      <c r="A1528" s="80"/>
      <c r="B1528" s="146" t="str">
        <f>IF(VLOOKUP(G1518,'18_1'!$A$67:$M$81,13,0)=0,"",VLOOKUP(G1518,'18_1'!$A$67:$M$81,13,0))</f>
        <v/>
      </c>
      <c r="C1528" s="81"/>
      <c r="D1528" s="81"/>
      <c r="E1528" s="81"/>
      <c r="F1528" s="81"/>
      <c r="G1528" s="81"/>
      <c r="H1528" s="111"/>
    </row>
    <row r="1529" spans="1:8">
      <c r="A1529" s="140"/>
      <c r="B1529" s="188" t="e">
        <f>IF(DSUM('18_1'!$A$67:$P$81,16,G1517:G1518)=COUNTIF('18_1'!$A$67:$A$81,G1518),"","Regularice su Deuda")</f>
        <v>#N/A</v>
      </c>
      <c r="C1529" s="82"/>
      <c r="D1529" s="82"/>
      <c r="E1529" s="82"/>
      <c r="F1529" s="82"/>
      <c r="G1529" s="82"/>
      <c r="H1529" s="83"/>
    </row>
    <row r="1531" spans="1:8">
      <c r="A1531" s="108"/>
      <c r="B1531" s="109"/>
      <c r="C1531" s="109"/>
      <c r="D1531" s="109"/>
      <c r="E1531" s="109"/>
      <c r="F1531" s="109"/>
      <c r="G1531" s="109"/>
      <c r="H1531" s="110"/>
    </row>
    <row r="1532" spans="1:8">
      <c r="A1532" s="80"/>
      <c r="B1532" s="147" t="s">
        <v>64</v>
      </c>
      <c r="C1532" s="81"/>
      <c r="D1532" s="81"/>
      <c r="E1532" s="81"/>
      <c r="F1532" s="81"/>
      <c r="G1532" s="81"/>
      <c r="H1532" s="111"/>
    </row>
    <row r="1533" spans="1:8">
      <c r="A1533" s="80"/>
      <c r="B1533" s="81"/>
      <c r="C1533" s="81"/>
      <c r="D1533" s="81"/>
      <c r="E1533" s="81"/>
      <c r="F1533" s="81"/>
      <c r="G1533" s="81"/>
      <c r="H1533" s="111"/>
    </row>
    <row r="1534" spans="1:8">
      <c r="A1534" s="80"/>
      <c r="B1534" s="81" t="s">
        <v>139</v>
      </c>
      <c r="C1534" s="81" t="str">
        <f>VLOOKUP(G1535,'18_1'!$A$67:$G$81,6,0)</f>
        <v>TEJERO MOLINA, ELISEO</v>
      </c>
      <c r="D1534" s="81"/>
      <c r="E1534" s="81"/>
      <c r="F1534" s="81"/>
      <c r="G1534" s="138" t="s">
        <v>102</v>
      </c>
      <c r="H1534" s="111"/>
    </row>
    <row r="1535" spans="1:8">
      <c r="A1535" s="80"/>
      <c r="B1535" s="81" t="s">
        <v>72</v>
      </c>
      <c r="C1535" s="81" t="str">
        <f>+'18_1'!$G$2</f>
        <v>Hijuela Morón</v>
      </c>
      <c r="D1535" s="81"/>
      <c r="E1535" s="81"/>
      <c r="F1535" s="81"/>
      <c r="G1535" s="138">
        <v>11</v>
      </c>
      <c r="H1535" s="111"/>
    </row>
    <row r="1536" spans="1:8">
      <c r="A1536" s="80"/>
      <c r="B1536" s="81"/>
      <c r="C1536" s="81"/>
      <c r="D1536" s="81"/>
      <c r="E1536" s="81"/>
      <c r="F1536" s="81"/>
      <c r="G1536" s="81"/>
      <c r="H1536" s="111"/>
    </row>
    <row r="1537" spans="1:8">
      <c r="A1537" s="80"/>
      <c r="B1537" s="81" t="s">
        <v>140</v>
      </c>
      <c r="C1537" s="138">
        <f>VLOOKUP(G1535,'18_1'!$A$67:$B$81,2,0)</f>
        <v>1214</v>
      </c>
      <c r="D1537" s="81"/>
      <c r="E1537" s="139" t="s">
        <v>141</v>
      </c>
      <c r="F1537" s="141" t="e">
        <f>DSUM('18_1'!A$67:J$81,'18_1'!$J$67,G1534:G1535)</f>
        <v>#REF!</v>
      </c>
      <c r="G1537" s="81"/>
      <c r="H1537" s="111"/>
    </row>
    <row r="1538" spans="1:8">
      <c r="A1538" s="80"/>
      <c r="B1538" s="81" t="s">
        <v>142</v>
      </c>
      <c r="C1538" s="205">
        <v>32</v>
      </c>
      <c r="D1538" s="81"/>
      <c r="E1538" s="81"/>
      <c r="F1538" s="81"/>
      <c r="G1538" s="81"/>
      <c r="H1538" s="111"/>
    </row>
    <row r="1539" spans="1:8">
      <c r="A1539" s="80"/>
      <c r="B1539" s="81" t="s">
        <v>144</v>
      </c>
      <c r="C1539" s="206" t="e">
        <f>DSUM('18_1'!$A$67:$H$81,'18_1'!$H$67,G1534:G1535)</f>
        <v>#N/A</v>
      </c>
      <c r="D1539" s="81"/>
      <c r="E1539" s="81"/>
      <c r="F1539" s="584"/>
      <c r="G1539" s="584"/>
      <c r="H1539" s="111"/>
    </row>
    <row r="1540" spans="1:8" ht="15.75">
      <c r="A1540" s="80"/>
      <c r="B1540" s="81"/>
      <c r="C1540" s="81" t="s">
        <v>146</v>
      </c>
      <c r="D1540" s="145" t="e">
        <f>DMIN('18_1'!A$67:K$81,'18_1'!$J$67,G1534:G1535)</f>
        <v>#REF!</v>
      </c>
      <c r="E1540" s="189" t="e">
        <f>IF(F1540=1,"Domingo",IF(F1540=2,"Lunes",IF(F1540=3,"Martes",IF(F1540=4,"Miercoles",IF(F1540=5,"Jueves",IF(F1540=6,"Viernes",IF(F1540=7,"Sábado",0)))))))</f>
        <v>#REF!</v>
      </c>
      <c r="F1540" s="190" t="e">
        <f>WEEKDAY(D1540)</f>
        <v>#REF!</v>
      </c>
      <c r="G1540" s="142"/>
      <c r="H1540" s="111"/>
    </row>
    <row r="1541" spans="1:8" ht="15.75">
      <c r="A1541" s="80"/>
      <c r="B1541" s="81"/>
      <c r="C1541" s="81" t="s">
        <v>147</v>
      </c>
      <c r="D1541" s="145" t="e">
        <f>DMAX('18_1'!A$67:L$81,'18_1'!$K$67,G1534:G1535)</f>
        <v>#REF!</v>
      </c>
      <c r="E1541" s="189" t="e">
        <f>IF(F1541=1,"Domingo",IF(F1541=2,"Lunes",IF(F1541=3,"Martes",IF(F1541=4,"Miercoles",IF(F1541=5,"Jueves",IF(F1541=6,"Viernes",IF(F1541=7,"Sábado",0)))))))</f>
        <v>#REF!</v>
      </c>
      <c r="F1541" s="190" t="e">
        <f>WEEKDAY(D1541)</f>
        <v>#REF!</v>
      </c>
      <c r="G1541" s="142"/>
      <c r="H1541" s="111"/>
    </row>
    <row r="1542" spans="1:8">
      <c r="A1542" s="80"/>
      <c r="B1542" s="81"/>
      <c r="C1542" s="81"/>
      <c r="D1542" s="81"/>
      <c r="E1542" s="81"/>
      <c r="F1542" s="584"/>
      <c r="G1542" s="584"/>
      <c r="H1542" s="111"/>
    </row>
    <row r="1543" spans="1:8">
      <c r="A1543" s="80"/>
      <c r="B1543" s="146">
        <f>+Mensajes!$B$7</f>
        <v>0</v>
      </c>
      <c r="C1543" s="81"/>
      <c r="D1543" s="81"/>
      <c r="E1543" s="81"/>
      <c r="F1543" s="81"/>
      <c r="G1543" s="81"/>
      <c r="H1543" s="111"/>
    </row>
    <row r="1544" spans="1:8">
      <c r="A1544" s="80"/>
      <c r="B1544" s="146">
        <f>+Mensajes!$B$12</f>
        <v>0</v>
      </c>
      <c r="C1544" s="81"/>
      <c r="D1544" s="81"/>
      <c r="E1544" s="81"/>
      <c r="F1544" s="81"/>
      <c r="G1544" s="81"/>
      <c r="H1544" s="111"/>
    </row>
    <row r="1545" spans="1:8">
      <c r="A1545" s="80"/>
      <c r="B1545" s="146" t="str">
        <f>IF(VLOOKUP(G1535,'18_1'!$A$67:$M$81,13,0)=0,"",VLOOKUP(G1535,'18_1'!$A$67:$M$81,13,0))</f>
        <v/>
      </c>
      <c r="C1545" s="81"/>
      <c r="D1545" s="81"/>
      <c r="E1545" s="81"/>
      <c r="F1545" s="81"/>
      <c r="G1545" s="81"/>
      <c r="H1545" s="111"/>
    </row>
    <row r="1546" spans="1:8">
      <c r="A1546" s="140"/>
      <c r="B1546" s="188" t="e">
        <f>IF(DSUM('18_1'!$A$67:$P$81,16,G1534:G1535)=COUNTIF('18_1'!$A$67:$A$81,G1535),"","Regularice su Deuda")</f>
        <v>#N/A</v>
      </c>
      <c r="C1546" s="82"/>
      <c r="D1546" s="82"/>
      <c r="E1546" s="82"/>
      <c r="F1546" s="82"/>
      <c r="G1546" s="82"/>
      <c r="H1546" s="83"/>
    </row>
    <row r="1548" spans="1:8">
      <c r="A1548" s="108"/>
      <c r="B1548" s="109"/>
      <c r="C1548" s="109"/>
      <c r="D1548" s="109"/>
      <c r="E1548" s="109"/>
      <c r="F1548" s="109"/>
      <c r="G1548" s="109"/>
      <c r="H1548" s="110"/>
    </row>
    <row r="1549" spans="1:8">
      <c r="A1549" s="80"/>
      <c r="B1549" s="147" t="s">
        <v>64</v>
      </c>
      <c r="C1549" s="81"/>
      <c r="D1549" s="81"/>
      <c r="E1549" s="81"/>
      <c r="F1549" s="81"/>
      <c r="G1549" s="81"/>
      <c r="H1549" s="111"/>
    </row>
    <row r="1550" spans="1:8">
      <c r="A1550" s="80"/>
      <c r="B1550" s="81"/>
      <c r="C1550" s="81"/>
      <c r="D1550" s="81"/>
      <c r="E1550" s="81"/>
      <c r="F1550" s="81"/>
      <c r="G1550" s="81"/>
      <c r="H1550" s="111"/>
    </row>
    <row r="1551" spans="1:8">
      <c r="A1551" s="80"/>
      <c r="B1551" s="81" t="s">
        <v>139</v>
      </c>
      <c r="C1551" s="81" t="e">
        <f>VLOOKUP(G1552,'18_1'!$A$67:$G$81,6,0)</f>
        <v>#N/A</v>
      </c>
      <c r="D1551" s="81"/>
      <c r="E1551" s="81"/>
      <c r="F1551" s="81"/>
      <c r="G1551" s="138" t="s">
        <v>102</v>
      </c>
      <c r="H1551" s="111"/>
    </row>
    <row r="1552" spans="1:8">
      <c r="A1552" s="80"/>
      <c r="B1552" s="81" t="s">
        <v>72</v>
      </c>
      <c r="C1552" s="81" t="str">
        <f>+'18_1'!$G$2</f>
        <v>Hijuela Morón</v>
      </c>
      <c r="D1552" s="81"/>
      <c r="E1552" s="81"/>
      <c r="F1552" s="81"/>
      <c r="G1552" s="138">
        <v>12</v>
      </c>
      <c r="H1552" s="111"/>
    </row>
    <row r="1553" spans="1:8">
      <c r="A1553" s="80"/>
      <c r="B1553" s="81"/>
      <c r="C1553" s="81"/>
      <c r="D1553" s="81"/>
      <c r="E1553" s="81"/>
      <c r="F1553" s="81"/>
      <c r="G1553" s="81"/>
      <c r="H1553" s="111"/>
    </row>
    <row r="1554" spans="1:8">
      <c r="A1554" s="80"/>
      <c r="B1554" s="81" t="s">
        <v>140</v>
      </c>
      <c r="C1554" s="138" t="e">
        <f>VLOOKUP(G1552,'18_1'!$A$67:$B$81,2,0)</f>
        <v>#N/A</v>
      </c>
      <c r="D1554" s="81"/>
      <c r="E1554" s="139" t="s">
        <v>141</v>
      </c>
      <c r="F1554" s="141">
        <f>DSUM('18_1'!A$67:J$81,'18_1'!$J$67,G1551:G1552)</f>
        <v>0</v>
      </c>
      <c r="G1554" s="81"/>
      <c r="H1554" s="111"/>
    </row>
    <row r="1555" spans="1:8">
      <c r="A1555" s="80"/>
      <c r="B1555" s="81" t="s">
        <v>142</v>
      </c>
      <c r="C1555" s="205">
        <v>126</v>
      </c>
      <c r="D1555" s="81"/>
      <c r="E1555" s="81"/>
      <c r="F1555" s="81"/>
      <c r="G1555" s="81"/>
      <c r="H1555" s="111"/>
    </row>
    <row r="1556" spans="1:8">
      <c r="A1556" s="80"/>
      <c r="B1556" s="81" t="s">
        <v>144</v>
      </c>
      <c r="C1556" s="206">
        <f>DSUM('18_1'!$A$67:$H$81,'18_1'!$H$67,G1551:G1552)</f>
        <v>0</v>
      </c>
      <c r="D1556" s="81"/>
      <c r="E1556" s="81"/>
      <c r="F1556" s="584"/>
      <c r="G1556" s="584"/>
      <c r="H1556" s="111"/>
    </row>
    <row r="1557" spans="1:8" ht="15.75">
      <c r="A1557" s="80"/>
      <c r="B1557" s="81"/>
      <c r="C1557" s="81" t="s">
        <v>146</v>
      </c>
      <c r="D1557" s="145">
        <f>DMIN('18_1'!A$67:K$81,'18_1'!$J$67,G1551:G1552)</f>
        <v>0</v>
      </c>
      <c r="E1557" s="189" t="str">
        <f>IF(F1557=1,"Domingo",IF(F1557=2,"Lunes",IF(F1557=3,"Martes",IF(F1557=4,"Miercoles",IF(F1557=5,"Jueves",IF(F1557=6,"Viernes",IF(F1557=7,"Sábado",0)))))))</f>
        <v>Sábado</v>
      </c>
      <c r="F1557" s="190">
        <f>WEEKDAY(D1557)</f>
        <v>7</v>
      </c>
      <c r="G1557" s="142"/>
      <c r="H1557" s="111"/>
    </row>
    <row r="1558" spans="1:8" ht="15.75">
      <c r="A1558" s="80"/>
      <c r="B1558" s="81"/>
      <c r="C1558" s="81" t="s">
        <v>147</v>
      </c>
      <c r="D1558" s="145">
        <f>DMAX('18_1'!A$67:L$81,'18_1'!$K$67,G1551:G1552)</f>
        <v>0</v>
      </c>
      <c r="E1558" s="189" t="str">
        <f>IF(F1558=1,"Domingo",IF(F1558=2,"Lunes",IF(F1558=3,"Martes",IF(F1558=4,"Miercoles",IF(F1558=5,"Jueves",IF(F1558=6,"Viernes",IF(F1558=7,"Sábado",0)))))))</f>
        <v>Sábado</v>
      </c>
      <c r="F1558" s="190">
        <f>WEEKDAY(D1558)</f>
        <v>7</v>
      </c>
      <c r="G1558" s="142"/>
      <c r="H1558" s="111"/>
    </row>
    <row r="1559" spans="1:8">
      <c r="A1559" s="80"/>
      <c r="B1559" s="81"/>
      <c r="C1559" s="81"/>
      <c r="D1559" s="81"/>
      <c r="E1559" s="81"/>
      <c r="F1559" s="584"/>
      <c r="G1559" s="584"/>
      <c r="H1559" s="111"/>
    </row>
    <row r="1560" spans="1:8">
      <c r="A1560" s="80"/>
      <c r="B1560" s="146">
        <f>+Mensajes!$B$7</f>
        <v>0</v>
      </c>
      <c r="C1560" s="81"/>
      <c r="D1560" s="81"/>
      <c r="E1560" s="81"/>
      <c r="F1560" s="81"/>
      <c r="G1560" s="81"/>
      <c r="H1560" s="111"/>
    </row>
    <row r="1561" spans="1:8">
      <c r="A1561" s="80"/>
      <c r="B1561" s="146">
        <f>+Mensajes!$B$12</f>
        <v>0</v>
      </c>
      <c r="C1561" s="81"/>
      <c r="D1561" s="81"/>
      <c r="E1561" s="81"/>
      <c r="F1561" s="81"/>
      <c r="G1561" s="81"/>
      <c r="H1561" s="111"/>
    </row>
    <row r="1562" spans="1:8">
      <c r="A1562" s="80"/>
      <c r="B1562" s="146" t="e">
        <f>IF(VLOOKUP(G1552,'18_1'!$A$67:$M$81,13,0)=0,"",VLOOKUP(G1552,'18_1'!$A$67:$M$81,13,0))</f>
        <v>#N/A</v>
      </c>
      <c r="C1562" s="81"/>
      <c r="D1562" s="81"/>
      <c r="E1562" s="81"/>
      <c r="F1562" s="81"/>
      <c r="G1562" s="81"/>
      <c r="H1562" s="111"/>
    </row>
    <row r="1563" spans="1:8">
      <c r="A1563" s="140"/>
      <c r="B1563" s="188" t="str">
        <f>IF(DSUM('18_1'!$A$67:$P$81,16,G1551:G1552)=COUNTIF('18_1'!$A$67:$A$81,G1552),"","Regularice su Deuda")</f>
        <v/>
      </c>
      <c r="C1563" s="82"/>
      <c r="D1563" s="82"/>
      <c r="E1563" s="82"/>
      <c r="F1563" s="82"/>
      <c r="G1563" s="82"/>
      <c r="H1563" s="83"/>
    </row>
    <row r="1565" spans="1:8">
      <c r="A1565" s="108"/>
      <c r="B1565" s="109"/>
      <c r="C1565" s="109"/>
      <c r="D1565" s="109"/>
      <c r="E1565" s="109"/>
      <c r="F1565" s="109"/>
      <c r="G1565" s="109"/>
      <c r="H1565" s="110"/>
    </row>
    <row r="1566" spans="1:8">
      <c r="A1566" s="80"/>
      <c r="B1566" s="147" t="s">
        <v>64</v>
      </c>
      <c r="C1566" s="81"/>
      <c r="D1566" s="81"/>
      <c r="E1566" s="81"/>
      <c r="F1566" s="81"/>
      <c r="G1566" s="81"/>
      <c r="H1566" s="111"/>
    </row>
    <row r="1567" spans="1:8">
      <c r="A1567" s="80"/>
      <c r="B1567" s="81"/>
      <c r="C1567" s="81"/>
      <c r="D1567" s="81"/>
      <c r="E1567" s="81"/>
      <c r="F1567" s="81"/>
      <c r="G1567" s="81"/>
      <c r="H1567" s="111"/>
    </row>
    <row r="1568" spans="1:8">
      <c r="A1568" s="80"/>
      <c r="B1568" s="81" t="s">
        <v>139</v>
      </c>
      <c r="C1568" s="81" t="str">
        <f>VLOOKUP(G1569,'18_1'!$A$98:$G$116,6,0)</f>
        <v>LOPEZ, FRANCISCO MARCOS Y MARTINEZ, VICTORIA ESTELA</v>
      </c>
      <c r="D1568" s="81"/>
      <c r="E1568" s="81"/>
      <c r="F1568" s="81"/>
      <c r="G1568" s="138" t="s">
        <v>102</v>
      </c>
      <c r="H1568" s="111"/>
    </row>
    <row r="1569" spans="1:8">
      <c r="A1569" s="80"/>
      <c r="B1569" s="81" t="s">
        <v>72</v>
      </c>
      <c r="C1569" s="81" t="str">
        <f>+'18_1'!$G$2</f>
        <v>Hijuela Morón</v>
      </c>
      <c r="D1569" s="81"/>
      <c r="E1569" s="81"/>
      <c r="F1569" s="81"/>
      <c r="G1569" s="138">
        <v>1</v>
      </c>
      <c r="H1569" s="111"/>
    </row>
    <row r="1570" spans="1:8">
      <c r="A1570" s="80"/>
      <c r="B1570" s="81"/>
      <c r="C1570" s="81"/>
      <c r="D1570" s="81"/>
      <c r="E1570" s="81"/>
      <c r="F1570" s="81"/>
      <c r="G1570" s="81"/>
      <c r="H1570" s="111"/>
    </row>
    <row r="1571" spans="1:8">
      <c r="A1571" s="80"/>
      <c r="B1571" s="81" t="s">
        <v>140</v>
      </c>
      <c r="C1571" s="138">
        <f>VLOOKUP(G1569,'18_1'!$A$98:$B$116,2,0)</f>
        <v>1214</v>
      </c>
      <c r="D1571" s="81"/>
      <c r="E1571" s="139" t="s">
        <v>141</v>
      </c>
      <c r="F1571" s="141" t="e">
        <f>DSUM('18_1'!A$98:J$116,'18_1'!$J$98,G1568:G1569)</f>
        <v>#REF!</v>
      </c>
      <c r="G1571" s="81"/>
      <c r="H1571" s="111"/>
    </row>
    <row r="1572" spans="1:8">
      <c r="A1572" s="80"/>
      <c r="B1572" s="81" t="s">
        <v>142</v>
      </c>
      <c r="C1572" s="205" t="s">
        <v>685</v>
      </c>
      <c r="D1572" s="81"/>
      <c r="E1572" s="81"/>
      <c r="F1572" s="81"/>
      <c r="G1572" s="81"/>
      <c r="H1572" s="111"/>
    </row>
    <row r="1573" spans="1:8">
      <c r="A1573" s="80"/>
      <c r="B1573" s="81" t="s">
        <v>144</v>
      </c>
      <c r="C1573" s="206" t="e">
        <f>DSUM('18_1'!$A$98:$H$116,'18_1'!$H$98,G1568:G1569)</f>
        <v>#N/A</v>
      </c>
      <c r="D1573" s="81"/>
      <c r="E1573" s="81"/>
      <c r="F1573" s="584"/>
      <c r="G1573" s="584"/>
      <c r="H1573" s="111"/>
    </row>
    <row r="1574" spans="1:8" ht="15.75">
      <c r="A1574" s="80"/>
      <c r="B1574" s="81"/>
      <c r="C1574" s="81" t="s">
        <v>146</v>
      </c>
      <c r="D1574" s="145" t="e">
        <f>DMIN('18_1'!A$98:K$116,'18_1'!$J$98,G1568:G1569)</f>
        <v>#REF!</v>
      </c>
      <c r="E1574" s="189" t="e">
        <f>IF(F1574=1,"Domingo",IF(F1574=2,"Lunes",IF(F1574=3,"Martes",IF(F1574=4,"Miercoles",IF(F1574=5,"Jueves",IF(F1574=6,"Viernes",IF(F1574=7,"Sábado",0)))))))</f>
        <v>#REF!</v>
      </c>
      <c r="F1574" s="190" t="e">
        <f>WEEKDAY(D1574)</f>
        <v>#REF!</v>
      </c>
      <c r="G1574" s="142"/>
      <c r="H1574" s="111"/>
    </row>
    <row r="1575" spans="1:8" ht="15.75">
      <c r="A1575" s="80"/>
      <c r="B1575" s="81"/>
      <c r="C1575" s="81" t="s">
        <v>147</v>
      </c>
      <c r="D1575" s="145" t="e">
        <f>DMAX('18_1'!A$98:L$116,'18_1'!$K$98,G1568:G1569)</f>
        <v>#REF!</v>
      </c>
      <c r="E1575" s="189" t="e">
        <f>IF(F1575=1,"Domingo",IF(F1575=2,"Lunes",IF(F1575=3,"Martes",IF(F1575=4,"Miercoles",IF(F1575=5,"Jueves",IF(F1575=6,"Viernes",IF(F1575=7,"Sábado",0)))))))</f>
        <v>#REF!</v>
      </c>
      <c r="F1575" s="190" t="e">
        <f>WEEKDAY(D1575)</f>
        <v>#REF!</v>
      </c>
      <c r="G1575" s="142"/>
      <c r="H1575" s="111"/>
    </row>
    <row r="1576" spans="1:8">
      <c r="A1576" s="80"/>
      <c r="B1576" s="81"/>
      <c r="C1576" s="81"/>
      <c r="D1576" s="81"/>
      <c r="E1576" s="81"/>
      <c r="F1576" s="584"/>
      <c r="G1576" s="584"/>
      <c r="H1576" s="111"/>
    </row>
    <row r="1577" spans="1:8">
      <c r="A1577" s="80"/>
      <c r="B1577" s="146">
        <f>+Mensajes!$B$7</f>
        <v>0</v>
      </c>
      <c r="C1577" s="81"/>
      <c r="D1577" s="81"/>
      <c r="E1577" s="81"/>
      <c r="F1577" s="81"/>
      <c r="G1577" s="81"/>
      <c r="H1577" s="111"/>
    </row>
    <row r="1578" spans="1:8">
      <c r="A1578" s="80"/>
      <c r="B1578" s="146">
        <f>+Mensajes!$B$12</f>
        <v>0</v>
      </c>
      <c r="C1578" s="81"/>
      <c r="D1578" s="81"/>
      <c r="E1578" s="81"/>
      <c r="F1578" s="81"/>
      <c r="G1578" s="81"/>
      <c r="H1578" s="111"/>
    </row>
    <row r="1579" spans="1:8">
      <c r="A1579" s="80"/>
      <c r="B1579" s="146" t="str">
        <f>IF(VLOOKUP(G1569,'18_1'!$A$98:$M$116,13,0)=0,"",VLOOKUP(G1569,'18_1'!$A$98:$M$116,13,0))</f>
        <v/>
      </c>
      <c r="C1579" s="81"/>
      <c r="D1579" s="81"/>
      <c r="E1579" s="81"/>
      <c r="F1579" s="81"/>
      <c r="G1579" s="81"/>
      <c r="H1579" s="111"/>
    </row>
    <row r="1580" spans="1:8">
      <c r="A1580" s="140"/>
      <c r="B1580" s="188" t="e">
        <f>IF(DSUM('18_1'!$A$98:$P$116,16,G1568:G1569)=COUNTIF('18_1'!$A$98:$A$116,G1569),"","Regularice su Deuda")</f>
        <v>#N/A</v>
      </c>
      <c r="C1580" s="82"/>
      <c r="D1580" s="82"/>
      <c r="E1580" s="82"/>
      <c r="F1580" s="82"/>
      <c r="G1580" s="82"/>
      <c r="H1580" s="83"/>
    </row>
    <row r="1582" spans="1:8">
      <c r="A1582" s="108"/>
      <c r="B1582" s="109"/>
      <c r="C1582" s="109"/>
      <c r="D1582" s="109"/>
      <c r="E1582" s="109"/>
      <c r="F1582" s="109"/>
      <c r="G1582" s="109"/>
      <c r="H1582" s="110"/>
    </row>
    <row r="1583" spans="1:8">
      <c r="A1583" s="80"/>
      <c r="B1583" s="147" t="s">
        <v>64</v>
      </c>
      <c r="C1583" s="81"/>
      <c r="D1583" s="81"/>
      <c r="E1583" s="81"/>
      <c r="F1583" s="81"/>
      <c r="G1583" s="81"/>
      <c r="H1583" s="111"/>
    </row>
    <row r="1584" spans="1:8">
      <c r="A1584" s="80"/>
      <c r="B1584" s="81"/>
      <c r="C1584" s="81"/>
      <c r="D1584" s="81"/>
      <c r="E1584" s="81"/>
      <c r="F1584" s="81"/>
      <c r="G1584" s="81"/>
      <c r="H1584" s="111"/>
    </row>
    <row r="1585" spans="1:8">
      <c r="A1585" s="80"/>
      <c r="B1585" s="81" t="s">
        <v>139</v>
      </c>
      <c r="C1585" s="81" t="str">
        <f>VLOOKUP(G1586,'18_1'!$A$98:$G$116,6,0)</f>
        <v>PELEGRINA, ANTONIO Y PELEGRINA, JUAN</v>
      </c>
      <c r="D1585" s="81"/>
      <c r="E1585" s="81"/>
      <c r="F1585" s="81"/>
      <c r="G1585" s="138" t="s">
        <v>102</v>
      </c>
      <c r="H1585" s="111"/>
    </row>
    <row r="1586" spans="1:8">
      <c r="A1586" s="80"/>
      <c r="B1586" s="81" t="s">
        <v>72</v>
      </c>
      <c r="C1586" s="81" t="str">
        <f>+'18_1'!$G$2</f>
        <v>Hijuela Morón</v>
      </c>
      <c r="D1586" s="81"/>
      <c r="E1586" s="81"/>
      <c r="F1586" s="81"/>
      <c r="G1586" s="138">
        <v>2</v>
      </c>
      <c r="H1586" s="111"/>
    </row>
    <row r="1587" spans="1:8">
      <c r="A1587" s="80"/>
      <c r="B1587" s="81"/>
      <c r="C1587" s="81"/>
      <c r="D1587" s="81"/>
      <c r="E1587" s="81"/>
      <c r="F1587" s="81"/>
      <c r="G1587" s="81"/>
      <c r="H1587" s="111"/>
    </row>
    <row r="1588" spans="1:8">
      <c r="A1588" s="80"/>
      <c r="B1588" s="81" t="s">
        <v>140</v>
      </c>
      <c r="C1588" s="138">
        <f>VLOOKUP(G1586,'18_1'!$A$98:$B$116,2,0)</f>
        <v>1214</v>
      </c>
      <c r="D1588" s="81"/>
      <c r="E1588" s="139" t="s">
        <v>141</v>
      </c>
      <c r="F1588" s="141" t="e">
        <f>DSUM('18_1'!A$98:J$116,'18_1'!$J$98,G1585:G1586)</f>
        <v>#REF!</v>
      </c>
      <c r="G1588" s="81"/>
      <c r="H1588" s="111"/>
    </row>
    <row r="1589" spans="1:8">
      <c r="A1589" s="80"/>
      <c r="B1589" s="81" t="s">
        <v>142</v>
      </c>
      <c r="C1589" s="205" t="s">
        <v>686</v>
      </c>
      <c r="D1589" s="81"/>
      <c r="E1589" s="81"/>
      <c r="F1589" s="81"/>
      <c r="G1589" s="81"/>
      <c r="H1589" s="111"/>
    </row>
    <row r="1590" spans="1:8">
      <c r="A1590" s="80"/>
      <c r="B1590" s="81" t="s">
        <v>144</v>
      </c>
      <c r="C1590" s="206" t="e">
        <f>DSUM('18_1'!$A$98:$H$116,'18_1'!$H$98,G1585:G1586)</f>
        <v>#N/A</v>
      </c>
      <c r="D1590" s="81"/>
      <c r="E1590" s="81"/>
      <c r="F1590" s="584"/>
      <c r="G1590" s="584"/>
      <c r="H1590" s="111"/>
    </row>
    <row r="1591" spans="1:8" ht="15.75">
      <c r="A1591" s="80"/>
      <c r="B1591" s="81"/>
      <c r="C1591" s="81" t="s">
        <v>146</v>
      </c>
      <c r="D1591" s="145" t="e">
        <f>DMIN('18_1'!A$98:K$116,'18_1'!$J$98,G1585:G1586)</f>
        <v>#REF!</v>
      </c>
      <c r="E1591" s="189" t="e">
        <f>IF(F1591=1,"Domingo",IF(F1591=2,"Lunes",IF(F1591=3,"Martes",IF(F1591=4,"Miercoles",IF(F1591=5,"Jueves",IF(F1591=6,"Viernes",IF(F1591=7,"Sábado",0)))))))</f>
        <v>#REF!</v>
      </c>
      <c r="F1591" s="190" t="e">
        <f>WEEKDAY(D1591)</f>
        <v>#REF!</v>
      </c>
      <c r="G1591" s="142"/>
      <c r="H1591" s="111"/>
    </row>
    <row r="1592" spans="1:8" ht="15.75">
      <c r="A1592" s="80"/>
      <c r="B1592" s="81"/>
      <c r="C1592" s="81" t="s">
        <v>147</v>
      </c>
      <c r="D1592" s="145" t="e">
        <f>DMAX('18_1'!A$98:L$116,'18_1'!$K$98,G1585:G1586)</f>
        <v>#REF!</v>
      </c>
      <c r="E1592" s="189" t="e">
        <f>IF(F1592=1,"Domingo",IF(F1592=2,"Lunes",IF(F1592=3,"Martes",IF(F1592=4,"Miercoles",IF(F1592=5,"Jueves",IF(F1592=6,"Viernes",IF(F1592=7,"Sábado",0)))))))</f>
        <v>#REF!</v>
      </c>
      <c r="F1592" s="190" t="e">
        <f>WEEKDAY(D1592)</f>
        <v>#REF!</v>
      </c>
      <c r="G1592" s="142"/>
      <c r="H1592" s="111"/>
    </row>
    <row r="1593" spans="1:8">
      <c r="A1593" s="80"/>
      <c r="B1593" s="81"/>
      <c r="C1593" s="81"/>
      <c r="D1593" s="81"/>
      <c r="E1593" s="81"/>
      <c r="F1593" s="584"/>
      <c r="G1593" s="584"/>
      <c r="H1593" s="111"/>
    </row>
    <row r="1594" spans="1:8">
      <c r="A1594" s="80"/>
      <c r="B1594" s="146">
        <f>+Mensajes!$B$7</f>
        <v>0</v>
      </c>
      <c r="C1594" s="81"/>
      <c r="D1594" s="81"/>
      <c r="E1594" s="81"/>
      <c r="F1594" s="81"/>
      <c r="G1594" s="81"/>
      <c r="H1594" s="111"/>
    </row>
    <row r="1595" spans="1:8">
      <c r="A1595" s="80"/>
      <c r="B1595" s="146">
        <f>+Mensajes!$B$12</f>
        <v>0</v>
      </c>
      <c r="C1595" s="81"/>
      <c r="D1595" s="81"/>
      <c r="E1595" s="81"/>
      <c r="F1595" s="81"/>
      <c r="G1595" s="81"/>
      <c r="H1595" s="111"/>
    </row>
    <row r="1596" spans="1:8">
      <c r="A1596" s="80"/>
      <c r="B1596" s="146" t="str">
        <f>IF(VLOOKUP(G1586,'18_1'!$A$98:$M$116,13,0)=0,"",VLOOKUP(G1586,'18_1'!$A$98:$M$116,13,0))</f>
        <v/>
      </c>
      <c r="C1596" s="81"/>
      <c r="D1596" s="81"/>
      <c r="E1596" s="81"/>
      <c r="F1596" s="81"/>
      <c r="G1596" s="81"/>
      <c r="H1596" s="111"/>
    </row>
    <row r="1597" spans="1:8">
      <c r="A1597" s="140"/>
      <c r="B1597" s="188" t="str">
        <f>IF(DSUM('18_1'!$A$98:$P$116,16,G1585:G1586)=COUNTIF('18_1'!$A$98:$A$116,G1586),"","Regularice su Deuda")</f>
        <v>Regularice su Deuda</v>
      </c>
      <c r="C1597" s="82"/>
      <c r="D1597" s="82"/>
      <c r="E1597" s="82"/>
      <c r="F1597" s="82"/>
      <c r="G1597" s="82"/>
      <c r="H1597" s="83"/>
    </row>
    <row r="1599" spans="1:8">
      <c r="A1599" s="108"/>
      <c r="B1599" s="109"/>
      <c r="C1599" s="109"/>
      <c r="D1599" s="109"/>
      <c r="E1599" s="109"/>
      <c r="F1599" s="109"/>
      <c r="G1599" s="109"/>
      <c r="H1599" s="110"/>
    </row>
    <row r="1600" spans="1:8">
      <c r="A1600" s="80"/>
      <c r="B1600" s="147" t="s">
        <v>64</v>
      </c>
      <c r="C1600" s="81"/>
      <c r="D1600" s="81"/>
      <c r="E1600" s="81"/>
      <c r="F1600" s="81"/>
      <c r="G1600" s="81"/>
      <c r="H1600" s="111"/>
    </row>
    <row r="1601" spans="1:8">
      <c r="A1601" s="80"/>
      <c r="B1601" s="81"/>
      <c r="C1601" s="81"/>
      <c r="D1601" s="81"/>
      <c r="E1601" s="81"/>
      <c r="F1601" s="81"/>
      <c r="G1601" s="81"/>
      <c r="H1601" s="111"/>
    </row>
    <row r="1602" spans="1:8">
      <c r="A1602" s="80"/>
      <c r="B1602" s="81" t="s">
        <v>139</v>
      </c>
      <c r="C1602" s="81" t="str">
        <f>VLOOKUP(G1603,'18_1'!$A$98:$G$116,6,0)</f>
        <v>PELEGRINA, OSCAR</v>
      </c>
      <c r="D1602" s="81"/>
      <c r="E1602" s="81"/>
      <c r="F1602" s="81"/>
      <c r="G1602" s="138" t="s">
        <v>102</v>
      </c>
      <c r="H1602" s="111"/>
    </row>
    <row r="1603" spans="1:8">
      <c r="A1603" s="80"/>
      <c r="B1603" s="81" t="s">
        <v>72</v>
      </c>
      <c r="C1603" s="81" t="str">
        <f>+'18_1'!$G$2</f>
        <v>Hijuela Morón</v>
      </c>
      <c r="D1603" s="81"/>
      <c r="E1603" s="81"/>
      <c r="F1603" s="81"/>
      <c r="G1603" s="138">
        <v>3</v>
      </c>
      <c r="H1603" s="111"/>
    </row>
    <row r="1604" spans="1:8">
      <c r="A1604" s="80"/>
      <c r="B1604" s="81"/>
      <c r="C1604" s="81"/>
      <c r="D1604" s="81"/>
      <c r="E1604" s="81"/>
      <c r="F1604" s="81"/>
      <c r="G1604" s="81"/>
      <c r="H1604" s="111"/>
    </row>
    <row r="1605" spans="1:8">
      <c r="A1605" s="80"/>
      <c r="B1605" s="81" t="s">
        <v>140</v>
      </c>
      <c r="C1605" s="138">
        <f>VLOOKUP(G1603,'18_1'!$A$98:$B$116,2,0)</f>
        <v>1214</v>
      </c>
      <c r="D1605" s="81"/>
      <c r="E1605" s="139" t="s">
        <v>141</v>
      </c>
      <c r="F1605" s="141" t="e">
        <f>DSUM('18_1'!A$98:J$116,'18_1'!$J$98,G1602:G1603)</f>
        <v>#REF!</v>
      </c>
      <c r="G1605" s="81"/>
      <c r="H1605" s="111"/>
    </row>
    <row r="1606" spans="1:8">
      <c r="A1606" s="80"/>
      <c r="B1606" s="81" t="s">
        <v>142</v>
      </c>
      <c r="C1606" s="205">
        <v>206</v>
      </c>
      <c r="D1606" s="81"/>
      <c r="E1606" s="81"/>
      <c r="F1606" s="81"/>
      <c r="G1606" s="81"/>
      <c r="H1606" s="111"/>
    </row>
    <row r="1607" spans="1:8">
      <c r="A1607" s="80"/>
      <c r="B1607" s="81" t="s">
        <v>144</v>
      </c>
      <c r="C1607" s="206" t="e">
        <f>DSUM('18_1'!$A$98:$H$116,'18_1'!$H$98,G1602:G1603)</f>
        <v>#N/A</v>
      </c>
      <c r="D1607" s="81"/>
      <c r="E1607" s="81"/>
      <c r="F1607" s="584"/>
      <c r="G1607" s="584"/>
      <c r="H1607" s="111"/>
    </row>
    <row r="1608" spans="1:8" ht="15.75">
      <c r="A1608" s="80"/>
      <c r="B1608" s="81"/>
      <c r="C1608" s="81" t="s">
        <v>146</v>
      </c>
      <c r="D1608" s="145" t="e">
        <f>DMIN('18_1'!A$98:K$116,'18_1'!$J$98,G1602:G1603)</f>
        <v>#REF!</v>
      </c>
      <c r="E1608" s="189" t="e">
        <f>IF(F1608=1,"Domingo",IF(F1608=2,"Lunes",IF(F1608=3,"Martes",IF(F1608=4,"Miercoles",IF(F1608=5,"Jueves",IF(F1608=6,"Viernes",IF(F1608=7,"Sábado",0)))))))</f>
        <v>#REF!</v>
      </c>
      <c r="F1608" s="190" t="e">
        <f>WEEKDAY(D1608)</f>
        <v>#REF!</v>
      </c>
      <c r="G1608" s="142"/>
      <c r="H1608" s="111"/>
    </row>
    <row r="1609" spans="1:8" ht="15.75">
      <c r="A1609" s="80"/>
      <c r="B1609" s="81"/>
      <c r="C1609" s="81" t="s">
        <v>147</v>
      </c>
      <c r="D1609" s="145" t="e">
        <f>DMAX('18_1'!A$98:L$116,'18_1'!$K$98,G1602:G1603)</f>
        <v>#REF!</v>
      </c>
      <c r="E1609" s="189" t="e">
        <f>IF(F1609=1,"Domingo",IF(F1609=2,"Lunes",IF(F1609=3,"Martes",IF(F1609=4,"Miercoles",IF(F1609=5,"Jueves",IF(F1609=6,"Viernes",IF(F1609=7,"Sábado",0)))))))</f>
        <v>#REF!</v>
      </c>
      <c r="F1609" s="190" t="e">
        <f>WEEKDAY(D1609)</f>
        <v>#REF!</v>
      </c>
      <c r="G1609" s="142"/>
      <c r="H1609" s="111"/>
    </row>
    <row r="1610" spans="1:8">
      <c r="A1610" s="80"/>
      <c r="B1610" s="81"/>
      <c r="C1610" s="81"/>
      <c r="D1610" s="81"/>
      <c r="E1610" s="81"/>
      <c r="F1610" s="584"/>
      <c r="G1610" s="584"/>
      <c r="H1610" s="111"/>
    </row>
    <row r="1611" spans="1:8">
      <c r="A1611" s="80"/>
      <c r="B1611" s="146">
        <f>+Mensajes!$B$7</f>
        <v>0</v>
      </c>
      <c r="C1611" s="81"/>
      <c r="D1611" s="81"/>
      <c r="E1611" s="81"/>
      <c r="F1611" s="81"/>
      <c r="G1611" s="81"/>
      <c r="H1611" s="111"/>
    </row>
    <row r="1612" spans="1:8">
      <c r="A1612" s="80"/>
      <c r="B1612" s="146">
        <f>+Mensajes!$B$12</f>
        <v>0</v>
      </c>
      <c r="C1612" s="81"/>
      <c r="D1612" s="81"/>
      <c r="E1612" s="81"/>
      <c r="F1612" s="81"/>
      <c r="G1612" s="81"/>
      <c r="H1612" s="111"/>
    </row>
    <row r="1613" spans="1:8">
      <c r="A1613" s="80"/>
      <c r="B1613" s="146" t="str">
        <f>IF(VLOOKUP(G1603,'18_1'!$A$98:$M$116,13,0)=0,"",VLOOKUP(G1603,'18_1'!$A$98:$M$116,13,0))</f>
        <v/>
      </c>
      <c r="C1613" s="81"/>
      <c r="D1613" s="81"/>
      <c r="E1613" s="81"/>
      <c r="F1613" s="81"/>
      <c r="G1613" s="81"/>
      <c r="H1613" s="111"/>
    </row>
    <row r="1614" spans="1:8">
      <c r="A1614" s="140"/>
      <c r="B1614" s="188" t="str">
        <f>IF(DSUM('18_1'!$A$98:$P$116,16,G1602:G1603)=COUNTIF('18_1'!$A$98:$A$116,G1603),"","Regularice su Deuda")</f>
        <v/>
      </c>
      <c r="C1614" s="82"/>
      <c r="D1614" s="82"/>
      <c r="E1614" s="82"/>
      <c r="F1614" s="82"/>
      <c r="G1614" s="82"/>
      <c r="H1614" s="83"/>
    </row>
    <row r="1616" spans="1:8">
      <c r="A1616" s="108"/>
      <c r="B1616" s="109"/>
      <c r="C1616" s="109"/>
      <c r="D1616" s="109"/>
      <c r="E1616" s="109"/>
      <c r="F1616" s="109"/>
      <c r="G1616" s="109"/>
      <c r="H1616" s="110"/>
    </row>
    <row r="1617" spans="1:8">
      <c r="A1617" s="80"/>
      <c r="B1617" s="147" t="s">
        <v>64</v>
      </c>
      <c r="C1617" s="81"/>
      <c r="D1617" s="81"/>
      <c r="E1617" s="81"/>
      <c r="F1617" s="81"/>
      <c r="G1617" s="81"/>
      <c r="H1617" s="111"/>
    </row>
    <row r="1618" spans="1:8">
      <c r="A1618" s="80"/>
      <c r="B1618" s="81"/>
      <c r="C1618" s="81"/>
      <c r="D1618" s="81"/>
      <c r="E1618" s="81"/>
      <c r="F1618" s="81"/>
      <c r="G1618" s="81"/>
      <c r="H1618" s="111"/>
    </row>
    <row r="1619" spans="1:8">
      <c r="A1619" s="80"/>
      <c r="B1619" s="81" t="s">
        <v>139</v>
      </c>
      <c r="C1619" s="81" t="str">
        <f>VLOOKUP(G1620,'18_1'!$A$98:$G$116,6,0)</f>
        <v>FAMA, JOSE</v>
      </c>
      <c r="D1619" s="81"/>
      <c r="E1619" s="81"/>
      <c r="F1619" s="81"/>
      <c r="G1619" s="138" t="s">
        <v>102</v>
      </c>
      <c r="H1619" s="111"/>
    </row>
    <row r="1620" spans="1:8">
      <c r="A1620" s="80"/>
      <c r="B1620" s="81" t="s">
        <v>72</v>
      </c>
      <c r="C1620" s="81" t="str">
        <f>+'18_1'!$G$2</f>
        <v>Hijuela Morón</v>
      </c>
      <c r="D1620" s="81"/>
      <c r="E1620" s="81"/>
      <c r="F1620" s="81"/>
      <c r="G1620" s="138">
        <v>4</v>
      </c>
      <c r="H1620" s="111"/>
    </row>
    <row r="1621" spans="1:8">
      <c r="A1621" s="80"/>
      <c r="B1621" s="81"/>
      <c r="C1621" s="81"/>
      <c r="D1621" s="81"/>
      <c r="E1621" s="81"/>
      <c r="F1621" s="81"/>
      <c r="G1621" s="81"/>
      <c r="H1621" s="111"/>
    </row>
    <row r="1622" spans="1:8">
      <c r="A1622" s="80"/>
      <c r="B1622" s="81" t="s">
        <v>140</v>
      </c>
      <c r="C1622" s="138">
        <f>VLOOKUP(G1620,'18_1'!$A$98:$B$116,2,0)</f>
        <v>1214</v>
      </c>
      <c r="D1622" s="81"/>
      <c r="E1622" s="139" t="s">
        <v>141</v>
      </c>
      <c r="F1622" s="141" t="e">
        <f>DSUM('18_1'!A$98:J$116,'18_1'!$J$98,G1619:G1620)</f>
        <v>#REF!</v>
      </c>
      <c r="G1622" s="81"/>
      <c r="H1622" s="111"/>
    </row>
    <row r="1623" spans="1:8">
      <c r="A1623" s="80"/>
      <c r="B1623" s="81" t="s">
        <v>142</v>
      </c>
      <c r="C1623" s="205">
        <v>205</v>
      </c>
      <c r="D1623" s="81"/>
      <c r="E1623" s="81"/>
      <c r="F1623" s="81"/>
      <c r="G1623" s="81"/>
      <c r="H1623" s="111"/>
    </row>
    <row r="1624" spans="1:8">
      <c r="A1624" s="80"/>
      <c r="B1624" s="81" t="s">
        <v>144</v>
      </c>
      <c r="C1624" s="206" t="e">
        <f>DSUM('18_1'!$A$98:$H$116,'18_1'!$H$98,G1619:G1620)</f>
        <v>#N/A</v>
      </c>
      <c r="D1624" s="81"/>
      <c r="E1624" s="81"/>
      <c r="F1624" s="584"/>
      <c r="G1624" s="584"/>
      <c r="H1624" s="111"/>
    </row>
    <row r="1625" spans="1:8" ht="15.75">
      <c r="A1625" s="80"/>
      <c r="B1625" s="81"/>
      <c r="C1625" s="81" t="s">
        <v>146</v>
      </c>
      <c r="D1625" s="145" t="e">
        <f>DMIN('18_1'!A$98:K$116,'18_1'!$J$98,G1619:G1620)</f>
        <v>#REF!</v>
      </c>
      <c r="E1625" s="189" t="e">
        <f>IF(F1625=1,"Domingo",IF(F1625=2,"Lunes",IF(F1625=3,"Martes",IF(F1625=4,"Miercoles",IF(F1625=5,"Jueves",IF(F1625=6,"Viernes",IF(F1625=7,"Sábado",0)))))))</f>
        <v>#REF!</v>
      </c>
      <c r="F1625" s="190" t="e">
        <f>WEEKDAY(D1625)</f>
        <v>#REF!</v>
      </c>
      <c r="G1625" s="142"/>
      <c r="H1625" s="111"/>
    </row>
    <row r="1626" spans="1:8" ht="15.75">
      <c r="A1626" s="80"/>
      <c r="B1626" s="81"/>
      <c r="C1626" s="81" t="s">
        <v>147</v>
      </c>
      <c r="D1626" s="145" t="e">
        <f>DMAX('18_1'!A$98:L$116,'18_1'!$K$98,G1619:G1620)</f>
        <v>#REF!</v>
      </c>
      <c r="E1626" s="189" t="e">
        <f>IF(F1626=1,"Domingo",IF(F1626=2,"Lunes",IF(F1626=3,"Martes",IF(F1626=4,"Miercoles",IF(F1626=5,"Jueves",IF(F1626=6,"Viernes",IF(F1626=7,"Sábado",0)))))))</f>
        <v>#REF!</v>
      </c>
      <c r="F1626" s="190" t="e">
        <f>WEEKDAY(D1626)</f>
        <v>#REF!</v>
      </c>
      <c r="G1626" s="142"/>
      <c r="H1626" s="111"/>
    </row>
    <row r="1627" spans="1:8">
      <c r="A1627" s="80"/>
      <c r="B1627" s="81"/>
      <c r="C1627" s="81"/>
      <c r="D1627" s="81"/>
      <c r="E1627" s="81"/>
      <c r="F1627" s="584"/>
      <c r="G1627" s="584"/>
      <c r="H1627" s="111"/>
    </row>
    <row r="1628" spans="1:8">
      <c r="A1628" s="80"/>
      <c r="B1628" s="146">
        <f>+Mensajes!$B$7</f>
        <v>0</v>
      </c>
      <c r="C1628" s="81"/>
      <c r="D1628" s="81"/>
      <c r="E1628" s="81"/>
      <c r="F1628" s="81"/>
      <c r="G1628" s="81"/>
      <c r="H1628" s="111"/>
    </row>
    <row r="1629" spans="1:8">
      <c r="A1629" s="80"/>
      <c r="B1629" s="146">
        <f>+Mensajes!$B$12</f>
        <v>0</v>
      </c>
      <c r="C1629" s="81"/>
      <c r="D1629" s="81"/>
      <c r="E1629" s="81"/>
      <c r="F1629" s="81"/>
      <c r="G1629" s="81"/>
      <c r="H1629" s="111"/>
    </row>
    <row r="1630" spans="1:8">
      <c r="A1630" s="80"/>
      <c r="B1630" s="146" t="str">
        <f>IF(VLOOKUP(G1620,'18_1'!$A$98:$M$116,13,0)=0,"",VLOOKUP(G1620,'18_1'!$A$98:$M$116,13,0))</f>
        <v/>
      </c>
      <c r="C1630" s="81"/>
      <c r="D1630" s="81"/>
      <c r="E1630" s="81"/>
      <c r="F1630" s="81"/>
      <c r="G1630" s="81"/>
      <c r="H1630" s="111"/>
    </row>
    <row r="1631" spans="1:8">
      <c r="A1631" s="140"/>
      <c r="B1631" s="188" t="e">
        <f>IF(DSUM('18_1'!$A$98:$P$116,16,G1619:G1620)=COUNTIF('18_1'!$A$98:$A$116,G1620),"","Regularice su Deuda")</f>
        <v>#N/A</v>
      </c>
      <c r="C1631" s="82"/>
      <c r="D1631" s="82"/>
      <c r="E1631" s="82"/>
      <c r="F1631" s="82"/>
      <c r="G1631" s="82"/>
      <c r="H1631" s="83"/>
    </row>
    <row r="1633" spans="1:8">
      <c r="A1633" s="108"/>
      <c r="B1633" s="109"/>
      <c r="C1633" s="109"/>
      <c r="D1633" s="109"/>
      <c r="E1633" s="109"/>
      <c r="F1633" s="109"/>
      <c r="G1633" s="109"/>
      <c r="H1633" s="110"/>
    </row>
    <row r="1634" spans="1:8">
      <c r="A1634" s="80"/>
      <c r="B1634" s="147" t="s">
        <v>64</v>
      </c>
      <c r="C1634" s="81"/>
      <c r="D1634" s="81"/>
      <c r="E1634" s="81"/>
      <c r="F1634" s="81"/>
      <c r="G1634" s="81"/>
      <c r="H1634" s="111"/>
    </row>
    <row r="1635" spans="1:8">
      <c r="A1635" s="80"/>
      <c r="B1635" s="81"/>
      <c r="C1635" s="81"/>
      <c r="D1635" s="81"/>
      <c r="E1635" s="81"/>
      <c r="F1635" s="81"/>
      <c r="G1635" s="81"/>
      <c r="H1635" s="111"/>
    </row>
    <row r="1636" spans="1:8">
      <c r="A1636" s="80"/>
      <c r="B1636" s="81" t="s">
        <v>139</v>
      </c>
      <c r="C1636" s="81" t="str">
        <f>VLOOKUP(G1637,'18_1'!$A$98:$G$116,6,0)</f>
        <v>LOPEZ, SERAFIN</v>
      </c>
      <c r="D1636" s="81"/>
      <c r="E1636" s="81"/>
      <c r="F1636" s="81"/>
      <c r="G1636" s="138" t="s">
        <v>102</v>
      </c>
      <c r="H1636" s="111"/>
    </row>
    <row r="1637" spans="1:8">
      <c r="A1637" s="80"/>
      <c r="B1637" s="81" t="s">
        <v>72</v>
      </c>
      <c r="C1637" s="81" t="str">
        <f>+'18_1'!$G$2</f>
        <v>Hijuela Morón</v>
      </c>
      <c r="D1637" s="81"/>
      <c r="E1637" s="81"/>
      <c r="F1637" s="81"/>
      <c r="G1637" s="138">
        <v>5</v>
      </c>
      <c r="H1637" s="111"/>
    </row>
    <row r="1638" spans="1:8">
      <c r="A1638" s="80"/>
      <c r="B1638" s="81"/>
      <c r="C1638" s="81"/>
      <c r="D1638" s="81"/>
      <c r="E1638" s="81"/>
      <c r="F1638" s="81"/>
      <c r="G1638" s="81"/>
      <c r="H1638" s="111"/>
    </row>
    <row r="1639" spans="1:8">
      <c r="A1639" s="80"/>
      <c r="B1639" s="81" t="s">
        <v>140</v>
      </c>
      <c r="C1639" s="138">
        <f>VLOOKUP(G1637,'18_1'!$A$98:$B$116,2,0)</f>
        <v>1214</v>
      </c>
      <c r="D1639" s="81"/>
      <c r="E1639" s="139" t="s">
        <v>141</v>
      </c>
      <c r="F1639" s="141" t="e">
        <f>DSUM('18_1'!A$98:J$116,'18_1'!$J$98,G1636:G1637)</f>
        <v>#REF!</v>
      </c>
      <c r="G1639" s="81"/>
      <c r="H1639" s="111"/>
    </row>
    <row r="1640" spans="1:8">
      <c r="A1640" s="80"/>
      <c r="B1640" s="81" t="s">
        <v>142</v>
      </c>
      <c r="C1640" s="205">
        <v>44</v>
      </c>
      <c r="D1640" s="81"/>
      <c r="E1640" s="81"/>
      <c r="F1640" s="81"/>
      <c r="G1640" s="81"/>
      <c r="H1640" s="111"/>
    </row>
    <row r="1641" spans="1:8">
      <c r="A1641" s="80"/>
      <c r="B1641" s="81" t="s">
        <v>144</v>
      </c>
      <c r="C1641" s="206" t="e">
        <f>DSUM('18_1'!$A$98:$H$116,'18_1'!$H$98,G1636:G1637)</f>
        <v>#N/A</v>
      </c>
      <c r="D1641" s="81"/>
      <c r="E1641" s="81"/>
      <c r="F1641" s="584"/>
      <c r="G1641" s="584"/>
      <c r="H1641" s="111"/>
    </row>
    <row r="1642" spans="1:8" ht="15.75">
      <c r="A1642" s="80"/>
      <c r="B1642" s="81"/>
      <c r="C1642" s="81" t="s">
        <v>146</v>
      </c>
      <c r="D1642" s="145" t="e">
        <f>DMIN('18_1'!A$98:K$116,'18_1'!$J$98,G1636:G1637)</f>
        <v>#REF!</v>
      </c>
      <c r="E1642" s="189" t="e">
        <f>IF(F1642=1,"Domingo",IF(F1642=2,"Lunes",IF(F1642=3,"Martes",IF(F1642=4,"Miercoles",IF(F1642=5,"Jueves",IF(F1642=6,"Viernes",IF(F1642=7,"Sábado",0)))))))</f>
        <v>#REF!</v>
      </c>
      <c r="F1642" s="190" t="e">
        <f>WEEKDAY(D1642)</f>
        <v>#REF!</v>
      </c>
      <c r="G1642" s="142"/>
      <c r="H1642" s="111"/>
    </row>
    <row r="1643" spans="1:8" ht="15.75">
      <c r="A1643" s="80"/>
      <c r="B1643" s="81"/>
      <c r="C1643" s="81" t="s">
        <v>147</v>
      </c>
      <c r="D1643" s="145" t="e">
        <f>DMAX('18_1'!A$98:L$116,'18_1'!$K$98,G1636:G1637)</f>
        <v>#REF!</v>
      </c>
      <c r="E1643" s="189" t="e">
        <f>IF(F1643=1,"Domingo",IF(F1643=2,"Lunes",IF(F1643=3,"Martes",IF(F1643=4,"Miercoles",IF(F1643=5,"Jueves",IF(F1643=6,"Viernes",IF(F1643=7,"Sábado",0)))))))</f>
        <v>#REF!</v>
      </c>
      <c r="F1643" s="190" t="e">
        <f>WEEKDAY(D1643)</f>
        <v>#REF!</v>
      </c>
      <c r="G1643" s="142"/>
      <c r="H1643" s="111"/>
    </row>
    <row r="1644" spans="1:8">
      <c r="A1644" s="80"/>
      <c r="B1644" s="81"/>
      <c r="C1644" s="81"/>
      <c r="D1644" s="81"/>
      <c r="E1644" s="81"/>
      <c r="F1644" s="584"/>
      <c r="G1644" s="584"/>
      <c r="H1644" s="111"/>
    </row>
    <row r="1645" spans="1:8">
      <c r="A1645" s="80"/>
      <c r="B1645" s="146">
        <f>+Mensajes!$B$7</f>
        <v>0</v>
      </c>
      <c r="C1645" s="81"/>
      <c r="D1645" s="81"/>
      <c r="E1645" s="81"/>
      <c r="F1645" s="81"/>
      <c r="G1645" s="81"/>
      <c r="H1645" s="111"/>
    </row>
    <row r="1646" spans="1:8">
      <c r="A1646" s="80"/>
      <c r="B1646" s="146">
        <f>+Mensajes!$B$12</f>
        <v>0</v>
      </c>
      <c r="C1646" s="81"/>
      <c r="D1646" s="81"/>
      <c r="E1646" s="81"/>
      <c r="F1646" s="81"/>
      <c r="G1646" s="81"/>
      <c r="H1646" s="111"/>
    </row>
    <row r="1647" spans="1:8">
      <c r="A1647" s="80"/>
      <c r="B1647" s="146" t="str">
        <f>IF(VLOOKUP(G1637,'18_1'!$A$98:$M$116,13,0)=0,"",VLOOKUP(G1637,'18_1'!$A$98:$M$116,13,0))</f>
        <v/>
      </c>
      <c r="C1647" s="81"/>
      <c r="D1647" s="81"/>
      <c r="E1647" s="81"/>
      <c r="F1647" s="81"/>
      <c r="G1647" s="81"/>
      <c r="H1647" s="111"/>
    </row>
    <row r="1648" spans="1:8">
      <c r="A1648" s="140"/>
      <c r="B1648" s="188" t="e">
        <f>IF(DSUM('18_1'!$A$98:$P$116,16,G1636:G1637)=COUNTIF('18_1'!$A$98:$A$116,G1637),"","Regularice su Deuda")</f>
        <v>#N/A</v>
      </c>
      <c r="C1648" s="82"/>
      <c r="D1648" s="82"/>
      <c r="E1648" s="82"/>
      <c r="F1648" s="82"/>
      <c r="G1648" s="82"/>
      <c r="H1648" s="83"/>
    </row>
    <row r="1650" spans="1:8">
      <c r="A1650" s="108"/>
      <c r="B1650" s="109"/>
      <c r="C1650" s="109"/>
      <c r="D1650" s="109"/>
      <c r="E1650" s="109"/>
      <c r="F1650" s="109"/>
      <c r="G1650" s="109"/>
      <c r="H1650" s="110"/>
    </row>
    <row r="1651" spans="1:8">
      <c r="A1651" s="80"/>
      <c r="B1651" s="147" t="s">
        <v>64</v>
      </c>
      <c r="C1651" s="81"/>
      <c r="D1651" s="81"/>
      <c r="E1651" s="81"/>
      <c r="F1651" s="81"/>
      <c r="G1651" s="81"/>
      <c r="H1651" s="111"/>
    </row>
    <row r="1652" spans="1:8">
      <c r="A1652" s="80"/>
      <c r="B1652" s="81"/>
      <c r="C1652" s="81"/>
      <c r="D1652" s="81"/>
      <c r="E1652" s="81"/>
      <c r="F1652" s="81"/>
      <c r="G1652" s="81"/>
      <c r="H1652" s="111"/>
    </row>
    <row r="1653" spans="1:8">
      <c r="A1653" s="80"/>
      <c r="B1653" s="81" t="s">
        <v>139</v>
      </c>
      <c r="C1653" s="81" t="str">
        <f>VLOOKUP(G1654,'18_1'!$A$98:$G$116,6,0)</f>
        <v>BONILLA, RAFAEL Y BONILLA, MANUEL</v>
      </c>
      <c r="D1653" s="81"/>
      <c r="E1653" s="81"/>
      <c r="F1653" s="81"/>
      <c r="G1653" s="138" t="s">
        <v>102</v>
      </c>
      <c r="H1653" s="111"/>
    </row>
    <row r="1654" spans="1:8">
      <c r="A1654" s="80"/>
      <c r="B1654" s="81" t="s">
        <v>72</v>
      </c>
      <c r="C1654" s="81" t="str">
        <f>+'18_1'!$G$2</f>
        <v>Hijuela Morón</v>
      </c>
      <c r="D1654" s="81"/>
      <c r="E1654" s="81"/>
      <c r="F1654" s="81"/>
      <c r="G1654" s="138">
        <v>6</v>
      </c>
      <c r="H1654" s="111"/>
    </row>
    <row r="1655" spans="1:8">
      <c r="A1655" s="80"/>
      <c r="B1655" s="81"/>
      <c r="C1655" s="81"/>
      <c r="D1655" s="81"/>
      <c r="E1655" s="81"/>
      <c r="F1655" s="81"/>
      <c r="G1655" s="81"/>
      <c r="H1655" s="111"/>
    </row>
    <row r="1656" spans="1:8">
      <c r="A1656" s="80"/>
      <c r="B1656" s="81" t="s">
        <v>140</v>
      </c>
      <c r="C1656" s="138">
        <f>VLOOKUP(G1654,'18_1'!$A$98:$B$116,2,0)</f>
        <v>1214</v>
      </c>
      <c r="D1656" s="81"/>
      <c r="E1656" s="139" t="s">
        <v>141</v>
      </c>
      <c r="F1656" s="141" t="e">
        <f>DSUM('18_1'!A$98:J$116,'18_1'!$J$98,G1653:G1654)</f>
        <v>#REF!</v>
      </c>
      <c r="G1656" s="81"/>
      <c r="H1656" s="111"/>
    </row>
    <row r="1657" spans="1:8">
      <c r="A1657" s="80"/>
      <c r="B1657" s="81" t="s">
        <v>142</v>
      </c>
      <c r="C1657" s="205">
        <v>201</v>
      </c>
      <c r="D1657" s="81"/>
      <c r="E1657" s="81"/>
      <c r="F1657" s="81"/>
      <c r="G1657" s="81"/>
      <c r="H1657" s="111"/>
    </row>
    <row r="1658" spans="1:8">
      <c r="A1658" s="80"/>
      <c r="B1658" s="81" t="s">
        <v>144</v>
      </c>
      <c r="C1658" s="206" t="e">
        <f>DSUM('18_1'!$A$98:$H$116,'18_1'!$H$98,G1653:G1654)</f>
        <v>#N/A</v>
      </c>
      <c r="D1658" s="81"/>
      <c r="E1658" s="81"/>
      <c r="F1658" s="584"/>
      <c r="G1658" s="584"/>
      <c r="H1658" s="111"/>
    </row>
    <row r="1659" spans="1:8" ht="15.75">
      <c r="A1659" s="80"/>
      <c r="B1659" s="81"/>
      <c r="C1659" s="81" t="s">
        <v>146</v>
      </c>
      <c r="D1659" s="145" t="e">
        <f>DMIN('18_1'!A$98:K$116,'18_1'!$J$98,G1653:G1654)</f>
        <v>#REF!</v>
      </c>
      <c r="E1659" s="189" t="e">
        <f>IF(F1659=1,"Domingo",IF(F1659=2,"Lunes",IF(F1659=3,"Martes",IF(F1659=4,"Miercoles",IF(F1659=5,"Jueves",IF(F1659=6,"Viernes",IF(F1659=7,"Sábado",0)))))))</f>
        <v>#REF!</v>
      </c>
      <c r="F1659" s="190" t="e">
        <f>WEEKDAY(D1659)</f>
        <v>#REF!</v>
      </c>
      <c r="G1659" s="142"/>
      <c r="H1659" s="111"/>
    </row>
    <row r="1660" spans="1:8" ht="15.75">
      <c r="A1660" s="80"/>
      <c r="B1660" s="81"/>
      <c r="C1660" s="81" t="s">
        <v>147</v>
      </c>
      <c r="D1660" s="145" t="e">
        <f>DMAX('18_1'!A$98:L$116,'18_1'!$K$98,G1653:G1654)</f>
        <v>#REF!</v>
      </c>
      <c r="E1660" s="189" t="e">
        <f>IF(F1660=1,"Domingo",IF(F1660=2,"Lunes",IF(F1660=3,"Martes",IF(F1660=4,"Miercoles",IF(F1660=5,"Jueves",IF(F1660=6,"Viernes",IF(F1660=7,"Sábado",0)))))))</f>
        <v>#REF!</v>
      </c>
      <c r="F1660" s="190" t="e">
        <f>WEEKDAY(D1660)</f>
        <v>#REF!</v>
      </c>
      <c r="G1660" s="142"/>
      <c r="H1660" s="111"/>
    </row>
    <row r="1661" spans="1:8">
      <c r="A1661" s="80"/>
      <c r="B1661" s="81"/>
      <c r="C1661" s="81"/>
      <c r="D1661" s="81"/>
      <c r="E1661" s="81"/>
      <c r="F1661" s="584"/>
      <c r="G1661" s="584"/>
      <c r="H1661" s="111"/>
    </row>
    <row r="1662" spans="1:8">
      <c r="A1662" s="80"/>
      <c r="B1662" s="146">
        <f>+Mensajes!$B$7</f>
        <v>0</v>
      </c>
      <c r="C1662" s="81"/>
      <c r="D1662" s="81"/>
      <c r="E1662" s="81"/>
      <c r="F1662" s="81"/>
      <c r="G1662" s="81"/>
      <c r="H1662" s="111"/>
    </row>
    <row r="1663" spans="1:8">
      <c r="A1663" s="80"/>
      <c r="B1663" s="146">
        <f>+Mensajes!$B$12</f>
        <v>0</v>
      </c>
      <c r="C1663" s="81"/>
      <c r="D1663" s="81"/>
      <c r="E1663" s="81"/>
      <c r="F1663" s="81"/>
      <c r="G1663" s="81"/>
      <c r="H1663" s="111"/>
    </row>
    <row r="1664" spans="1:8">
      <c r="A1664" s="80"/>
      <c r="B1664" s="146" t="str">
        <f>IF(VLOOKUP(G1654,'18_1'!$A$98:$M$116,13,0)=0,"",VLOOKUP(G1654,'18_1'!$A$98:$M$116,13,0))</f>
        <v/>
      </c>
      <c r="C1664" s="81"/>
      <c r="D1664" s="81"/>
      <c r="E1664" s="81"/>
      <c r="F1664" s="81"/>
      <c r="G1664" s="81"/>
      <c r="H1664" s="111"/>
    </row>
    <row r="1665" spans="1:8">
      <c r="A1665" s="140"/>
      <c r="B1665" s="188" t="str">
        <f>IF(DSUM('18_1'!$A$98:$P$116,16,G1653:G1654)=COUNTIF('18_1'!$A$98:$A$116,G1654),"","Regularice su Deuda")</f>
        <v/>
      </c>
      <c r="C1665" s="82"/>
      <c r="D1665" s="82"/>
      <c r="E1665" s="82"/>
      <c r="F1665" s="82"/>
      <c r="G1665" s="82"/>
      <c r="H1665" s="83"/>
    </row>
    <row r="1667" spans="1:8">
      <c r="A1667" s="108"/>
      <c r="B1667" s="109"/>
      <c r="C1667" s="109"/>
      <c r="D1667" s="109"/>
      <c r="E1667" s="109"/>
      <c r="F1667" s="109"/>
      <c r="G1667" s="109"/>
      <c r="H1667" s="110"/>
    </row>
    <row r="1668" spans="1:8">
      <c r="A1668" s="80"/>
      <c r="B1668" s="147" t="s">
        <v>64</v>
      </c>
      <c r="C1668" s="81"/>
      <c r="D1668" s="81"/>
      <c r="E1668" s="81"/>
      <c r="F1668" s="81"/>
      <c r="G1668" s="81"/>
      <c r="H1668" s="111"/>
    </row>
    <row r="1669" spans="1:8">
      <c r="A1669" s="80"/>
      <c r="B1669" s="81"/>
      <c r="C1669" s="81"/>
      <c r="D1669" s="81"/>
      <c r="E1669" s="81"/>
      <c r="F1669" s="81"/>
      <c r="G1669" s="81"/>
      <c r="H1669" s="111"/>
    </row>
    <row r="1670" spans="1:8">
      <c r="A1670" s="80"/>
      <c r="B1670" s="81" t="s">
        <v>139</v>
      </c>
      <c r="C1670" s="81" t="str">
        <f>VLOOKUP(G1671,'18_1'!$A$98:$G$116,6,0)</f>
        <v>SANJURJO, ALDO BENITO Y VICO DE SANJURJO, NORMA GLORA</v>
      </c>
      <c r="D1670" s="81"/>
      <c r="E1670" s="81"/>
      <c r="F1670" s="81"/>
      <c r="G1670" s="138" t="s">
        <v>102</v>
      </c>
      <c r="H1670" s="111"/>
    </row>
    <row r="1671" spans="1:8">
      <c r="A1671" s="80"/>
      <c r="B1671" s="81" t="s">
        <v>72</v>
      </c>
      <c r="C1671" s="81" t="str">
        <f>+'18_1'!$G$2</f>
        <v>Hijuela Morón</v>
      </c>
      <c r="D1671" s="81"/>
      <c r="E1671" s="81"/>
      <c r="F1671" s="81"/>
      <c r="G1671" s="138">
        <v>7</v>
      </c>
      <c r="H1671" s="111"/>
    </row>
    <row r="1672" spans="1:8">
      <c r="A1672" s="80"/>
      <c r="B1672" s="81"/>
      <c r="C1672" s="81"/>
      <c r="D1672" s="81"/>
      <c r="E1672" s="81"/>
      <c r="F1672" s="81"/>
      <c r="G1672" s="81"/>
      <c r="H1672" s="111"/>
    </row>
    <row r="1673" spans="1:8">
      <c r="A1673" s="80"/>
      <c r="B1673" s="81" t="s">
        <v>140</v>
      </c>
      <c r="C1673" s="138">
        <f>VLOOKUP(G1671,'18_1'!$A$98:$B$116,2,0)</f>
        <v>1214</v>
      </c>
      <c r="D1673" s="81"/>
      <c r="E1673" s="139" t="s">
        <v>141</v>
      </c>
      <c r="F1673" s="141" t="e">
        <f>DSUM('18_1'!A$98:J$116,'18_1'!$J$98,G1670:G1671)</f>
        <v>#REF!</v>
      </c>
      <c r="G1673" s="81"/>
      <c r="H1673" s="111"/>
    </row>
    <row r="1674" spans="1:8">
      <c r="A1674" s="80"/>
      <c r="B1674" s="81" t="s">
        <v>142</v>
      </c>
      <c r="C1674" s="205">
        <v>165</v>
      </c>
      <c r="D1674" s="81"/>
      <c r="E1674" s="81"/>
      <c r="F1674" s="81"/>
      <c r="G1674" s="81"/>
      <c r="H1674" s="111"/>
    </row>
    <row r="1675" spans="1:8">
      <c r="A1675" s="80"/>
      <c r="B1675" s="81" t="s">
        <v>144</v>
      </c>
      <c r="C1675" s="206" t="e">
        <f>DSUM('18_1'!$A$98:$H$116,'18_1'!$H$98,G1670:G1671)</f>
        <v>#N/A</v>
      </c>
      <c r="D1675" s="81"/>
      <c r="E1675" s="81"/>
      <c r="F1675" s="584"/>
      <c r="G1675" s="584"/>
      <c r="H1675" s="111"/>
    </row>
    <row r="1676" spans="1:8" ht="15.75">
      <c r="A1676" s="80"/>
      <c r="B1676" s="81"/>
      <c r="C1676" s="81" t="s">
        <v>146</v>
      </c>
      <c r="D1676" s="145" t="e">
        <f>DMIN('18_1'!A$98:K$116,'18_1'!$J$98,G1670:G1671)</f>
        <v>#REF!</v>
      </c>
      <c r="E1676" s="189" t="e">
        <f>IF(F1676=1,"Domingo",IF(F1676=2,"Lunes",IF(F1676=3,"Martes",IF(F1676=4,"Miercoles",IF(F1676=5,"Jueves",IF(F1676=6,"Viernes",IF(F1676=7,"Sábado",0)))))))</f>
        <v>#REF!</v>
      </c>
      <c r="F1676" s="190" t="e">
        <f>WEEKDAY(D1676)</f>
        <v>#REF!</v>
      </c>
      <c r="G1676" s="142"/>
      <c r="H1676" s="111"/>
    </row>
    <row r="1677" spans="1:8" ht="15.75">
      <c r="A1677" s="80"/>
      <c r="B1677" s="81"/>
      <c r="C1677" s="81" t="s">
        <v>147</v>
      </c>
      <c r="D1677" s="145" t="e">
        <f>DMAX('18_1'!A$98:L$116,'18_1'!$K$98,G1670:G1671)</f>
        <v>#REF!</v>
      </c>
      <c r="E1677" s="189" t="e">
        <f>IF(F1677=1,"Domingo",IF(F1677=2,"Lunes",IF(F1677=3,"Martes",IF(F1677=4,"Miercoles",IF(F1677=5,"Jueves",IF(F1677=6,"Viernes",IF(F1677=7,"Sábado",0)))))))</f>
        <v>#REF!</v>
      </c>
      <c r="F1677" s="190" t="e">
        <f>WEEKDAY(D1677)</f>
        <v>#REF!</v>
      </c>
      <c r="G1677" s="142"/>
      <c r="H1677" s="111"/>
    </row>
    <row r="1678" spans="1:8">
      <c r="A1678" s="80"/>
      <c r="B1678" s="81"/>
      <c r="C1678" s="81"/>
      <c r="D1678" s="81"/>
      <c r="E1678" s="81"/>
      <c r="F1678" s="584"/>
      <c r="G1678" s="584"/>
      <c r="H1678" s="111"/>
    </row>
    <row r="1679" spans="1:8">
      <c r="A1679" s="80"/>
      <c r="B1679" s="146">
        <f>+Mensajes!$B$7</f>
        <v>0</v>
      </c>
      <c r="C1679" s="81"/>
      <c r="D1679" s="81"/>
      <c r="E1679" s="81"/>
      <c r="F1679" s="81"/>
      <c r="G1679" s="81"/>
      <c r="H1679" s="111"/>
    </row>
    <row r="1680" spans="1:8">
      <c r="A1680" s="80"/>
      <c r="B1680" s="146">
        <f>+Mensajes!$B$12</f>
        <v>0</v>
      </c>
      <c r="C1680" s="81"/>
      <c r="D1680" s="81"/>
      <c r="E1680" s="81"/>
      <c r="F1680" s="81"/>
      <c r="G1680" s="81"/>
      <c r="H1680" s="111"/>
    </row>
    <row r="1681" spans="1:8">
      <c r="A1681" s="80"/>
      <c r="B1681" s="146" t="str">
        <f>IF(VLOOKUP(G1671,'18_1'!$A$98:$M$116,13,0)=0,"",VLOOKUP(G1671,'18_1'!$A$98:$M$116,13,0))</f>
        <v/>
      </c>
      <c r="C1681" s="81"/>
      <c r="D1681" s="81"/>
      <c r="E1681" s="81"/>
      <c r="F1681" s="81"/>
      <c r="G1681" s="81"/>
      <c r="H1681" s="111"/>
    </row>
    <row r="1682" spans="1:8">
      <c r="A1682" s="140"/>
      <c r="B1682" s="188" t="str">
        <f>IF(DSUM('18_1'!$A$98:$P$116,16,G1670:G1671)=COUNTIF('18_1'!$A$98:$A$116,G1671),"","Regularice su Deuda")</f>
        <v/>
      </c>
      <c r="C1682" s="82"/>
      <c r="D1682" s="82"/>
      <c r="E1682" s="82"/>
      <c r="F1682" s="82"/>
      <c r="G1682" s="82"/>
      <c r="H1682" s="83"/>
    </row>
    <row r="1684" spans="1:8">
      <c r="A1684" s="108"/>
      <c r="B1684" s="109"/>
      <c r="C1684" s="109"/>
      <c r="D1684" s="109"/>
      <c r="E1684" s="109"/>
      <c r="F1684" s="109"/>
      <c r="G1684" s="109"/>
      <c r="H1684" s="110"/>
    </row>
    <row r="1685" spans="1:8">
      <c r="A1685" s="80"/>
      <c r="B1685" s="147" t="s">
        <v>64</v>
      </c>
      <c r="C1685" s="81"/>
      <c r="D1685" s="81"/>
      <c r="E1685" s="81"/>
      <c r="F1685" s="81"/>
      <c r="G1685" s="81"/>
      <c r="H1685" s="111"/>
    </row>
    <row r="1686" spans="1:8">
      <c r="A1686" s="80"/>
      <c r="B1686" s="81"/>
      <c r="C1686" s="81"/>
      <c r="D1686" s="81"/>
      <c r="E1686" s="81"/>
      <c r="F1686" s="81"/>
      <c r="G1686" s="81"/>
      <c r="H1686" s="111"/>
    </row>
    <row r="1687" spans="1:8">
      <c r="A1687" s="80"/>
      <c r="B1687" s="81" t="s">
        <v>139</v>
      </c>
      <c r="C1687" s="81" t="str">
        <f>VLOOKUP(G1688,'18_1'!$A$98:$G$116,6,0)</f>
        <v>MOLINA VDA.DE TEJERO, MARIA</v>
      </c>
      <c r="D1687" s="81"/>
      <c r="E1687" s="81"/>
      <c r="F1687" s="81"/>
      <c r="G1687" s="138" t="s">
        <v>102</v>
      </c>
      <c r="H1687" s="111"/>
    </row>
    <row r="1688" spans="1:8">
      <c r="A1688" s="80"/>
      <c r="B1688" s="81" t="s">
        <v>72</v>
      </c>
      <c r="C1688" s="81" t="str">
        <f>+'18_1'!$G$2</f>
        <v>Hijuela Morón</v>
      </c>
      <c r="D1688" s="81"/>
      <c r="E1688" s="81"/>
      <c r="F1688" s="81"/>
      <c r="G1688" s="138">
        <v>8</v>
      </c>
      <c r="H1688" s="111"/>
    </row>
    <row r="1689" spans="1:8">
      <c r="A1689" s="80"/>
      <c r="B1689" s="81"/>
      <c r="C1689" s="81"/>
      <c r="D1689" s="81"/>
      <c r="E1689" s="81"/>
      <c r="F1689" s="81"/>
      <c r="G1689" s="81"/>
      <c r="H1689" s="111"/>
    </row>
    <row r="1690" spans="1:8">
      <c r="A1690" s="80"/>
      <c r="B1690" s="81" t="s">
        <v>140</v>
      </c>
      <c r="C1690" s="138">
        <f>VLOOKUP(G1688,'18_1'!$A$98:$B$116,2,0)</f>
        <v>1214</v>
      </c>
      <c r="D1690" s="81"/>
      <c r="E1690" s="139" t="s">
        <v>141</v>
      </c>
      <c r="F1690" s="141" t="e">
        <f>DSUM('18_1'!A$98:J$116,'18_1'!$J$98,G1687:G1688)</f>
        <v>#REF!</v>
      </c>
      <c r="G1690" s="81"/>
      <c r="H1690" s="111"/>
    </row>
    <row r="1691" spans="1:8">
      <c r="A1691" s="80"/>
      <c r="B1691" s="81" t="s">
        <v>142</v>
      </c>
      <c r="C1691" s="205">
        <v>266</v>
      </c>
      <c r="D1691" s="81"/>
      <c r="E1691" s="81"/>
      <c r="F1691" s="81"/>
      <c r="G1691" s="81"/>
      <c r="H1691" s="111"/>
    </row>
    <row r="1692" spans="1:8">
      <c r="A1692" s="80"/>
      <c r="B1692" s="81" t="s">
        <v>144</v>
      </c>
      <c r="C1692" s="206" t="e">
        <f>DSUM('18_1'!$A$98:$H$116,'18_1'!$H$98,G1687:G1688)</f>
        <v>#N/A</v>
      </c>
      <c r="D1692" s="81"/>
      <c r="E1692" s="81"/>
      <c r="F1692" s="584"/>
      <c r="G1692" s="584"/>
      <c r="H1692" s="111"/>
    </row>
    <row r="1693" spans="1:8" ht="15.75">
      <c r="A1693" s="80"/>
      <c r="B1693" s="81"/>
      <c r="C1693" s="81" t="s">
        <v>146</v>
      </c>
      <c r="D1693" s="145" t="e">
        <f>DMIN('18_1'!A$98:K$116,'18_1'!$J$98,G1687:G1688)</f>
        <v>#REF!</v>
      </c>
      <c r="E1693" s="189" t="e">
        <f>IF(F1693=1,"Domingo",IF(F1693=2,"Lunes",IF(F1693=3,"Martes",IF(F1693=4,"Miercoles",IF(F1693=5,"Jueves",IF(F1693=6,"Viernes",IF(F1693=7,"Sábado",0)))))))</f>
        <v>#REF!</v>
      </c>
      <c r="F1693" s="190" t="e">
        <f>WEEKDAY(D1693)</f>
        <v>#REF!</v>
      </c>
      <c r="G1693" s="142"/>
      <c r="H1693" s="111"/>
    </row>
    <row r="1694" spans="1:8" ht="15.75">
      <c r="A1694" s="80"/>
      <c r="B1694" s="81"/>
      <c r="C1694" s="81" t="s">
        <v>147</v>
      </c>
      <c r="D1694" s="145" t="e">
        <f>DMAX('18_1'!A$98:L$116,'18_1'!$K$98,G1687:G1688)</f>
        <v>#REF!</v>
      </c>
      <c r="E1694" s="189" t="e">
        <f>IF(F1694=1,"Domingo",IF(F1694=2,"Lunes",IF(F1694=3,"Martes",IF(F1694=4,"Miercoles",IF(F1694=5,"Jueves",IF(F1694=6,"Viernes",IF(F1694=7,"Sábado",0)))))))</f>
        <v>#REF!</v>
      </c>
      <c r="F1694" s="190" t="e">
        <f>WEEKDAY(D1694)</f>
        <v>#REF!</v>
      </c>
      <c r="G1694" s="142"/>
      <c r="H1694" s="111"/>
    </row>
    <row r="1695" spans="1:8">
      <c r="A1695" s="80"/>
      <c r="B1695" s="81"/>
      <c r="C1695" s="81"/>
      <c r="D1695" s="81"/>
      <c r="E1695" s="81"/>
      <c r="F1695" s="584"/>
      <c r="G1695" s="584"/>
      <c r="H1695" s="111"/>
    </row>
    <row r="1696" spans="1:8">
      <c r="A1696" s="80"/>
      <c r="B1696" s="146">
        <f>+Mensajes!$B$7</f>
        <v>0</v>
      </c>
      <c r="C1696" s="81"/>
      <c r="D1696" s="81"/>
      <c r="E1696" s="81"/>
      <c r="F1696" s="81"/>
      <c r="G1696" s="81"/>
      <c r="H1696" s="111"/>
    </row>
    <row r="1697" spans="1:8">
      <c r="A1697" s="80"/>
      <c r="B1697" s="146">
        <f>+Mensajes!$B$12</f>
        <v>0</v>
      </c>
      <c r="C1697" s="81"/>
      <c r="D1697" s="81"/>
      <c r="E1697" s="81"/>
      <c r="F1697" s="81"/>
      <c r="G1697" s="81"/>
      <c r="H1697" s="111"/>
    </row>
    <row r="1698" spans="1:8">
      <c r="A1698" s="80"/>
      <c r="B1698" s="146" t="str">
        <f>IF(VLOOKUP(G1688,'18_1'!$A$98:$M$116,13,0)=0,"",VLOOKUP(G1688,'18_1'!$A$98:$M$116,13,0))</f>
        <v/>
      </c>
      <c r="C1698" s="81"/>
      <c r="D1698" s="81"/>
      <c r="E1698" s="81"/>
      <c r="F1698" s="81"/>
      <c r="G1698" s="81"/>
      <c r="H1698" s="111"/>
    </row>
    <row r="1699" spans="1:8">
      <c r="A1699" s="140"/>
      <c r="B1699" s="188" t="e">
        <f>IF(DSUM('18_1'!$A$98:$P$116,16,G1687:G1688)=COUNTIF('18_1'!$A$98:$A$116,G1688),"","Regularice su Deuda")</f>
        <v>#N/A</v>
      </c>
      <c r="C1699" s="82"/>
      <c r="D1699" s="82"/>
      <c r="E1699" s="82"/>
      <c r="F1699" s="82"/>
      <c r="G1699" s="82"/>
      <c r="H1699" s="83"/>
    </row>
    <row r="1701" spans="1:8">
      <c r="A1701" s="108"/>
      <c r="B1701" s="109"/>
      <c r="C1701" s="109"/>
      <c r="D1701" s="109"/>
      <c r="E1701" s="109"/>
      <c r="F1701" s="109"/>
      <c r="G1701" s="109"/>
      <c r="H1701" s="110"/>
    </row>
    <row r="1702" spans="1:8">
      <c r="A1702" s="80"/>
      <c r="B1702" s="147" t="s">
        <v>64</v>
      </c>
      <c r="C1702" s="81"/>
      <c r="D1702" s="81"/>
      <c r="E1702" s="81"/>
      <c r="F1702" s="81"/>
      <c r="G1702" s="81"/>
      <c r="H1702" s="111"/>
    </row>
    <row r="1703" spans="1:8">
      <c r="A1703" s="80"/>
      <c r="B1703" s="81"/>
      <c r="C1703" s="81"/>
      <c r="D1703" s="81"/>
      <c r="E1703" s="81"/>
      <c r="F1703" s="81"/>
      <c r="G1703" s="81"/>
      <c r="H1703" s="111"/>
    </row>
    <row r="1704" spans="1:8">
      <c r="A1704" s="80"/>
      <c r="B1704" s="81" t="s">
        <v>139</v>
      </c>
      <c r="C1704" s="81" t="e">
        <f>VLOOKUP(G1705,'18_1'!$A$98:$G$116,6,0)</f>
        <v>#N/A</v>
      </c>
      <c r="D1704" s="81"/>
      <c r="E1704" s="81"/>
      <c r="F1704" s="81"/>
      <c r="G1704" s="138" t="s">
        <v>102</v>
      </c>
      <c r="H1704" s="111"/>
    </row>
    <row r="1705" spans="1:8">
      <c r="A1705" s="80"/>
      <c r="B1705" s="81" t="s">
        <v>72</v>
      </c>
      <c r="C1705" s="81" t="str">
        <f>+'18_1'!$G$2</f>
        <v>Hijuela Morón</v>
      </c>
      <c r="D1705" s="81"/>
      <c r="E1705" s="81"/>
      <c r="F1705" s="81"/>
      <c r="G1705" s="138">
        <v>9</v>
      </c>
      <c r="H1705" s="111"/>
    </row>
    <row r="1706" spans="1:8">
      <c r="A1706" s="80"/>
      <c r="B1706" s="81"/>
      <c r="C1706" s="81"/>
      <c r="D1706" s="81"/>
      <c r="E1706" s="81"/>
      <c r="F1706" s="81"/>
      <c r="G1706" s="81"/>
      <c r="H1706" s="111"/>
    </row>
    <row r="1707" spans="1:8">
      <c r="A1707" s="80"/>
      <c r="B1707" s="81" t="s">
        <v>140</v>
      </c>
      <c r="C1707" s="138" t="e">
        <f>VLOOKUP(G1705,'18_1'!$A$98:$B$116,2,0)</f>
        <v>#N/A</v>
      </c>
      <c r="D1707" s="81"/>
      <c r="E1707" s="139" t="s">
        <v>141</v>
      </c>
      <c r="F1707" s="141">
        <f>DSUM('18_1'!A$98:J$116,'18_1'!$J$98,G1704:G1705)</f>
        <v>0</v>
      </c>
      <c r="G1707" s="81"/>
      <c r="H1707" s="111"/>
    </row>
    <row r="1708" spans="1:8">
      <c r="A1708" s="80"/>
      <c r="B1708" s="81" t="s">
        <v>142</v>
      </c>
      <c r="C1708" s="205">
        <v>272</v>
      </c>
      <c r="D1708" s="81"/>
      <c r="E1708" s="81"/>
      <c r="F1708" s="81"/>
      <c r="G1708" s="81"/>
      <c r="H1708" s="111"/>
    </row>
    <row r="1709" spans="1:8">
      <c r="A1709" s="80"/>
      <c r="B1709" s="81" t="s">
        <v>144</v>
      </c>
      <c r="C1709" s="206">
        <f>DSUM('18_1'!$A$98:$H$116,'18_1'!$H$98,G1704:G1705)</f>
        <v>0</v>
      </c>
      <c r="D1709" s="81"/>
      <c r="E1709" s="81"/>
      <c r="F1709" s="584"/>
      <c r="G1709" s="584"/>
      <c r="H1709" s="111"/>
    </row>
    <row r="1710" spans="1:8" ht="15.75">
      <c r="A1710" s="80"/>
      <c r="B1710" s="81"/>
      <c r="C1710" s="81" t="s">
        <v>146</v>
      </c>
      <c r="D1710" s="145">
        <f>DMIN('18_1'!A$98:K$116,'18_1'!$J$98,G1704:G1705)</f>
        <v>0</v>
      </c>
      <c r="E1710" s="189" t="str">
        <f>IF(F1710=1,"Domingo",IF(F1710=2,"Lunes",IF(F1710=3,"Martes",IF(F1710=4,"Miercoles",IF(F1710=5,"Jueves",IF(F1710=6,"Viernes",IF(F1710=7,"Sábado",0)))))))</f>
        <v>Sábado</v>
      </c>
      <c r="F1710" s="190">
        <f>WEEKDAY(D1710)</f>
        <v>7</v>
      </c>
      <c r="G1710" s="142"/>
      <c r="H1710" s="111"/>
    </row>
    <row r="1711" spans="1:8" ht="15.75">
      <c r="A1711" s="80"/>
      <c r="B1711" s="81"/>
      <c r="C1711" s="81" t="s">
        <v>147</v>
      </c>
      <c r="D1711" s="145">
        <f>DMAX('18_1'!A$98:L$116,'18_1'!$K$98,G1704:G1705)</f>
        <v>0</v>
      </c>
      <c r="E1711" s="189" t="str">
        <f>IF(F1711=1,"Domingo",IF(F1711=2,"Lunes",IF(F1711=3,"Martes",IF(F1711=4,"Miercoles",IF(F1711=5,"Jueves",IF(F1711=6,"Viernes",IF(F1711=7,"Sábado",0)))))))</f>
        <v>Sábado</v>
      </c>
      <c r="F1711" s="190">
        <f>WEEKDAY(D1711)</f>
        <v>7</v>
      </c>
      <c r="G1711" s="142"/>
      <c r="H1711" s="111"/>
    </row>
    <row r="1712" spans="1:8">
      <c r="A1712" s="80"/>
      <c r="B1712" s="81"/>
      <c r="C1712" s="81"/>
      <c r="D1712" s="81"/>
      <c r="E1712" s="81"/>
      <c r="F1712" s="584"/>
      <c r="G1712" s="584"/>
      <c r="H1712" s="111"/>
    </row>
    <row r="1713" spans="1:8">
      <c r="A1713" s="80"/>
      <c r="B1713" s="146">
        <f>+Mensajes!$B$7</f>
        <v>0</v>
      </c>
      <c r="C1713" s="81"/>
      <c r="D1713" s="81"/>
      <c r="E1713" s="81"/>
      <c r="F1713" s="81"/>
      <c r="G1713" s="81"/>
      <c r="H1713" s="111"/>
    </row>
    <row r="1714" spans="1:8">
      <c r="A1714" s="80"/>
      <c r="B1714" s="146">
        <f>+Mensajes!$B$12</f>
        <v>0</v>
      </c>
      <c r="C1714" s="81"/>
      <c r="D1714" s="81"/>
      <c r="E1714" s="81"/>
      <c r="F1714" s="81"/>
      <c r="G1714" s="81"/>
      <c r="H1714" s="111"/>
    </row>
    <row r="1715" spans="1:8">
      <c r="A1715" s="80"/>
      <c r="B1715" s="146" t="e">
        <f>IF(VLOOKUP(G1705,'18_1'!$A$98:$M$116,13,0)=0,"",VLOOKUP(G1705,'18_1'!$A$98:$M$116,13,0))</f>
        <v>#N/A</v>
      </c>
      <c r="C1715" s="81"/>
      <c r="D1715" s="81"/>
      <c r="E1715" s="81"/>
      <c r="F1715" s="81"/>
      <c r="G1715" s="81"/>
      <c r="H1715" s="111"/>
    </row>
    <row r="1716" spans="1:8">
      <c r="A1716" s="140"/>
      <c r="B1716" s="188" t="str">
        <f>IF(DSUM('18_1'!$A$98:$P$116,16,G1704:G1705)=COUNTIF('18_1'!$A$98:$A$116,G1705),"","Regularice su Deuda")</f>
        <v/>
      </c>
      <c r="C1716" s="82"/>
      <c r="D1716" s="82"/>
      <c r="E1716" s="82"/>
      <c r="F1716" s="82"/>
      <c r="G1716" s="82"/>
      <c r="H1716" s="83"/>
    </row>
    <row r="1718" spans="1:8">
      <c r="A1718" s="108"/>
      <c r="B1718" s="109"/>
      <c r="C1718" s="109"/>
      <c r="D1718" s="109"/>
      <c r="E1718" s="109"/>
      <c r="F1718" s="109"/>
      <c r="G1718" s="109"/>
      <c r="H1718" s="110"/>
    </row>
    <row r="1719" spans="1:8">
      <c r="A1719" s="80"/>
      <c r="B1719" s="147" t="s">
        <v>64</v>
      </c>
      <c r="C1719" s="81"/>
      <c r="D1719" s="81"/>
      <c r="E1719" s="81"/>
      <c r="F1719" s="81"/>
      <c r="G1719" s="81"/>
      <c r="H1719" s="111"/>
    </row>
    <row r="1720" spans="1:8">
      <c r="A1720" s="80"/>
      <c r="B1720" s="81"/>
      <c r="C1720" s="81"/>
      <c r="D1720" s="81"/>
      <c r="E1720" s="81"/>
      <c r="F1720" s="81"/>
      <c r="G1720" s="81"/>
      <c r="H1720" s="111"/>
    </row>
    <row r="1721" spans="1:8">
      <c r="A1721" s="80"/>
      <c r="B1721" s="81" t="s">
        <v>139</v>
      </c>
      <c r="C1721" s="81" t="e">
        <f>VLOOKUP(G1722,'18_1'!$A$98:$G$116,6,0)</f>
        <v>#N/A</v>
      </c>
      <c r="D1721" s="81"/>
      <c r="E1721" s="81"/>
      <c r="F1721" s="81"/>
      <c r="G1721" s="138" t="s">
        <v>102</v>
      </c>
      <c r="H1721" s="111"/>
    </row>
    <row r="1722" spans="1:8">
      <c r="A1722" s="80"/>
      <c r="B1722" s="81" t="s">
        <v>72</v>
      </c>
      <c r="C1722" s="81" t="str">
        <f>+'18_1'!$G$2</f>
        <v>Hijuela Morón</v>
      </c>
      <c r="D1722" s="81"/>
      <c r="E1722" s="81"/>
      <c r="F1722" s="81"/>
      <c r="G1722" s="138">
        <v>10</v>
      </c>
      <c r="H1722" s="111"/>
    </row>
    <row r="1723" spans="1:8">
      <c r="A1723" s="80"/>
      <c r="B1723" s="81"/>
      <c r="C1723" s="81"/>
      <c r="D1723" s="81"/>
      <c r="E1723" s="81"/>
      <c r="F1723" s="81"/>
      <c r="G1723" s="81"/>
      <c r="H1723" s="111"/>
    </row>
    <row r="1724" spans="1:8">
      <c r="A1724" s="80"/>
      <c r="B1724" s="81" t="s">
        <v>140</v>
      </c>
      <c r="C1724" s="138" t="e">
        <f>VLOOKUP(G1722,'18_1'!$A$98:$B$116,2,0)</f>
        <v>#N/A</v>
      </c>
      <c r="D1724" s="81"/>
      <c r="E1724" s="139" t="s">
        <v>141</v>
      </c>
      <c r="F1724" s="141">
        <f>DSUM('18_1'!A$98:J$116,'18_1'!$J$98,G1721:G1722)</f>
        <v>0</v>
      </c>
      <c r="G1724" s="81"/>
      <c r="H1724" s="111"/>
    </row>
    <row r="1725" spans="1:8">
      <c r="A1725" s="80"/>
      <c r="B1725" s="81" t="s">
        <v>142</v>
      </c>
      <c r="C1725" s="205">
        <v>123</v>
      </c>
      <c r="D1725" s="81"/>
      <c r="E1725" s="81"/>
      <c r="F1725" s="81"/>
      <c r="G1725" s="81"/>
      <c r="H1725" s="111"/>
    </row>
    <row r="1726" spans="1:8">
      <c r="A1726" s="80"/>
      <c r="B1726" s="81" t="s">
        <v>144</v>
      </c>
      <c r="C1726" s="206">
        <f>DSUM('18_1'!$A$98:$H$116,'18_1'!$H$98,G1721:G1722)</f>
        <v>0</v>
      </c>
      <c r="D1726" s="81"/>
      <c r="E1726" s="81"/>
      <c r="F1726" s="584"/>
      <c r="G1726" s="584"/>
      <c r="H1726" s="111"/>
    </row>
    <row r="1727" spans="1:8" ht="15.75">
      <c r="A1727" s="80"/>
      <c r="B1727" s="81"/>
      <c r="C1727" s="81" t="s">
        <v>146</v>
      </c>
      <c r="D1727" s="145">
        <f>DMIN('18_1'!A$98:K$116,'18_1'!$J$98,G1721:G1722)</f>
        <v>0</v>
      </c>
      <c r="E1727" s="189" t="str">
        <f>IF(F1727=1,"Domingo",IF(F1727=2,"Lunes",IF(F1727=3,"Martes",IF(F1727=4,"Miercoles",IF(F1727=5,"Jueves",IF(F1727=6,"Viernes",IF(F1727=7,"Sábado",0)))))))</f>
        <v>Sábado</v>
      </c>
      <c r="F1727" s="190">
        <f>WEEKDAY(D1727)</f>
        <v>7</v>
      </c>
      <c r="G1727" s="142"/>
      <c r="H1727" s="111"/>
    </row>
    <row r="1728" spans="1:8" ht="15.75">
      <c r="A1728" s="80"/>
      <c r="B1728" s="81"/>
      <c r="C1728" s="81" t="s">
        <v>147</v>
      </c>
      <c r="D1728" s="145">
        <f>DMAX('18_1'!A$98:L$116,'18_1'!$K$98,G1721:G1722)</f>
        <v>0</v>
      </c>
      <c r="E1728" s="189" t="str">
        <f>IF(F1728=1,"Domingo",IF(F1728=2,"Lunes",IF(F1728=3,"Martes",IF(F1728=4,"Miercoles",IF(F1728=5,"Jueves",IF(F1728=6,"Viernes",IF(F1728=7,"Sábado",0)))))))</f>
        <v>Sábado</v>
      </c>
      <c r="F1728" s="190">
        <f>WEEKDAY(D1728)</f>
        <v>7</v>
      </c>
      <c r="G1728" s="142"/>
      <c r="H1728" s="111"/>
    </row>
    <row r="1729" spans="1:8">
      <c r="A1729" s="80"/>
      <c r="B1729" s="81"/>
      <c r="C1729" s="81"/>
      <c r="D1729" s="81"/>
      <c r="E1729" s="81"/>
      <c r="F1729" s="584"/>
      <c r="G1729" s="584"/>
      <c r="H1729" s="111"/>
    </row>
    <row r="1730" spans="1:8">
      <c r="A1730" s="80"/>
      <c r="B1730" s="146">
        <f>+Mensajes!$B$7</f>
        <v>0</v>
      </c>
      <c r="C1730" s="81"/>
      <c r="D1730" s="81"/>
      <c r="E1730" s="81"/>
      <c r="F1730" s="81"/>
      <c r="G1730" s="81"/>
      <c r="H1730" s="111"/>
    </row>
    <row r="1731" spans="1:8">
      <c r="A1731" s="80"/>
      <c r="B1731" s="146">
        <f>+Mensajes!$B$12</f>
        <v>0</v>
      </c>
      <c r="C1731" s="81"/>
      <c r="D1731" s="81"/>
      <c r="E1731" s="81"/>
      <c r="F1731" s="81"/>
      <c r="G1731" s="81"/>
      <c r="H1731" s="111"/>
    </row>
    <row r="1732" spans="1:8">
      <c r="A1732" s="80"/>
      <c r="B1732" s="146" t="e">
        <f>IF(VLOOKUP(G1722,'18_1'!$A$98:$M$116,13,0)=0,"",VLOOKUP(G1722,'18_1'!$A$98:$M$116,13,0))</f>
        <v>#N/A</v>
      </c>
      <c r="C1732" s="81"/>
      <c r="D1732" s="81"/>
      <c r="E1732" s="81"/>
      <c r="F1732" s="81"/>
      <c r="G1732" s="81"/>
      <c r="H1732" s="111"/>
    </row>
    <row r="1733" spans="1:8">
      <c r="A1733" s="140"/>
      <c r="B1733" s="188" t="str">
        <f>IF(DSUM('18_1'!$A$98:$P$116,16,G1721:G1722)=COUNTIF('18_1'!$A$98:$A$116,G1722),"","Regularice su Deuda")</f>
        <v/>
      </c>
      <c r="C1733" s="82"/>
      <c r="D1733" s="82"/>
      <c r="E1733" s="82"/>
      <c r="F1733" s="82"/>
      <c r="G1733" s="82"/>
      <c r="H1733" s="83"/>
    </row>
    <row r="1735" spans="1:8">
      <c r="A1735" s="108"/>
      <c r="B1735" s="109"/>
      <c r="C1735" s="109"/>
      <c r="D1735" s="109"/>
      <c r="E1735" s="109"/>
      <c r="F1735" s="109"/>
      <c r="G1735" s="109"/>
      <c r="H1735" s="110"/>
    </row>
    <row r="1736" spans="1:8">
      <c r="A1736" s="80"/>
      <c r="B1736" s="147" t="s">
        <v>64</v>
      </c>
      <c r="C1736" s="81"/>
      <c r="D1736" s="81"/>
      <c r="E1736" s="81"/>
      <c r="F1736" s="81"/>
      <c r="G1736" s="81"/>
      <c r="H1736" s="111"/>
    </row>
    <row r="1737" spans="1:8">
      <c r="A1737" s="80"/>
      <c r="B1737" s="81"/>
      <c r="C1737" s="81"/>
      <c r="D1737" s="81"/>
      <c r="E1737" s="81"/>
      <c r="F1737" s="81"/>
      <c r="G1737" s="81"/>
      <c r="H1737" s="111"/>
    </row>
    <row r="1738" spans="1:8">
      <c r="A1738" s="80"/>
      <c r="B1738" s="81" t="s">
        <v>139</v>
      </c>
      <c r="C1738" s="81" t="e">
        <f>VLOOKUP(G1739,'18_1'!$A$98:$G$116,6,0)</f>
        <v>#N/A</v>
      </c>
      <c r="D1738" s="81"/>
      <c r="E1738" s="81"/>
      <c r="F1738" s="81"/>
      <c r="G1738" s="138" t="s">
        <v>102</v>
      </c>
      <c r="H1738" s="111"/>
    </row>
    <row r="1739" spans="1:8">
      <c r="A1739" s="80"/>
      <c r="B1739" s="81" t="s">
        <v>72</v>
      </c>
      <c r="C1739" s="81" t="str">
        <f>+'18_1'!$G$2</f>
        <v>Hijuela Morón</v>
      </c>
      <c r="D1739" s="81"/>
      <c r="E1739" s="81"/>
      <c r="F1739" s="81"/>
      <c r="G1739" s="138">
        <v>11</v>
      </c>
      <c r="H1739" s="111"/>
    </row>
    <row r="1740" spans="1:8">
      <c r="A1740" s="80"/>
      <c r="B1740" s="81"/>
      <c r="C1740" s="81"/>
      <c r="D1740" s="81"/>
      <c r="E1740" s="81"/>
      <c r="F1740" s="81"/>
      <c r="G1740" s="81"/>
      <c r="H1740" s="111"/>
    </row>
    <row r="1741" spans="1:8">
      <c r="A1741" s="80"/>
      <c r="B1741" s="81" t="s">
        <v>140</v>
      </c>
      <c r="C1741" s="138" t="e">
        <f>VLOOKUP(G1739,'18_1'!$A$98:$B$116,2,0)</f>
        <v>#N/A</v>
      </c>
      <c r="D1741" s="81"/>
      <c r="E1741" s="139" t="s">
        <v>141</v>
      </c>
      <c r="F1741" s="141">
        <f>DSUM('18_1'!A$98:J$116,'18_1'!$J$98,G1738:G1739)</f>
        <v>0</v>
      </c>
      <c r="G1741" s="81"/>
      <c r="H1741" s="111"/>
    </row>
    <row r="1742" spans="1:8">
      <c r="A1742" s="80"/>
      <c r="B1742" s="81" t="s">
        <v>142</v>
      </c>
      <c r="C1742" s="205">
        <v>124</v>
      </c>
      <c r="D1742" s="81"/>
      <c r="E1742" s="81"/>
      <c r="F1742" s="81"/>
      <c r="G1742" s="81"/>
      <c r="H1742" s="111"/>
    </row>
    <row r="1743" spans="1:8">
      <c r="A1743" s="80"/>
      <c r="B1743" s="81" t="s">
        <v>144</v>
      </c>
      <c r="C1743" s="206">
        <f>DSUM('18_1'!$A$98:$H$116,'18_1'!$H$98,G1738:G1739)</f>
        <v>0</v>
      </c>
      <c r="D1743" s="81"/>
      <c r="E1743" s="81"/>
      <c r="F1743" s="584"/>
      <c r="G1743" s="584"/>
      <c r="H1743" s="111"/>
    </row>
    <row r="1744" spans="1:8" ht="15.75">
      <c r="A1744" s="80"/>
      <c r="B1744" s="81"/>
      <c r="C1744" s="81" t="s">
        <v>146</v>
      </c>
      <c r="D1744" s="145">
        <f>DMIN('18_1'!A$98:K$116,'18_1'!$J$98,G1738:G1739)</f>
        <v>0</v>
      </c>
      <c r="E1744" s="189" t="str">
        <f>IF(F1744=1,"Domingo",IF(F1744=2,"Lunes",IF(F1744=3,"Martes",IF(F1744=4,"Miercoles",IF(F1744=5,"Jueves",IF(F1744=6,"Viernes",IF(F1744=7,"Sábado",0)))))))</f>
        <v>Sábado</v>
      </c>
      <c r="F1744" s="190">
        <f>WEEKDAY(D1744)</f>
        <v>7</v>
      </c>
      <c r="G1744" s="142"/>
      <c r="H1744" s="111"/>
    </row>
    <row r="1745" spans="1:8" ht="15.75">
      <c r="A1745" s="80"/>
      <c r="B1745" s="81"/>
      <c r="C1745" s="81" t="s">
        <v>147</v>
      </c>
      <c r="D1745" s="145">
        <f>DMAX('18_1'!A$98:L$116,'18_1'!$K$98,G1738:G1739)</f>
        <v>0</v>
      </c>
      <c r="E1745" s="189" t="str">
        <f>IF(F1745=1,"Domingo",IF(F1745=2,"Lunes",IF(F1745=3,"Martes",IF(F1745=4,"Miercoles",IF(F1745=5,"Jueves",IF(F1745=6,"Viernes",IF(F1745=7,"Sábado",0)))))))</f>
        <v>Sábado</v>
      </c>
      <c r="F1745" s="190">
        <f>WEEKDAY(D1745)</f>
        <v>7</v>
      </c>
      <c r="G1745" s="142"/>
      <c r="H1745" s="111"/>
    </row>
    <row r="1746" spans="1:8">
      <c r="A1746" s="80"/>
      <c r="B1746" s="81"/>
      <c r="C1746" s="81"/>
      <c r="D1746" s="81"/>
      <c r="E1746" s="81"/>
      <c r="F1746" s="584"/>
      <c r="G1746" s="584"/>
      <c r="H1746" s="111"/>
    </row>
    <row r="1747" spans="1:8">
      <c r="A1747" s="80"/>
      <c r="B1747" s="146">
        <f>+Mensajes!$B$7</f>
        <v>0</v>
      </c>
      <c r="C1747" s="81"/>
      <c r="D1747" s="81"/>
      <c r="E1747" s="81"/>
      <c r="F1747" s="81"/>
      <c r="G1747" s="81"/>
      <c r="H1747" s="111"/>
    </row>
    <row r="1748" spans="1:8">
      <c r="A1748" s="80"/>
      <c r="B1748" s="146">
        <f>+Mensajes!$B$12</f>
        <v>0</v>
      </c>
      <c r="C1748" s="81"/>
      <c r="D1748" s="81"/>
      <c r="E1748" s="81"/>
      <c r="F1748" s="81"/>
      <c r="G1748" s="81"/>
      <c r="H1748" s="111"/>
    </row>
    <row r="1749" spans="1:8">
      <c r="A1749" s="80"/>
      <c r="B1749" s="146" t="e">
        <f>IF(VLOOKUP(G1739,'18_1'!$A$98:$M$116,13,0)=0,"",VLOOKUP(G1739,'18_1'!$A$98:$M$116,13,0))</f>
        <v>#N/A</v>
      </c>
      <c r="C1749" s="81"/>
      <c r="D1749" s="81"/>
      <c r="E1749" s="81"/>
      <c r="F1749" s="81"/>
      <c r="G1749" s="81"/>
      <c r="H1749" s="111"/>
    </row>
    <row r="1750" spans="1:8">
      <c r="A1750" s="140"/>
      <c r="B1750" s="188" t="str">
        <f>IF(DSUM('18_1'!$A$98:$P$116,16,G1738:G1739)=COUNTIF('18_1'!$A$98:$A$116,G1739),"","Regularice su Deuda")</f>
        <v/>
      </c>
      <c r="C1750" s="82"/>
      <c r="D1750" s="82"/>
      <c r="E1750" s="82"/>
      <c r="F1750" s="82"/>
      <c r="G1750" s="82"/>
      <c r="H1750" s="83"/>
    </row>
    <row r="1752" spans="1:8">
      <c r="A1752" s="108"/>
      <c r="B1752" s="109"/>
      <c r="C1752" s="109"/>
      <c r="D1752" s="109"/>
      <c r="E1752" s="109"/>
      <c r="F1752" s="109"/>
      <c r="G1752" s="109"/>
      <c r="H1752" s="110"/>
    </row>
    <row r="1753" spans="1:8">
      <c r="A1753" s="80"/>
      <c r="B1753" s="147" t="s">
        <v>64</v>
      </c>
      <c r="C1753" s="81"/>
      <c r="D1753" s="81"/>
      <c r="E1753" s="81"/>
      <c r="F1753" s="81"/>
      <c r="G1753" s="81"/>
      <c r="H1753" s="111"/>
    </row>
    <row r="1754" spans="1:8">
      <c r="A1754" s="80"/>
      <c r="B1754" s="81"/>
      <c r="C1754" s="81"/>
      <c r="D1754" s="81"/>
      <c r="E1754" s="81"/>
      <c r="F1754" s="81"/>
      <c r="G1754" s="81"/>
      <c r="H1754" s="111"/>
    </row>
    <row r="1755" spans="1:8">
      <c r="A1755" s="80"/>
      <c r="B1755" s="81" t="s">
        <v>139</v>
      </c>
      <c r="C1755" s="81" t="e">
        <f>VLOOKUP(G1756,'18_1'!$A$98:$G$116,6,0)</f>
        <v>#N/A</v>
      </c>
      <c r="D1755" s="81"/>
      <c r="E1755" s="81"/>
      <c r="F1755" s="81"/>
      <c r="G1755" s="138" t="s">
        <v>102</v>
      </c>
      <c r="H1755" s="111"/>
    </row>
    <row r="1756" spans="1:8">
      <c r="A1756" s="80"/>
      <c r="B1756" s="81" t="s">
        <v>72</v>
      </c>
      <c r="C1756" s="81" t="str">
        <f>+'18_1'!$G$2</f>
        <v>Hijuela Morón</v>
      </c>
      <c r="D1756" s="81"/>
      <c r="E1756" s="81"/>
      <c r="F1756" s="81"/>
      <c r="G1756" s="138">
        <v>12</v>
      </c>
      <c r="H1756" s="111"/>
    </row>
    <row r="1757" spans="1:8">
      <c r="A1757" s="80"/>
      <c r="B1757" s="81"/>
      <c r="C1757" s="81"/>
      <c r="D1757" s="81"/>
      <c r="E1757" s="81"/>
      <c r="F1757" s="81"/>
      <c r="G1757" s="81"/>
      <c r="H1757" s="111"/>
    </row>
    <row r="1758" spans="1:8">
      <c r="A1758" s="80"/>
      <c r="B1758" s="81" t="s">
        <v>140</v>
      </c>
      <c r="C1758" s="138" t="e">
        <f>VLOOKUP(G1756,'18_1'!$A$98:$B$116,2,0)</f>
        <v>#N/A</v>
      </c>
      <c r="D1758" s="81"/>
      <c r="E1758" s="139" t="s">
        <v>141</v>
      </c>
      <c r="F1758" s="141">
        <f>DSUM('18_1'!A$98:J$116,'18_1'!$J$98,G1755:G1756)</f>
        <v>0</v>
      </c>
      <c r="G1758" s="81"/>
      <c r="H1758" s="111"/>
    </row>
    <row r="1759" spans="1:8">
      <c r="A1759" s="80"/>
      <c r="B1759" s="81" t="s">
        <v>142</v>
      </c>
      <c r="C1759" s="205">
        <v>273</v>
      </c>
      <c r="D1759" s="81"/>
      <c r="E1759" s="81"/>
      <c r="F1759" s="81"/>
      <c r="G1759" s="81"/>
      <c r="H1759" s="111"/>
    </row>
    <row r="1760" spans="1:8">
      <c r="A1760" s="80"/>
      <c r="B1760" s="81" t="s">
        <v>144</v>
      </c>
      <c r="C1760" s="206">
        <f>DSUM('18_1'!$A$98:$H$116,'18_1'!$H$98,G1755:G1756)</f>
        <v>0</v>
      </c>
      <c r="D1760" s="81"/>
      <c r="E1760" s="81"/>
      <c r="F1760" s="584"/>
      <c r="G1760" s="584"/>
      <c r="H1760" s="111"/>
    </row>
    <row r="1761" spans="1:8" ht="15.75">
      <c r="A1761" s="80"/>
      <c r="B1761" s="81"/>
      <c r="C1761" s="81" t="s">
        <v>146</v>
      </c>
      <c r="D1761" s="145">
        <f>DMIN('18_1'!A$98:K$116,'18_1'!$J$98,G1755:G1756)</f>
        <v>0</v>
      </c>
      <c r="E1761" s="189" t="str">
        <f>IF(F1761=1,"Domingo",IF(F1761=2,"Lunes",IF(F1761=3,"Martes",IF(F1761=4,"Miercoles",IF(F1761=5,"Jueves",IF(F1761=6,"Viernes",IF(F1761=7,"Sábado",0)))))))</f>
        <v>Sábado</v>
      </c>
      <c r="F1761" s="190">
        <f>WEEKDAY(D1761)</f>
        <v>7</v>
      </c>
      <c r="G1761" s="142"/>
      <c r="H1761" s="111"/>
    </row>
    <row r="1762" spans="1:8" ht="15.75">
      <c r="A1762" s="80"/>
      <c r="B1762" s="81"/>
      <c r="C1762" s="81" t="s">
        <v>147</v>
      </c>
      <c r="D1762" s="145">
        <f>DMAX('18_1'!A$98:L$116,'18_1'!$K$98,G1755:G1756)</f>
        <v>0</v>
      </c>
      <c r="E1762" s="189" t="str">
        <f>IF(F1762=1,"Domingo",IF(F1762=2,"Lunes",IF(F1762=3,"Martes",IF(F1762=4,"Miercoles",IF(F1762=5,"Jueves",IF(F1762=6,"Viernes",IF(F1762=7,"Sábado",0)))))))</f>
        <v>Sábado</v>
      </c>
      <c r="F1762" s="190">
        <f>WEEKDAY(D1762)</f>
        <v>7</v>
      </c>
      <c r="G1762" s="142"/>
      <c r="H1762" s="111"/>
    </row>
    <row r="1763" spans="1:8">
      <c r="A1763" s="80"/>
      <c r="B1763" s="81"/>
      <c r="C1763" s="81"/>
      <c r="D1763" s="81"/>
      <c r="E1763" s="81"/>
      <c r="F1763" s="584"/>
      <c r="G1763" s="584"/>
      <c r="H1763" s="111"/>
    </row>
    <row r="1764" spans="1:8">
      <c r="A1764" s="80"/>
      <c r="B1764" s="146">
        <f>+Mensajes!$B$7</f>
        <v>0</v>
      </c>
      <c r="C1764" s="81"/>
      <c r="D1764" s="81"/>
      <c r="E1764" s="81"/>
      <c r="F1764" s="81"/>
      <c r="G1764" s="81"/>
      <c r="H1764" s="111"/>
    </row>
    <row r="1765" spans="1:8">
      <c r="A1765" s="80"/>
      <c r="B1765" s="146">
        <f>+Mensajes!$B$12</f>
        <v>0</v>
      </c>
      <c r="C1765" s="81"/>
      <c r="D1765" s="81"/>
      <c r="E1765" s="81"/>
      <c r="F1765" s="81"/>
      <c r="G1765" s="81"/>
      <c r="H1765" s="111"/>
    </row>
    <row r="1766" spans="1:8">
      <c r="A1766" s="80"/>
      <c r="B1766" s="146" t="e">
        <f>IF(VLOOKUP(G1756,'18_1'!$A$98:$M$116,13,0)=0,"",VLOOKUP(G1756,'18_1'!$A$98:$M$116,13,0))</f>
        <v>#N/A</v>
      </c>
      <c r="C1766" s="81"/>
      <c r="D1766" s="81"/>
      <c r="E1766" s="81"/>
      <c r="F1766" s="81"/>
      <c r="G1766" s="81"/>
      <c r="H1766" s="111"/>
    </row>
    <row r="1767" spans="1:8">
      <c r="A1767" s="140"/>
      <c r="B1767" s="188" t="str">
        <f>IF(DSUM('18_1'!$A$98:$P$116,16,G1755:G1756)=COUNTIF('18_1'!$A$98:$A$116,G1756),"","Regularice su Deuda")</f>
        <v/>
      </c>
      <c r="C1767" s="82"/>
      <c r="D1767" s="82"/>
      <c r="E1767" s="82"/>
      <c r="F1767" s="82"/>
      <c r="G1767" s="82"/>
      <c r="H1767" s="83"/>
    </row>
  </sheetData>
  <phoneticPr fontId="0" type="noConversion"/>
  <pageMargins left="0.61" right="0.44" top="0.17" bottom="0.18" header="0" footer="0"/>
  <pageSetup scale="90" orientation="portrait" verticalDpi="200" r:id="rId1"/>
  <headerFooter alignWithMargins="0"/>
  <rowBreaks count="1" manualBreakCount="1">
    <brk id="67" max="7" man="1"/>
  </rowBreaks>
  <colBreaks count="1" manualBreakCount="1">
    <brk id="8" max="1048575" man="1"/>
  </colBreaks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24"/>
  <dimension ref="A1:G1044"/>
  <sheetViews>
    <sheetView topLeftCell="A151" workbookViewId="0" xr3:uid="{22EC4E50-C5E2-5B45-B3E6-2D2467F4FBB9}">
      <selection activeCell="A328" sqref="A328"/>
    </sheetView>
  </sheetViews>
  <sheetFormatPr defaultColWidth="11.42578125" defaultRowHeight="12.75"/>
  <cols>
    <col min="1" max="1" width="7.42578125" customWidth="1"/>
    <col min="2" max="2" width="11.85546875" customWidth="1"/>
    <col min="4" max="4" width="40.5703125" customWidth="1"/>
    <col min="5" max="5" width="31.140625" customWidth="1"/>
    <col min="6" max="6" width="32.7109375" customWidth="1"/>
    <col min="7" max="7" width="0.5703125" customWidth="1"/>
  </cols>
  <sheetData>
    <row r="1" spans="1:7">
      <c r="A1" s="108"/>
      <c r="B1" s="109"/>
      <c r="C1" s="109"/>
      <c r="D1" s="109"/>
      <c r="E1" s="109"/>
      <c r="F1" s="110"/>
    </row>
    <row r="2" spans="1:7" ht="20.100000000000001" customHeight="1">
      <c r="A2" s="80"/>
      <c r="B2" s="81"/>
      <c r="C2" s="81"/>
      <c r="D2" s="81"/>
      <c r="E2" s="81"/>
      <c r="F2" s="111"/>
    </row>
    <row r="3" spans="1:7" ht="20.100000000000001" customHeight="1">
      <c r="A3" s="112"/>
      <c r="B3" s="113"/>
      <c r="C3" s="114" t="s">
        <v>687</v>
      </c>
      <c r="D3" s="81"/>
      <c r="E3" s="113"/>
      <c r="F3" s="111"/>
    </row>
    <row r="4" spans="1:7" ht="20.100000000000001" customHeight="1">
      <c r="A4" s="112"/>
      <c r="B4" s="113"/>
      <c r="C4" s="114" t="s">
        <v>688</v>
      </c>
      <c r="D4" s="81"/>
      <c r="E4" s="113"/>
      <c r="F4" s="111"/>
    </row>
    <row r="5" spans="1:7" ht="20.100000000000001" customHeight="1">
      <c r="A5" s="80"/>
      <c r="B5" s="81"/>
      <c r="C5" s="115" t="s">
        <v>689</v>
      </c>
      <c r="D5" s="81"/>
      <c r="E5" s="81"/>
      <c r="F5" s="111"/>
    </row>
    <row r="6" spans="1:7" ht="20.100000000000001" customHeight="1">
      <c r="A6" s="116" t="s">
        <v>690</v>
      </c>
      <c r="B6" s="117"/>
      <c r="C6" s="117"/>
      <c r="D6" s="117"/>
      <c r="E6" s="117"/>
      <c r="F6" s="111"/>
    </row>
    <row r="7" spans="1:7" ht="20.100000000000001" customHeight="1">
      <c r="A7" s="118" t="s">
        <v>691</v>
      </c>
      <c r="B7" s="117"/>
      <c r="C7" s="117"/>
      <c r="D7" s="117"/>
      <c r="E7" s="117"/>
      <c r="F7" s="111"/>
    </row>
    <row r="8" spans="1:7" ht="20.100000000000001" customHeight="1">
      <c r="A8" s="118" t="s">
        <v>692</v>
      </c>
      <c r="B8" s="117"/>
      <c r="C8" s="117"/>
      <c r="D8" s="117"/>
      <c r="E8" s="117"/>
      <c r="F8" s="111"/>
    </row>
    <row r="9" spans="1:7" ht="20.100000000000001" customHeight="1">
      <c r="A9" s="119"/>
      <c r="B9" s="120"/>
      <c r="C9" s="120"/>
      <c r="D9" s="120"/>
      <c r="E9" s="120"/>
      <c r="F9" s="83"/>
    </row>
    <row r="10" spans="1:7" ht="20.100000000000001" customHeight="1">
      <c r="A10" s="52" t="s">
        <v>103</v>
      </c>
      <c r="B10" s="52" t="s">
        <v>104</v>
      </c>
      <c r="C10" s="52" t="s">
        <v>693</v>
      </c>
      <c r="D10" s="52"/>
      <c r="E10" s="52" t="s">
        <v>114</v>
      </c>
      <c r="F10" s="52" t="s">
        <v>694</v>
      </c>
    </row>
    <row r="11" spans="1:7" ht="20.100000000000001" customHeight="1">
      <c r="A11" s="5">
        <v>1200</v>
      </c>
      <c r="B11" s="5">
        <v>63</v>
      </c>
      <c r="C11" s="5" t="s">
        <v>134</v>
      </c>
      <c r="D11" s="5"/>
      <c r="E11" s="5"/>
      <c r="F11" s="5"/>
    </row>
    <row r="12" spans="1:7" s="5" customFormat="1" ht="20.100000000000001" customHeight="1">
      <c r="A12" s="5">
        <v>1201</v>
      </c>
      <c r="B12" s="5">
        <v>26</v>
      </c>
      <c r="C12" s="5" t="s">
        <v>134</v>
      </c>
      <c r="G12" s="8"/>
    </row>
    <row r="13" spans="1:7" s="5" customFormat="1" ht="20.100000000000001" customHeight="1">
      <c r="A13" s="5">
        <v>1200</v>
      </c>
      <c r="B13" s="5">
        <v>65</v>
      </c>
      <c r="C13" s="5" t="s">
        <v>132</v>
      </c>
      <c r="G13" s="8"/>
    </row>
    <row r="14" spans="1:7" ht="20.100000000000001" customHeight="1">
      <c r="A14" s="5">
        <v>1200</v>
      </c>
      <c r="B14" s="5">
        <v>71</v>
      </c>
      <c r="C14" s="5" t="s">
        <v>131</v>
      </c>
      <c r="D14" s="5"/>
      <c r="E14" s="5"/>
      <c r="F14" s="5"/>
    </row>
    <row r="15" spans="1:7" ht="20.100000000000001" customHeight="1">
      <c r="A15" s="5">
        <v>1216</v>
      </c>
      <c r="B15" s="5">
        <v>23</v>
      </c>
      <c r="C15" s="5" t="s">
        <v>128</v>
      </c>
      <c r="D15" s="5"/>
      <c r="E15" s="5"/>
      <c r="F15" s="5"/>
    </row>
    <row r="16" spans="1:7" ht="20.100000000000001" customHeight="1">
      <c r="A16" s="5">
        <v>1200</v>
      </c>
      <c r="B16" s="5">
        <v>36</v>
      </c>
      <c r="C16" s="5" t="s">
        <v>127</v>
      </c>
      <c r="D16" s="5"/>
      <c r="E16" s="5"/>
      <c r="F16" s="5"/>
    </row>
    <row r="17" spans="1:6" ht="20.100000000000001" customHeight="1">
      <c r="A17" s="5">
        <v>1211</v>
      </c>
      <c r="B17" s="5">
        <v>17</v>
      </c>
      <c r="C17" s="5" t="s">
        <v>695</v>
      </c>
      <c r="D17" s="5"/>
      <c r="E17" s="5"/>
      <c r="F17" s="5"/>
    </row>
    <row r="18" spans="1:6" ht="20.100000000000001" customHeight="1">
      <c r="A18" s="5">
        <v>1211</v>
      </c>
      <c r="B18" s="5">
        <v>11</v>
      </c>
      <c r="C18" s="5" t="s">
        <v>125</v>
      </c>
      <c r="D18" s="5"/>
      <c r="E18" s="5"/>
      <c r="F18" s="5"/>
    </row>
    <row r="19" spans="1:6" ht="20.100000000000001" customHeight="1">
      <c r="A19" s="5">
        <v>1211</v>
      </c>
      <c r="B19" s="5">
        <v>13</v>
      </c>
      <c r="C19" s="5" t="s">
        <v>125</v>
      </c>
      <c r="D19" s="5"/>
      <c r="E19" s="5"/>
      <c r="F19" s="5"/>
    </row>
    <row r="20" spans="1:6" ht="20.100000000000001" customHeight="1">
      <c r="A20" s="5">
        <v>1200</v>
      </c>
      <c r="B20" s="5">
        <v>72</v>
      </c>
      <c r="C20" s="5" t="s">
        <v>124</v>
      </c>
      <c r="D20" s="5"/>
      <c r="E20" s="5"/>
      <c r="F20" s="5"/>
    </row>
    <row r="21" spans="1:6" ht="20.100000000000001" customHeight="1">
      <c r="A21" s="5">
        <v>1200</v>
      </c>
      <c r="B21" s="5">
        <v>37</v>
      </c>
      <c r="C21" s="5" t="s">
        <v>123</v>
      </c>
      <c r="D21" s="5"/>
      <c r="E21" s="5"/>
      <c r="F21" s="5"/>
    </row>
    <row r="22" spans="1:6" ht="20.100000000000001" customHeight="1">
      <c r="A22" s="92">
        <v>1212</v>
      </c>
      <c r="B22" s="5">
        <v>8</v>
      </c>
      <c r="C22" s="5" t="s">
        <v>696</v>
      </c>
      <c r="D22" s="5"/>
      <c r="E22" s="5"/>
      <c r="F22" s="5"/>
    </row>
    <row r="23" spans="1:6" s="10" customFormat="1" ht="20.100000000000001" customHeight="1">
      <c r="C23" s="19"/>
      <c r="D23" s="19"/>
    </row>
    <row r="24" spans="1:6" s="10" customFormat="1" ht="20.100000000000001" customHeight="1"/>
    <row r="25" spans="1:6" s="10" customFormat="1" ht="20.100000000000001" customHeight="1"/>
    <row r="26" spans="1:6" s="10" customFormat="1" ht="20.100000000000001" customHeight="1"/>
    <row r="27" spans="1:6" s="10" customFormat="1" ht="20.100000000000001" customHeight="1"/>
    <row r="28" spans="1:6" s="10" customFormat="1" ht="20.100000000000001" customHeight="1"/>
    <row r="29" spans="1:6" s="10" customFormat="1" ht="20.100000000000001" customHeight="1"/>
    <row r="30" spans="1:6">
      <c r="A30" s="80"/>
      <c r="B30" s="81"/>
      <c r="C30" s="81"/>
      <c r="D30" s="81"/>
      <c r="E30" s="81"/>
      <c r="F30" s="111"/>
    </row>
    <row r="31" spans="1:6" ht="20.100000000000001" customHeight="1">
      <c r="A31" s="80"/>
      <c r="B31" s="81"/>
      <c r="C31" s="81"/>
      <c r="D31" s="81"/>
      <c r="E31" s="81"/>
      <c r="F31" s="111"/>
    </row>
    <row r="32" spans="1:6" ht="20.100000000000001" customHeight="1">
      <c r="A32" s="112"/>
      <c r="B32" s="113"/>
      <c r="C32" s="114" t="s">
        <v>687</v>
      </c>
      <c r="D32" s="81"/>
      <c r="E32" s="113"/>
      <c r="F32" s="111"/>
    </row>
    <row r="33" spans="1:6" ht="20.100000000000001" customHeight="1">
      <c r="A33" s="112"/>
      <c r="B33" s="113"/>
      <c r="C33" s="114" t="s">
        <v>688</v>
      </c>
      <c r="D33" s="81"/>
      <c r="E33" s="113"/>
      <c r="F33" s="111"/>
    </row>
    <row r="34" spans="1:6" ht="20.100000000000001" customHeight="1">
      <c r="A34" s="80"/>
      <c r="B34" s="81"/>
      <c r="C34" s="115" t="s">
        <v>689</v>
      </c>
      <c r="D34" s="81"/>
      <c r="E34" s="81"/>
      <c r="F34" s="111"/>
    </row>
    <row r="35" spans="1:6" ht="20.100000000000001" customHeight="1">
      <c r="A35" s="116" t="s">
        <v>690</v>
      </c>
      <c r="B35" s="117"/>
      <c r="C35" s="117"/>
      <c r="D35" s="117"/>
      <c r="E35" s="117"/>
      <c r="F35" s="111"/>
    </row>
    <row r="36" spans="1:6" ht="20.100000000000001" customHeight="1">
      <c r="A36" s="118" t="s">
        <v>691</v>
      </c>
      <c r="B36" s="117"/>
      <c r="C36" s="117"/>
      <c r="D36" s="117"/>
      <c r="E36" s="117"/>
      <c r="F36" s="111"/>
    </row>
    <row r="37" spans="1:6" ht="20.100000000000001" customHeight="1">
      <c r="A37" s="118" t="s">
        <v>692</v>
      </c>
      <c r="B37" s="117"/>
      <c r="C37" s="117"/>
      <c r="D37" s="117"/>
      <c r="E37" s="117"/>
      <c r="F37" s="111"/>
    </row>
    <row r="38" spans="1:6" ht="20.100000000000001" customHeight="1">
      <c r="A38" s="119"/>
      <c r="B38" s="120"/>
      <c r="C38" s="120"/>
      <c r="D38" s="120"/>
      <c r="E38" s="120"/>
      <c r="F38" s="83"/>
    </row>
    <row r="39" spans="1:6" ht="20.100000000000001" customHeight="1">
      <c r="A39" s="52" t="s">
        <v>103</v>
      </c>
      <c r="B39" s="52" t="s">
        <v>104</v>
      </c>
      <c r="C39" s="52" t="s">
        <v>693</v>
      </c>
      <c r="D39" s="52"/>
      <c r="E39" s="52" t="s">
        <v>114</v>
      </c>
      <c r="F39" s="52" t="s">
        <v>694</v>
      </c>
    </row>
    <row r="40" spans="1:6" ht="20.100000000000001" customHeight="1">
      <c r="A40" s="5">
        <v>1200</v>
      </c>
      <c r="B40" s="5">
        <v>49</v>
      </c>
      <c r="C40" s="5" t="s">
        <v>697</v>
      </c>
      <c r="D40" s="5"/>
      <c r="E40" s="5"/>
      <c r="F40" s="5"/>
    </row>
    <row r="41" spans="1:6" ht="20.100000000000001" customHeight="1">
      <c r="A41" s="5">
        <v>1200</v>
      </c>
      <c r="B41" s="5">
        <v>47</v>
      </c>
      <c r="C41" s="5" t="s">
        <v>161</v>
      </c>
      <c r="D41" s="5"/>
      <c r="E41" s="5"/>
      <c r="F41" s="5"/>
    </row>
    <row r="42" spans="1:6" ht="20.100000000000001" customHeight="1">
      <c r="A42" s="5">
        <v>1200</v>
      </c>
      <c r="B42" s="5">
        <v>46</v>
      </c>
      <c r="C42" s="5" t="s">
        <v>162</v>
      </c>
      <c r="D42" s="5"/>
      <c r="E42" s="5"/>
      <c r="F42" s="5"/>
    </row>
    <row r="43" spans="1:6" ht="20.100000000000001" customHeight="1">
      <c r="A43" s="5">
        <v>1200</v>
      </c>
      <c r="B43" s="5">
        <v>58</v>
      </c>
      <c r="C43" s="5" t="s">
        <v>163</v>
      </c>
      <c r="D43" s="5"/>
      <c r="E43" s="5"/>
      <c r="F43" s="5"/>
    </row>
    <row r="44" spans="1:6" ht="20.100000000000001" customHeight="1">
      <c r="A44" s="5">
        <v>1200</v>
      </c>
      <c r="B44" s="5">
        <v>60</v>
      </c>
      <c r="C44" s="5" t="s">
        <v>169</v>
      </c>
      <c r="D44" s="5"/>
      <c r="E44" s="5"/>
      <c r="F44" s="5"/>
    </row>
    <row r="45" spans="1:6" ht="20.100000000000001" customHeight="1">
      <c r="A45" s="5">
        <v>1200</v>
      </c>
      <c r="B45" s="5">
        <v>50</v>
      </c>
      <c r="C45" s="5" t="s">
        <v>168</v>
      </c>
      <c r="D45" s="5"/>
      <c r="E45" s="5"/>
      <c r="F45" s="5"/>
    </row>
    <row r="46" spans="1:6" ht="20.100000000000001" customHeight="1">
      <c r="A46" s="5">
        <v>1200</v>
      </c>
      <c r="B46" s="5">
        <v>52</v>
      </c>
      <c r="C46" s="5" t="s">
        <v>172</v>
      </c>
      <c r="D46" s="5"/>
      <c r="E46" s="5"/>
      <c r="F46" s="5"/>
    </row>
    <row r="47" spans="1:6" ht="20.100000000000001" customHeight="1">
      <c r="A47" s="5">
        <v>1200</v>
      </c>
      <c r="B47" s="5">
        <v>55</v>
      </c>
      <c r="C47" s="5" t="s">
        <v>172</v>
      </c>
      <c r="D47" s="5"/>
      <c r="E47" s="5"/>
      <c r="F47" s="5"/>
    </row>
    <row r="48" spans="1:6" ht="20.100000000000001" customHeight="1">
      <c r="A48" s="5">
        <v>1200</v>
      </c>
      <c r="B48" s="5">
        <v>45</v>
      </c>
      <c r="C48" s="5" t="s">
        <v>166</v>
      </c>
      <c r="D48" s="5"/>
      <c r="E48" s="5"/>
      <c r="F48" s="5"/>
    </row>
    <row r="49" spans="1:6" ht="20.100000000000001" customHeight="1">
      <c r="A49" s="5">
        <v>1200</v>
      </c>
      <c r="B49" s="5">
        <v>51</v>
      </c>
      <c r="C49" s="5" t="s">
        <v>167</v>
      </c>
      <c r="D49" s="5"/>
      <c r="E49" s="5"/>
      <c r="F49" s="5"/>
    </row>
    <row r="50" spans="1:6" ht="20.100000000000001" customHeight="1">
      <c r="A50" s="5">
        <v>1200</v>
      </c>
      <c r="B50" s="5">
        <v>56</v>
      </c>
      <c r="C50" s="5" t="s">
        <v>170</v>
      </c>
      <c r="D50" s="5"/>
      <c r="E50" s="5"/>
      <c r="F50" s="5"/>
    </row>
    <row r="51" spans="1:6" ht="20.100000000000001" customHeight="1">
      <c r="A51" s="5">
        <v>1200</v>
      </c>
      <c r="B51" s="5">
        <v>57</v>
      </c>
      <c r="C51" s="5" t="s">
        <v>171</v>
      </c>
      <c r="D51" s="5"/>
      <c r="E51" s="5"/>
      <c r="F51" s="5"/>
    </row>
    <row r="52" spans="1:6" ht="20.100000000000001" customHeight="1">
      <c r="A52" s="5">
        <v>1200</v>
      </c>
      <c r="B52" s="5">
        <v>53</v>
      </c>
      <c r="C52" s="5" t="s">
        <v>164</v>
      </c>
      <c r="D52" s="5"/>
      <c r="E52" s="5"/>
      <c r="F52" s="5"/>
    </row>
    <row r="53" spans="1:6" ht="20.100000000000001" customHeight="1">
      <c r="A53" s="5">
        <v>1200</v>
      </c>
      <c r="B53" s="5">
        <v>54</v>
      </c>
      <c r="C53" s="5" t="s">
        <v>165</v>
      </c>
      <c r="D53" s="5"/>
      <c r="E53" s="5"/>
      <c r="F53" s="5"/>
    </row>
    <row r="54" spans="1:6" ht="20.100000000000001" customHeight="1">
      <c r="A54" s="5">
        <v>1200</v>
      </c>
      <c r="B54" s="5">
        <v>42</v>
      </c>
      <c r="C54" s="5" t="s">
        <v>160</v>
      </c>
      <c r="D54" s="5"/>
      <c r="E54" s="5"/>
      <c r="F54" s="5"/>
    </row>
    <row r="55" spans="1:6" ht="20.100000000000001" customHeight="1">
      <c r="A55" s="5">
        <v>1200</v>
      </c>
      <c r="B55" s="5">
        <v>44</v>
      </c>
      <c r="C55" s="5" t="s">
        <v>175</v>
      </c>
      <c r="D55" s="5"/>
      <c r="E55" s="5"/>
      <c r="F55" s="5"/>
    </row>
    <row r="56" spans="1:6" ht="20.100000000000001" customHeight="1">
      <c r="A56" s="5">
        <v>1200</v>
      </c>
      <c r="B56" s="5">
        <v>43</v>
      </c>
      <c r="C56" s="5" t="s">
        <v>177</v>
      </c>
      <c r="D56" s="5"/>
      <c r="E56" s="5"/>
      <c r="F56" s="5"/>
    </row>
    <row r="57" spans="1:6" ht="20.100000000000001" customHeight="1">
      <c r="A57" s="5">
        <v>1200</v>
      </c>
      <c r="B57" s="5">
        <v>59</v>
      </c>
      <c r="C57" s="5" t="s">
        <v>176</v>
      </c>
      <c r="D57" s="5"/>
      <c r="E57" s="5"/>
      <c r="F57" s="5"/>
    </row>
    <row r="58" spans="1:6" ht="20.100000000000001" customHeight="1">
      <c r="A58" s="5">
        <v>1200</v>
      </c>
      <c r="B58" s="5">
        <v>64</v>
      </c>
      <c r="C58" s="5" t="s">
        <v>130</v>
      </c>
      <c r="D58" s="5"/>
      <c r="E58" s="5"/>
      <c r="F58" s="5"/>
    </row>
    <row r="59" spans="1:6" ht="20.100000000000001" customHeight="1">
      <c r="A59" s="5">
        <v>1200</v>
      </c>
      <c r="B59" s="5">
        <v>48</v>
      </c>
      <c r="C59" s="5" t="s">
        <v>174</v>
      </c>
      <c r="D59" s="5"/>
      <c r="E59" s="5"/>
      <c r="F59" s="5"/>
    </row>
    <row r="60" spans="1:6" ht="20.100000000000001" customHeight="1">
      <c r="A60" s="80"/>
      <c r="B60" s="81"/>
      <c r="C60" s="81"/>
      <c r="D60" s="81"/>
      <c r="E60" s="81"/>
      <c r="F60" s="111"/>
    </row>
    <row r="61" spans="1:6" ht="20.100000000000001" customHeight="1">
      <c r="A61" s="112"/>
      <c r="B61" s="113"/>
      <c r="C61" s="114" t="s">
        <v>687</v>
      </c>
      <c r="D61" s="81"/>
      <c r="E61" s="113"/>
      <c r="F61" s="111"/>
    </row>
    <row r="62" spans="1:6" ht="20.100000000000001" customHeight="1">
      <c r="A62" s="112"/>
      <c r="B62" s="113"/>
      <c r="C62" s="114" t="s">
        <v>688</v>
      </c>
      <c r="D62" s="81"/>
      <c r="E62" s="113"/>
      <c r="F62" s="111"/>
    </row>
    <row r="63" spans="1:6" ht="20.100000000000001" customHeight="1">
      <c r="A63" s="80"/>
      <c r="B63" s="81"/>
      <c r="C63" s="115" t="s">
        <v>689</v>
      </c>
      <c r="D63" s="81"/>
      <c r="E63" s="81"/>
      <c r="F63" s="111"/>
    </row>
    <row r="64" spans="1:6" ht="20.100000000000001" customHeight="1">
      <c r="A64" s="116" t="s">
        <v>690</v>
      </c>
      <c r="B64" s="117"/>
      <c r="C64" s="117"/>
      <c r="D64" s="117"/>
      <c r="E64" s="117"/>
      <c r="F64" s="111"/>
    </row>
    <row r="65" spans="1:6" ht="20.100000000000001" customHeight="1">
      <c r="A65" s="118" t="s">
        <v>691</v>
      </c>
      <c r="B65" s="117"/>
      <c r="C65" s="117"/>
      <c r="D65" s="117"/>
      <c r="E65" s="117"/>
      <c r="F65" s="111"/>
    </row>
    <row r="66" spans="1:6" ht="20.100000000000001" customHeight="1">
      <c r="A66" s="118" t="s">
        <v>692</v>
      </c>
      <c r="B66" s="117"/>
      <c r="C66" s="117"/>
      <c r="D66" s="117"/>
      <c r="E66" s="117"/>
      <c r="F66" s="111"/>
    </row>
    <row r="67" spans="1:6" ht="20.100000000000001" customHeight="1">
      <c r="A67" s="119"/>
      <c r="B67" s="120"/>
      <c r="C67" s="120"/>
      <c r="D67" s="120"/>
      <c r="E67" s="120"/>
      <c r="F67" s="83"/>
    </row>
    <row r="68" spans="1:6" ht="20.100000000000001" customHeight="1">
      <c r="A68" s="52" t="s">
        <v>103</v>
      </c>
      <c r="B68" s="52" t="s">
        <v>104</v>
      </c>
      <c r="C68" s="52" t="s">
        <v>693</v>
      </c>
      <c r="D68" s="52"/>
      <c r="E68" s="52" t="s">
        <v>114</v>
      </c>
      <c r="F68" s="52" t="s">
        <v>694</v>
      </c>
    </row>
    <row r="69" spans="1:6" ht="20.100000000000001" customHeight="1">
      <c r="A69" s="5">
        <v>1216</v>
      </c>
      <c r="B69" s="5">
        <v>17</v>
      </c>
      <c r="C69" s="5" t="s">
        <v>196</v>
      </c>
      <c r="D69" s="5"/>
      <c r="E69" s="5"/>
      <c r="F69" s="5"/>
    </row>
    <row r="70" spans="1:6" ht="20.100000000000001" customHeight="1">
      <c r="A70" s="5">
        <v>1216</v>
      </c>
      <c r="B70" s="5">
        <v>38</v>
      </c>
      <c r="C70" s="5" t="s">
        <v>196</v>
      </c>
      <c r="D70" s="5"/>
      <c r="E70" s="5"/>
      <c r="F70" s="5"/>
    </row>
    <row r="71" spans="1:6" ht="20.100000000000001" customHeight="1">
      <c r="A71" s="5">
        <v>1216</v>
      </c>
      <c r="B71" s="5">
        <v>18</v>
      </c>
      <c r="C71" s="5" t="s">
        <v>221</v>
      </c>
      <c r="D71" s="5"/>
      <c r="E71" s="5"/>
      <c r="F71" s="5"/>
    </row>
    <row r="72" spans="1:6" ht="20.100000000000001" customHeight="1">
      <c r="A72" s="5">
        <v>1216</v>
      </c>
      <c r="B72" s="5">
        <v>19</v>
      </c>
      <c r="C72" s="5" t="s">
        <v>195</v>
      </c>
      <c r="D72" s="5"/>
      <c r="E72" s="5"/>
      <c r="F72" s="5"/>
    </row>
    <row r="73" spans="1:6" ht="20.100000000000001" customHeight="1">
      <c r="A73" s="5">
        <v>1216</v>
      </c>
      <c r="B73" s="5">
        <v>22</v>
      </c>
      <c r="C73" s="5" t="s">
        <v>194</v>
      </c>
      <c r="D73" s="5"/>
      <c r="E73" s="5"/>
      <c r="F73" s="5"/>
    </row>
    <row r="74" spans="1:6" ht="20.100000000000001" customHeight="1">
      <c r="A74" s="5">
        <v>1216</v>
      </c>
      <c r="B74" s="5">
        <v>26</v>
      </c>
      <c r="C74" s="5" t="s">
        <v>194</v>
      </c>
      <c r="D74" s="5"/>
      <c r="E74" s="5"/>
      <c r="F74" s="5"/>
    </row>
    <row r="75" spans="1:6" ht="20.100000000000001" customHeight="1">
      <c r="A75" s="5">
        <v>1216</v>
      </c>
      <c r="B75" s="5">
        <v>27</v>
      </c>
      <c r="C75" s="5" t="s">
        <v>698</v>
      </c>
      <c r="D75" s="5"/>
      <c r="E75" s="5"/>
      <c r="F75" s="5"/>
    </row>
    <row r="76" spans="1:6" ht="20.100000000000001" customHeight="1">
      <c r="A76" s="5">
        <v>1216</v>
      </c>
      <c r="B76" s="5">
        <v>23</v>
      </c>
      <c r="C76" s="5" t="s">
        <v>192</v>
      </c>
      <c r="D76" s="5"/>
      <c r="E76" s="5"/>
      <c r="F76" s="5"/>
    </row>
    <row r="77" spans="1:6" ht="20.100000000000001" customHeight="1">
      <c r="A77" s="5">
        <v>1216</v>
      </c>
      <c r="B77" s="5">
        <v>24</v>
      </c>
      <c r="C77" s="5" t="s">
        <v>699</v>
      </c>
      <c r="D77" s="5"/>
      <c r="E77" s="5"/>
      <c r="F77" s="5"/>
    </row>
    <row r="78" spans="1:6" ht="20.100000000000001" customHeight="1">
      <c r="A78" s="5"/>
      <c r="B78" s="5"/>
      <c r="C78" s="5"/>
      <c r="D78" s="5"/>
      <c r="E78" s="5"/>
      <c r="F78" s="5"/>
    </row>
    <row r="79" spans="1:6" ht="20.100000000000001" customHeight="1">
      <c r="A79" s="17"/>
      <c r="B79" s="10"/>
      <c r="C79" s="10"/>
      <c r="D79" s="10"/>
      <c r="E79" s="10"/>
      <c r="F79" s="121"/>
    </row>
    <row r="80" spans="1:6" ht="20.100000000000001" customHeight="1">
      <c r="A80" s="17"/>
      <c r="B80" s="10"/>
      <c r="C80" s="10"/>
      <c r="D80" s="10"/>
      <c r="E80" s="10"/>
      <c r="F80" s="121"/>
    </row>
    <row r="81" spans="1:6" ht="20.100000000000001" customHeight="1">
      <c r="A81" s="17"/>
      <c r="B81" s="10"/>
      <c r="C81" s="10"/>
      <c r="D81" s="10"/>
      <c r="E81" s="10"/>
      <c r="F81" s="121"/>
    </row>
    <row r="82" spans="1:6" ht="20.100000000000001" customHeight="1">
      <c r="A82" s="17"/>
      <c r="B82" s="10"/>
      <c r="C82" s="10"/>
      <c r="D82" s="10"/>
      <c r="E82" s="10"/>
      <c r="F82" s="121"/>
    </row>
    <row r="83" spans="1:6" ht="20.100000000000001" customHeight="1">
      <c r="A83" s="17"/>
      <c r="B83" s="10"/>
      <c r="C83" s="10"/>
      <c r="D83" s="10"/>
      <c r="E83" s="10"/>
      <c r="F83" s="121"/>
    </row>
    <row r="84" spans="1:6" ht="20.100000000000001" customHeight="1">
      <c r="A84" s="17"/>
      <c r="B84" s="10"/>
      <c r="C84" s="10"/>
      <c r="D84" s="10"/>
      <c r="E84" s="10"/>
      <c r="F84" s="121"/>
    </row>
    <row r="85" spans="1:6" ht="20.100000000000001" customHeight="1">
      <c r="A85" s="17"/>
      <c r="B85" s="10"/>
      <c r="C85" s="10"/>
      <c r="D85" s="10"/>
      <c r="E85" s="10"/>
      <c r="F85" s="121"/>
    </row>
    <row r="86" spans="1:6" ht="20.100000000000001" customHeight="1">
      <c r="A86" s="17"/>
      <c r="B86" s="10"/>
      <c r="C86" s="10"/>
      <c r="D86" s="10"/>
      <c r="E86" s="10"/>
      <c r="F86" s="121"/>
    </row>
    <row r="87" spans="1:6" ht="20.100000000000001" customHeight="1">
      <c r="A87" s="17"/>
      <c r="B87" s="10"/>
      <c r="C87" s="10"/>
      <c r="D87" s="10"/>
      <c r="E87" s="10"/>
      <c r="F87" s="121"/>
    </row>
    <row r="88" spans="1:6" ht="20.100000000000001" customHeight="1">
      <c r="A88" s="17"/>
      <c r="B88" s="10"/>
      <c r="C88" s="10"/>
      <c r="D88" s="10"/>
      <c r="E88" s="10"/>
      <c r="F88" s="121"/>
    </row>
    <row r="89" spans="1:6" ht="20.100000000000001" customHeight="1">
      <c r="A89" s="80"/>
      <c r="B89" s="81"/>
      <c r="C89" s="81"/>
      <c r="D89" s="81"/>
      <c r="E89" s="81"/>
      <c r="F89" s="111"/>
    </row>
    <row r="90" spans="1:6" ht="20.100000000000001" customHeight="1">
      <c r="A90" s="112"/>
      <c r="B90" s="113"/>
      <c r="C90" s="114" t="s">
        <v>687</v>
      </c>
      <c r="D90" s="81"/>
      <c r="E90" s="113"/>
      <c r="F90" s="111"/>
    </row>
    <row r="91" spans="1:6" ht="20.100000000000001" customHeight="1">
      <c r="A91" s="112"/>
      <c r="B91" s="113"/>
      <c r="C91" s="114" t="s">
        <v>688</v>
      </c>
      <c r="D91" s="81"/>
      <c r="E91" s="113"/>
      <c r="F91" s="111"/>
    </row>
    <row r="92" spans="1:6" ht="20.100000000000001" customHeight="1">
      <c r="A92" s="80"/>
      <c r="B92" s="81"/>
      <c r="C92" s="115" t="s">
        <v>689</v>
      </c>
      <c r="D92" s="81"/>
      <c r="E92" s="81"/>
      <c r="F92" s="111"/>
    </row>
    <row r="93" spans="1:6" ht="20.100000000000001" customHeight="1">
      <c r="A93" s="116" t="s">
        <v>690</v>
      </c>
      <c r="B93" s="117"/>
      <c r="C93" s="117"/>
      <c r="D93" s="117"/>
      <c r="E93" s="117"/>
      <c r="F93" s="111"/>
    </row>
    <row r="94" spans="1:6" ht="20.100000000000001" customHeight="1">
      <c r="A94" s="118" t="s">
        <v>691</v>
      </c>
      <c r="B94" s="117"/>
      <c r="C94" s="117"/>
      <c r="D94" s="117"/>
      <c r="E94" s="117"/>
      <c r="F94" s="111"/>
    </row>
    <row r="95" spans="1:6" ht="20.100000000000001" customHeight="1">
      <c r="A95" s="118" t="s">
        <v>692</v>
      </c>
      <c r="B95" s="117"/>
      <c r="C95" s="117"/>
      <c r="D95" s="117"/>
      <c r="E95" s="117"/>
      <c r="F95" s="111"/>
    </row>
    <row r="96" spans="1:6" ht="20.100000000000001" customHeight="1">
      <c r="A96" s="119"/>
      <c r="B96" s="120"/>
      <c r="C96" s="120"/>
      <c r="D96" s="120"/>
      <c r="E96" s="120"/>
      <c r="F96" s="83"/>
    </row>
    <row r="97" spans="1:6" ht="20.100000000000001" customHeight="1">
      <c r="A97" s="52" t="s">
        <v>103</v>
      </c>
      <c r="B97" s="52" t="s">
        <v>104</v>
      </c>
      <c r="C97" s="52" t="s">
        <v>693</v>
      </c>
      <c r="D97" s="52"/>
      <c r="E97" s="52" t="s">
        <v>114</v>
      </c>
      <c r="F97" s="52" t="s">
        <v>694</v>
      </c>
    </row>
    <row r="98" spans="1:6" ht="20.100000000000001" customHeight="1">
      <c r="A98" s="5">
        <v>1200</v>
      </c>
      <c r="B98" s="5">
        <v>29</v>
      </c>
      <c r="C98" s="5" t="s">
        <v>202</v>
      </c>
      <c r="D98" s="5"/>
      <c r="E98" s="5"/>
      <c r="F98" s="5"/>
    </row>
    <row r="99" spans="1:6" ht="20.100000000000001" customHeight="1">
      <c r="A99" s="5">
        <v>1200</v>
      </c>
      <c r="B99" s="5">
        <v>30</v>
      </c>
      <c r="C99" s="5" t="s">
        <v>204</v>
      </c>
      <c r="D99" s="5"/>
      <c r="E99" s="5"/>
      <c r="F99" s="5"/>
    </row>
    <row r="100" spans="1:6" ht="20.100000000000001" customHeight="1">
      <c r="A100" s="5">
        <v>1200</v>
      </c>
      <c r="B100" s="5">
        <v>31</v>
      </c>
      <c r="C100" s="5" t="s">
        <v>206</v>
      </c>
      <c r="D100" s="5"/>
      <c r="E100" s="5"/>
      <c r="F100" s="5"/>
    </row>
    <row r="101" spans="1:6" ht="20.100000000000001" customHeight="1">
      <c r="A101" s="5">
        <v>1200</v>
      </c>
      <c r="B101" s="5">
        <v>34</v>
      </c>
      <c r="C101" s="5" t="s">
        <v>203</v>
      </c>
      <c r="D101" s="5"/>
      <c r="E101" s="5"/>
      <c r="F101" s="5"/>
    </row>
    <row r="102" spans="1:6" ht="20.100000000000001" customHeight="1">
      <c r="A102" s="5">
        <v>1200</v>
      </c>
      <c r="B102" s="5">
        <v>40</v>
      </c>
      <c r="C102" s="5" t="s">
        <v>205</v>
      </c>
      <c r="D102" s="5"/>
      <c r="E102" s="5"/>
      <c r="F102" s="5"/>
    </row>
    <row r="103" spans="1:6" ht="20.100000000000001" customHeight="1">
      <c r="A103" s="5">
        <v>1200</v>
      </c>
      <c r="B103" s="5">
        <v>70</v>
      </c>
      <c r="C103" s="5" t="s">
        <v>207</v>
      </c>
      <c r="D103" s="5"/>
      <c r="E103" s="5"/>
      <c r="F103" s="5"/>
    </row>
    <row r="104" spans="1:6" ht="20.100000000000001" customHeight="1">
      <c r="A104" s="5">
        <v>1200</v>
      </c>
      <c r="B104" s="5">
        <v>35</v>
      </c>
      <c r="C104" s="5" t="s">
        <v>208</v>
      </c>
      <c r="D104" s="5"/>
      <c r="E104" s="5"/>
      <c r="F104" s="5"/>
    </row>
    <row r="105" spans="1:6" ht="20.100000000000001" customHeight="1">
      <c r="A105" s="5"/>
      <c r="B105" s="5"/>
      <c r="C105" s="5"/>
      <c r="D105" s="5"/>
      <c r="E105" s="5"/>
      <c r="F105" s="5"/>
    </row>
    <row r="106" spans="1:6" ht="20.100000000000001" customHeight="1">
      <c r="A106" s="17"/>
      <c r="B106" s="10"/>
      <c r="C106" s="10"/>
      <c r="D106" s="10"/>
      <c r="E106" s="10"/>
      <c r="F106" s="121"/>
    </row>
    <row r="107" spans="1:6" ht="20.100000000000001" customHeight="1">
      <c r="A107" s="17"/>
      <c r="B107" s="10"/>
      <c r="C107" s="10"/>
      <c r="D107" s="10"/>
      <c r="E107" s="10"/>
      <c r="F107" s="121"/>
    </row>
    <row r="108" spans="1:6" ht="20.100000000000001" customHeight="1">
      <c r="A108" s="17"/>
      <c r="B108" s="10"/>
      <c r="C108" s="10"/>
      <c r="D108" s="10"/>
      <c r="E108" s="10"/>
      <c r="F108" s="121"/>
    </row>
    <row r="109" spans="1:6" ht="20.100000000000001" customHeight="1">
      <c r="A109" s="17"/>
      <c r="B109" s="10"/>
      <c r="C109" s="10"/>
      <c r="D109" s="10"/>
      <c r="E109" s="10"/>
      <c r="F109" s="121"/>
    </row>
    <row r="110" spans="1:6" ht="20.100000000000001" customHeight="1">
      <c r="A110" s="17"/>
      <c r="B110" s="10"/>
      <c r="C110" s="10"/>
      <c r="D110" s="10"/>
      <c r="E110" s="10"/>
      <c r="F110" s="121"/>
    </row>
    <row r="111" spans="1:6" ht="20.100000000000001" customHeight="1">
      <c r="A111" s="17"/>
      <c r="B111" s="10"/>
      <c r="C111" s="10"/>
      <c r="D111" s="10"/>
      <c r="E111" s="10"/>
      <c r="F111" s="121"/>
    </row>
    <row r="112" spans="1:6" ht="20.100000000000001" customHeight="1">
      <c r="A112" s="17"/>
      <c r="B112" s="10"/>
      <c r="C112" s="10"/>
      <c r="D112" s="10"/>
      <c r="E112" s="10"/>
      <c r="F112" s="121"/>
    </row>
    <row r="113" spans="1:6" ht="20.100000000000001" customHeight="1">
      <c r="A113" s="17"/>
      <c r="B113" s="10"/>
      <c r="C113" s="10"/>
      <c r="D113" s="10"/>
      <c r="E113" s="10"/>
      <c r="F113" s="121"/>
    </row>
    <row r="114" spans="1:6" ht="20.100000000000001" customHeight="1">
      <c r="A114" s="17"/>
      <c r="B114" s="10"/>
      <c r="C114" s="10"/>
      <c r="D114" s="10"/>
      <c r="E114" s="10"/>
      <c r="F114" s="121"/>
    </row>
    <row r="115" spans="1:6" ht="20.100000000000001" customHeight="1">
      <c r="A115" s="17"/>
      <c r="B115" s="10"/>
      <c r="C115" s="10"/>
      <c r="D115" s="10"/>
      <c r="E115" s="10"/>
      <c r="F115" s="121"/>
    </row>
    <row r="116" spans="1:6" ht="20.100000000000001" customHeight="1">
      <c r="A116" s="17"/>
      <c r="B116" s="10"/>
      <c r="C116" s="10"/>
      <c r="D116" s="10"/>
      <c r="E116" s="10"/>
      <c r="F116" s="121"/>
    </row>
    <row r="117" spans="1:6" ht="20.100000000000001" customHeight="1">
      <c r="A117" s="17"/>
      <c r="B117" s="10"/>
      <c r="C117" s="10"/>
      <c r="D117" s="10"/>
      <c r="E117" s="10"/>
      <c r="F117" s="121"/>
    </row>
    <row r="118" spans="1:6" ht="20.100000000000001" customHeight="1">
      <c r="A118" s="80"/>
      <c r="B118" s="81"/>
      <c r="C118" s="81"/>
      <c r="D118" s="81"/>
      <c r="E118" s="81"/>
      <c r="F118" s="111"/>
    </row>
    <row r="119" spans="1:6" ht="20.100000000000001" customHeight="1">
      <c r="A119" s="112"/>
      <c r="B119" s="113"/>
      <c r="C119" s="114" t="s">
        <v>687</v>
      </c>
      <c r="D119" s="81"/>
      <c r="E119" s="113"/>
      <c r="F119" s="111"/>
    </row>
    <row r="120" spans="1:6" ht="20.100000000000001" customHeight="1">
      <c r="A120" s="112"/>
      <c r="B120" s="113"/>
      <c r="C120" s="114" t="s">
        <v>688</v>
      </c>
      <c r="D120" s="81"/>
      <c r="E120" s="113"/>
      <c r="F120" s="111"/>
    </row>
    <row r="121" spans="1:6" ht="20.100000000000001" customHeight="1">
      <c r="A121" s="80"/>
      <c r="B121" s="81"/>
      <c r="C121" s="115" t="s">
        <v>689</v>
      </c>
      <c r="D121" s="81"/>
      <c r="E121" s="81"/>
      <c r="F121" s="111"/>
    </row>
    <row r="122" spans="1:6" ht="20.100000000000001" customHeight="1">
      <c r="A122" s="116" t="s">
        <v>690</v>
      </c>
      <c r="B122" s="117"/>
      <c r="C122" s="117"/>
      <c r="D122" s="117"/>
      <c r="E122" s="117"/>
      <c r="F122" s="111"/>
    </row>
    <row r="123" spans="1:6" ht="20.100000000000001" customHeight="1">
      <c r="A123" s="118" t="s">
        <v>691</v>
      </c>
      <c r="B123" s="117"/>
      <c r="C123" s="117"/>
      <c r="D123" s="117"/>
      <c r="E123" s="117"/>
      <c r="F123" s="111"/>
    </row>
    <row r="124" spans="1:6" ht="20.100000000000001" customHeight="1">
      <c r="A124" s="118" t="s">
        <v>692</v>
      </c>
      <c r="B124" s="117"/>
      <c r="C124" s="117"/>
      <c r="D124" s="117"/>
      <c r="E124" s="117"/>
      <c r="F124" s="111"/>
    </row>
    <row r="125" spans="1:6" ht="20.100000000000001" customHeight="1">
      <c r="A125" s="119"/>
      <c r="B125" s="120"/>
      <c r="C125" s="120"/>
      <c r="D125" s="120"/>
      <c r="E125" s="120"/>
      <c r="F125" s="83"/>
    </row>
    <row r="126" spans="1:6" ht="20.100000000000001" customHeight="1">
      <c r="A126" s="5">
        <v>1206</v>
      </c>
      <c r="B126" s="5">
        <v>1</v>
      </c>
      <c r="C126" s="5" t="s">
        <v>219</v>
      </c>
      <c r="D126" s="5"/>
      <c r="E126" s="5"/>
      <c r="F126" s="5"/>
    </row>
    <row r="127" spans="1:6" ht="20.100000000000001" customHeight="1">
      <c r="A127" s="5">
        <v>1206</v>
      </c>
      <c r="B127" s="5">
        <v>14</v>
      </c>
      <c r="C127" s="5" t="s">
        <v>220</v>
      </c>
      <c r="D127" s="5"/>
      <c r="E127" s="5"/>
      <c r="F127" s="5"/>
    </row>
    <row r="128" spans="1:6" ht="20.100000000000001" customHeight="1">
      <c r="A128" s="5">
        <v>1216</v>
      </c>
      <c r="B128" s="5">
        <v>18</v>
      </c>
      <c r="C128" s="5" t="s">
        <v>221</v>
      </c>
      <c r="D128" s="5"/>
      <c r="E128" s="5"/>
      <c r="F128" s="5"/>
    </row>
    <row r="129" spans="1:6" ht="20.100000000000001" customHeight="1">
      <c r="A129" s="5">
        <v>1206</v>
      </c>
      <c r="B129" s="5">
        <v>2</v>
      </c>
      <c r="C129" s="5" t="s">
        <v>222</v>
      </c>
      <c r="D129" s="5"/>
      <c r="E129" s="5"/>
      <c r="F129" s="5"/>
    </row>
    <row r="130" spans="1:6" ht="20.100000000000001" customHeight="1">
      <c r="A130" s="5">
        <v>1206</v>
      </c>
      <c r="B130" s="5">
        <v>3</v>
      </c>
      <c r="C130" s="5" t="s">
        <v>223</v>
      </c>
      <c r="D130" s="5"/>
      <c r="E130" s="5"/>
      <c r="F130" s="5"/>
    </row>
    <row r="131" spans="1:6" ht="20.100000000000001" customHeight="1">
      <c r="A131" s="5">
        <v>1206</v>
      </c>
      <c r="B131" s="5">
        <v>7</v>
      </c>
      <c r="C131" s="5" t="s">
        <v>224</v>
      </c>
      <c r="D131" s="5"/>
      <c r="E131" s="5"/>
      <c r="F131" s="5"/>
    </row>
    <row r="132" spans="1:6" ht="20.100000000000001" customHeight="1">
      <c r="A132" s="5">
        <v>1206</v>
      </c>
      <c r="B132" s="5">
        <v>5</v>
      </c>
      <c r="C132" s="5" t="s">
        <v>176</v>
      </c>
      <c r="D132" s="5"/>
      <c r="E132" s="5"/>
      <c r="F132" s="5"/>
    </row>
    <row r="133" spans="1:6" ht="20.100000000000001" customHeight="1">
      <c r="A133" s="5">
        <v>1206</v>
      </c>
      <c r="B133" s="5">
        <v>4</v>
      </c>
      <c r="C133" s="5" t="s">
        <v>225</v>
      </c>
      <c r="D133" s="5"/>
      <c r="E133" s="5"/>
      <c r="F133" s="5"/>
    </row>
    <row r="134" spans="1:6" ht="20.100000000000001" customHeight="1">
      <c r="A134" s="5">
        <v>1206</v>
      </c>
      <c r="B134" s="5">
        <v>13</v>
      </c>
      <c r="C134" s="5" t="s">
        <v>226</v>
      </c>
      <c r="D134" s="5"/>
      <c r="E134" s="5"/>
      <c r="F134" s="5"/>
    </row>
    <row r="135" spans="1:6" ht="20.100000000000001" customHeight="1">
      <c r="A135" s="5">
        <v>1206</v>
      </c>
      <c r="B135" s="5">
        <v>12</v>
      </c>
      <c r="C135" s="5" t="s">
        <v>227</v>
      </c>
      <c r="D135" s="5"/>
      <c r="E135" s="5"/>
      <c r="F135" s="5"/>
    </row>
    <row r="136" spans="1:6" ht="20.100000000000001" customHeight="1">
      <c r="A136" s="5"/>
      <c r="B136" s="5"/>
      <c r="C136" s="5"/>
      <c r="D136" s="5"/>
      <c r="E136" s="5"/>
      <c r="F136" s="5"/>
    </row>
    <row r="137" spans="1:6" ht="20.100000000000001" customHeight="1">
      <c r="A137" s="17"/>
      <c r="B137" s="10"/>
      <c r="C137" s="10"/>
      <c r="D137" s="10"/>
      <c r="E137" s="10"/>
      <c r="F137" s="121"/>
    </row>
    <row r="138" spans="1:6" ht="20.100000000000001" customHeight="1">
      <c r="A138" s="17"/>
      <c r="B138" s="10"/>
      <c r="C138" s="10"/>
      <c r="D138" s="10"/>
      <c r="E138" s="10"/>
      <c r="F138" s="121"/>
    </row>
    <row r="139" spans="1:6" ht="20.100000000000001" customHeight="1">
      <c r="A139" s="17"/>
      <c r="B139" s="10"/>
      <c r="C139" s="10"/>
      <c r="D139" s="10"/>
      <c r="E139" s="10"/>
      <c r="F139" s="121"/>
    </row>
    <row r="140" spans="1:6" ht="20.100000000000001" customHeight="1">
      <c r="A140" s="17"/>
      <c r="B140" s="10"/>
      <c r="C140" s="10"/>
      <c r="D140" s="10"/>
      <c r="E140" s="10"/>
      <c r="F140" s="121"/>
    </row>
    <row r="141" spans="1:6" ht="20.100000000000001" customHeight="1">
      <c r="A141" s="17"/>
      <c r="B141" s="10"/>
      <c r="C141" s="10"/>
      <c r="D141" s="10"/>
      <c r="E141" s="10"/>
      <c r="F141" s="121"/>
    </row>
    <row r="142" spans="1:6" ht="20.100000000000001" customHeight="1">
      <c r="A142" s="17"/>
      <c r="B142" s="10"/>
      <c r="C142" s="10"/>
      <c r="D142" s="10"/>
      <c r="E142" s="10"/>
      <c r="F142" s="121"/>
    </row>
    <row r="143" spans="1:6" ht="20.100000000000001" customHeight="1">
      <c r="A143" s="17"/>
      <c r="B143" s="10"/>
      <c r="C143" s="10"/>
      <c r="D143" s="10"/>
      <c r="E143" s="10"/>
      <c r="F143" s="121"/>
    </row>
    <row r="144" spans="1:6" ht="20.100000000000001" customHeight="1">
      <c r="A144" s="17"/>
      <c r="B144" s="10"/>
      <c r="C144" s="10"/>
      <c r="D144" s="10"/>
      <c r="E144" s="10"/>
      <c r="F144" s="121"/>
    </row>
    <row r="145" spans="1:6" ht="20.100000000000001" customHeight="1">
      <c r="A145" s="17"/>
      <c r="B145" s="10"/>
      <c r="C145" s="10"/>
      <c r="D145" s="10"/>
      <c r="E145" s="10"/>
      <c r="F145" s="121"/>
    </row>
    <row r="146" spans="1:6" ht="20.100000000000001" customHeight="1">
      <c r="A146" s="17"/>
      <c r="B146" s="10"/>
      <c r="C146" s="10"/>
      <c r="D146" s="10"/>
      <c r="E146" s="10"/>
      <c r="F146" s="121"/>
    </row>
    <row r="147" spans="1:6" ht="20.100000000000001" customHeight="1">
      <c r="A147" s="80"/>
      <c r="B147" s="81"/>
      <c r="C147" s="81"/>
      <c r="D147" s="81"/>
      <c r="E147" s="81"/>
      <c r="F147" s="111"/>
    </row>
    <row r="148" spans="1:6" ht="20.100000000000001" customHeight="1">
      <c r="A148" s="112"/>
      <c r="B148" s="113"/>
      <c r="C148" s="114" t="s">
        <v>687</v>
      </c>
      <c r="D148" s="81"/>
      <c r="E148" s="113"/>
      <c r="F148" s="111"/>
    </row>
    <row r="149" spans="1:6" ht="20.100000000000001" customHeight="1">
      <c r="A149" s="112"/>
      <c r="B149" s="113"/>
      <c r="C149" s="114" t="s">
        <v>688</v>
      </c>
      <c r="D149" s="81"/>
      <c r="E149" s="113"/>
      <c r="F149" s="111"/>
    </row>
    <row r="150" spans="1:6" ht="20.100000000000001" customHeight="1">
      <c r="A150" s="80"/>
      <c r="B150" s="81"/>
      <c r="C150" s="115" t="s">
        <v>689</v>
      </c>
      <c r="D150" s="81"/>
      <c r="E150" s="81"/>
      <c r="F150" s="111"/>
    </row>
    <row r="151" spans="1:6" ht="20.100000000000001" customHeight="1">
      <c r="A151" s="116" t="s">
        <v>690</v>
      </c>
      <c r="B151" s="117"/>
      <c r="C151" s="117"/>
      <c r="D151" s="117"/>
      <c r="E151" s="117"/>
      <c r="F151" s="111"/>
    </row>
    <row r="152" spans="1:6" ht="20.100000000000001" customHeight="1">
      <c r="A152" s="118" t="s">
        <v>691</v>
      </c>
      <c r="B152" s="117"/>
      <c r="C152" s="117"/>
      <c r="D152" s="117"/>
      <c r="E152" s="117"/>
      <c r="F152" s="111"/>
    </row>
    <row r="153" spans="1:6" ht="20.100000000000001" customHeight="1">
      <c r="A153" s="118" t="s">
        <v>692</v>
      </c>
      <c r="B153" s="117"/>
      <c r="C153" s="117"/>
      <c r="D153" s="117"/>
      <c r="E153" s="117"/>
      <c r="F153" s="111"/>
    </row>
    <row r="154" spans="1:6" ht="20.100000000000001" customHeight="1">
      <c r="A154" s="119"/>
      <c r="B154" s="120"/>
      <c r="C154" s="120"/>
      <c r="D154" s="120"/>
      <c r="E154" s="120"/>
      <c r="F154" s="83"/>
    </row>
    <row r="155" spans="1:6" ht="20.100000000000001" customHeight="1">
      <c r="A155" s="5">
        <v>1201</v>
      </c>
      <c r="B155" s="5">
        <v>1</v>
      </c>
      <c r="C155" s="5" t="s">
        <v>700</v>
      </c>
      <c r="D155" s="106"/>
      <c r="E155" s="5"/>
      <c r="F155" s="5"/>
    </row>
    <row r="156" spans="1:6" ht="20.100000000000001" customHeight="1">
      <c r="A156" s="5">
        <v>1201</v>
      </c>
      <c r="B156" s="5">
        <v>24</v>
      </c>
      <c r="C156" s="5" t="s">
        <v>232</v>
      </c>
      <c r="D156" s="5"/>
      <c r="E156" s="5"/>
      <c r="F156" s="5"/>
    </row>
    <row r="157" spans="1:6" ht="20.100000000000001" customHeight="1">
      <c r="A157" s="5">
        <v>1201</v>
      </c>
      <c r="B157" s="5">
        <v>10</v>
      </c>
      <c r="C157" s="5" t="s">
        <v>235</v>
      </c>
      <c r="D157" s="5"/>
      <c r="E157" s="5"/>
      <c r="F157" s="5"/>
    </row>
    <row r="158" spans="1:6" ht="20.100000000000001" customHeight="1">
      <c r="A158" s="5">
        <v>1201</v>
      </c>
      <c r="B158" s="5">
        <v>38</v>
      </c>
      <c r="C158" s="5" t="s">
        <v>236</v>
      </c>
      <c r="D158" s="5"/>
      <c r="E158" s="5"/>
      <c r="F158" s="5"/>
    </row>
    <row r="159" spans="1:6" ht="20.100000000000001" customHeight="1">
      <c r="A159" s="5">
        <v>1201</v>
      </c>
      <c r="B159" s="5">
        <v>39</v>
      </c>
      <c r="C159" s="5" t="s">
        <v>236</v>
      </c>
      <c r="D159" s="5"/>
      <c r="E159" s="5"/>
      <c r="F159" s="5"/>
    </row>
    <row r="160" spans="1:6" ht="20.100000000000001" customHeight="1">
      <c r="A160" s="5">
        <v>1201</v>
      </c>
      <c r="B160" s="5">
        <v>36</v>
      </c>
      <c r="C160" s="5" t="s">
        <v>237</v>
      </c>
      <c r="D160" s="5"/>
      <c r="E160" s="5"/>
      <c r="F160" s="5"/>
    </row>
    <row r="161" spans="1:6" ht="20.100000000000001" customHeight="1">
      <c r="A161" s="5">
        <v>1201</v>
      </c>
      <c r="B161" s="5">
        <v>37</v>
      </c>
      <c r="C161" s="5" t="s">
        <v>238</v>
      </c>
      <c r="D161" s="5"/>
      <c r="E161" s="5"/>
      <c r="F161" s="5"/>
    </row>
    <row r="162" spans="1:6" ht="20.100000000000001" customHeight="1">
      <c r="A162" s="5">
        <v>1201</v>
      </c>
      <c r="B162" s="5">
        <v>34</v>
      </c>
      <c r="C162" s="5" t="s">
        <v>239</v>
      </c>
      <c r="D162" s="5"/>
      <c r="E162" s="5"/>
      <c r="F162" s="5"/>
    </row>
    <row r="163" spans="1:6" ht="20.100000000000001" customHeight="1">
      <c r="A163" s="5">
        <v>1201</v>
      </c>
      <c r="B163" s="5">
        <v>8</v>
      </c>
      <c r="C163" s="5" t="s">
        <v>240</v>
      </c>
      <c r="D163" s="5"/>
      <c r="E163" s="5"/>
      <c r="F163" s="5"/>
    </row>
    <row r="164" spans="1:6" ht="20.100000000000001" customHeight="1">
      <c r="A164" s="5">
        <v>1201</v>
      </c>
      <c r="B164" s="5">
        <v>20</v>
      </c>
      <c r="C164" s="5" t="s">
        <v>241</v>
      </c>
      <c r="D164" s="106"/>
      <c r="E164" s="5"/>
      <c r="F164" s="5"/>
    </row>
    <row r="165" spans="1:6" ht="20.100000000000001" customHeight="1">
      <c r="A165" s="5">
        <v>1201</v>
      </c>
      <c r="B165" s="5">
        <v>7</v>
      </c>
      <c r="C165" s="5" t="s">
        <v>243</v>
      </c>
      <c r="D165" s="106"/>
      <c r="E165" s="5"/>
      <c r="F165" s="5"/>
    </row>
    <row r="166" spans="1:6" ht="20.100000000000001" customHeight="1">
      <c r="A166" s="5">
        <v>1201</v>
      </c>
      <c r="B166" s="5">
        <v>40</v>
      </c>
      <c r="C166" s="5" t="s">
        <v>242</v>
      </c>
      <c r="D166" s="106"/>
      <c r="E166" s="5"/>
      <c r="F166" s="5"/>
    </row>
    <row r="167" spans="1:6" ht="20.100000000000001" customHeight="1">
      <c r="A167" s="5">
        <v>1201</v>
      </c>
      <c r="B167" s="5">
        <v>13</v>
      </c>
      <c r="C167" s="5" t="s">
        <v>234</v>
      </c>
      <c r="D167" s="106"/>
      <c r="E167" s="5"/>
      <c r="F167" s="5"/>
    </row>
    <row r="168" spans="1:6" ht="20.100000000000001" customHeight="1">
      <c r="A168" s="5">
        <v>1201</v>
      </c>
      <c r="B168" s="5">
        <v>5</v>
      </c>
      <c r="C168" s="5" t="s">
        <v>244</v>
      </c>
      <c r="D168" s="106"/>
      <c r="E168" s="5"/>
      <c r="F168" s="5"/>
    </row>
    <row r="169" spans="1:6" ht="20.100000000000001" customHeight="1">
      <c r="A169" s="5">
        <v>1201</v>
      </c>
      <c r="B169" s="5">
        <v>16</v>
      </c>
      <c r="C169" s="5" t="s">
        <v>701</v>
      </c>
      <c r="D169" s="106"/>
      <c r="E169" s="5"/>
      <c r="F169" s="5"/>
    </row>
    <row r="170" spans="1:6" ht="20.100000000000001" customHeight="1">
      <c r="A170" s="5">
        <v>1201</v>
      </c>
      <c r="B170" s="5">
        <v>30</v>
      </c>
      <c r="C170" s="5" t="s">
        <v>702</v>
      </c>
      <c r="D170" s="106"/>
      <c r="E170" s="5"/>
      <c r="F170" s="5"/>
    </row>
    <row r="171" spans="1:6" ht="20.100000000000001" customHeight="1">
      <c r="A171" s="5">
        <v>1201</v>
      </c>
      <c r="B171" s="5">
        <v>6</v>
      </c>
      <c r="C171" s="5" t="s">
        <v>703</v>
      </c>
      <c r="D171" s="106"/>
      <c r="E171" s="5"/>
      <c r="F171" s="5"/>
    </row>
    <row r="172" spans="1:6" ht="20.100000000000001" customHeight="1">
      <c r="A172" s="5"/>
      <c r="B172" s="5"/>
      <c r="C172" s="5"/>
      <c r="D172" s="5"/>
      <c r="E172" s="5"/>
      <c r="F172" s="5"/>
    </row>
    <row r="173" spans="1:6" ht="20.100000000000001" customHeight="1">
      <c r="A173" s="6">
        <v>1202</v>
      </c>
      <c r="B173" s="107">
        <v>4</v>
      </c>
      <c r="C173" s="5" t="s">
        <v>704</v>
      </c>
      <c r="D173" s="5"/>
      <c r="E173" s="5"/>
      <c r="F173" s="5"/>
    </row>
    <row r="174" spans="1:6" ht="20.100000000000001" customHeight="1">
      <c r="A174" s="5">
        <v>1202</v>
      </c>
      <c r="B174" s="5">
        <v>28</v>
      </c>
      <c r="C174" s="106" t="s">
        <v>269</v>
      </c>
      <c r="D174" s="106"/>
      <c r="E174" s="5"/>
      <c r="F174" s="5"/>
    </row>
    <row r="175" spans="1:6" ht="20.100000000000001" customHeight="1">
      <c r="A175" s="5">
        <v>1202</v>
      </c>
      <c r="B175" s="5">
        <v>3</v>
      </c>
      <c r="C175" s="106" t="s">
        <v>268</v>
      </c>
      <c r="D175" s="106"/>
      <c r="E175" s="5"/>
      <c r="F175" s="5"/>
    </row>
    <row r="176" spans="1:6" ht="20.100000000000001" customHeight="1">
      <c r="A176" s="80"/>
      <c r="B176" s="81"/>
      <c r="C176" s="81"/>
      <c r="D176" s="81"/>
      <c r="E176" s="81"/>
      <c r="F176" s="111"/>
    </row>
    <row r="177" spans="1:7" ht="20.100000000000001" customHeight="1">
      <c r="A177" s="112"/>
      <c r="B177" s="113"/>
      <c r="C177" s="114" t="s">
        <v>687</v>
      </c>
      <c r="D177" s="81"/>
      <c r="E177" s="113"/>
      <c r="F177" s="111"/>
    </row>
    <row r="178" spans="1:7" ht="20.100000000000001" customHeight="1">
      <c r="A178" s="112"/>
      <c r="B178" s="113"/>
      <c r="C178" s="114" t="s">
        <v>688</v>
      </c>
      <c r="D178" s="81"/>
      <c r="E178" s="113"/>
      <c r="F178" s="111"/>
    </row>
    <row r="179" spans="1:7" ht="20.100000000000001" customHeight="1">
      <c r="A179" s="80"/>
      <c r="B179" s="81"/>
      <c r="C179" s="115" t="s">
        <v>689</v>
      </c>
      <c r="D179" s="81"/>
      <c r="E179" s="81"/>
      <c r="F179" s="111"/>
    </row>
    <row r="180" spans="1:7" ht="20.100000000000001" customHeight="1">
      <c r="A180" s="116" t="s">
        <v>690</v>
      </c>
      <c r="B180" s="117"/>
      <c r="C180" s="117"/>
      <c r="D180" s="117"/>
      <c r="E180" s="117"/>
      <c r="F180" s="111"/>
    </row>
    <row r="181" spans="1:7" ht="20.100000000000001" customHeight="1">
      <c r="A181" s="118" t="s">
        <v>691</v>
      </c>
      <c r="B181" s="117"/>
      <c r="C181" s="117"/>
      <c r="D181" s="117"/>
      <c r="E181" s="117"/>
      <c r="F181" s="111"/>
    </row>
    <row r="182" spans="1:7" ht="20.100000000000001" customHeight="1">
      <c r="A182" s="118" t="s">
        <v>692</v>
      </c>
      <c r="B182" s="117"/>
      <c r="C182" s="117"/>
      <c r="D182" s="117"/>
      <c r="E182" s="117"/>
      <c r="F182" s="111"/>
    </row>
    <row r="183" spans="1:7" ht="20.100000000000001" customHeight="1">
      <c r="A183" s="119"/>
      <c r="B183" s="120"/>
      <c r="C183" s="120"/>
      <c r="D183" s="120"/>
      <c r="E183" s="120"/>
      <c r="F183" s="83"/>
    </row>
    <row r="184" spans="1:7" ht="20.100000000000001" customHeight="1">
      <c r="A184" s="5">
        <v>1202</v>
      </c>
      <c r="B184" s="5">
        <v>1</v>
      </c>
      <c r="C184" s="106" t="s">
        <v>267</v>
      </c>
      <c r="D184" s="106"/>
      <c r="E184" s="5"/>
      <c r="F184" s="5"/>
    </row>
    <row r="185" spans="1:7" ht="20.100000000000001" customHeight="1">
      <c r="A185" s="5">
        <v>1202</v>
      </c>
      <c r="B185" s="5">
        <v>22</v>
      </c>
      <c r="C185" s="106" t="s">
        <v>265</v>
      </c>
      <c r="D185" s="106"/>
      <c r="E185" s="5"/>
      <c r="F185" s="5"/>
    </row>
    <row r="186" spans="1:7" ht="20.100000000000001" customHeight="1">
      <c r="A186" s="5">
        <v>1202</v>
      </c>
      <c r="B186" s="5">
        <v>24</v>
      </c>
      <c r="C186" s="106" t="s">
        <v>258</v>
      </c>
      <c r="D186" s="106"/>
      <c r="E186" s="5"/>
      <c r="F186" s="5"/>
    </row>
    <row r="187" spans="1:7" ht="20.100000000000001" customHeight="1">
      <c r="A187" s="5">
        <v>1202</v>
      </c>
      <c r="B187" s="5">
        <v>19</v>
      </c>
      <c r="C187" s="106" t="s">
        <v>262</v>
      </c>
      <c r="D187" s="106"/>
      <c r="E187" s="5"/>
      <c r="F187" s="5"/>
    </row>
    <row r="188" spans="1:7" ht="20.100000000000001" customHeight="1">
      <c r="A188" s="5">
        <v>1202</v>
      </c>
      <c r="B188" s="5">
        <v>14</v>
      </c>
      <c r="C188" s="106" t="s">
        <v>264</v>
      </c>
      <c r="D188" s="106"/>
      <c r="E188" s="5"/>
      <c r="F188" s="5"/>
    </row>
    <row r="189" spans="1:7" ht="20.100000000000001" customHeight="1">
      <c r="A189" s="5">
        <v>1202</v>
      </c>
      <c r="B189" s="5">
        <v>32</v>
      </c>
      <c r="C189" s="106" t="s">
        <v>262</v>
      </c>
      <c r="D189" s="106"/>
      <c r="E189" s="5"/>
      <c r="F189" s="5"/>
    </row>
    <row r="190" spans="1:7" ht="20.100000000000001" customHeight="1">
      <c r="A190" s="5">
        <v>1202</v>
      </c>
      <c r="B190" s="5">
        <v>34</v>
      </c>
      <c r="C190" s="106" t="s">
        <v>705</v>
      </c>
      <c r="D190" s="106"/>
      <c r="E190" s="5"/>
      <c r="F190" s="5"/>
    </row>
    <row r="191" spans="1:7" ht="20.100000000000001" customHeight="1">
      <c r="A191" s="5">
        <v>1202</v>
      </c>
      <c r="B191" s="5">
        <v>36</v>
      </c>
      <c r="C191" s="106" t="s">
        <v>705</v>
      </c>
      <c r="D191" s="106"/>
      <c r="E191" s="5"/>
      <c r="F191" s="5"/>
    </row>
    <row r="192" spans="1:7" s="5" customFormat="1" ht="20.100000000000001" customHeight="1">
      <c r="A192" s="5">
        <v>1202</v>
      </c>
      <c r="B192" s="5">
        <v>37</v>
      </c>
      <c r="C192" s="106" t="s">
        <v>705</v>
      </c>
      <c r="D192" s="106"/>
      <c r="G192" s="8"/>
    </row>
    <row r="193" spans="1:6" ht="20.100000000000001" customHeight="1">
      <c r="A193" s="5">
        <v>1202</v>
      </c>
      <c r="B193" s="5">
        <v>27</v>
      </c>
      <c r="C193" s="106" t="s">
        <v>261</v>
      </c>
      <c r="D193" s="106"/>
      <c r="E193" s="5"/>
      <c r="F193" s="5"/>
    </row>
    <row r="194" spans="1:6" ht="20.100000000000001" customHeight="1">
      <c r="A194" s="5">
        <v>1202</v>
      </c>
      <c r="B194" s="5">
        <v>16</v>
      </c>
      <c r="C194" s="106" t="s">
        <v>260</v>
      </c>
      <c r="D194" s="106"/>
      <c r="E194" s="5"/>
      <c r="F194" s="5"/>
    </row>
    <row r="195" spans="1:6" ht="20.100000000000001" customHeight="1">
      <c r="A195" s="5">
        <v>1202</v>
      </c>
      <c r="B195" s="5">
        <v>29</v>
      </c>
      <c r="C195" s="106" t="s">
        <v>257</v>
      </c>
      <c r="D195" s="106"/>
      <c r="E195" s="5"/>
      <c r="F195" s="5"/>
    </row>
    <row r="196" spans="1:6" ht="20.100000000000001" customHeight="1">
      <c r="A196" s="5">
        <v>1202</v>
      </c>
      <c r="B196" s="5">
        <v>5</v>
      </c>
      <c r="C196" s="106" t="s">
        <v>256</v>
      </c>
      <c r="D196" s="106"/>
      <c r="E196" s="5"/>
      <c r="F196" s="5"/>
    </row>
    <row r="197" spans="1:6" ht="20.100000000000001" customHeight="1">
      <c r="A197" s="5">
        <v>1202</v>
      </c>
      <c r="B197" s="5">
        <v>31</v>
      </c>
      <c r="C197" s="106" t="s">
        <v>706</v>
      </c>
      <c r="D197" s="106"/>
      <c r="E197" s="5"/>
      <c r="F197" s="5"/>
    </row>
    <row r="198" spans="1:6" ht="20.100000000000001" customHeight="1">
      <c r="A198" s="5">
        <v>1202</v>
      </c>
      <c r="B198" s="5">
        <v>6</v>
      </c>
      <c r="C198" s="106" t="s">
        <v>254</v>
      </c>
      <c r="D198" s="106"/>
      <c r="E198" s="5"/>
      <c r="F198" s="5"/>
    </row>
    <row r="199" spans="1:6" ht="20.100000000000001" customHeight="1">
      <c r="A199" s="5">
        <v>1202</v>
      </c>
      <c r="B199" s="5">
        <v>11</v>
      </c>
      <c r="C199" s="106" t="s">
        <v>254</v>
      </c>
      <c r="D199" s="106"/>
      <c r="E199" s="5"/>
      <c r="F199" s="5"/>
    </row>
    <row r="200" spans="1:6" ht="20.100000000000001" customHeight="1">
      <c r="A200" s="5">
        <v>1202</v>
      </c>
      <c r="B200" s="5">
        <v>33</v>
      </c>
      <c r="C200" s="106" t="s">
        <v>254</v>
      </c>
      <c r="D200" s="106"/>
      <c r="E200" s="5"/>
      <c r="F200" s="5"/>
    </row>
    <row r="201" spans="1:6" ht="20.100000000000001" customHeight="1">
      <c r="A201" s="5">
        <v>1202</v>
      </c>
      <c r="B201" s="5">
        <v>30</v>
      </c>
      <c r="C201" s="106" t="s">
        <v>707</v>
      </c>
      <c r="D201" s="106"/>
      <c r="E201" s="5"/>
      <c r="F201" s="5"/>
    </row>
    <row r="202" spans="1:6" ht="20.100000000000001" customHeight="1">
      <c r="A202" s="5"/>
      <c r="B202" s="5"/>
      <c r="C202" s="5"/>
      <c r="D202" s="5"/>
      <c r="E202" s="5"/>
      <c r="F202" s="5"/>
    </row>
    <row r="203" spans="1:6" ht="20.100000000000001" customHeight="1">
      <c r="A203" s="5"/>
      <c r="B203" s="5"/>
      <c r="C203" s="5"/>
      <c r="D203" s="5"/>
      <c r="E203" s="5"/>
      <c r="F203" s="5"/>
    </row>
    <row r="204" spans="1:6" ht="20.100000000000001" customHeight="1">
      <c r="A204" s="17"/>
      <c r="B204" s="10"/>
      <c r="C204" s="10"/>
      <c r="D204" s="10"/>
      <c r="E204" s="10"/>
      <c r="F204" s="121"/>
    </row>
    <row r="205" spans="1:6" ht="20.100000000000001" customHeight="1">
      <c r="A205" s="80"/>
      <c r="B205" s="81"/>
      <c r="C205" s="81"/>
      <c r="D205" s="81"/>
      <c r="E205" s="81"/>
      <c r="F205" s="111"/>
    </row>
    <row r="206" spans="1:6" ht="20.100000000000001" customHeight="1">
      <c r="A206" s="112"/>
      <c r="B206" s="113"/>
      <c r="C206" s="114" t="s">
        <v>687</v>
      </c>
      <c r="D206" s="81"/>
      <c r="E206" s="113"/>
      <c r="F206" s="111"/>
    </row>
    <row r="207" spans="1:6" ht="20.100000000000001" customHeight="1">
      <c r="A207" s="112"/>
      <c r="B207" s="113"/>
      <c r="C207" s="114" t="s">
        <v>688</v>
      </c>
      <c r="D207" s="81"/>
      <c r="E207" s="113"/>
      <c r="F207" s="111"/>
    </row>
    <row r="208" spans="1:6" ht="20.100000000000001" customHeight="1">
      <c r="A208" s="80"/>
      <c r="B208" s="81"/>
      <c r="C208" s="115" t="s">
        <v>689</v>
      </c>
      <c r="D208" s="81"/>
      <c r="E208" s="81"/>
      <c r="F208" s="111"/>
    </row>
    <row r="209" spans="1:6" ht="20.100000000000001" customHeight="1">
      <c r="A209" s="116" t="s">
        <v>690</v>
      </c>
      <c r="B209" s="117"/>
      <c r="C209" s="117"/>
      <c r="D209" s="117"/>
      <c r="E209" s="117"/>
      <c r="F209" s="111"/>
    </row>
    <row r="210" spans="1:6" ht="20.100000000000001" customHeight="1">
      <c r="A210" s="118" t="s">
        <v>691</v>
      </c>
      <c r="B210" s="117"/>
      <c r="C210" s="117"/>
      <c r="D210" s="117"/>
      <c r="E210" s="117"/>
      <c r="F210" s="111"/>
    </row>
    <row r="211" spans="1:6" ht="20.100000000000001" customHeight="1">
      <c r="A211" s="118" t="s">
        <v>692</v>
      </c>
      <c r="B211" s="117"/>
      <c r="C211" s="117"/>
      <c r="D211" s="117"/>
      <c r="E211" s="117"/>
      <c r="F211" s="111"/>
    </row>
    <row r="212" spans="1:6" ht="20.100000000000001" customHeight="1">
      <c r="A212" s="119"/>
      <c r="B212" s="120"/>
      <c r="C212" s="120"/>
      <c r="D212" s="120"/>
      <c r="E212" s="120"/>
      <c r="F212" s="83"/>
    </row>
    <row r="213" spans="1:6" ht="20.100000000000001" customHeight="1">
      <c r="A213" s="5">
        <v>1200</v>
      </c>
      <c r="B213" s="5">
        <v>23</v>
      </c>
      <c r="C213" s="5" t="s">
        <v>279</v>
      </c>
      <c r="D213" s="5"/>
      <c r="E213" s="5"/>
      <c r="F213" s="5"/>
    </row>
    <row r="214" spans="1:6" ht="20.100000000000001" customHeight="1">
      <c r="A214" s="5">
        <v>1200</v>
      </c>
      <c r="B214" s="5">
        <v>68</v>
      </c>
      <c r="C214" s="5" t="s">
        <v>278</v>
      </c>
      <c r="D214" s="5"/>
      <c r="E214" s="5"/>
      <c r="F214" s="5"/>
    </row>
    <row r="215" spans="1:6" ht="20.100000000000001" customHeight="1">
      <c r="A215" s="5"/>
      <c r="B215" s="5"/>
      <c r="C215" s="5"/>
      <c r="D215" s="5"/>
      <c r="E215" s="5"/>
      <c r="F215" s="5"/>
    </row>
    <row r="216" spans="1:6" ht="20.100000000000001" customHeight="1">
      <c r="A216" s="17"/>
      <c r="B216" s="10"/>
      <c r="C216" s="10"/>
      <c r="D216" s="10"/>
      <c r="E216" s="10"/>
      <c r="F216" s="121"/>
    </row>
    <row r="217" spans="1:6" ht="20.100000000000001" customHeight="1">
      <c r="A217" s="17"/>
      <c r="B217" s="10"/>
      <c r="C217" s="10"/>
      <c r="D217" s="10"/>
      <c r="E217" s="10"/>
      <c r="F217" s="121"/>
    </row>
    <row r="218" spans="1:6" ht="20.100000000000001" customHeight="1">
      <c r="A218" s="17"/>
      <c r="B218" s="10"/>
      <c r="C218" s="10"/>
      <c r="D218" s="10"/>
      <c r="E218" s="10"/>
      <c r="F218" s="121"/>
    </row>
    <row r="219" spans="1:6" ht="20.100000000000001" customHeight="1">
      <c r="A219" s="17"/>
      <c r="B219" s="10"/>
      <c r="C219" s="10"/>
      <c r="D219" s="10"/>
      <c r="E219" s="10"/>
      <c r="F219" s="121"/>
    </row>
    <row r="220" spans="1:6" ht="20.100000000000001" customHeight="1">
      <c r="A220" s="17"/>
      <c r="B220" s="10"/>
      <c r="C220" s="10"/>
      <c r="D220" s="10"/>
      <c r="E220" s="10"/>
      <c r="F220" s="121"/>
    </row>
    <row r="221" spans="1:6" ht="20.100000000000001" customHeight="1">
      <c r="A221" s="17"/>
      <c r="B221" s="10"/>
      <c r="C221" s="10"/>
      <c r="D221" s="10"/>
      <c r="E221" s="10"/>
      <c r="F221" s="121"/>
    </row>
    <row r="222" spans="1:6" ht="20.100000000000001" customHeight="1">
      <c r="A222" s="17"/>
      <c r="B222" s="10"/>
      <c r="C222" s="10"/>
      <c r="D222" s="10"/>
      <c r="E222" s="10"/>
      <c r="F222" s="121"/>
    </row>
    <row r="223" spans="1:6" ht="20.100000000000001" customHeight="1">
      <c r="A223" s="17"/>
      <c r="B223" s="10"/>
      <c r="C223" s="10"/>
      <c r="D223" s="10"/>
      <c r="E223" s="10"/>
      <c r="F223" s="121"/>
    </row>
    <row r="224" spans="1:6" ht="20.100000000000001" customHeight="1">
      <c r="A224" s="17"/>
      <c r="B224" s="10"/>
      <c r="C224" s="10"/>
      <c r="D224" s="10"/>
      <c r="E224" s="10"/>
      <c r="F224" s="121"/>
    </row>
    <row r="225" spans="1:6" ht="20.100000000000001" customHeight="1">
      <c r="A225" s="17"/>
      <c r="B225" s="10"/>
      <c r="C225" s="10"/>
      <c r="D225" s="10"/>
      <c r="E225" s="10"/>
      <c r="F225" s="121"/>
    </row>
    <row r="226" spans="1:6" ht="20.100000000000001" customHeight="1">
      <c r="A226" s="17"/>
      <c r="B226" s="10"/>
      <c r="C226" s="10"/>
      <c r="D226" s="10"/>
      <c r="E226" s="10"/>
      <c r="F226" s="121"/>
    </row>
    <row r="227" spans="1:6" ht="20.100000000000001" customHeight="1">
      <c r="A227" s="17"/>
      <c r="B227" s="10"/>
      <c r="C227" s="10"/>
      <c r="D227" s="10"/>
      <c r="E227" s="10"/>
      <c r="F227" s="121"/>
    </row>
    <row r="228" spans="1:6" ht="20.100000000000001" customHeight="1">
      <c r="A228" s="17"/>
      <c r="B228" s="10"/>
      <c r="C228" s="10"/>
      <c r="D228" s="10"/>
      <c r="E228" s="10"/>
      <c r="F228" s="121"/>
    </row>
    <row r="229" spans="1:6" ht="20.100000000000001" customHeight="1">
      <c r="A229" s="17"/>
      <c r="B229" s="10"/>
      <c r="C229" s="10"/>
      <c r="D229" s="10"/>
      <c r="E229" s="10"/>
      <c r="F229" s="121"/>
    </row>
    <row r="230" spans="1:6" ht="20.100000000000001" customHeight="1">
      <c r="A230" s="17"/>
      <c r="B230" s="10"/>
      <c r="C230" s="10"/>
      <c r="D230" s="10"/>
      <c r="E230" s="10"/>
      <c r="F230" s="121"/>
    </row>
    <row r="231" spans="1:6" ht="20.100000000000001" customHeight="1">
      <c r="A231" s="17"/>
      <c r="B231" s="10"/>
      <c r="C231" s="10"/>
      <c r="D231" s="10"/>
      <c r="E231" s="10"/>
      <c r="F231" s="121"/>
    </row>
    <row r="232" spans="1:6" ht="20.100000000000001" customHeight="1">
      <c r="A232" s="17"/>
      <c r="B232" s="10"/>
      <c r="C232" s="10"/>
      <c r="D232" s="10"/>
      <c r="E232" s="10"/>
      <c r="F232" s="121"/>
    </row>
    <row r="233" spans="1:6" ht="20.100000000000001" customHeight="1">
      <c r="A233" s="17"/>
      <c r="B233" s="10"/>
      <c r="C233" s="10"/>
      <c r="D233" s="10"/>
      <c r="E233" s="10"/>
      <c r="F233" s="121"/>
    </row>
    <row r="234" spans="1:6" ht="20.100000000000001" customHeight="1">
      <c r="A234" s="80"/>
      <c r="B234" s="81"/>
      <c r="C234" s="81"/>
      <c r="D234" s="81"/>
      <c r="E234" s="81"/>
      <c r="F234" s="111"/>
    </row>
    <row r="235" spans="1:6" ht="20.100000000000001" customHeight="1">
      <c r="A235" s="112"/>
      <c r="B235" s="113"/>
      <c r="C235" s="114" t="s">
        <v>687</v>
      </c>
      <c r="D235" s="81"/>
      <c r="E235" s="113"/>
      <c r="F235" s="111"/>
    </row>
    <row r="236" spans="1:6" ht="20.100000000000001" customHeight="1">
      <c r="A236" s="112"/>
      <c r="B236" s="113"/>
      <c r="C236" s="114" t="s">
        <v>688</v>
      </c>
      <c r="D236" s="81"/>
      <c r="E236" s="113"/>
      <c r="F236" s="111"/>
    </row>
    <row r="237" spans="1:6" ht="20.100000000000001" customHeight="1">
      <c r="A237" s="80"/>
      <c r="B237" s="81"/>
      <c r="C237" s="115" t="s">
        <v>689</v>
      </c>
      <c r="D237" s="81"/>
      <c r="E237" s="81"/>
      <c r="F237" s="111"/>
    </row>
    <row r="238" spans="1:6" ht="20.100000000000001" customHeight="1">
      <c r="A238" s="116" t="s">
        <v>690</v>
      </c>
      <c r="B238" s="117"/>
      <c r="C238" s="117"/>
      <c r="D238" s="117"/>
      <c r="E238" s="117"/>
      <c r="F238" s="111"/>
    </row>
    <row r="239" spans="1:6" ht="20.100000000000001" customHeight="1">
      <c r="A239" s="118" t="s">
        <v>691</v>
      </c>
      <c r="B239" s="117"/>
      <c r="C239" s="117"/>
      <c r="D239" s="117"/>
      <c r="E239" s="117"/>
      <c r="F239" s="111"/>
    </row>
    <row r="240" spans="1:6" ht="20.100000000000001" customHeight="1">
      <c r="A240" s="118" t="s">
        <v>692</v>
      </c>
      <c r="B240" s="117"/>
      <c r="C240" s="117"/>
      <c r="D240" s="117"/>
      <c r="E240" s="117"/>
      <c r="F240" s="111"/>
    </row>
    <row r="241" spans="1:6" ht="20.100000000000001" customHeight="1">
      <c r="A241" s="119"/>
      <c r="B241" s="120"/>
      <c r="C241" s="120"/>
      <c r="D241" s="120"/>
      <c r="E241" s="120"/>
      <c r="F241" s="83"/>
    </row>
    <row r="242" spans="1:6" ht="20.100000000000001" customHeight="1">
      <c r="A242" s="5">
        <v>1208</v>
      </c>
      <c r="B242" s="5">
        <v>1</v>
      </c>
      <c r="C242" s="5" t="s">
        <v>299</v>
      </c>
      <c r="D242" s="5"/>
      <c r="E242" s="5"/>
      <c r="F242" s="5"/>
    </row>
    <row r="243" spans="1:6" ht="20.100000000000001" customHeight="1">
      <c r="A243" s="5">
        <v>1208</v>
      </c>
      <c r="B243" s="5">
        <v>7</v>
      </c>
      <c r="C243" s="5" t="s">
        <v>299</v>
      </c>
      <c r="D243" s="5"/>
      <c r="E243" s="5"/>
      <c r="F243" s="5"/>
    </row>
    <row r="244" spans="1:6" ht="20.100000000000001" customHeight="1">
      <c r="A244" s="5">
        <v>1208</v>
      </c>
      <c r="B244" s="5">
        <v>28</v>
      </c>
      <c r="C244" s="5" t="s">
        <v>299</v>
      </c>
      <c r="D244" s="5"/>
      <c r="E244" s="5"/>
      <c r="F244" s="5"/>
    </row>
    <row r="245" spans="1:6" ht="20.100000000000001" customHeight="1">
      <c r="A245" s="5">
        <v>1208</v>
      </c>
      <c r="B245" s="5">
        <v>27</v>
      </c>
      <c r="C245" s="5" t="s">
        <v>708</v>
      </c>
      <c r="D245" s="5"/>
      <c r="E245" s="5"/>
      <c r="F245" s="5"/>
    </row>
    <row r="246" spans="1:6" ht="20.100000000000001" customHeight="1">
      <c r="A246" s="5">
        <v>1208</v>
      </c>
      <c r="B246" s="5">
        <v>29</v>
      </c>
      <c r="C246" s="5" t="s">
        <v>297</v>
      </c>
      <c r="D246" s="5"/>
      <c r="E246" s="5"/>
      <c r="F246" s="5"/>
    </row>
    <row r="247" spans="1:6" ht="20.100000000000001" customHeight="1">
      <c r="A247" s="5">
        <v>1208</v>
      </c>
      <c r="B247" s="5">
        <v>36</v>
      </c>
      <c r="C247" s="5" t="s">
        <v>296</v>
      </c>
      <c r="D247" s="5"/>
      <c r="E247" s="5"/>
      <c r="F247" s="5"/>
    </row>
    <row r="248" spans="1:6" ht="20.100000000000001" customHeight="1">
      <c r="A248" s="5">
        <v>1208</v>
      </c>
      <c r="B248" s="5">
        <v>5</v>
      </c>
      <c r="C248" s="5" t="s">
        <v>295</v>
      </c>
      <c r="D248" s="5"/>
      <c r="E248" s="5"/>
      <c r="F248" s="5"/>
    </row>
    <row r="249" spans="1:6" ht="20.100000000000001" customHeight="1">
      <c r="A249" s="5">
        <v>1208</v>
      </c>
      <c r="B249" s="5">
        <v>44</v>
      </c>
      <c r="C249" s="5" t="s">
        <v>294</v>
      </c>
      <c r="D249" s="5"/>
      <c r="E249" s="5"/>
      <c r="F249" s="5"/>
    </row>
    <row r="250" spans="1:6" ht="20.100000000000001" customHeight="1">
      <c r="A250" s="5">
        <v>1208</v>
      </c>
      <c r="B250" s="5">
        <v>13</v>
      </c>
      <c r="C250" s="5" t="s">
        <v>293</v>
      </c>
      <c r="D250" s="5"/>
      <c r="E250" s="5"/>
      <c r="F250" s="5"/>
    </row>
    <row r="251" spans="1:6" ht="20.100000000000001" customHeight="1">
      <c r="A251" s="5">
        <v>1208</v>
      </c>
      <c r="B251" s="5">
        <v>14</v>
      </c>
      <c r="C251" s="5" t="s">
        <v>292</v>
      </c>
      <c r="D251" s="5"/>
      <c r="E251" s="5"/>
      <c r="F251" s="5"/>
    </row>
    <row r="252" spans="1:6" ht="20.100000000000001" customHeight="1">
      <c r="A252" s="5">
        <v>1208</v>
      </c>
      <c r="B252" s="5">
        <v>47</v>
      </c>
      <c r="C252" s="5" t="s">
        <v>292</v>
      </c>
      <c r="D252" s="5"/>
      <c r="E252" s="5"/>
      <c r="F252" s="5"/>
    </row>
    <row r="253" spans="1:6" ht="20.100000000000001" customHeight="1">
      <c r="A253" s="5">
        <v>1208</v>
      </c>
      <c r="B253" s="5">
        <v>4</v>
      </c>
      <c r="C253" s="5" t="s">
        <v>287</v>
      </c>
      <c r="D253" s="5"/>
      <c r="E253" s="5"/>
      <c r="F253" s="5"/>
    </row>
    <row r="254" spans="1:6" ht="20.100000000000001" customHeight="1">
      <c r="A254" s="5">
        <v>1208</v>
      </c>
      <c r="B254" s="5">
        <v>38</v>
      </c>
      <c r="C254" s="5" t="s">
        <v>288</v>
      </c>
      <c r="D254" s="5"/>
      <c r="E254" s="5"/>
      <c r="F254" s="5"/>
    </row>
    <row r="255" spans="1:6" ht="20.100000000000001" customHeight="1">
      <c r="A255" s="5">
        <v>1208</v>
      </c>
      <c r="B255" s="5">
        <v>43</v>
      </c>
      <c r="C255" s="5" t="s">
        <v>420</v>
      </c>
      <c r="D255" s="5"/>
      <c r="E255" s="5"/>
      <c r="F255" s="5"/>
    </row>
    <row r="256" spans="1:6" ht="20.100000000000001" customHeight="1">
      <c r="A256" s="5">
        <v>1208</v>
      </c>
      <c r="B256" s="5">
        <v>34</v>
      </c>
      <c r="C256" s="5" t="s">
        <v>289</v>
      </c>
      <c r="D256" s="5"/>
      <c r="E256" s="5"/>
      <c r="F256" s="5"/>
    </row>
    <row r="257" spans="1:6" ht="20.100000000000001" customHeight="1">
      <c r="A257" s="5">
        <v>1208</v>
      </c>
      <c r="B257" s="5">
        <v>41</v>
      </c>
      <c r="C257" s="5" t="s">
        <v>289</v>
      </c>
      <c r="D257" s="5"/>
      <c r="E257" s="5"/>
      <c r="F257" s="5"/>
    </row>
    <row r="258" spans="1:6" ht="20.100000000000001" customHeight="1">
      <c r="A258" s="5">
        <v>1208</v>
      </c>
      <c r="B258" s="5">
        <v>42</v>
      </c>
      <c r="C258" s="5" t="s">
        <v>289</v>
      </c>
      <c r="D258" s="5"/>
      <c r="E258" s="5"/>
      <c r="F258" s="5"/>
    </row>
    <row r="259" spans="1:6" ht="20.100000000000001" customHeight="1">
      <c r="A259" s="5">
        <v>1208</v>
      </c>
      <c r="B259" s="5">
        <v>6</v>
      </c>
      <c r="C259" s="5" t="s">
        <v>709</v>
      </c>
      <c r="D259" s="5"/>
      <c r="E259" s="5"/>
      <c r="F259" s="5"/>
    </row>
    <row r="260" spans="1:6" ht="20.100000000000001" customHeight="1">
      <c r="A260" s="5">
        <v>1208</v>
      </c>
      <c r="B260" s="5">
        <v>15</v>
      </c>
      <c r="C260" s="5" t="s">
        <v>279</v>
      </c>
      <c r="D260" s="5"/>
      <c r="E260" s="5"/>
      <c r="F260" s="5"/>
    </row>
    <row r="261" spans="1:6" ht="20.100000000000001" customHeight="1">
      <c r="A261" s="5">
        <v>1208</v>
      </c>
      <c r="B261" s="5">
        <v>16</v>
      </c>
      <c r="C261" s="5" t="s">
        <v>279</v>
      </c>
      <c r="D261" s="5"/>
      <c r="E261" s="5"/>
      <c r="F261" s="5"/>
    </row>
    <row r="262" spans="1:6" ht="20.100000000000001" customHeight="1">
      <c r="A262" s="5">
        <v>1208</v>
      </c>
      <c r="B262" s="5">
        <v>30</v>
      </c>
      <c r="C262" s="5" t="s">
        <v>279</v>
      </c>
      <c r="D262" s="5"/>
      <c r="E262" s="5"/>
      <c r="F262" s="5"/>
    </row>
    <row r="263" spans="1:6" ht="20.100000000000001" customHeight="1">
      <c r="A263" s="80"/>
      <c r="B263" s="81"/>
      <c r="C263" s="81"/>
      <c r="D263" s="81"/>
      <c r="E263" s="81"/>
      <c r="F263" s="111"/>
    </row>
    <row r="264" spans="1:6" ht="20.100000000000001" customHeight="1">
      <c r="A264" s="112"/>
      <c r="B264" s="113"/>
      <c r="C264" s="114" t="s">
        <v>687</v>
      </c>
      <c r="D264" s="81"/>
      <c r="E264" s="113"/>
      <c r="F264" s="111"/>
    </row>
    <row r="265" spans="1:6" ht="20.100000000000001" customHeight="1">
      <c r="A265" s="112"/>
      <c r="B265" s="113"/>
      <c r="C265" s="114" t="s">
        <v>688</v>
      </c>
      <c r="D265" s="81"/>
      <c r="E265" s="113"/>
      <c r="F265" s="111"/>
    </row>
    <row r="266" spans="1:6" ht="20.100000000000001" customHeight="1">
      <c r="A266" s="80"/>
      <c r="B266" s="81"/>
      <c r="C266" s="115" t="s">
        <v>689</v>
      </c>
      <c r="D266" s="81"/>
      <c r="E266" s="81"/>
      <c r="F266" s="111"/>
    </row>
    <row r="267" spans="1:6" ht="20.100000000000001" customHeight="1">
      <c r="A267" s="116" t="s">
        <v>690</v>
      </c>
      <c r="B267" s="117"/>
      <c r="C267" s="117"/>
      <c r="D267" s="117"/>
      <c r="E267" s="117"/>
      <c r="F267" s="111"/>
    </row>
    <row r="268" spans="1:6" ht="20.100000000000001" customHeight="1">
      <c r="A268" s="118" t="s">
        <v>691</v>
      </c>
      <c r="B268" s="117"/>
      <c r="C268" s="117"/>
      <c r="D268" s="117"/>
      <c r="E268" s="117"/>
      <c r="F268" s="111"/>
    </row>
    <row r="269" spans="1:6" ht="20.100000000000001" customHeight="1">
      <c r="A269" s="118" t="s">
        <v>692</v>
      </c>
      <c r="B269" s="117"/>
      <c r="C269" s="117"/>
      <c r="D269" s="117"/>
      <c r="E269" s="117"/>
      <c r="F269" s="111"/>
    </row>
    <row r="270" spans="1:6" ht="20.100000000000001" customHeight="1">
      <c r="A270" s="119"/>
      <c r="B270" s="120"/>
      <c r="C270" s="120"/>
      <c r="D270" s="120"/>
      <c r="E270" s="120"/>
      <c r="F270" s="83"/>
    </row>
    <row r="271" spans="1:6" ht="20.100000000000001" customHeight="1">
      <c r="A271" s="5">
        <v>1208</v>
      </c>
      <c r="B271" s="5">
        <v>45</v>
      </c>
      <c r="C271" s="5" t="s">
        <v>279</v>
      </c>
      <c r="D271" s="5"/>
      <c r="E271" s="5"/>
      <c r="F271" s="5"/>
    </row>
    <row r="272" spans="1:6" ht="20.100000000000001" customHeight="1">
      <c r="A272" s="5">
        <v>1208</v>
      </c>
      <c r="B272" s="5">
        <v>18</v>
      </c>
      <c r="C272" s="5" t="s">
        <v>710</v>
      </c>
      <c r="D272" s="5"/>
      <c r="E272" s="5"/>
      <c r="F272" s="5"/>
    </row>
    <row r="273" spans="1:6" ht="20.100000000000001" customHeight="1">
      <c r="A273" s="5">
        <v>1208</v>
      </c>
      <c r="B273" s="5">
        <v>17</v>
      </c>
      <c r="C273" s="5" t="s">
        <v>285</v>
      </c>
      <c r="D273" s="5"/>
      <c r="E273" s="5"/>
      <c r="F273" s="5"/>
    </row>
    <row r="274" spans="1:6" ht="20.100000000000001" customHeight="1">
      <c r="A274" s="5">
        <v>1208</v>
      </c>
      <c r="B274" s="5">
        <v>21</v>
      </c>
      <c r="C274" s="5" t="s">
        <v>284</v>
      </c>
      <c r="D274" s="5"/>
      <c r="E274" s="5"/>
      <c r="F274" s="5"/>
    </row>
    <row r="275" spans="1:6" ht="20.100000000000001" customHeight="1">
      <c r="A275" s="5">
        <v>1208</v>
      </c>
      <c r="B275" s="5">
        <v>46</v>
      </c>
      <c r="C275" s="5" t="s">
        <v>283</v>
      </c>
      <c r="D275" s="5"/>
      <c r="E275" s="5"/>
      <c r="F275" s="5"/>
    </row>
    <row r="276" spans="1:6" ht="20.100000000000001" customHeight="1">
      <c r="A276" s="5">
        <v>1208</v>
      </c>
      <c r="B276" s="5">
        <v>22</v>
      </c>
      <c r="C276" s="5" t="s">
        <v>266</v>
      </c>
      <c r="D276" s="5"/>
      <c r="E276" s="5"/>
      <c r="F276" s="5"/>
    </row>
    <row r="277" spans="1:6" ht="19.5" customHeight="1">
      <c r="A277" s="5"/>
      <c r="B277" s="5"/>
      <c r="C277" s="5"/>
      <c r="D277" s="5"/>
      <c r="E277" s="5"/>
      <c r="F277" s="5"/>
    </row>
    <row r="278" spans="1:6" ht="19.5" customHeight="1">
      <c r="A278" s="17"/>
      <c r="B278" s="10"/>
      <c r="C278" s="10"/>
      <c r="D278" s="10"/>
      <c r="E278" s="10"/>
      <c r="F278" s="121"/>
    </row>
    <row r="279" spans="1:6" ht="19.5" customHeight="1">
      <c r="A279" s="17"/>
      <c r="B279" s="10"/>
      <c r="C279" s="10"/>
      <c r="D279" s="10"/>
      <c r="E279" s="10"/>
      <c r="F279" s="121"/>
    </row>
    <row r="280" spans="1:6" ht="19.5" customHeight="1">
      <c r="A280" s="17"/>
      <c r="B280" s="10"/>
      <c r="C280" s="10"/>
      <c r="D280" s="10"/>
      <c r="E280" s="10"/>
      <c r="F280" s="121"/>
    </row>
    <row r="281" spans="1:6" ht="19.5" customHeight="1">
      <c r="A281" s="17"/>
      <c r="B281" s="10"/>
      <c r="C281" s="10"/>
      <c r="D281" s="10"/>
      <c r="E281" s="10"/>
      <c r="F281" s="121"/>
    </row>
    <row r="282" spans="1:6" ht="19.5" customHeight="1">
      <c r="A282" s="17"/>
      <c r="B282" s="10"/>
      <c r="C282" s="10"/>
      <c r="D282" s="10"/>
      <c r="E282" s="10"/>
      <c r="F282" s="121"/>
    </row>
    <row r="283" spans="1:6" ht="19.5" customHeight="1">
      <c r="A283" s="17"/>
      <c r="B283" s="10"/>
      <c r="C283" s="10"/>
      <c r="D283" s="10"/>
      <c r="E283" s="10"/>
      <c r="F283" s="121"/>
    </row>
    <row r="284" spans="1:6" ht="19.5" customHeight="1">
      <c r="A284" s="17"/>
      <c r="B284" s="10"/>
      <c r="C284" s="10"/>
      <c r="D284" s="10"/>
      <c r="E284" s="10"/>
      <c r="F284" s="121"/>
    </row>
    <row r="285" spans="1:6" ht="19.5" customHeight="1">
      <c r="A285" s="17"/>
      <c r="B285" s="10"/>
      <c r="C285" s="10"/>
      <c r="D285" s="10"/>
      <c r="E285" s="10"/>
      <c r="F285" s="121"/>
    </row>
    <row r="286" spans="1:6" ht="19.5" customHeight="1">
      <c r="A286" s="17"/>
      <c r="B286" s="10"/>
      <c r="C286" s="10"/>
      <c r="D286" s="10"/>
      <c r="E286" s="10"/>
      <c r="F286" s="121"/>
    </row>
    <row r="287" spans="1:6" ht="19.5" customHeight="1">
      <c r="A287" s="17"/>
      <c r="B287" s="10"/>
      <c r="C287" s="10"/>
      <c r="D287" s="10"/>
      <c r="E287" s="10"/>
      <c r="F287" s="121"/>
    </row>
    <row r="288" spans="1:6" ht="19.5" customHeight="1">
      <c r="A288" s="17"/>
      <c r="B288" s="10"/>
      <c r="C288" s="10"/>
      <c r="D288" s="10"/>
      <c r="E288" s="10"/>
      <c r="F288" s="121"/>
    </row>
    <row r="289" spans="1:6" ht="19.5" customHeight="1">
      <c r="A289" s="17"/>
      <c r="B289" s="10"/>
      <c r="C289" s="10"/>
      <c r="D289" s="10"/>
      <c r="E289" s="10"/>
      <c r="F289" s="121"/>
    </row>
    <row r="290" spans="1:6" ht="19.5" customHeight="1">
      <c r="A290" s="17"/>
      <c r="B290" s="10"/>
      <c r="C290" s="10"/>
      <c r="D290" s="10"/>
      <c r="E290" s="10"/>
      <c r="F290" s="121"/>
    </row>
    <row r="291" spans="1:6" ht="19.5" customHeight="1">
      <c r="A291" s="17"/>
      <c r="B291" s="10"/>
      <c r="C291" s="10"/>
      <c r="D291" s="10"/>
      <c r="E291" s="10"/>
      <c r="F291" s="121"/>
    </row>
    <row r="292" spans="1:6" ht="20.100000000000001" customHeight="1">
      <c r="A292" s="80"/>
      <c r="B292" s="81"/>
      <c r="C292" s="81"/>
      <c r="D292" s="81"/>
      <c r="E292" s="81"/>
      <c r="F292" s="111"/>
    </row>
    <row r="293" spans="1:6" ht="20.100000000000001" customHeight="1">
      <c r="A293" s="112"/>
      <c r="B293" s="113"/>
      <c r="C293" s="114" t="s">
        <v>687</v>
      </c>
      <c r="D293" s="81"/>
      <c r="E293" s="113"/>
      <c r="F293" s="111"/>
    </row>
    <row r="294" spans="1:6" ht="20.100000000000001" customHeight="1">
      <c r="A294" s="112"/>
      <c r="B294" s="113"/>
      <c r="C294" s="114" t="s">
        <v>688</v>
      </c>
      <c r="D294" s="81"/>
      <c r="E294" s="113"/>
      <c r="F294" s="111"/>
    </row>
    <row r="295" spans="1:6" ht="20.100000000000001" customHeight="1">
      <c r="A295" s="80"/>
      <c r="B295" s="81"/>
      <c r="C295" s="115" t="s">
        <v>689</v>
      </c>
      <c r="D295" s="81"/>
      <c r="E295" s="81"/>
      <c r="F295" s="111"/>
    </row>
    <row r="296" spans="1:6" ht="20.100000000000001" customHeight="1">
      <c r="A296" s="116" t="s">
        <v>690</v>
      </c>
      <c r="B296" s="117"/>
      <c r="C296" s="117"/>
      <c r="D296" s="117"/>
      <c r="E296" s="117"/>
      <c r="F296" s="111"/>
    </row>
    <row r="297" spans="1:6" ht="20.100000000000001" customHeight="1">
      <c r="A297" s="118" t="s">
        <v>691</v>
      </c>
      <c r="B297" s="117"/>
      <c r="C297" s="117"/>
      <c r="D297" s="117"/>
      <c r="E297" s="117"/>
      <c r="F297" s="111"/>
    </row>
    <row r="298" spans="1:6" ht="20.100000000000001" customHeight="1">
      <c r="A298" s="118" t="s">
        <v>692</v>
      </c>
      <c r="B298" s="117"/>
      <c r="C298" s="117"/>
      <c r="D298" s="117"/>
      <c r="E298" s="117"/>
      <c r="F298" s="111"/>
    </row>
    <row r="299" spans="1:6" ht="20.100000000000001" customHeight="1">
      <c r="A299" s="119"/>
      <c r="B299" s="120"/>
      <c r="C299" s="120"/>
      <c r="D299" s="120"/>
      <c r="E299" s="120"/>
      <c r="F299" s="83"/>
    </row>
    <row r="300" spans="1:6" ht="20.100000000000001" customHeight="1">
      <c r="A300" s="5">
        <v>1209</v>
      </c>
      <c r="B300" s="5">
        <v>2</v>
      </c>
      <c r="C300" s="5" t="s">
        <v>313</v>
      </c>
      <c r="D300" s="5"/>
      <c r="E300" s="5"/>
      <c r="F300" s="5"/>
    </row>
    <row r="301" spans="1:6" ht="20.100000000000001" customHeight="1">
      <c r="A301" s="5">
        <v>1209</v>
      </c>
      <c r="B301" s="5">
        <v>15</v>
      </c>
      <c r="C301" s="5" t="s">
        <v>312</v>
      </c>
      <c r="D301" s="5"/>
      <c r="E301" s="5"/>
      <c r="F301" s="5"/>
    </row>
    <row r="302" spans="1:6" ht="20.100000000000001" customHeight="1">
      <c r="A302" s="5">
        <v>1209</v>
      </c>
      <c r="B302" s="5">
        <v>16</v>
      </c>
      <c r="C302" s="5" t="s">
        <v>311</v>
      </c>
      <c r="D302" s="5"/>
      <c r="E302" s="5"/>
      <c r="F302" s="5"/>
    </row>
    <row r="303" spans="1:6" ht="20.100000000000001" customHeight="1">
      <c r="A303" s="5">
        <v>1209</v>
      </c>
      <c r="B303" s="5">
        <v>17</v>
      </c>
      <c r="C303" s="5" t="s">
        <v>310</v>
      </c>
      <c r="D303" s="5"/>
      <c r="E303" s="5"/>
      <c r="F303" s="5"/>
    </row>
    <row r="304" spans="1:6" ht="20.100000000000001" customHeight="1">
      <c r="A304" s="5">
        <v>1209</v>
      </c>
      <c r="B304" s="5">
        <v>23</v>
      </c>
      <c r="C304" s="5" t="s">
        <v>309</v>
      </c>
      <c r="D304" s="5"/>
      <c r="E304" s="5"/>
      <c r="F304" s="5"/>
    </row>
    <row r="305" spans="1:6" ht="20.100000000000001" customHeight="1">
      <c r="A305" s="5">
        <v>1209</v>
      </c>
      <c r="B305" s="5">
        <v>22</v>
      </c>
      <c r="C305" s="5" t="s">
        <v>711</v>
      </c>
      <c r="D305" s="5"/>
      <c r="E305" s="5"/>
      <c r="F305" s="5"/>
    </row>
    <row r="306" spans="1:6" ht="20.100000000000001" customHeight="1">
      <c r="A306" s="5">
        <v>1209</v>
      </c>
      <c r="B306" s="5">
        <v>21</v>
      </c>
      <c r="C306" s="5" t="s">
        <v>306</v>
      </c>
      <c r="D306" s="5"/>
      <c r="E306" s="5"/>
      <c r="F306" s="5"/>
    </row>
    <row r="307" spans="1:6" ht="20.100000000000001" customHeight="1">
      <c r="A307" s="5">
        <v>1209</v>
      </c>
      <c r="B307" s="5">
        <v>3</v>
      </c>
      <c r="C307" s="5" t="s">
        <v>305</v>
      </c>
      <c r="D307" s="5"/>
      <c r="E307" s="5"/>
      <c r="F307" s="5"/>
    </row>
    <row r="308" spans="1:6" ht="20.100000000000001" customHeight="1">
      <c r="A308" s="5">
        <v>1209</v>
      </c>
      <c r="B308" s="5">
        <v>4</v>
      </c>
      <c r="C308" s="5" t="s">
        <v>307</v>
      </c>
      <c r="D308" s="5"/>
      <c r="E308" s="5"/>
      <c r="F308" s="5"/>
    </row>
    <row r="309" spans="1:6" ht="20.100000000000001" customHeight="1">
      <c r="A309" s="17"/>
      <c r="B309" s="10"/>
      <c r="C309" s="10"/>
      <c r="D309" s="10"/>
      <c r="E309" s="10"/>
      <c r="F309" s="121"/>
    </row>
    <row r="310" spans="1:6" ht="20.100000000000001" customHeight="1">
      <c r="A310" s="17"/>
      <c r="B310" s="10"/>
      <c r="C310" s="10"/>
      <c r="D310" s="10"/>
      <c r="E310" s="10"/>
      <c r="F310" s="121"/>
    </row>
    <row r="311" spans="1:6" ht="20.100000000000001" customHeight="1">
      <c r="A311" s="17"/>
      <c r="B311" s="10"/>
      <c r="C311" s="10"/>
      <c r="D311" s="10"/>
      <c r="E311" s="10"/>
      <c r="F311" s="121"/>
    </row>
    <row r="312" spans="1:6" ht="20.100000000000001" customHeight="1">
      <c r="A312" s="17"/>
      <c r="B312" s="10"/>
      <c r="C312" s="10"/>
      <c r="D312" s="10"/>
      <c r="E312" s="10"/>
      <c r="F312" s="121"/>
    </row>
    <row r="313" spans="1:6" ht="20.100000000000001" customHeight="1">
      <c r="A313" s="17"/>
      <c r="B313" s="10"/>
      <c r="C313" s="10"/>
      <c r="D313" s="10"/>
      <c r="E313" s="10"/>
      <c r="F313" s="121"/>
    </row>
    <row r="314" spans="1:6" ht="20.100000000000001" customHeight="1">
      <c r="A314" s="17"/>
      <c r="B314" s="10"/>
      <c r="C314" s="10"/>
      <c r="D314" s="10"/>
      <c r="E314" s="10"/>
      <c r="F314" s="121"/>
    </row>
    <row r="315" spans="1:6" ht="20.100000000000001" customHeight="1">
      <c r="A315" s="17"/>
      <c r="B315" s="10"/>
      <c r="C315" s="10"/>
      <c r="D315" s="10"/>
      <c r="E315" s="10"/>
      <c r="F315" s="121"/>
    </row>
    <row r="316" spans="1:6" ht="20.100000000000001" customHeight="1">
      <c r="A316" s="17"/>
      <c r="B316" s="10"/>
      <c r="C316" s="10"/>
      <c r="D316" s="10"/>
      <c r="E316" s="10"/>
      <c r="F316" s="121"/>
    </row>
    <row r="317" spans="1:6" ht="20.100000000000001" customHeight="1">
      <c r="A317" s="17"/>
      <c r="B317" s="10"/>
      <c r="C317" s="10"/>
      <c r="D317" s="10"/>
      <c r="E317" s="10"/>
      <c r="F317" s="121"/>
    </row>
    <row r="318" spans="1:6" ht="20.100000000000001" customHeight="1">
      <c r="A318" s="17"/>
      <c r="B318" s="10"/>
      <c r="C318" s="10"/>
      <c r="D318" s="10"/>
      <c r="E318" s="10"/>
      <c r="F318" s="121"/>
    </row>
    <row r="319" spans="1:6" ht="20.100000000000001" customHeight="1">
      <c r="A319" s="17"/>
      <c r="B319" s="10"/>
      <c r="C319" s="10"/>
      <c r="D319" s="10"/>
      <c r="E319" s="10"/>
      <c r="F319" s="121"/>
    </row>
    <row r="320" spans="1:6" ht="20.100000000000001" customHeight="1">
      <c r="A320" s="17"/>
      <c r="B320" s="10"/>
      <c r="C320" s="10"/>
      <c r="D320" s="10"/>
      <c r="E320" s="10"/>
      <c r="F320" s="121"/>
    </row>
    <row r="321" spans="1:6" ht="20.100000000000001" customHeight="1">
      <c r="A321" s="17"/>
      <c r="B321" s="10"/>
      <c r="C321" s="10"/>
      <c r="D321" s="10"/>
      <c r="E321" s="10"/>
      <c r="F321" s="121"/>
    </row>
    <row r="322" spans="1:6" ht="20.100000000000001" customHeight="1">
      <c r="A322" s="80"/>
      <c r="B322" s="81"/>
      <c r="C322" s="81"/>
      <c r="D322" s="81"/>
      <c r="E322" s="81"/>
      <c r="F322" s="111"/>
    </row>
    <row r="323" spans="1:6" ht="20.100000000000001" customHeight="1">
      <c r="A323" s="112"/>
      <c r="B323" s="113"/>
      <c r="C323" s="114" t="s">
        <v>687</v>
      </c>
      <c r="D323" s="81"/>
      <c r="E323" s="113"/>
      <c r="F323" s="111"/>
    </row>
    <row r="324" spans="1:6" ht="20.100000000000001" customHeight="1">
      <c r="A324" s="112"/>
      <c r="B324" s="113"/>
      <c r="C324" s="114" t="s">
        <v>688</v>
      </c>
      <c r="D324" s="81"/>
      <c r="E324" s="113"/>
      <c r="F324" s="111"/>
    </row>
    <row r="325" spans="1:6" ht="20.100000000000001" customHeight="1">
      <c r="A325" s="80"/>
      <c r="B325" s="81"/>
      <c r="C325" s="115" t="s">
        <v>689</v>
      </c>
      <c r="D325" s="81"/>
      <c r="E325" s="81"/>
      <c r="F325" s="111"/>
    </row>
    <row r="326" spans="1:6" ht="20.100000000000001" customHeight="1">
      <c r="A326" s="116" t="s">
        <v>690</v>
      </c>
      <c r="B326" s="117"/>
      <c r="C326" s="117"/>
      <c r="D326" s="117"/>
      <c r="E326" s="117"/>
      <c r="F326" s="111"/>
    </row>
    <row r="327" spans="1:6" ht="20.100000000000001" customHeight="1">
      <c r="A327" s="118" t="s">
        <v>691</v>
      </c>
      <c r="B327" s="117"/>
      <c r="C327" s="117"/>
      <c r="D327" s="117"/>
      <c r="E327" s="117"/>
      <c r="F327" s="111"/>
    </row>
    <row r="328" spans="1:6" ht="20.100000000000001" customHeight="1">
      <c r="A328" s="118" t="s">
        <v>692</v>
      </c>
      <c r="B328" s="117"/>
      <c r="C328" s="117"/>
      <c r="D328" s="117"/>
      <c r="E328" s="117"/>
      <c r="F328" s="111"/>
    </row>
    <row r="329" spans="1:6" ht="20.100000000000001" customHeight="1">
      <c r="A329" s="119"/>
      <c r="B329" s="120"/>
      <c r="C329" s="120"/>
      <c r="D329" s="120"/>
      <c r="E329" s="120"/>
      <c r="F329" s="83"/>
    </row>
    <row r="330" spans="1:6" ht="20.100000000000001" customHeight="1">
      <c r="A330" s="5">
        <v>1209</v>
      </c>
      <c r="B330" s="5">
        <v>14</v>
      </c>
      <c r="C330" s="5" t="s">
        <v>312</v>
      </c>
      <c r="D330" s="5"/>
      <c r="E330" s="5"/>
      <c r="F330" s="5"/>
    </row>
    <row r="331" spans="1:6" ht="20.100000000000001" customHeight="1">
      <c r="A331" s="5">
        <v>1209</v>
      </c>
      <c r="B331" s="5">
        <v>13</v>
      </c>
      <c r="C331" s="5" t="s">
        <v>318</v>
      </c>
      <c r="D331" s="5"/>
      <c r="E331" s="5"/>
      <c r="F331" s="5"/>
    </row>
    <row r="332" spans="1:6" ht="20.100000000000001" customHeight="1">
      <c r="A332" s="5">
        <v>1209</v>
      </c>
      <c r="B332" s="5">
        <v>17</v>
      </c>
      <c r="C332" s="5" t="s">
        <v>317</v>
      </c>
      <c r="D332" s="5"/>
      <c r="E332" s="5"/>
      <c r="F332" s="5"/>
    </row>
    <row r="333" spans="1:6" ht="20.100000000000001" customHeight="1">
      <c r="A333" s="5">
        <v>1209</v>
      </c>
      <c r="B333" s="5">
        <v>19</v>
      </c>
      <c r="C333" s="5" t="s">
        <v>319</v>
      </c>
      <c r="D333" s="5"/>
      <c r="E333" s="5"/>
      <c r="F333" s="5"/>
    </row>
    <row r="334" spans="1:6" ht="20.100000000000001" customHeight="1">
      <c r="A334" s="5">
        <v>1209</v>
      </c>
      <c r="B334" s="5">
        <v>16</v>
      </c>
      <c r="C334" s="5" t="s">
        <v>311</v>
      </c>
      <c r="D334" s="5"/>
      <c r="E334" s="5"/>
      <c r="F334" s="5"/>
    </row>
    <row r="335" spans="1:6" ht="20.100000000000001" customHeight="1">
      <c r="A335" s="5"/>
      <c r="B335" s="5"/>
      <c r="C335" s="5"/>
      <c r="D335" s="5"/>
      <c r="E335" s="5"/>
      <c r="F335" s="5"/>
    </row>
    <row r="336" spans="1:6" ht="20.100000000000001" customHeight="1">
      <c r="A336" s="17"/>
      <c r="B336" s="10"/>
      <c r="C336" s="10"/>
      <c r="D336" s="10"/>
      <c r="E336" s="10"/>
      <c r="F336" s="121"/>
    </row>
    <row r="337" spans="1:6" ht="20.100000000000001" customHeight="1">
      <c r="A337" s="17"/>
      <c r="B337" s="10"/>
      <c r="C337" s="10"/>
      <c r="D337" s="10"/>
      <c r="E337" s="10"/>
      <c r="F337" s="121"/>
    </row>
    <row r="338" spans="1:6" ht="20.100000000000001" customHeight="1">
      <c r="A338" s="17"/>
      <c r="B338" s="10"/>
      <c r="C338" s="10"/>
      <c r="D338" s="10"/>
      <c r="E338" s="10"/>
      <c r="F338" s="121"/>
    </row>
    <row r="339" spans="1:6" ht="20.100000000000001" customHeight="1">
      <c r="A339" s="17"/>
      <c r="B339" s="10"/>
      <c r="C339" s="10"/>
      <c r="D339" s="10"/>
      <c r="E339" s="10"/>
      <c r="F339" s="121"/>
    </row>
    <row r="340" spans="1:6" ht="20.100000000000001" customHeight="1">
      <c r="A340" s="17"/>
      <c r="B340" s="10"/>
      <c r="C340" s="10"/>
      <c r="D340" s="10"/>
      <c r="E340" s="10"/>
      <c r="F340" s="121"/>
    </row>
    <row r="341" spans="1:6" ht="20.100000000000001" customHeight="1">
      <c r="A341" s="17"/>
      <c r="B341" s="10"/>
      <c r="C341" s="10"/>
      <c r="D341" s="10"/>
      <c r="E341" s="10"/>
      <c r="F341" s="121"/>
    </row>
    <row r="342" spans="1:6" ht="20.100000000000001" customHeight="1">
      <c r="A342" s="17"/>
      <c r="B342" s="10"/>
      <c r="C342" s="10"/>
      <c r="D342" s="10"/>
      <c r="E342" s="10"/>
      <c r="F342" s="121"/>
    </row>
    <row r="343" spans="1:6" ht="20.100000000000001" customHeight="1">
      <c r="A343" s="17"/>
      <c r="B343" s="10"/>
      <c r="C343" s="10"/>
      <c r="D343" s="10"/>
      <c r="E343" s="10"/>
      <c r="F343" s="121"/>
    </row>
    <row r="344" spans="1:6" ht="20.100000000000001" customHeight="1">
      <c r="A344" s="17"/>
      <c r="B344" s="10"/>
      <c r="C344" s="10"/>
      <c r="D344" s="10"/>
      <c r="E344" s="10"/>
      <c r="F344" s="121"/>
    </row>
    <row r="345" spans="1:6" ht="20.100000000000001" customHeight="1">
      <c r="A345" s="17"/>
      <c r="B345" s="10"/>
      <c r="C345" s="10"/>
      <c r="D345" s="10"/>
      <c r="E345" s="10"/>
      <c r="F345" s="121"/>
    </row>
    <row r="346" spans="1:6" ht="20.100000000000001" customHeight="1">
      <c r="A346" s="17"/>
      <c r="B346" s="10"/>
      <c r="C346" s="10"/>
      <c r="D346" s="10"/>
      <c r="E346" s="10"/>
      <c r="F346" s="121"/>
    </row>
    <row r="347" spans="1:6" ht="20.100000000000001" customHeight="1">
      <c r="A347" s="17"/>
      <c r="B347" s="10"/>
      <c r="C347" s="10"/>
      <c r="D347" s="10"/>
      <c r="E347" s="10"/>
      <c r="F347" s="121"/>
    </row>
    <row r="348" spans="1:6" ht="20.100000000000001" customHeight="1">
      <c r="A348" s="17"/>
      <c r="B348" s="10"/>
      <c r="C348" s="10"/>
      <c r="D348" s="10"/>
      <c r="E348" s="10"/>
      <c r="F348" s="121"/>
    </row>
    <row r="349" spans="1:6" ht="20.100000000000001" customHeight="1">
      <c r="A349" s="17"/>
      <c r="B349" s="10"/>
      <c r="C349" s="10"/>
      <c r="D349" s="10"/>
      <c r="E349" s="10"/>
      <c r="F349" s="121"/>
    </row>
    <row r="350" spans="1:6" ht="20.100000000000001" customHeight="1">
      <c r="A350" s="17"/>
      <c r="B350" s="10"/>
      <c r="C350" s="10"/>
      <c r="D350" s="10"/>
      <c r="E350" s="10"/>
      <c r="F350" s="121"/>
    </row>
    <row r="351" spans="1:6" ht="20.100000000000001" customHeight="1">
      <c r="A351" s="80"/>
      <c r="B351" s="81"/>
      <c r="C351" s="81"/>
      <c r="D351" s="81"/>
      <c r="E351" s="81"/>
      <c r="F351" s="111"/>
    </row>
    <row r="352" spans="1:6" ht="20.100000000000001" customHeight="1">
      <c r="A352" s="112"/>
      <c r="B352" s="113"/>
      <c r="C352" s="114" t="s">
        <v>687</v>
      </c>
      <c r="D352" s="81"/>
      <c r="E352" s="113"/>
      <c r="F352" s="111"/>
    </row>
    <row r="353" spans="1:6" ht="20.100000000000001" customHeight="1">
      <c r="A353" s="112"/>
      <c r="B353" s="113"/>
      <c r="C353" s="114" t="s">
        <v>688</v>
      </c>
      <c r="D353" s="81"/>
      <c r="E353" s="113"/>
      <c r="F353" s="111"/>
    </row>
    <row r="354" spans="1:6" ht="20.100000000000001" customHeight="1">
      <c r="A354" s="80"/>
      <c r="B354" s="81"/>
      <c r="C354" s="115" t="s">
        <v>689</v>
      </c>
      <c r="D354" s="81"/>
      <c r="E354" s="81"/>
      <c r="F354" s="111"/>
    </row>
    <row r="355" spans="1:6" ht="20.100000000000001" customHeight="1">
      <c r="A355" s="116" t="s">
        <v>690</v>
      </c>
      <c r="B355" s="117"/>
      <c r="C355" s="117"/>
      <c r="D355" s="117"/>
      <c r="E355" s="117"/>
      <c r="F355" s="111"/>
    </row>
    <row r="356" spans="1:6" ht="20.100000000000001" customHeight="1">
      <c r="A356" s="118" t="s">
        <v>691</v>
      </c>
      <c r="B356" s="117"/>
      <c r="C356" s="117"/>
      <c r="D356" s="117"/>
      <c r="E356" s="117"/>
      <c r="F356" s="111"/>
    </row>
    <row r="357" spans="1:6" ht="20.100000000000001" customHeight="1">
      <c r="A357" s="118" t="s">
        <v>692</v>
      </c>
      <c r="B357" s="117"/>
      <c r="C357" s="117"/>
      <c r="D357" s="117"/>
      <c r="E357" s="117"/>
      <c r="F357" s="111"/>
    </row>
    <row r="358" spans="1:6" ht="20.100000000000001" customHeight="1">
      <c r="A358" s="119"/>
      <c r="B358" s="120"/>
      <c r="C358" s="120"/>
      <c r="D358" s="120"/>
      <c r="E358" s="120"/>
      <c r="F358" s="83"/>
    </row>
    <row r="359" spans="1:6" ht="20.100000000000001" customHeight="1">
      <c r="A359" s="5">
        <v>1200</v>
      </c>
      <c r="B359" s="5">
        <v>41</v>
      </c>
      <c r="C359" s="5" t="s">
        <v>325</v>
      </c>
      <c r="D359" s="5"/>
      <c r="E359" s="5"/>
      <c r="F359" s="5"/>
    </row>
    <row r="360" spans="1:6" ht="20.100000000000001" customHeight="1">
      <c r="A360" s="5">
        <v>1200</v>
      </c>
      <c r="B360" s="5">
        <v>69</v>
      </c>
      <c r="C360" s="5" t="s">
        <v>712</v>
      </c>
      <c r="D360" s="5"/>
      <c r="E360" s="5"/>
      <c r="F360" s="5"/>
    </row>
    <row r="361" spans="1:6" ht="20.100000000000001" customHeight="1">
      <c r="A361" s="5">
        <v>1200</v>
      </c>
      <c r="B361" s="5">
        <v>16</v>
      </c>
      <c r="C361" s="5" t="s">
        <v>323</v>
      </c>
      <c r="D361" s="5"/>
      <c r="E361" s="5"/>
      <c r="F361" s="5"/>
    </row>
    <row r="362" spans="1:6" ht="20.100000000000001" customHeight="1">
      <c r="A362" s="17"/>
      <c r="B362" s="10"/>
      <c r="C362" s="10"/>
      <c r="D362" s="10"/>
      <c r="E362" s="10"/>
      <c r="F362" s="121"/>
    </row>
    <row r="363" spans="1:6" ht="20.100000000000001" customHeight="1">
      <c r="A363" s="17"/>
      <c r="B363" s="10"/>
      <c r="C363" s="10"/>
      <c r="D363" s="10"/>
      <c r="E363" s="10"/>
      <c r="F363" s="121"/>
    </row>
    <row r="364" spans="1:6" ht="20.100000000000001" customHeight="1">
      <c r="A364" s="17"/>
      <c r="B364" s="10"/>
      <c r="C364" s="10"/>
      <c r="D364" s="10"/>
      <c r="E364" s="10"/>
      <c r="F364" s="121"/>
    </row>
    <row r="365" spans="1:6" ht="20.100000000000001" customHeight="1">
      <c r="A365" s="17"/>
      <c r="B365" s="10"/>
      <c r="C365" s="10"/>
      <c r="D365" s="10"/>
      <c r="E365" s="10"/>
      <c r="F365" s="121"/>
    </row>
    <row r="366" spans="1:6" ht="20.100000000000001" customHeight="1">
      <c r="A366" s="17"/>
      <c r="B366" s="10"/>
      <c r="C366" s="10"/>
      <c r="D366" s="10"/>
      <c r="E366" s="10"/>
      <c r="F366" s="121"/>
    </row>
    <row r="367" spans="1:6" ht="20.100000000000001" customHeight="1">
      <c r="A367" s="17"/>
      <c r="B367" s="10"/>
      <c r="C367" s="10"/>
      <c r="D367" s="10"/>
      <c r="E367" s="10"/>
      <c r="F367" s="121"/>
    </row>
    <row r="368" spans="1:6" ht="20.100000000000001" customHeight="1">
      <c r="A368" s="17"/>
      <c r="B368" s="10"/>
      <c r="C368" s="10"/>
      <c r="D368" s="10"/>
      <c r="E368" s="10"/>
      <c r="F368" s="121"/>
    </row>
    <row r="369" spans="1:6" ht="20.100000000000001" customHeight="1">
      <c r="A369" s="17"/>
      <c r="B369" s="10"/>
      <c r="C369" s="10"/>
      <c r="D369" s="10"/>
      <c r="E369" s="10"/>
      <c r="F369" s="121"/>
    </row>
    <row r="370" spans="1:6" ht="20.100000000000001" customHeight="1">
      <c r="A370" s="17"/>
      <c r="B370" s="10"/>
      <c r="C370" s="10"/>
      <c r="D370" s="10"/>
      <c r="E370" s="10"/>
      <c r="F370" s="121"/>
    </row>
    <row r="371" spans="1:6" ht="20.100000000000001" customHeight="1">
      <c r="A371" s="17"/>
      <c r="B371" s="10"/>
      <c r="C371" s="10"/>
      <c r="D371" s="10"/>
      <c r="E371" s="10"/>
      <c r="F371" s="121"/>
    </row>
    <row r="372" spans="1:6" ht="20.100000000000001" customHeight="1">
      <c r="A372" s="17"/>
      <c r="B372" s="10"/>
      <c r="C372" s="10"/>
      <c r="D372" s="10"/>
      <c r="E372" s="10"/>
      <c r="F372" s="121"/>
    </row>
    <row r="373" spans="1:6" ht="20.100000000000001" customHeight="1">
      <c r="A373" s="17"/>
      <c r="B373" s="10"/>
      <c r="C373" s="10"/>
      <c r="D373" s="10"/>
      <c r="E373" s="10"/>
      <c r="F373" s="121"/>
    </row>
    <row r="374" spans="1:6" ht="20.100000000000001" customHeight="1">
      <c r="A374" s="17"/>
      <c r="B374" s="10"/>
      <c r="C374" s="10"/>
      <c r="D374" s="10"/>
      <c r="E374" s="10"/>
      <c r="F374" s="121"/>
    </row>
    <row r="375" spans="1:6" ht="20.100000000000001" customHeight="1">
      <c r="A375" s="17"/>
      <c r="B375" s="10"/>
      <c r="C375" s="10"/>
      <c r="D375" s="10"/>
      <c r="E375" s="10"/>
      <c r="F375" s="121"/>
    </row>
    <row r="376" spans="1:6" ht="20.100000000000001" customHeight="1">
      <c r="A376" s="17"/>
      <c r="B376" s="10"/>
      <c r="C376" s="10"/>
      <c r="D376" s="10"/>
      <c r="E376" s="10"/>
      <c r="F376" s="121"/>
    </row>
    <row r="377" spans="1:6" ht="20.100000000000001" customHeight="1">
      <c r="A377" s="17"/>
      <c r="B377" s="10"/>
      <c r="C377" s="10"/>
      <c r="D377" s="10"/>
      <c r="E377" s="10"/>
      <c r="F377" s="121"/>
    </row>
    <row r="378" spans="1:6" ht="20.100000000000001" customHeight="1">
      <c r="A378" s="17"/>
      <c r="B378" s="10"/>
      <c r="C378" s="10"/>
      <c r="D378" s="10"/>
      <c r="E378" s="10"/>
      <c r="F378" s="121"/>
    </row>
    <row r="379" spans="1:6" ht="20.100000000000001" customHeight="1">
      <c r="A379" s="17"/>
      <c r="B379" s="10"/>
      <c r="C379" s="10"/>
      <c r="D379" s="10"/>
      <c r="E379" s="10"/>
      <c r="F379" s="121"/>
    </row>
    <row r="380" spans="1:6" ht="17.25" customHeight="1">
      <c r="A380" s="80"/>
      <c r="B380" s="81"/>
      <c r="C380" s="81"/>
      <c r="D380" s="81"/>
      <c r="E380" s="81"/>
      <c r="F380" s="111"/>
    </row>
    <row r="381" spans="1:6" ht="20.100000000000001" customHeight="1">
      <c r="A381" s="112"/>
      <c r="B381" s="113"/>
      <c r="C381" s="114" t="s">
        <v>687</v>
      </c>
      <c r="D381" s="81"/>
      <c r="E381" s="113"/>
      <c r="F381" s="111"/>
    </row>
    <row r="382" spans="1:6" ht="20.100000000000001" customHeight="1">
      <c r="A382" s="112"/>
      <c r="B382" s="113"/>
      <c r="C382" s="114" t="s">
        <v>688</v>
      </c>
      <c r="D382" s="81"/>
      <c r="E382" s="113"/>
      <c r="F382" s="111"/>
    </row>
    <row r="383" spans="1:6" ht="20.100000000000001" customHeight="1">
      <c r="A383" s="80"/>
      <c r="B383" s="81"/>
      <c r="C383" s="115" t="s">
        <v>689</v>
      </c>
      <c r="D383" s="81"/>
      <c r="E383" s="81"/>
      <c r="F383" s="111"/>
    </row>
    <row r="384" spans="1:6" ht="20.100000000000001" customHeight="1">
      <c r="A384" s="116" t="s">
        <v>690</v>
      </c>
      <c r="B384" s="117"/>
      <c r="C384" s="117"/>
      <c r="D384" s="117"/>
      <c r="E384" s="117"/>
      <c r="F384" s="111"/>
    </row>
    <row r="385" spans="1:6" ht="20.100000000000001" customHeight="1">
      <c r="A385" s="118" t="s">
        <v>691</v>
      </c>
      <c r="B385" s="117"/>
      <c r="C385" s="117"/>
      <c r="D385" s="117"/>
      <c r="E385" s="117"/>
      <c r="F385" s="111"/>
    </row>
    <row r="386" spans="1:6" ht="20.100000000000001" customHeight="1">
      <c r="A386" s="118" t="s">
        <v>692</v>
      </c>
      <c r="B386" s="117"/>
      <c r="C386" s="117"/>
      <c r="D386" s="117"/>
      <c r="E386" s="117"/>
      <c r="F386" s="111"/>
    </row>
    <row r="387" spans="1:6" ht="20.100000000000001" customHeight="1">
      <c r="A387" s="119"/>
      <c r="B387" s="120"/>
      <c r="C387" s="120"/>
      <c r="D387" s="120"/>
      <c r="E387" s="120"/>
      <c r="F387" s="83"/>
    </row>
    <row r="388" spans="1:6" ht="20.100000000000001" customHeight="1">
      <c r="A388" s="5">
        <v>1210</v>
      </c>
      <c r="B388" s="5">
        <v>1</v>
      </c>
      <c r="C388" s="5" t="s">
        <v>334</v>
      </c>
      <c r="D388" s="5"/>
      <c r="E388" s="5"/>
      <c r="F388" s="5"/>
    </row>
    <row r="389" spans="1:6" ht="20.100000000000001" customHeight="1">
      <c r="A389" s="5">
        <v>1210</v>
      </c>
      <c r="B389" s="5">
        <v>2</v>
      </c>
      <c r="C389" s="5" t="s">
        <v>334</v>
      </c>
      <c r="D389" s="5"/>
      <c r="E389" s="5"/>
      <c r="F389" s="5"/>
    </row>
    <row r="390" spans="1:6" ht="20.100000000000001" customHeight="1">
      <c r="A390" s="5">
        <v>1210</v>
      </c>
      <c r="B390" s="5">
        <v>4</v>
      </c>
      <c r="C390" s="5" t="s">
        <v>334</v>
      </c>
      <c r="D390" s="5"/>
      <c r="E390" s="5"/>
      <c r="F390" s="5"/>
    </row>
    <row r="391" spans="1:6" ht="20.100000000000001" customHeight="1">
      <c r="A391" s="5">
        <v>1210</v>
      </c>
      <c r="B391" s="5">
        <v>5</v>
      </c>
      <c r="C391" s="5" t="s">
        <v>331</v>
      </c>
      <c r="D391" s="5"/>
      <c r="E391" s="5"/>
      <c r="F391" s="5"/>
    </row>
    <row r="392" spans="1:6" ht="20.100000000000001" customHeight="1">
      <c r="A392" s="5">
        <v>1210</v>
      </c>
      <c r="B392" s="5">
        <v>3</v>
      </c>
      <c r="C392" s="5" t="s">
        <v>330</v>
      </c>
      <c r="D392" s="5"/>
      <c r="E392" s="5"/>
      <c r="F392" s="5"/>
    </row>
    <row r="393" spans="1:6" ht="20.100000000000001" customHeight="1">
      <c r="A393" s="5">
        <v>1210</v>
      </c>
      <c r="B393" s="5">
        <v>6</v>
      </c>
      <c r="C393" s="5" t="s">
        <v>328</v>
      </c>
      <c r="D393" s="5"/>
      <c r="E393" s="5"/>
      <c r="F393" s="5"/>
    </row>
    <row r="394" spans="1:6" ht="20.100000000000001" customHeight="1">
      <c r="A394" s="17"/>
      <c r="B394" s="10"/>
      <c r="C394" s="10"/>
      <c r="D394" s="10"/>
      <c r="E394" s="10"/>
      <c r="F394" s="121"/>
    </row>
    <row r="395" spans="1:6" ht="20.100000000000001" customHeight="1">
      <c r="A395" s="17"/>
      <c r="B395" s="10"/>
      <c r="C395" s="10"/>
      <c r="D395" s="10"/>
      <c r="E395" s="10"/>
      <c r="F395" s="121"/>
    </row>
    <row r="396" spans="1:6" ht="20.100000000000001" customHeight="1">
      <c r="A396" s="17"/>
      <c r="B396" s="10"/>
      <c r="C396" s="10"/>
      <c r="D396" s="10"/>
      <c r="E396" s="10"/>
      <c r="F396" s="121"/>
    </row>
    <row r="397" spans="1:6" ht="20.100000000000001" customHeight="1">
      <c r="A397" s="17"/>
      <c r="B397" s="10"/>
      <c r="C397" s="10"/>
      <c r="D397" s="10"/>
      <c r="E397" s="10"/>
      <c r="F397" s="121"/>
    </row>
    <row r="398" spans="1:6" ht="20.100000000000001" customHeight="1">
      <c r="A398" s="17"/>
      <c r="B398" s="10"/>
      <c r="C398" s="10"/>
      <c r="D398" s="10"/>
      <c r="E398" s="10"/>
      <c r="F398" s="121"/>
    </row>
    <row r="399" spans="1:6" ht="20.100000000000001" customHeight="1">
      <c r="A399" s="17"/>
      <c r="B399" s="10"/>
      <c r="C399" s="10"/>
      <c r="D399" s="10"/>
      <c r="E399" s="10"/>
      <c r="F399" s="121"/>
    </row>
    <row r="400" spans="1:6" ht="20.100000000000001" customHeight="1">
      <c r="A400" s="17"/>
      <c r="B400" s="10"/>
      <c r="C400" s="10"/>
      <c r="D400" s="10"/>
      <c r="E400" s="10"/>
      <c r="F400" s="121"/>
    </row>
    <row r="401" spans="1:6" ht="20.100000000000001" customHeight="1">
      <c r="A401" s="17"/>
      <c r="B401" s="10"/>
      <c r="C401" s="10"/>
      <c r="D401" s="10"/>
      <c r="E401" s="10"/>
      <c r="F401" s="121"/>
    </row>
    <row r="402" spans="1:6" ht="20.100000000000001" customHeight="1">
      <c r="A402" s="17"/>
      <c r="B402" s="10"/>
      <c r="C402" s="10"/>
      <c r="D402" s="10"/>
      <c r="E402" s="10"/>
      <c r="F402" s="121"/>
    </row>
    <row r="403" spans="1:6" ht="20.100000000000001" customHeight="1">
      <c r="A403" s="17"/>
      <c r="B403" s="10"/>
      <c r="C403" s="10"/>
      <c r="D403" s="10"/>
      <c r="E403" s="10"/>
      <c r="F403" s="121"/>
    </row>
    <row r="404" spans="1:6" ht="20.100000000000001" customHeight="1">
      <c r="A404" s="17"/>
      <c r="B404" s="10"/>
      <c r="C404" s="10"/>
      <c r="D404" s="10"/>
      <c r="E404" s="10"/>
      <c r="F404" s="121"/>
    </row>
    <row r="405" spans="1:6" ht="20.100000000000001" customHeight="1">
      <c r="A405" s="17"/>
      <c r="B405" s="10"/>
      <c r="C405" s="10"/>
      <c r="D405" s="10"/>
      <c r="E405" s="10"/>
      <c r="F405" s="121"/>
    </row>
    <row r="406" spans="1:6" ht="20.100000000000001" customHeight="1">
      <c r="A406" s="17"/>
      <c r="B406" s="10"/>
      <c r="C406" s="10"/>
      <c r="D406" s="10"/>
      <c r="E406" s="10"/>
      <c r="F406" s="121"/>
    </row>
    <row r="407" spans="1:6" ht="20.100000000000001" customHeight="1">
      <c r="A407" s="17"/>
      <c r="B407" s="10"/>
      <c r="C407" s="10"/>
      <c r="D407" s="10"/>
      <c r="E407" s="10"/>
      <c r="F407" s="121"/>
    </row>
    <row r="408" spans="1:6" ht="20.100000000000001" customHeight="1">
      <c r="A408" s="17"/>
      <c r="B408" s="10"/>
      <c r="C408" s="10"/>
      <c r="D408" s="10"/>
      <c r="E408" s="10"/>
      <c r="F408" s="121"/>
    </row>
    <row r="409" spans="1:6" ht="17.25" customHeight="1">
      <c r="A409" s="80"/>
      <c r="B409" s="81"/>
      <c r="C409" s="81"/>
      <c r="D409" s="81"/>
      <c r="E409" s="81"/>
      <c r="F409" s="111"/>
    </row>
    <row r="410" spans="1:6" ht="20.100000000000001" customHeight="1">
      <c r="A410" s="112"/>
      <c r="B410" s="113"/>
      <c r="C410" s="114" t="s">
        <v>687</v>
      </c>
      <c r="D410" s="81"/>
      <c r="E410" s="113"/>
      <c r="F410" s="111"/>
    </row>
    <row r="411" spans="1:6" ht="20.100000000000001" customHeight="1">
      <c r="A411" s="112"/>
      <c r="B411" s="113"/>
      <c r="C411" s="114" t="s">
        <v>688</v>
      </c>
      <c r="D411" s="81"/>
      <c r="E411" s="113"/>
      <c r="F411" s="111"/>
    </row>
    <row r="412" spans="1:6" ht="20.100000000000001" customHeight="1">
      <c r="A412" s="80"/>
      <c r="B412" s="81"/>
      <c r="C412" s="115" t="s">
        <v>689</v>
      </c>
      <c r="D412" s="81"/>
      <c r="E412" s="81"/>
      <c r="F412" s="111"/>
    </row>
    <row r="413" spans="1:6" ht="20.100000000000001" customHeight="1">
      <c r="A413" s="116" t="s">
        <v>690</v>
      </c>
      <c r="B413" s="117"/>
      <c r="C413" s="117"/>
      <c r="D413" s="117"/>
      <c r="E413" s="117"/>
      <c r="F413" s="111"/>
    </row>
    <row r="414" spans="1:6" ht="20.100000000000001" customHeight="1">
      <c r="A414" s="118" t="s">
        <v>691</v>
      </c>
      <c r="B414" s="117"/>
      <c r="C414" s="117"/>
      <c r="D414" s="117"/>
      <c r="E414" s="117"/>
      <c r="F414" s="111"/>
    </row>
    <row r="415" spans="1:6" ht="20.100000000000001" customHeight="1">
      <c r="A415" s="118" t="s">
        <v>692</v>
      </c>
      <c r="B415" s="117"/>
      <c r="C415" s="117"/>
      <c r="D415" s="117"/>
      <c r="E415" s="117"/>
      <c r="F415" s="111"/>
    </row>
    <row r="416" spans="1:6" ht="20.100000000000001" customHeight="1">
      <c r="A416" s="119"/>
      <c r="B416" s="120"/>
      <c r="C416" s="120"/>
      <c r="D416" s="120"/>
      <c r="E416" s="120"/>
      <c r="F416" s="83"/>
    </row>
    <row r="417" spans="1:6" ht="20.100000000000001" customHeight="1">
      <c r="A417" s="5"/>
      <c r="B417" s="5"/>
      <c r="C417" s="5"/>
      <c r="D417" s="5"/>
      <c r="E417" s="5"/>
      <c r="F417" s="5"/>
    </row>
    <row r="418" spans="1:6" ht="20.100000000000001" customHeight="1">
      <c r="A418" s="5">
        <v>1211</v>
      </c>
      <c r="B418" s="5">
        <v>8</v>
      </c>
      <c r="C418" s="5" t="s">
        <v>375</v>
      </c>
      <c r="D418" s="5"/>
      <c r="E418" s="5"/>
      <c r="F418" s="5"/>
    </row>
    <row r="419" spans="1:6" ht="20.100000000000001" customHeight="1">
      <c r="A419" s="5">
        <v>1211</v>
      </c>
      <c r="B419" s="5">
        <v>15</v>
      </c>
      <c r="C419" s="5" t="s">
        <v>375</v>
      </c>
      <c r="D419" s="5"/>
      <c r="E419" s="5"/>
      <c r="F419" s="5"/>
    </row>
    <row r="420" spans="1:6" ht="20.100000000000001" customHeight="1">
      <c r="A420" s="5">
        <v>1211</v>
      </c>
      <c r="B420" s="5">
        <v>16</v>
      </c>
      <c r="C420" s="5" t="s">
        <v>375</v>
      </c>
      <c r="D420" s="5"/>
      <c r="E420" s="5"/>
      <c r="F420" s="5"/>
    </row>
    <row r="421" spans="1:6" ht="20.100000000000001" customHeight="1">
      <c r="A421" s="5">
        <v>1211</v>
      </c>
      <c r="B421" s="5">
        <v>14</v>
      </c>
      <c r="C421" s="5" t="s">
        <v>374</v>
      </c>
      <c r="D421" s="5"/>
      <c r="E421" s="5"/>
      <c r="F421" s="5"/>
    </row>
    <row r="422" spans="1:6" ht="20.100000000000001" customHeight="1">
      <c r="A422" s="5">
        <v>1211</v>
      </c>
      <c r="B422" s="5">
        <v>4</v>
      </c>
      <c r="C422" s="5" t="s">
        <v>373</v>
      </c>
      <c r="D422" s="5"/>
      <c r="E422" s="5"/>
      <c r="F422" s="5"/>
    </row>
    <row r="423" spans="1:6" ht="20.100000000000001" customHeight="1">
      <c r="A423" s="5">
        <v>1203</v>
      </c>
      <c r="B423" s="5">
        <v>34</v>
      </c>
      <c r="C423" s="5" t="s">
        <v>372</v>
      </c>
      <c r="D423" s="5"/>
      <c r="E423" s="5"/>
      <c r="F423" s="5"/>
    </row>
    <row r="424" spans="1:6" ht="20.100000000000001" customHeight="1">
      <c r="A424" s="5">
        <v>1203</v>
      </c>
      <c r="B424" s="5">
        <v>24</v>
      </c>
      <c r="C424" s="5" t="s">
        <v>371</v>
      </c>
      <c r="D424" s="5"/>
      <c r="E424" s="5"/>
      <c r="F424" s="5"/>
    </row>
    <row r="425" spans="1:6" ht="20.100000000000001" customHeight="1">
      <c r="A425" s="5">
        <v>1203</v>
      </c>
      <c r="B425" s="5">
        <v>46</v>
      </c>
      <c r="C425" s="5" t="s">
        <v>713</v>
      </c>
      <c r="D425" s="5"/>
      <c r="E425" s="5"/>
      <c r="F425" s="5"/>
    </row>
    <row r="426" spans="1:6" ht="20.100000000000001" customHeight="1">
      <c r="A426" s="5">
        <v>1203</v>
      </c>
      <c r="B426" s="5">
        <v>44</v>
      </c>
      <c r="C426" s="5" t="s">
        <v>370</v>
      </c>
      <c r="D426" s="5"/>
      <c r="E426" s="5"/>
      <c r="F426" s="5"/>
    </row>
    <row r="427" spans="1:6" ht="20.100000000000001" customHeight="1">
      <c r="A427" s="5">
        <v>1203</v>
      </c>
      <c r="B427" s="5">
        <v>2</v>
      </c>
      <c r="C427" s="5" t="s">
        <v>366</v>
      </c>
      <c r="D427" s="5"/>
      <c r="E427" s="5"/>
      <c r="F427" s="5"/>
    </row>
    <row r="428" spans="1:6" ht="20.100000000000001" customHeight="1">
      <c r="A428" s="5">
        <v>1203</v>
      </c>
      <c r="B428" s="5">
        <v>37</v>
      </c>
      <c r="C428" s="5" t="s">
        <v>365</v>
      </c>
      <c r="D428" s="5"/>
      <c r="E428" s="5"/>
      <c r="F428" s="5"/>
    </row>
    <row r="429" spans="1:6" ht="20.100000000000001" customHeight="1">
      <c r="A429" s="5">
        <v>1203</v>
      </c>
      <c r="B429" s="5">
        <v>38</v>
      </c>
      <c r="C429" s="5" t="s">
        <v>364</v>
      </c>
      <c r="D429" s="5"/>
      <c r="E429" s="5"/>
      <c r="F429" s="5"/>
    </row>
    <row r="430" spans="1:6" ht="20.100000000000001" customHeight="1">
      <c r="A430" s="5">
        <v>1203</v>
      </c>
      <c r="B430" s="5">
        <v>39</v>
      </c>
      <c r="C430" s="5" t="s">
        <v>363</v>
      </c>
      <c r="D430" s="5"/>
      <c r="E430" s="5"/>
      <c r="F430" s="5"/>
    </row>
    <row r="431" spans="1:6" ht="18" customHeight="1">
      <c r="A431" s="5">
        <v>1203</v>
      </c>
      <c r="B431" s="5">
        <v>40</v>
      </c>
      <c r="C431" s="5" t="s">
        <v>362</v>
      </c>
      <c r="D431" s="5"/>
      <c r="E431" s="5"/>
      <c r="F431" s="5"/>
    </row>
    <row r="432" spans="1:6" ht="18" customHeight="1">
      <c r="A432" s="5">
        <v>1203</v>
      </c>
      <c r="B432" s="5">
        <v>41</v>
      </c>
      <c r="C432" s="5" t="s">
        <v>362</v>
      </c>
      <c r="D432" s="5"/>
      <c r="E432" s="5"/>
      <c r="F432" s="5"/>
    </row>
    <row r="433" spans="1:6" ht="18" customHeight="1">
      <c r="A433" s="5">
        <v>1203</v>
      </c>
      <c r="B433" s="5">
        <v>42</v>
      </c>
      <c r="C433" s="5" t="s">
        <v>362</v>
      </c>
      <c r="D433" s="5"/>
      <c r="E433" s="5"/>
      <c r="F433" s="5"/>
    </row>
    <row r="434" spans="1:6" ht="18" customHeight="1">
      <c r="A434" s="5">
        <v>1203</v>
      </c>
      <c r="B434" s="5">
        <v>43</v>
      </c>
      <c r="C434" s="5" t="s">
        <v>362</v>
      </c>
      <c r="D434" s="5"/>
      <c r="E434" s="5"/>
      <c r="F434" s="5"/>
    </row>
    <row r="435" spans="1:6" ht="18" customHeight="1">
      <c r="A435" s="5">
        <v>1203</v>
      </c>
      <c r="B435" s="5">
        <v>45</v>
      </c>
      <c r="C435" s="5" t="s">
        <v>369</v>
      </c>
      <c r="D435" s="5"/>
      <c r="E435" s="5"/>
      <c r="F435" s="5"/>
    </row>
    <row r="436" spans="1:6" ht="18" customHeight="1">
      <c r="A436" s="5">
        <v>1203</v>
      </c>
      <c r="B436" s="5">
        <v>3</v>
      </c>
      <c r="C436" s="5" t="s">
        <v>356</v>
      </c>
      <c r="D436" s="5"/>
      <c r="E436" s="5"/>
      <c r="F436" s="5"/>
    </row>
    <row r="437" spans="1:6" ht="18" customHeight="1">
      <c r="A437" s="5">
        <v>1203</v>
      </c>
      <c r="B437" s="5">
        <v>23</v>
      </c>
      <c r="C437" s="5" t="s">
        <v>714</v>
      </c>
      <c r="D437" s="5"/>
      <c r="E437" s="5"/>
      <c r="F437" s="5"/>
    </row>
    <row r="438" spans="1:6" ht="17.25" customHeight="1">
      <c r="A438" s="80"/>
      <c r="B438" s="81"/>
      <c r="C438" s="81"/>
      <c r="D438" s="81"/>
      <c r="E438" s="81"/>
      <c r="F438" s="111"/>
    </row>
    <row r="439" spans="1:6" ht="20.100000000000001" customHeight="1">
      <c r="A439" s="112"/>
      <c r="B439" s="113"/>
      <c r="C439" s="114" t="s">
        <v>687</v>
      </c>
      <c r="D439" s="81"/>
      <c r="E439" s="113"/>
      <c r="F439" s="111"/>
    </row>
    <row r="440" spans="1:6" ht="20.100000000000001" customHeight="1">
      <c r="A440" s="112"/>
      <c r="B440" s="113"/>
      <c r="C440" s="114" t="s">
        <v>688</v>
      </c>
      <c r="D440" s="81"/>
      <c r="E440" s="113"/>
      <c r="F440" s="111"/>
    </row>
    <row r="441" spans="1:6" ht="20.100000000000001" customHeight="1">
      <c r="A441" s="80"/>
      <c r="B441" s="81"/>
      <c r="C441" s="115" t="s">
        <v>689</v>
      </c>
      <c r="D441" s="81"/>
      <c r="E441" s="81"/>
      <c r="F441" s="111"/>
    </row>
    <row r="442" spans="1:6" ht="20.100000000000001" customHeight="1">
      <c r="A442" s="116" t="s">
        <v>690</v>
      </c>
      <c r="B442" s="117"/>
      <c r="C442" s="117"/>
      <c r="D442" s="117"/>
      <c r="E442" s="117"/>
      <c r="F442" s="111"/>
    </row>
    <row r="443" spans="1:6" ht="20.100000000000001" customHeight="1">
      <c r="A443" s="118" t="s">
        <v>691</v>
      </c>
      <c r="B443" s="117"/>
      <c r="C443" s="117"/>
      <c r="D443" s="117"/>
      <c r="E443" s="117"/>
      <c r="F443" s="111"/>
    </row>
    <row r="444" spans="1:6" ht="20.100000000000001" customHeight="1">
      <c r="A444" s="118" t="s">
        <v>692</v>
      </c>
      <c r="B444" s="117"/>
      <c r="C444" s="117"/>
      <c r="D444" s="117"/>
      <c r="E444" s="117"/>
      <c r="F444" s="111"/>
    </row>
    <row r="445" spans="1:6" ht="20.100000000000001" customHeight="1">
      <c r="A445" s="119"/>
      <c r="B445" s="120"/>
      <c r="C445" s="120"/>
      <c r="D445" s="120"/>
      <c r="E445" s="120"/>
      <c r="F445" s="83"/>
    </row>
    <row r="446" spans="1:6" ht="20.100000000000001" customHeight="1">
      <c r="A446" s="5">
        <v>1203</v>
      </c>
      <c r="B446" s="5">
        <v>19</v>
      </c>
      <c r="C446" s="5" t="s">
        <v>361</v>
      </c>
      <c r="D446" s="5"/>
      <c r="E446" s="5"/>
      <c r="F446" s="5"/>
    </row>
    <row r="447" spans="1:6" ht="20.100000000000001" customHeight="1">
      <c r="A447" s="5">
        <v>1203</v>
      </c>
      <c r="B447" s="5">
        <v>21</v>
      </c>
      <c r="C447" s="5" t="s">
        <v>359</v>
      </c>
      <c r="D447" s="5"/>
      <c r="E447" s="5"/>
      <c r="F447" s="5"/>
    </row>
    <row r="448" spans="1:6" ht="20.100000000000001" customHeight="1">
      <c r="A448" s="5">
        <v>1203</v>
      </c>
      <c r="B448" s="5">
        <v>20</v>
      </c>
      <c r="C448" s="5" t="s">
        <v>358</v>
      </c>
      <c r="D448" s="5"/>
      <c r="E448" s="5"/>
      <c r="F448" s="5"/>
    </row>
    <row r="449" spans="1:6" ht="20.100000000000001" customHeight="1">
      <c r="A449" s="5">
        <v>1203</v>
      </c>
      <c r="B449" s="5">
        <v>22</v>
      </c>
      <c r="C449" s="5" t="s">
        <v>358</v>
      </c>
      <c r="D449" s="5"/>
      <c r="E449" s="5"/>
      <c r="F449" s="5"/>
    </row>
    <row r="450" spans="1:6" ht="20.100000000000001" customHeight="1">
      <c r="A450" s="5">
        <v>1203</v>
      </c>
      <c r="B450" s="5">
        <v>8</v>
      </c>
      <c r="C450" s="5" t="s">
        <v>715</v>
      </c>
      <c r="D450" s="5"/>
      <c r="E450" s="5"/>
      <c r="F450" s="5"/>
    </row>
    <row r="451" spans="1:6" ht="20.100000000000001" customHeight="1">
      <c r="A451" s="5">
        <v>1203</v>
      </c>
      <c r="B451" s="5">
        <v>17</v>
      </c>
      <c r="C451" s="5" t="s">
        <v>357</v>
      </c>
      <c r="D451" s="5"/>
      <c r="E451" s="5"/>
      <c r="F451" s="5"/>
    </row>
    <row r="452" spans="1:6" ht="20.100000000000001" customHeight="1">
      <c r="A452" s="5">
        <v>1203</v>
      </c>
      <c r="B452" s="5">
        <v>30</v>
      </c>
      <c r="C452" s="5" t="s">
        <v>360</v>
      </c>
      <c r="D452" s="5"/>
      <c r="E452" s="5"/>
      <c r="F452" s="5"/>
    </row>
    <row r="453" spans="1:6" ht="20.100000000000001" customHeight="1">
      <c r="A453" s="5">
        <v>1203</v>
      </c>
      <c r="B453" s="5">
        <v>14</v>
      </c>
      <c r="C453" s="5" t="s">
        <v>354</v>
      </c>
      <c r="D453" s="5"/>
      <c r="E453" s="5"/>
      <c r="F453" s="5"/>
    </row>
    <row r="454" spans="1:6" ht="20.100000000000001" customHeight="1">
      <c r="A454" s="5">
        <v>1203</v>
      </c>
      <c r="B454" s="5">
        <v>13</v>
      </c>
      <c r="C454" s="5" t="s">
        <v>353</v>
      </c>
      <c r="D454" s="5"/>
      <c r="E454" s="5"/>
      <c r="F454" s="5"/>
    </row>
    <row r="455" spans="1:6" ht="20.100000000000001" customHeight="1">
      <c r="A455" s="5"/>
      <c r="B455" s="5"/>
      <c r="C455" s="5"/>
      <c r="D455" s="5"/>
      <c r="E455" s="5"/>
      <c r="F455" s="5"/>
    </row>
    <row r="456" spans="1:6" ht="20.100000000000001" customHeight="1">
      <c r="A456" s="17"/>
      <c r="B456" s="10"/>
      <c r="C456" s="10"/>
      <c r="D456" s="10"/>
      <c r="E456" s="10"/>
      <c r="F456" s="121"/>
    </row>
    <row r="457" spans="1:6" ht="20.100000000000001" customHeight="1">
      <c r="A457" s="17"/>
      <c r="B457" s="10"/>
      <c r="C457" s="10"/>
      <c r="D457" s="10"/>
      <c r="E457" s="10"/>
      <c r="F457" s="121"/>
    </row>
    <row r="458" spans="1:6" ht="20.100000000000001" customHeight="1">
      <c r="A458" s="17"/>
      <c r="B458" s="10"/>
      <c r="C458" s="10"/>
      <c r="D458" s="10"/>
      <c r="E458" s="10"/>
      <c r="F458" s="121"/>
    </row>
    <row r="459" spans="1:6" ht="20.100000000000001" customHeight="1">
      <c r="A459" s="17"/>
      <c r="B459" s="10"/>
      <c r="C459" s="10"/>
      <c r="D459" s="10"/>
      <c r="E459" s="10"/>
      <c r="F459" s="121"/>
    </row>
    <row r="460" spans="1:6" ht="20.100000000000001" customHeight="1">
      <c r="A460" s="17"/>
      <c r="B460" s="10"/>
      <c r="C460" s="10"/>
      <c r="D460" s="10"/>
      <c r="E460" s="10"/>
      <c r="F460" s="121"/>
    </row>
    <row r="461" spans="1:6" ht="20.100000000000001" customHeight="1">
      <c r="A461" s="17"/>
      <c r="B461" s="10"/>
      <c r="C461" s="10"/>
      <c r="D461" s="10"/>
      <c r="E461" s="10"/>
      <c r="F461" s="121"/>
    </row>
    <row r="462" spans="1:6" ht="20.100000000000001" customHeight="1">
      <c r="A462" s="17"/>
      <c r="B462" s="10"/>
      <c r="C462" s="10"/>
      <c r="D462" s="10"/>
      <c r="E462" s="10"/>
      <c r="F462" s="121"/>
    </row>
    <row r="463" spans="1:6" ht="20.100000000000001" customHeight="1">
      <c r="A463" s="17"/>
      <c r="B463" s="10"/>
      <c r="C463" s="10"/>
      <c r="D463" s="10"/>
      <c r="E463" s="10"/>
      <c r="F463" s="121"/>
    </row>
    <row r="464" spans="1:6" ht="20.100000000000001" customHeight="1">
      <c r="A464" s="17"/>
      <c r="B464" s="10"/>
      <c r="C464" s="10"/>
      <c r="D464" s="10"/>
      <c r="E464" s="10"/>
      <c r="F464" s="121"/>
    </row>
    <row r="465" spans="1:6" ht="20.100000000000001" customHeight="1">
      <c r="A465" s="17"/>
      <c r="B465" s="10"/>
      <c r="C465" s="10"/>
      <c r="D465" s="10"/>
      <c r="E465" s="10"/>
      <c r="F465" s="121"/>
    </row>
    <row r="466" spans="1:6" ht="20.100000000000001" customHeight="1">
      <c r="A466" s="17"/>
      <c r="B466" s="10"/>
      <c r="C466" s="10"/>
      <c r="D466" s="10"/>
      <c r="E466" s="10"/>
      <c r="F466" s="121"/>
    </row>
    <row r="467" spans="1:6" ht="17.25" customHeight="1">
      <c r="A467" s="80"/>
      <c r="B467" s="81"/>
      <c r="C467" s="81"/>
      <c r="D467" s="81"/>
      <c r="E467" s="81"/>
      <c r="F467" s="111"/>
    </row>
    <row r="468" spans="1:6" ht="20.100000000000001" customHeight="1">
      <c r="A468" s="112"/>
      <c r="B468" s="113"/>
      <c r="C468" s="114" t="s">
        <v>687</v>
      </c>
      <c r="D468" s="81"/>
      <c r="E468" s="113"/>
      <c r="F468" s="111"/>
    </row>
    <row r="469" spans="1:6" ht="20.100000000000001" customHeight="1">
      <c r="A469" s="112"/>
      <c r="B469" s="113"/>
      <c r="C469" s="114" t="s">
        <v>688</v>
      </c>
      <c r="D469" s="81"/>
      <c r="E469" s="113"/>
      <c r="F469" s="111"/>
    </row>
    <row r="470" spans="1:6" ht="20.100000000000001" customHeight="1">
      <c r="A470" s="80"/>
      <c r="B470" s="81"/>
      <c r="C470" s="115" t="s">
        <v>689</v>
      </c>
      <c r="D470" s="81"/>
      <c r="E470" s="81"/>
      <c r="F470" s="111"/>
    </row>
    <row r="471" spans="1:6" ht="20.100000000000001" customHeight="1">
      <c r="A471" s="116" t="s">
        <v>690</v>
      </c>
      <c r="B471" s="117"/>
      <c r="C471" s="117"/>
      <c r="D471" s="117"/>
      <c r="E471" s="117"/>
      <c r="F471" s="111"/>
    </row>
    <row r="472" spans="1:6" ht="20.100000000000001" customHeight="1">
      <c r="A472" s="118" t="s">
        <v>691</v>
      </c>
      <c r="B472" s="117"/>
      <c r="C472" s="117"/>
      <c r="D472" s="117"/>
      <c r="E472" s="117"/>
      <c r="F472" s="111"/>
    </row>
    <row r="473" spans="1:6" ht="20.100000000000001" customHeight="1">
      <c r="A473" s="118" t="s">
        <v>692</v>
      </c>
      <c r="B473" s="117"/>
      <c r="C473" s="117"/>
      <c r="D473" s="117"/>
      <c r="E473" s="117"/>
      <c r="F473" s="111"/>
    </row>
    <row r="474" spans="1:6" ht="20.100000000000001" customHeight="1">
      <c r="A474" s="119"/>
      <c r="B474" s="120"/>
      <c r="C474" s="120"/>
      <c r="D474" s="120"/>
      <c r="E474" s="120"/>
      <c r="F474" s="83"/>
    </row>
    <row r="475" spans="1:6" ht="20.100000000000001" customHeight="1">
      <c r="A475" s="5">
        <v>1215</v>
      </c>
      <c r="B475" s="5">
        <v>3</v>
      </c>
      <c r="C475" s="5" t="s">
        <v>382</v>
      </c>
      <c r="D475" s="106"/>
      <c r="E475" s="5"/>
      <c r="F475" s="5"/>
    </row>
    <row r="476" spans="1:6" ht="20.100000000000001" customHeight="1">
      <c r="A476" s="5">
        <v>1215</v>
      </c>
      <c r="B476" s="5">
        <v>27</v>
      </c>
      <c r="C476" s="5" t="s">
        <v>382</v>
      </c>
      <c r="D476" s="5"/>
      <c r="E476" s="5"/>
      <c r="F476" s="5"/>
    </row>
    <row r="477" spans="1:6" ht="20.100000000000001" customHeight="1">
      <c r="A477" s="5">
        <v>1215</v>
      </c>
      <c r="B477" s="5">
        <v>28</v>
      </c>
      <c r="C477" s="5" t="s">
        <v>382</v>
      </c>
      <c r="D477" s="5"/>
      <c r="E477" s="5"/>
      <c r="F477" s="5"/>
    </row>
    <row r="478" spans="1:6" ht="20.100000000000001" customHeight="1">
      <c r="A478" s="5">
        <v>1215</v>
      </c>
      <c r="B478" s="5">
        <v>29</v>
      </c>
      <c r="C478" s="5" t="s">
        <v>382</v>
      </c>
      <c r="D478" s="5"/>
      <c r="E478" s="5"/>
      <c r="F478" s="5"/>
    </row>
    <row r="479" spans="1:6" ht="20.100000000000001" customHeight="1">
      <c r="A479" s="5">
        <v>1215</v>
      </c>
      <c r="B479" s="5">
        <v>30</v>
      </c>
      <c r="C479" s="5" t="s">
        <v>382</v>
      </c>
      <c r="D479" s="5"/>
      <c r="E479" s="5"/>
      <c r="F479" s="5"/>
    </row>
    <row r="480" spans="1:6" ht="20.100000000000001" customHeight="1">
      <c r="A480" s="5">
        <v>1215</v>
      </c>
      <c r="B480" s="5">
        <v>31</v>
      </c>
      <c r="C480" s="5" t="s">
        <v>382</v>
      </c>
      <c r="D480" s="5"/>
      <c r="E480" s="5"/>
      <c r="F480" s="5"/>
    </row>
    <row r="481" spans="1:6" ht="20.100000000000001" customHeight="1">
      <c r="A481" s="5">
        <v>1215</v>
      </c>
      <c r="B481" s="5">
        <v>32</v>
      </c>
      <c r="C481" s="5" t="s">
        <v>382</v>
      </c>
      <c r="D481" s="5"/>
      <c r="E481" s="5"/>
      <c r="F481" s="5"/>
    </row>
    <row r="482" spans="1:6" ht="20.100000000000001" customHeight="1">
      <c r="A482" s="5">
        <v>1215</v>
      </c>
      <c r="B482" s="5">
        <v>24</v>
      </c>
      <c r="C482" s="5" t="s">
        <v>716</v>
      </c>
      <c r="D482" s="5"/>
      <c r="E482" s="5"/>
      <c r="F482" s="5"/>
    </row>
    <row r="483" spans="1:6" ht="20.100000000000001" customHeight="1">
      <c r="A483" s="5">
        <v>1215</v>
      </c>
      <c r="B483" s="5">
        <v>2</v>
      </c>
      <c r="C483" s="5" t="s">
        <v>386</v>
      </c>
      <c r="D483" s="5"/>
      <c r="E483" s="5"/>
      <c r="F483" s="5"/>
    </row>
    <row r="484" spans="1:6" ht="20.100000000000001" customHeight="1">
      <c r="A484" s="5">
        <v>1215</v>
      </c>
      <c r="B484" s="5">
        <v>40</v>
      </c>
      <c r="C484" s="5" t="s">
        <v>383</v>
      </c>
      <c r="D484" s="106"/>
      <c r="E484" s="5"/>
      <c r="F484" s="5"/>
    </row>
    <row r="485" spans="1:6" ht="20.100000000000001" customHeight="1">
      <c r="A485" s="5">
        <v>1215</v>
      </c>
      <c r="B485" s="5">
        <v>39</v>
      </c>
      <c r="C485" s="5" t="s">
        <v>383</v>
      </c>
      <c r="D485" s="106"/>
      <c r="E485" s="5"/>
      <c r="F485" s="5"/>
    </row>
    <row r="486" spans="1:6" ht="20.100000000000001" customHeight="1">
      <c r="A486" s="5">
        <v>1215</v>
      </c>
      <c r="B486" s="5">
        <v>41</v>
      </c>
      <c r="C486" s="5" t="s">
        <v>383</v>
      </c>
      <c r="D486" s="106"/>
      <c r="E486" s="5"/>
      <c r="F486" s="5"/>
    </row>
    <row r="487" spans="1:6" ht="20.100000000000001" customHeight="1">
      <c r="A487" s="5">
        <v>1215</v>
      </c>
      <c r="B487" s="5">
        <v>38</v>
      </c>
      <c r="C487" s="5" t="s">
        <v>383</v>
      </c>
      <c r="D487" s="106"/>
      <c r="E487" s="5"/>
      <c r="F487" s="5"/>
    </row>
    <row r="488" spans="1:6" ht="20.100000000000001" customHeight="1">
      <c r="A488" s="5">
        <v>1215</v>
      </c>
      <c r="B488" s="5">
        <v>11</v>
      </c>
      <c r="C488" s="5" t="s">
        <v>385</v>
      </c>
      <c r="D488" s="106"/>
      <c r="E488" s="5"/>
      <c r="F488" s="5"/>
    </row>
    <row r="489" spans="1:6" ht="20.100000000000001" customHeight="1">
      <c r="A489" s="5">
        <v>1215</v>
      </c>
      <c r="B489" s="5">
        <v>10</v>
      </c>
      <c r="C489" s="5" t="s">
        <v>383</v>
      </c>
      <c r="D489" s="106"/>
      <c r="E489" s="5"/>
      <c r="F489" s="5"/>
    </row>
    <row r="490" spans="1:6" ht="20.100000000000001" customHeight="1">
      <c r="A490" s="5">
        <v>1215</v>
      </c>
      <c r="B490" s="5">
        <v>9</v>
      </c>
      <c r="C490" s="5" t="s">
        <v>384</v>
      </c>
      <c r="D490" s="106"/>
      <c r="E490" s="5"/>
      <c r="F490" s="5"/>
    </row>
    <row r="491" spans="1:6" ht="20.100000000000001" customHeight="1">
      <c r="A491" s="5">
        <v>1215</v>
      </c>
      <c r="B491" s="5">
        <v>37</v>
      </c>
      <c r="C491" s="5" t="s">
        <v>383</v>
      </c>
      <c r="D491" s="106"/>
      <c r="E491" s="5"/>
      <c r="F491" s="5"/>
    </row>
    <row r="492" spans="1:6" ht="20.100000000000001" customHeight="1">
      <c r="A492" s="5">
        <v>1215</v>
      </c>
      <c r="B492" s="5">
        <v>26</v>
      </c>
      <c r="C492" s="5" t="s">
        <v>383</v>
      </c>
      <c r="D492" s="106"/>
      <c r="E492" s="5"/>
      <c r="F492" s="5"/>
    </row>
    <row r="493" spans="1:6" ht="20.100000000000001" customHeight="1">
      <c r="A493" s="5">
        <v>1215</v>
      </c>
      <c r="B493" s="5">
        <v>6</v>
      </c>
      <c r="C493" s="5" t="s">
        <v>382</v>
      </c>
      <c r="D493" s="5"/>
      <c r="E493" s="5"/>
      <c r="F493" s="5"/>
    </row>
    <row r="494" spans="1:6" ht="20.100000000000001" customHeight="1">
      <c r="A494" s="5">
        <v>1215</v>
      </c>
      <c r="B494" s="5">
        <v>5</v>
      </c>
      <c r="C494" s="5" t="s">
        <v>297</v>
      </c>
      <c r="D494" s="106"/>
      <c r="E494" s="5"/>
      <c r="F494" s="5"/>
    </row>
    <row r="495" spans="1:6" ht="20.100000000000001" customHeight="1">
      <c r="A495" s="5">
        <v>1215</v>
      </c>
      <c r="B495" s="5">
        <v>21</v>
      </c>
      <c r="C495" s="5" t="s">
        <v>383</v>
      </c>
      <c r="D495" s="106"/>
      <c r="E495" s="5"/>
      <c r="F495" s="5"/>
    </row>
    <row r="496" spans="1:6" ht="17.25" customHeight="1">
      <c r="A496" s="80"/>
      <c r="B496" s="81"/>
      <c r="C496" s="81"/>
      <c r="D496" s="81"/>
      <c r="E496" s="81"/>
      <c r="F496" s="111"/>
    </row>
    <row r="497" spans="1:6" ht="20.100000000000001" customHeight="1">
      <c r="A497" s="112"/>
      <c r="B497" s="113"/>
      <c r="C497" s="114" t="s">
        <v>687</v>
      </c>
      <c r="D497" s="81"/>
      <c r="E497" s="113"/>
      <c r="F497" s="111"/>
    </row>
    <row r="498" spans="1:6" ht="20.100000000000001" customHeight="1">
      <c r="A498" s="112"/>
      <c r="B498" s="113"/>
      <c r="C498" s="114" t="s">
        <v>688</v>
      </c>
      <c r="D498" s="81"/>
      <c r="E498" s="113"/>
      <c r="F498" s="111"/>
    </row>
    <row r="499" spans="1:6" ht="20.100000000000001" customHeight="1">
      <c r="A499" s="80"/>
      <c r="B499" s="81"/>
      <c r="C499" s="115" t="s">
        <v>689</v>
      </c>
      <c r="D499" s="81"/>
      <c r="E499" s="81"/>
      <c r="F499" s="111"/>
    </row>
    <row r="500" spans="1:6" ht="20.100000000000001" customHeight="1">
      <c r="A500" s="116" t="s">
        <v>690</v>
      </c>
      <c r="B500" s="117"/>
      <c r="C500" s="117"/>
      <c r="D500" s="117"/>
      <c r="E500" s="117"/>
      <c r="F500" s="111"/>
    </row>
    <row r="501" spans="1:6" ht="20.100000000000001" customHeight="1">
      <c r="A501" s="118" t="s">
        <v>691</v>
      </c>
      <c r="B501" s="117"/>
      <c r="C501" s="117"/>
      <c r="D501" s="117"/>
      <c r="E501" s="117"/>
      <c r="F501" s="111"/>
    </row>
    <row r="502" spans="1:6" ht="20.100000000000001" customHeight="1">
      <c r="A502" s="118" t="s">
        <v>692</v>
      </c>
      <c r="B502" s="117"/>
      <c r="C502" s="117"/>
      <c r="D502" s="117"/>
      <c r="E502" s="117"/>
      <c r="F502" s="111"/>
    </row>
    <row r="503" spans="1:6" ht="20.100000000000001" customHeight="1">
      <c r="A503" s="119"/>
      <c r="B503" s="120"/>
      <c r="C503" s="120"/>
      <c r="D503" s="120"/>
      <c r="E503" s="120"/>
      <c r="F503" s="83"/>
    </row>
    <row r="504" spans="1:6" ht="20.100000000000001" customHeight="1">
      <c r="A504" s="5">
        <v>1212</v>
      </c>
      <c r="B504" s="5">
        <v>1</v>
      </c>
      <c r="C504" s="5" t="s">
        <v>395</v>
      </c>
      <c r="D504" s="5"/>
      <c r="E504" s="5"/>
      <c r="F504" s="5"/>
    </row>
    <row r="505" spans="1:6" ht="20.100000000000001" customHeight="1">
      <c r="A505" s="5">
        <v>1212</v>
      </c>
      <c r="B505" s="5">
        <v>14</v>
      </c>
      <c r="C505" s="5" t="s">
        <v>395</v>
      </c>
      <c r="D505" s="5"/>
      <c r="E505" s="5"/>
      <c r="F505" s="5"/>
    </row>
    <row r="506" spans="1:6" ht="20.100000000000001" customHeight="1">
      <c r="A506" s="5">
        <v>1212</v>
      </c>
      <c r="B506" s="5">
        <v>18</v>
      </c>
      <c r="C506" s="5" t="s">
        <v>395</v>
      </c>
      <c r="D506" s="5"/>
      <c r="E506" s="5"/>
      <c r="F506" s="5"/>
    </row>
    <row r="507" spans="1:6" ht="20.100000000000001" customHeight="1">
      <c r="A507" s="5">
        <v>1212</v>
      </c>
      <c r="B507" s="5">
        <v>19</v>
      </c>
      <c r="C507" s="5" t="s">
        <v>395</v>
      </c>
      <c r="D507" s="5"/>
      <c r="E507" s="5"/>
      <c r="F507" s="5"/>
    </row>
    <row r="508" spans="1:6" ht="20.100000000000001" customHeight="1">
      <c r="A508" s="5">
        <v>1212</v>
      </c>
      <c r="B508" s="5">
        <v>20</v>
      </c>
      <c r="C508" s="5" t="s">
        <v>395</v>
      </c>
      <c r="D508" s="5"/>
      <c r="E508" s="5"/>
      <c r="F508" s="5"/>
    </row>
    <row r="509" spans="1:6" ht="20.100000000000001" customHeight="1">
      <c r="A509" s="5">
        <v>1212</v>
      </c>
      <c r="B509" s="5">
        <v>5</v>
      </c>
      <c r="C509" s="5" t="s">
        <v>396</v>
      </c>
      <c r="D509" s="5"/>
      <c r="E509" s="5"/>
      <c r="F509" s="5"/>
    </row>
    <row r="510" spans="1:6" ht="20.100000000000001" customHeight="1">
      <c r="A510" s="5">
        <v>1212</v>
      </c>
      <c r="B510" s="5">
        <v>9</v>
      </c>
      <c r="C510" s="5" t="s">
        <v>397</v>
      </c>
      <c r="D510" s="5"/>
      <c r="E510" s="5"/>
      <c r="F510" s="5"/>
    </row>
    <row r="511" spans="1:6" ht="20.100000000000001" customHeight="1">
      <c r="A511" s="5">
        <v>1212</v>
      </c>
      <c r="B511" s="5">
        <v>21</v>
      </c>
      <c r="C511" s="5" t="s">
        <v>398</v>
      </c>
      <c r="D511" s="5"/>
      <c r="E511" s="5"/>
      <c r="F511" s="5"/>
    </row>
    <row r="512" spans="1:6" ht="20.100000000000001" customHeight="1">
      <c r="A512" s="5">
        <v>1212</v>
      </c>
      <c r="B512" s="5">
        <v>4</v>
      </c>
      <c r="C512" s="5" t="s">
        <v>399</v>
      </c>
      <c r="D512" s="5"/>
      <c r="E512" s="5"/>
      <c r="F512" s="5"/>
    </row>
    <row r="513" spans="1:6" ht="20.100000000000001" customHeight="1">
      <c r="A513" s="5">
        <v>1212</v>
      </c>
      <c r="B513" s="5">
        <v>13</v>
      </c>
      <c r="C513" s="5" t="s">
        <v>400</v>
      </c>
      <c r="D513" s="5"/>
      <c r="E513" s="5"/>
      <c r="F513" s="5"/>
    </row>
    <row r="514" spans="1:6" ht="20.100000000000001" customHeight="1">
      <c r="A514" s="5"/>
      <c r="B514" s="5"/>
      <c r="C514" s="5"/>
      <c r="D514" s="5"/>
      <c r="E514" s="5"/>
      <c r="F514" s="5"/>
    </row>
    <row r="515" spans="1:6" ht="20.100000000000001" customHeight="1">
      <c r="A515" s="17"/>
      <c r="B515" s="10"/>
      <c r="C515" s="10"/>
      <c r="D515" s="10"/>
      <c r="E515" s="10"/>
      <c r="F515" s="121"/>
    </row>
    <row r="516" spans="1:6" ht="20.100000000000001" customHeight="1">
      <c r="A516" s="17"/>
      <c r="B516" s="10"/>
      <c r="C516" s="10"/>
      <c r="D516" s="10"/>
      <c r="E516" s="10"/>
      <c r="F516" s="121"/>
    </row>
    <row r="517" spans="1:6" ht="20.100000000000001" customHeight="1">
      <c r="A517" s="17"/>
      <c r="B517" s="10"/>
      <c r="C517" s="10"/>
      <c r="D517" s="10"/>
      <c r="E517" s="10"/>
      <c r="F517" s="121"/>
    </row>
    <row r="518" spans="1:6" ht="20.100000000000001" customHeight="1">
      <c r="A518" s="17"/>
      <c r="B518" s="10"/>
      <c r="C518" s="10"/>
      <c r="D518" s="10"/>
      <c r="E518" s="10"/>
      <c r="F518" s="121"/>
    </row>
    <row r="519" spans="1:6" ht="20.100000000000001" customHeight="1">
      <c r="A519" s="17"/>
      <c r="B519" s="10"/>
      <c r="C519" s="10"/>
      <c r="D519" s="10"/>
      <c r="E519" s="10"/>
      <c r="F519" s="121"/>
    </row>
    <row r="520" spans="1:6" ht="20.100000000000001" customHeight="1">
      <c r="A520" s="17"/>
      <c r="B520" s="10"/>
      <c r="C520" s="10"/>
      <c r="D520" s="10"/>
      <c r="E520" s="10"/>
      <c r="F520" s="121"/>
    </row>
    <row r="521" spans="1:6" ht="20.100000000000001" customHeight="1">
      <c r="A521" s="17"/>
      <c r="B521" s="10"/>
      <c r="C521" s="10"/>
      <c r="D521" s="10"/>
      <c r="E521" s="10"/>
      <c r="F521" s="121"/>
    </row>
    <row r="522" spans="1:6" ht="20.100000000000001" customHeight="1">
      <c r="A522" s="17"/>
      <c r="B522" s="10"/>
      <c r="C522" s="10"/>
      <c r="D522" s="10"/>
      <c r="E522" s="10"/>
      <c r="F522" s="121"/>
    </row>
    <row r="523" spans="1:6" ht="20.100000000000001" customHeight="1">
      <c r="A523" s="17"/>
      <c r="B523" s="10"/>
      <c r="C523" s="10"/>
      <c r="D523" s="10"/>
      <c r="E523" s="10"/>
      <c r="F523" s="121"/>
    </row>
    <row r="524" spans="1:6" ht="20.100000000000001" customHeight="1">
      <c r="A524" s="17"/>
      <c r="B524" s="10"/>
      <c r="C524" s="10"/>
      <c r="D524" s="10"/>
      <c r="E524" s="10"/>
      <c r="F524" s="121"/>
    </row>
    <row r="525" spans="1:6" ht="17.25" customHeight="1">
      <c r="A525" s="80"/>
      <c r="B525" s="81"/>
      <c r="C525" s="81"/>
      <c r="D525" s="81"/>
      <c r="E525" s="81"/>
      <c r="F525" s="111"/>
    </row>
    <row r="526" spans="1:6" ht="20.100000000000001" customHeight="1">
      <c r="A526" s="112"/>
      <c r="B526" s="113"/>
      <c r="C526" s="114" t="s">
        <v>687</v>
      </c>
      <c r="D526" s="81"/>
      <c r="E526" s="113"/>
      <c r="F526" s="111"/>
    </row>
    <row r="527" spans="1:6" ht="20.100000000000001" customHeight="1">
      <c r="A527" s="112"/>
      <c r="B527" s="113"/>
      <c r="C527" s="114" t="s">
        <v>688</v>
      </c>
      <c r="D527" s="81"/>
      <c r="E527" s="113"/>
      <c r="F527" s="111"/>
    </row>
    <row r="528" spans="1:6" ht="20.100000000000001" customHeight="1">
      <c r="A528" s="80"/>
      <c r="B528" s="81"/>
      <c r="C528" s="115" t="s">
        <v>689</v>
      </c>
      <c r="D528" s="81"/>
      <c r="E528" s="81"/>
      <c r="F528" s="111"/>
    </row>
    <row r="529" spans="1:6" ht="20.100000000000001" customHeight="1">
      <c r="A529" s="116" t="s">
        <v>690</v>
      </c>
      <c r="B529" s="117"/>
      <c r="C529" s="117"/>
      <c r="D529" s="117"/>
      <c r="E529" s="117"/>
      <c r="F529" s="111"/>
    </row>
    <row r="530" spans="1:6" ht="20.100000000000001" customHeight="1">
      <c r="A530" s="118" t="s">
        <v>691</v>
      </c>
      <c r="B530" s="117"/>
      <c r="C530" s="117"/>
      <c r="D530" s="117"/>
      <c r="E530" s="117"/>
      <c r="F530" s="111"/>
    </row>
    <row r="531" spans="1:6" ht="20.100000000000001" customHeight="1">
      <c r="A531" s="118" t="s">
        <v>692</v>
      </c>
      <c r="B531" s="117"/>
      <c r="C531" s="117"/>
      <c r="D531" s="117"/>
      <c r="E531" s="117"/>
      <c r="F531" s="111"/>
    </row>
    <row r="532" spans="1:6" ht="20.100000000000001" customHeight="1">
      <c r="A532" s="119"/>
      <c r="B532" s="120"/>
      <c r="C532" s="120"/>
      <c r="D532" s="120"/>
      <c r="E532" s="120"/>
      <c r="F532" s="83"/>
    </row>
    <row r="533" spans="1:6" ht="20.100000000000001" customHeight="1">
      <c r="A533" s="5">
        <v>1213</v>
      </c>
      <c r="B533" s="5">
        <v>1</v>
      </c>
      <c r="C533" s="5" t="s">
        <v>416</v>
      </c>
      <c r="D533" s="48"/>
      <c r="E533" s="5"/>
      <c r="F533" s="5"/>
    </row>
    <row r="534" spans="1:6" ht="20.100000000000001" customHeight="1">
      <c r="A534" s="5">
        <v>1213</v>
      </c>
      <c r="B534" s="5">
        <v>2</v>
      </c>
      <c r="C534" s="5" t="s">
        <v>416</v>
      </c>
      <c r="D534" s="48"/>
      <c r="E534" s="5"/>
      <c r="F534" s="5"/>
    </row>
    <row r="535" spans="1:6" ht="20.100000000000001" customHeight="1">
      <c r="A535" s="5">
        <v>1213</v>
      </c>
      <c r="B535" s="5">
        <v>3</v>
      </c>
      <c r="C535" s="5" t="s">
        <v>416</v>
      </c>
      <c r="D535" s="48"/>
      <c r="E535" s="5"/>
      <c r="F535" s="5"/>
    </row>
    <row r="536" spans="1:6" ht="20.100000000000001" customHeight="1">
      <c r="A536" s="5">
        <v>1213</v>
      </c>
      <c r="B536" s="5">
        <v>140</v>
      </c>
      <c r="C536" s="5" t="s">
        <v>417</v>
      </c>
      <c r="D536" s="48"/>
      <c r="E536" s="5"/>
      <c r="F536" s="5"/>
    </row>
    <row r="537" spans="1:6" ht="20.100000000000001" customHeight="1">
      <c r="A537" s="5">
        <v>1213</v>
      </c>
      <c r="B537" s="5">
        <v>184</v>
      </c>
      <c r="C537" s="5" t="s">
        <v>417</v>
      </c>
      <c r="D537" s="48"/>
      <c r="E537" s="5"/>
      <c r="F537" s="5"/>
    </row>
    <row r="538" spans="1:6" ht="20.100000000000001" customHeight="1">
      <c r="A538" s="5">
        <v>1213</v>
      </c>
      <c r="B538" s="5">
        <v>141</v>
      </c>
      <c r="C538" s="5" t="s">
        <v>418</v>
      </c>
      <c r="D538" s="48"/>
      <c r="E538" s="5"/>
      <c r="F538" s="5"/>
    </row>
    <row r="539" spans="1:6" ht="20.100000000000001" customHeight="1">
      <c r="A539" s="5">
        <v>1213</v>
      </c>
      <c r="B539" s="5">
        <v>143</v>
      </c>
      <c r="C539" s="5" t="s">
        <v>419</v>
      </c>
      <c r="D539" s="48"/>
      <c r="E539" s="5"/>
      <c r="F539" s="5"/>
    </row>
    <row r="540" spans="1:6" ht="20.100000000000001" customHeight="1">
      <c r="A540" s="5">
        <v>1213</v>
      </c>
      <c r="B540" s="5">
        <v>151</v>
      </c>
      <c r="C540" s="5" t="s">
        <v>420</v>
      </c>
      <c r="D540" s="48"/>
      <c r="E540" s="5"/>
      <c r="F540" s="5"/>
    </row>
    <row r="541" spans="1:6" ht="20.100000000000001" customHeight="1">
      <c r="A541" s="5">
        <v>1213</v>
      </c>
      <c r="B541" s="5">
        <v>305</v>
      </c>
      <c r="C541" s="5" t="s">
        <v>395</v>
      </c>
      <c r="D541" s="48"/>
      <c r="E541" s="5"/>
      <c r="F541" s="5"/>
    </row>
    <row r="542" spans="1:6" ht="20.100000000000001" customHeight="1">
      <c r="A542" s="5">
        <v>1213</v>
      </c>
      <c r="B542" s="5">
        <v>304</v>
      </c>
      <c r="C542" s="5" t="s">
        <v>421</v>
      </c>
      <c r="D542" s="48"/>
      <c r="E542" s="5"/>
      <c r="F542" s="5"/>
    </row>
    <row r="543" spans="1:6" ht="20.100000000000001" customHeight="1">
      <c r="A543" s="5">
        <v>1213</v>
      </c>
      <c r="B543" s="5">
        <v>194</v>
      </c>
      <c r="C543" s="5" t="s">
        <v>422</v>
      </c>
      <c r="D543" s="48"/>
      <c r="E543" s="5"/>
      <c r="F543" s="5"/>
    </row>
    <row r="544" spans="1:6" ht="20.100000000000001" customHeight="1">
      <c r="A544" s="5">
        <v>1213</v>
      </c>
      <c r="B544" s="5">
        <v>259</v>
      </c>
      <c r="C544" s="5" t="s">
        <v>423</v>
      </c>
      <c r="D544" s="48"/>
      <c r="E544" s="5"/>
      <c r="F544" s="5"/>
    </row>
    <row r="545" spans="1:6" ht="20.100000000000001" customHeight="1">
      <c r="A545" s="5">
        <v>1213</v>
      </c>
      <c r="B545" s="5">
        <v>260</v>
      </c>
      <c r="C545" s="5" t="s">
        <v>424</v>
      </c>
      <c r="D545" s="48"/>
      <c r="E545" s="5"/>
      <c r="F545" s="5"/>
    </row>
    <row r="546" spans="1:6" ht="20.100000000000001" customHeight="1">
      <c r="A546" s="5">
        <v>1213</v>
      </c>
      <c r="B546" s="5">
        <v>261</v>
      </c>
      <c r="C546" s="5" t="s">
        <v>425</v>
      </c>
      <c r="D546" s="48"/>
      <c r="E546" s="5"/>
      <c r="F546" s="5"/>
    </row>
    <row r="547" spans="1:6" ht="20.100000000000001" customHeight="1">
      <c r="A547" s="5">
        <v>1213</v>
      </c>
      <c r="B547" s="5">
        <v>262</v>
      </c>
      <c r="C547" s="5" t="s">
        <v>426</v>
      </c>
      <c r="D547" s="48"/>
      <c r="E547" s="5"/>
      <c r="F547" s="5"/>
    </row>
    <row r="548" spans="1:6" ht="20.100000000000001" customHeight="1">
      <c r="A548" s="5">
        <v>1213</v>
      </c>
      <c r="B548" s="5">
        <v>17</v>
      </c>
      <c r="C548" s="5" t="s">
        <v>427</v>
      </c>
      <c r="D548" s="48"/>
      <c r="E548" s="5"/>
      <c r="F548" s="5"/>
    </row>
    <row r="549" spans="1:6" ht="20.100000000000001" customHeight="1">
      <c r="A549" s="5">
        <v>1213</v>
      </c>
      <c r="B549" s="5">
        <v>164</v>
      </c>
      <c r="C549" s="5" t="s">
        <v>428</v>
      </c>
      <c r="D549" s="48"/>
      <c r="E549" s="5"/>
      <c r="F549" s="5"/>
    </row>
    <row r="550" spans="1:6" ht="20.100000000000001" customHeight="1">
      <c r="A550" s="5">
        <v>1213</v>
      </c>
      <c r="B550" s="5">
        <v>214</v>
      </c>
      <c r="C550" s="5" t="s">
        <v>429</v>
      </c>
      <c r="D550" s="5"/>
      <c r="E550" s="5"/>
      <c r="F550" s="5"/>
    </row>
    <row r="551" spans="1:6" ht="20.100000000000001" customHeight="1">
      <c r="A551" s="5">
        <v>1213</v>
      </c>
      <c r="B551" s="5">
        <v>81</v>
      </c>
      <c r="C551" s="5" t="s">
        <v>430</v>
      </c>
      <c r="D551" s="48"/>
      <c r="E551" s="5"/>
      <c r="F551" s="5"/>
    </row>
    <row r="552" spans="1:6" ht="20.100000000000001" customHeight="1">
      <c r="A552" s="5">
        <v>1213</v>
      </c>
      <c r="B552" s="5">
        <v>80</v>
      </c>
      <c r="C552" s="5" t="s">
        <v>431</v>
      </c>
      <c r="D552" s="48"/>
      <c r="E552" s="5"/>
      <c r="F552" s="5"/>
    </row>
    <row r="553" spans="1:6" ht="20.100000000000001" customHeight="1">
      <c r="A553" s="5">
        <v>1213</v>
      </c>
      <c r="B553" s="5">
        <v>82</v>
      </c>
      <c r="C553" s="5" t="s">
        <v>432</v>
      </c>
      <c r="D553" s="48"/>
      <c r="E553" s="5"/>
      <c r="F553" s="5"/>
    </row>
    <row r="554" spans="1:6" ht="17.25" customHeight="1">
      <c r="A554" s="80"/>
      <c r="B554" s="81"/>
      <c r="C554" s="81"/>
      <c r="D554" s="81"/>
      <c r="E554" s="81"/>
      <c r="F554" s="111"/>
    </row>
    <row r="555" spans="1:6" ht="20.100000000000001" customHeight="1">
      <c r="A555" s="112"/>
      <c r="B555" s="113"/>
      <c r="C555" s="114" t="s">
        <v>687</v>
      </c>
      <c r="D555" s="81"/>
      <c r="E555" s="113"/>
      <c r="F555" s="111"/>
    </row>
    <row r="556" spans="1:6" ht="20.100000000000001" customHeight="1">
      <c r="A556" s="112"/>
      <c r="B556" s="113"/>
      <c r="C556" s="114" t="s">
        <v>688</v>
      </c>
      <c r="D556" s="81"/>
      <c r="E556" s="113"/>
      <c r="F556" s="111"/>
    </row>
    <row r="557" spans="1:6" ht="20.100000000000001" customHeight="1">
      <c r="A557" s="80"/>
      <c r="B557" s="81"/>
      <c r="C557" s="115" t="s">
        <v>689</v>
      </c>
      <c r="D557" s="81"/>
      <c r="E557" s="81"/>
      <c r="F557" s="111"/>
    </row>
    <row r="558" spans="1:6" ht="20.100000000000001" customHeight="1">
      <c r="A558" s="116" t="s">
        <v>690</v>
      </c>
      <c r="B558" s="117"/>
      <c r="C558" s="117"/>
      <c r="D558" s="117"/>
      <c r="E558" s="117"/>
      <c r="F558" s="111"/>
    </row>
    <row r="559" spans="1:6" ht="20.100000000000001" customHeight="1">
      <c r="A559" s="118" t="s">
        <v>691</v>
      </c>
      <c r="B559" s="117"/>
      <c r="C559" s="117"/>
      <c r="D559" s="117"/>
      <c r="E559" s="117"/>
      <c r="F559" s="111"/>
    </row>
    <row r="560" spans="1:6" ht="20.100000000000001" customHeight="1">
      <c r="A560" s="118" t="s">
        <v>692</v>
      </c>
      <c r="B560" s="117"/>
      <c r="C560" s="117"/>
      <c r="D560" s="117"/>
      <c r="E560" s="117"/>
      <c r="F560" s="111"/>
    </row>
    <row r="561" spans="1:6" ht="20.100000000000001" customHeight="1">
      <c r="A561" s="119"/>
      <c r="B561" s="120"/>
      <c r="C561" s="120"/>
      <c r="D561" s="120"/>
      <c r="E561" s="120"/>
      <c r="F561" s="83"/>
    </row>
    <row r="562" spans="1:6" ht="20.100000000000001" customHeight="1">
      <c r="A562" s="5">
        <v>1213</v>
      </c>
      <c r="B562" s="5">
        <v>83</v>
      </c>
      <c r="C562" s="5" t="s">
        <v>717</v>
      </c>
      <c r="D562" s="48"/>
      <c r="E562" s="5"/>
      <c r="F562" s="5"/>
    </row>
    <row r="563" spans="1:6" ht="20.100000000000001" customHeight="1">
      <c r="A563" s="5">
        <v>1213</v>
      </c>
      <c r="B563" s="5">
        <v>243</v>
      </c>
      <c r="C563" s="5" t="s">
        <v>367</v>
      </c>
      <c r="D563" s="5"/>
      <c r="E563" s="5"/>
      <c r="F563" s="5"/>
    </row>
    <row r="564" spans="1:6" ht="20.100000000000001" customHeight="1">
      <c r="A564" s="5">
        <v>1213</v>
      </c>
      <c r="B564" s="5">
        <v>248</v>
      </c>
      <c r="C564" s="5" t="s">
        <v>367</v>
      </c>
      <c r="D564" s="5"/>
      <c r="E564" s="5"/>
      <c r="F564" s="5"/>
    </row>
    <row r="565" spans="1:6" ht="20.100000000000001" customHeight="1">
      <c r="A565" s="5">
        <v>1213</v>
      </c>
      <c r="B565" s="5">
        <v>283</v>
      </c>
      <c r="C565" s="5" t="s">
        <v>367</v>
      </c>
      <c r="D565" s="5"/>
      <c r="E565" s="5"/>
      <c r="F565" s="5"/>
    </row>
    <row r="566" spans="1:6" ht="20.100000000000001" customHeight="1">
      <c r="A566" s="5">
        <v>1213</v>
      </c>
      <c r="B566" s="5">
        <v>247</v>
      </c>
      <c r="C566" s="5" t="s">
        <v>367</v>
      </c>
      <c r="D566" s="48"/>
      <c r="E566" s="5"/>
      <c r="F566" s="5"/>
    </row>
    <row r="567" spans="1:6" ht="20.100000000000001" customHeight="1">
      <c r="A567" s="5">
        <v>1213</v>
      </c>
      <c r="B567" s="5">
        <v>246</v>
      </c>
      <c r="C567" s="5" t="s">
        <v>434</v>
      </c>
      <c r="D567" s="48"/>
      <c r="E567" s="5"/>
      <c r="F567" s="5"/>
    </row>
    <row r="568" spans="1:6" ht="20.100000000000001" customHeight="1">
      <c r="A568" s="5">
        <v>1213</v>
      </c>
      <c r="B568" s="5">
        <v>290</v>
      </c>
      <c r="C568" s="5" t="s">
        <v>435</v>
      </c>
      <c r="D568" s="5"/>
      <c r="E568" s="5"/>
      <c r="F568" s="5"/>
    </row>
    <row r="569" spans="1:6" ht="20.100000000000001" customHeight="1">
      <c r="A569" s="5">
        <v>1213</v>
      </c>
      <c r="B569" s="5">
        <v>21</v>
      </c>
      <c r="C569" s="5" t="s">
        <v>435</v>
      </c>
      <c r="D569" s="48"/>
      <c r="E569" s="5"/>
      <c r="F569" s="5"/>
    </row>
    <row r="570" spans="1:6" ht="20.100000000000001" customHeight="1">
      <c r="A570" s="5">
        <v>1213</v>
      </c>
      <c r="B570" s="5">
        <v>75</v>
      </c>
      <c r="C570" s="5" t="s">
        <v>436</v>
      </c>
      <c r="D570" s="48"/>
      <c r="E570" s="5"/>
      <c r="F570" s="5"/>
    </row>
    <row r="571" spans="1:6" ht="20.100000000000001" customHeight="1">
      <c r="A571" s="5">
        <v>1213</v>
      </c>
      <c r="B571" s="5">
        <v>292</v>
      </c>
      <c r="C571" s="5" t="s">
        <v>437</v>
      </c>
      <c r="D571" s="5"/>
      <c r="E571" s="5"/>
      <c r="F571" s="5"/>
    </row>
    <row r="572" spans="1:6" ht="20.100000000000001" customHeight="1">
      <c r="A572" s="5">
        <v>1213</v>
      </c>
      <c r="B572" s="5">
        <v>293</v>
      </c>
      <c r="C572" s="5" t="s">
        <v>437</v>
      </c>
      <c r="D572" s="5"/>
      <c r="E572" s="5"/>
      <c r="F572" s="5"/>
    </row>
    <row r="573" spans="1:6" ht="20.100000000000001" customHeight="1">
      <c r="A573" s="5">
        <v>1213</v>
      </c>
      <c r="B573" s="5">
        <v>297</v>
      </c>
      <c r="C573" s="5" t="s">
        <v>437</v>
      </c>
      <c r="D573" s="5"/>
      <c r="E573" s="5"/>
      <c r="F573" s="5"/>
    </row>
    <row r="574" spans="1:6" ht="20.100000000000001" customHeight="1">
      <c r="A574" s="5">
        <v>1213</v>
      </c>
      <c r="B574" s="5">
        <v>322</v>
      </c>
      <c r="C574" s="5" t="s">
        <v>438</v>
      </c>
      <c r="D574" s="5"/>
      <c r="E574" s="5"/>
      <c r="F574" s="5"/>
    </row>
    <row r="575" spans="1:6" ht="20.100000000000001" customHeight="1">
      <c r="A575" s="17"/>
      <c r="B575" s="10"/>
      <c r="C575" s="10"/>
      <c r="D575" s="10"/>
      <c r="E575" s="10"/>
      <c r="F575" s="121"/>
    </row>
    <row r="576" spans="1:6" ht="20.100000000000001" customHeight="1">
      <c r="A576" s="17"/>
      <c r="B576" s="10"/>
      <c r="C576" s="10"/>
      <c r="D576" s="10"/>
      <c r="E576" s="10"/>
      <c r="F576" s="121"/>
    </row>
    <row r="577" spans="1:6" ht="20.100000000000001" customHeight="1">
      <c r="A577" s="17"/>
      <c r="B577" s="10"/>
      <c r="C577" s="10"/>
      <c r="D577" s="10"/>
      <c r="E577" s="10"/>
      <c r="F577" s="121"/>
    </row>
    <row r="578" spans="1:6" ht="20.100000000000001" customHeight="1">
      <c r="A578" s="17"/>
      <c r="B578" s="10"/>
      <c r="C578" s="10"/>
      <c r="D578" s="10"/>
      <c r="E578" s="10"/>
      <c r="F578" s="121"/>
    </row>
    <row r="579" spans="1:6" ht="20.100000000000001" customHeight="1">
      <c r="A579" s="17"/>
      <c r="B579" s="10"/>
      <c r="C579" s="10"/>
      <c r="D579" s="10"/>
      <c r="E579" s="10"/>
      <c r="F579" s="121"/>
    </row>
    <row r="580" spans="1:6" ht="20.100000000000001" customHeight="1">
      <c r="A580" s="17"/>
      <c r="B580" s="10"/>
      <c r="C580" s="10"/>
      <c r="D580" s="10"/>
      <c r="E580" s="10"/>
      <c r="F580" s="121"/>
    </row>
    <row r="581" spans="1:6" ht="20.100000000000001" customHeight="1">
      <c r="A581" s="17"/>
      <c r="B581" s="10"/>
      <c r="C581" s="10"/>
      <c r="D581" s="10"/>
      <c r="E581" s="10"/>
      <c r="F581" s="121"/>
    </row>
    <row r="582" spans="1:6" ht="20.100000000000001" customHeight="1">
      <c r="A582" s="17"/>
      <c r="B582" s="10"/>
      <c r="C582" s="10"/>
      <c r="D582" s="10"/>
      <c r="E582" s="10"/>
      <c r="F582" s="121"/>
    </row>
    <row r="583" spans="1:6" ht="17.25" customHeight="1">
      <c r="A583" s="80"/>
      <c r="B583" s="81"/>
      <c r="C583" s="81"/>
      <c r="D583" s="81"/>
      <c r="E583" s="81"/>
      <c r="F583" s="111"/>
    </row>
    <row r="584" spans="1:6" ht="20.100000000000001" customHeight="1">
      <c r="A584" s="112"/>
      <c r="B584" s="113"/>
      <c r="C584" s="114" t="s">
        <v>687</v>
      </c>
      <c r="D584" s="81"/>
      <c r="E584" s="113"/>
      <c r="F584" s="111"/>
    </row>
    <row r="585" spans="1:6" ht="20.100000000000001" customHeight="1">
      <c r="A585" s="112"/>
      <c r="B585" s="113"/>
      <c r="C585" s="114" t="s">
        <v>688</v>
      </c>
      <c r="D585" s="81"/>
      <c r="E585" s="113"/>
      <c r="F585" s="111"/>
    </row>
    <row r="586" spans="1:6" ht="20.100000000000001" customHeight="1">
      <c r="A586" s="80"/>
      <c r="B586" s="81"/>
      <c r="C586" s="115" t="s">
        <v>689</v>
      </c>
      <c r="D586" s="81"/>
      <c r="E586" s="81"/>
      <c r="F586" s="111"/>
    </row>
    <row r="587" spans="1:6" ht="20.100000000000001" customHeight="1">
      <c r="A587" s="116" t="s">
        <v>690</v>
      </c>
      <c r="B587" s="117"/>
      <c r="C587" s="117"/>
      <c r="D587" s="117"/>
      <c r="E587" s="117"/>
      <c r="F587" s="111"/>
    </row>
    <row r="588" spans="1:6" ht="20.100000000000001" customHeight="1">
      <c r="A588" s="118" t="s">
        <v>691</v>
      </c>
      <c r="B588" s="117"/>
      <c r="C588" s="117"/>
      <c r="D588" s="117"/>
      <c r="E588" s="117"/>
      <c r="F588" s="111"/>
    </row>
    <row r="589" spans="1:6" ht="20.100000000000001" customHeight="1">
      <c r="A589" s="118" t="s">
        <v>692</v>
      </c>
      <c r="B589" s="117"/>
      <c r="C589" s="117"/>
      <c r="D589" s="117"/>
      <c r="E589" s="117"/>
      <c r="F589" s="111"/>
    </row>
    <row r="590" spans="1:6" ht="20.100000000000001" customHeight="1">
      <c r="A590" s="119"/>
      <c r="B590" s="120"/>
      <c r="C590" s="120"/>
      <c r="D590" s="120"/>
      <c r="E590" s="120"/>
      <c r="F590" s="83"/>
    </row>
    <row r="591" spans="1:6" ht="20.100000000000001" customHeight="1">
      <c r="A591" s="5">
        <v>1213</v>
      </c>
      <c r="B591" s="5">
        <v>84</v>
      </c>
      <c r="C591" s="5" t="s">
        <v>440</v>
      </c>
      <c r="D591" s="5"/>
      <c r="E591" s="5"/>
      <c r="F591" s="5"/>
    </row>
    <row r="592" spans="1:6" ht="20.100000000000001" customHeight="1">
      <c r="A592" s="5">
        <v>1213</v>
      </c>
      <c r="B592" s="5">
        <v>312</v>
      </c>
      <c r="C592" s="5" t="s">
        <v>441</v>
      </c>
      <c r="D592" s="5"/>
      <c r="E592" s="5"/>
      <c r="F592" s="5"/>
    </row>
    <row r="593" spans="1:6" ht="20.100000000000001" customHeight="1">
      <c r="A593" s="5">
        <v>1213</v>
      </c>
      <c r="B593" s="5">
        <v>313</v>
      </c>
      <c r="C593" s="5" t="s">
        <v>441</v>
      </c>
      <c r="D593" s="5"/>
      <c r="E593" s="5"/>
      <c r="F593" s="5"/>
    </row>
    <row r="594" spans="1:6" ht="20.100000000000001" customHeight="1">
      <c r="A594" s="5">
        <v>1213</v>
      </c>
      <c r="B594" s="5">
        <v>76</v>
      </c>
      <c r="C594" s="5" t="s">
        <v>442</v>
      </c>
      <c r="D594" s="5"/>
      <c r="E594" s="5"/>
      <c r="F594" s="5"/>
    </row>
    <row r="595" spans="1:6" ht="20.100000000000001" customHeight="1">
      <c r="A595" s="5">
        <v>1213</v>
      </c>
      <c r="B595" s="5">
        <v>7</v>
      </c>
      <c r="C595" s="5" t="s">
        <v>443</v>
      </c>
      <c r="D595" s="5"/>
      <c r="E595" s="5"/>
      <c r="F595" s="5"/>
    </row>
    <row r="596" spans="1:6" ht="20.100000000000001" customHeight="1">
      <c r="A596" s="5">
        <v>1213</v>
      </c>
      <c r="B596" s="5">
        <v>71</v>
      </c>
      <c r="C596" s="5" t="s">
        <v>444</v>
      </c>
      <c r="D596" s="5"/>
      <c r="E596" s="5"/>
      <c r="F596" s="5"/>
    </row>
    <row r="597" spans="1:6" ht="20.100000000000001" customHeight="1">
      <c r="A597" s="5">
        <v>1213</v>
      </c>
      <c r="B597" s="5">
        <v>137</v>
      </c>
      <c r="C597" s="5" t="s">
        <v>445</v>
      </c>
      <c r="D597" s="5"/>
      <c r="E597" s="5"/>
      <c r="F597" s="5"/>
    </row>
    <row r="598" spans="1:6" ht="20.100000000000001" customHeight="1">
      <c r="A598" s="5">
        <v>1213</v>
      </c>
      <c r="B598" s="5">
        <v>300</v>
      </c>
      <c r="C598" s="5" t="s">
        <v>446</v>
      </c>
      <c r="D598" s="5"/>
      <c r="E598" s="5"/>
      <c r="F598" s="5"/>
    </row>
    <row r="599" spans="1:6" ht="20.100000000000001" customHeight="1">
      <c r="A599" s="5">
        <v>1213</v>
      </c>
      <c r="B599" s="5">
        <v>303</v>
      </c>
      <c r="C599" s="5" t="s">
        <v>447</v>
      </c>
      <c r="D599" s="5"/>
      <c r="E599" s="5"/>
      <c r="F599" s="5"/>
    </row>
    <row r="600" spans="1:6" ht="20.100000000000001" customHeight="1">
      <c r="A600" s="5">
        <v>1213</v>
      </c>
      <c r="B600" s="5">
        <v>308</v>
      </c>
      <c r="C600" s="5" t="s">
        <v>447</v>
      </c>
      <c r="D600" s="5"/>
      <c r="E600" s="5"/>
      <c r="F600" s="5"/>
    </row>
    <row r="601" spans="1:6" ht="20.100000000000001" customHeight="1">
      <c r="A601" s="5">
        <v>1213</v>
      </c>
      <c r="B601" s="5">
        <v>88</v>
      </c>
      <c r="C601" s="5" t="s">
        <v>447</v>
      </c>
      <c r="D601" s="5"/>
      <c r="E601" s="5"/>
      <c r="F601" s="5"/>
    </row>
    <row r="602" spans="1:6" ht="20.100000000000001" customHeight="1">
      <c r="A602" s="5">
        <v>1213</v>
      </c>
      <c r="B602" s="5">
        <v>159</v>
      </c>
      <c r="C602" s="5" t="s">
        <v>447</v>
      </c>
      <c r="D602" s="5"/>
      <c r="E602" s="5"/>
      <c r="F602" s="5"/>
    </row>
    <row r="603" spans="1:6" ht="20.100000000000001" customHeight="1">
      <c r="A603" s="5">
        <v>1213</v>
      </c>
      <c r="B603" s="5">
        <v>91</v>
      </c>
      <c r="C603" s="5" t="s">
        <v>448</v>
      </c>
      <c r="D603" s="5"/>
      <c r="E603" s="5"/>
      <c r="F603" s="5"/>
    </row>
    <row r="604" spans="1:6" ht="20.100000000000001" customHeight="1">
      <c r="A604" s="5">
        <v>1213</v>
      </c>
      <c r="B604" s="5">
        <v>92</v>
      </c>
      <c r="C604" s="5" t="s">
        <v>449</v>
      </c>
      <c r="D604" s="5"/>
      <c r="E604" s="5"/>
      <c r="F604" s="5"/>
    </row>
    <row r="605" spans="1:6" ht="20.100000000000001" customHeight="1">
      <c r="A605" s="5">
        <v>1213</v>
      </c>
      <c r="B605" s="5">
        <v>93</v>
      </c>
      <c r="C605" s="5" t="s">
        <v>450</v>
      </c>
      <c r="D605" s="5"/>
      <c r="E605" s="5"/>
      <c r="F605" s="5"/>
    </row>
    <row r="606" spans="1:6" ht="20.100000000000001" customHeight="1">
      <c r="A606" s="5">
        <v>1213</v>
      </c>
      <c r="B606" s="5">
        <v>306</v>
      </c>
      <c r="C606" s="5" t="s">
        <v>451</v>
      </c>
      <c r="D606" s="5"/>
      <c r="E606" s="5"/>
      <c r="F606" s="5"/>
    </row>
    <row r="607" spans="1:6" ht="20.100000000000001" customHeight="1">
      <c r="A607" s="5">
        <v>1213</v>
      </c>
      <c r="B607" s="5">
        <v>200</v>
      </c>
      <c r="C607" s="5" t="s">
        <v>452</v>
      </c>
      <c r="D607" s="5"/>
      <c r="E607" s="5"/>
      <c r="F607" s="5"/>
    </row>
    <row r="608" spans="1:6" ht="20.100000000000001" customHeight="1">
      <c r="A608" s="5">
        <v>1213</v>
      </c>
      <c r="B608" s="5">
        <v>94</v>
      </c>
      <c r="C608" s="5" t="s">
        <v>453</v>
      </c>
      <c r="D608" s="5"/>
      <c r="E608" s="5"/>
      <c r="F608" s="5"/>
    </row>
    <row r="609" spans="1:6" ht="20.100000000000001" customHeight="1">
      <c r="A609" s="5">
        <v>1213</v>
      </c>
      <c r="B609" s="5">
        <v>95</v>
      </c>
      <c r="C609" s="5" t="s">
        <v>454</v>
      </c>
      <c r="D609" s="5"/>
      <c r="E609" s="5"/>
      <c r="F609" s="5"/>
    </row>
    <row r="610" spans="1:6" ht="20.100000000000001" customHeight="1">
      <c r="A610" s="5">
        <v>1213</v>
      </c>
      <c r="B610" s="5">
        <v>101</v>
      </c>
      <c r="C610" s="5" t="s">
        <v>455</v>
      </c>
      <c r="D610" s="5"/>
      <c r="E610" s="5"/>
      <c r="F610" s="5"/>
    </row>
    <row r="611" spans="1:6" ht="20.100000000000001" customHeight="1">
      <c r="A611" s="5">
        <v>1213</v>
      </c>
      <c r="B611" s="5">
        <v>209</v>
      </c>
      <c r="C611" s="5" t="s">
        <v>456</v>
      </c>
      <c r="D611" s="5"/>
      <c r="E611" s="5"/>
      <c r="F611" s="5"/>
    </row>
    <row r="612" spans="1:6" ht="17.25" customHeight="1">
      <c r="A612" s="80"/>
      <c r="B612" s="81"/>
      <c r="C612" s="81"/>
      <c r="D612" s="81"/>
      <c r="E612" s="81"/>
      <c r="F612" s="111"/>
    </row>
    <row r="613" spans="1:6" ht="20.100000000000001" customHeight="1">
      <c r="A613" s="112"/>
      <c r="B613" s="113"/>
      <c r="C613" s="114" t="s">
        <v>687</v>
      </c>
      <c r="D613" s="81"/>
      <c r="E613" s="113"/>
      <c r="F613" s="111"/>
    </row>
    <row r="614" spans="1:6" ht="20.100000000000001" customHeight="1">
      <c r="A614" s="112"/>
      <c r="B614" s="113"/>
      <c r="C614" s="114" t="s">
        <v>688</v>
      </c>
      <c r="D614" s="81"/>
      <c r="E614" s="113"/>
      <c r="F614" s="111"/>
    </row>
    <row r="615" spans="1:6" ht="20.100000000000001" customHeight="1">
      <c r="A615" s="80"/>
      <c r="B615" s="81"/>
      <c r="C615" s="115" t="s">
        <v>689</v>
      </c>
      <c r="D615" s="81"/>
      <c r="E615" s="81"/>
      <c r="F615" s="111"/>
    </row>
    <row r="616" spans="1:6" ht="20.100000000000001" customHeight="1">
      <c r="A616" s="116" t="s">
        <v>690</v>
      </c>
      <c r="B616" s="117"/>
      <c r="C616" s="117"/>
      <c r="D616" s="117"/>
      <c r="E616" s="117"/>
      <c r="F616" s="111"/>
    </row>
    <row r="617" spans="1:6" ht="20.100000000000001" customHeight="1">
      <c r="A617" s="118" t="s">
        <v>691</v>
      </c>
      <c r="B617" s="117"/>
      <c r="C617" s="117"/>
      <c r="D617" s="117"/>
      <c r="E617" s="117"/>
      <c r="F617" s="111"/>
    </row>
    <row r="618" spans="1:6" ht="20.100000000000001" customHeight="1">
      <c r="A618" s="118" t="s">
        <v>692</v>
      </c>
      <c r="B618" s="117"/>
      <c r="C618" s="117"/>
      <c r="D618" s="117"/>
      <c r="E618" s="117"/>
      <c r="F618" s="111"/>
    </row>
    <row r="619" spans="1:6" ht="20.100000000000001" customHeight="1">
      <c r="A619" s="119"/>
      <c r="B619" s="120"/>
      <c r="C619" s="120"/>
      <c r="D619" s="120"/>
      <c r="E619" s="120"/>
      <c r="F619" s="83"/>
    </row>
    <row r="620" spans="1:6" ht="20.100000000000001" customHeight="1">
      <c r="A620" s="5">
        <v>1213</v>
      </c>
      <c r="B620" s="5">
        <v>212</v>
      </c>
      <c r="C620" s="5" t="s">
        <v>457</v>
      </c>
      <c r="D620" s="5"/>
      <c r="E620" s="5"/>
      <c r="F620" s="5"/>
    </row>
    <row r="621" spans="1:6" ht="20.100000000000001" customHeight="1">
      <c r="A621" s="5">
        <v>1213</v>
      </c>
      <c r="B621" s="5">
        <v>105</v>
      </c>
      <c r="C621" s="5" t="s">
        <v>458</v>
      </c>
      <c r="D621" s="5"/>
      <c r="E621" s="5"/>
      <c r="F621" s="5"/>
    </row>
    <row r="622" spans="1:6" ht="20.100000000000001" customHeight="1">
      <c r="A622" s="5">
        <v>1213</v>
      </c>
      <c r="B622" s="5">
        <v>216</v>
      </c>
      <c r="C622" s="5" t="s">
        <v>459</v>
      </c>
      <c r="D622" s="5"/>
      <c r="E622" s="5"/>
      <c r="F622" s="5"/>
    </row>
    <row r="623" spans="1:6" ht="20.100000000000001" customHeight="1">
      <c r="A623" s="5">
        <v>1213</v>
      </c>
      <c r="B623" s="5">
        <v>103</v>
      </c>
      <c r="C623" s="5" t="s">
        <v>460</v>
      </c>
      <c r="D623" s="5"/>
      <c r="E623" s="5"/>
      <c r="F623" s="5"/>
    </row>
    <row r="624" spans="1:6" ht="20.100000000000001" customHeight="1">
      <c r="A624" s="5">
        <v>1213</v>
      </c>
      <c r="B624" s="5">
        <v>89</v>
      </c>
      <c r="C624" s="5" t="s">
        <v>461</v>
      </c>
      <c r="D624" s="5"/>
      <c r="E624" s="5"/>
      <c r="F624" s="5"/>
    </row>
    <row r="625" spans="1:6" ht="20.100000000000001" customHeight="1">
      <c r="A625" s="5">
        <v>1213</v>
      </c>
      <c r="B625" s="5">
        <v>104</v>
      </c>
      <c r="C625" s="5" t="s">
        <v>461</v>
      </c>
      <c r="D625" s="5"/>
      <c r="E625" s="5"/>
      <c r="F625" s="5"/>
    </row>
    <row r="626" spans="1:6" ht="20.100000000000001" customHeight="1">
      <c r="A626" s="5">
        <v>1213</v>
      </c>
      <c r="B626" s="5">
        <v>106</v>
      </c>
      <c r="C626" s="5" t="s">
        <v>462</v>
      </c>
      <c r="D626" s="5"/>
      <c r="E626" s="5"/>
      <c r="F626" s="5"/>
    </row>
    <row r="627" spans="1:6" ht="20.100000000000001" customHeight="1">
      <c r="A627" s="5">
        <v>1213</v>
      </c>
      <c r="B627" s="5">
        <v>108</v>
      </c>
      <c r="C627" s="5" t="s">
        <v>461</v>
      </c>
      <c r="D627" s="5"/>
      <c r="E627" s="5"/>
      <c r="F627" s="5"/>
    </row>
    <row r="628" spans="1:6" ht="20.100000000000001" customHeight="1">
      <c r="A628" s="5">
        <v>1213</v>
      </c>
      <c r="B628" s="5">
        <v>109</v>
      </c>
      <c r="C628" s="5" t="s">
        <v>462</v>
      </c>
      <c r="D628" s="5"/>
      <c r="E628" s="5"/>
      <c r="F628" s="5"/>
    </row>
    <row r="629" spans="1:6" ht="20.100000000000001" customHeight="1">
      <c r="A629" s="5">
        <v>1213</v>
      </c>
      <c r="B629" s="5">
        <v>110</v>
      </c>
      <c r="C629" s="5" t="s">
        <v>461</v>
      </c>
      <c r="D629" s="5"/>
      <c r="E629" s="5"/>
      <c r="F629" s="5"/>
    </row>
    <row r="630" spans="1:6" ht="20.100000000000001" customHeight="1">
      <c r="A630" s="5">
        <v>1213</v>
      </c>
      <c r="B630" s="5">
        <v>111</v>
      </c>
      <c r="C630" s="5" t="s">
        <v>461</v>
      </c>
      <c r="D630" s="5"/>
      <c r="E630" s="5"/>
      <c r="F630" s="5"/>
    </row>
    <row r="631" spans="1:6" ht="20.100000000000001" customHeight="1">
      <c r="A631" s="5">
        <v>1213</v>
      </c>
      <c r="B631" s="5">
        <v>112</v>
      </c>
      <c r="C631" s="5" t="s">
        <v>461</v>
      </c>
      <c r="D631" s="5"/>
      <c r="E631" s="5"/>
      <c r="F631" s="5"/>
    </row>
    <row r="632" spans="1:6" ht="20.100000000000001" customHeight="1">
      <c r="A632" s="5">
        <v>1213</v>
      </c>
      <c r="B632" s="5">
        <v>113</v>
      </c>
      <c r="C632" s="5" t="s">
        <v>461</v>
      </c>
      <c r="D632" s="5"/>
      <c r="E632" s="5"/>
      <c r="F632" s="5"/>
    </row>
    <row r="633" spans="1:6" ht="20.100000000000001" customHeight="1">
      <c r="A633" s="5">
        <v>1213</v>
      </c>
      <c r="B633" s="5">
        <v>122</v>
      </c>
      <c r="C633" s="5" t="s">
        <v>461</v>
      </c>
      <c r="D633" s="5"/>
      <c r="E633" s="5"/>
      <c r="F633" s="5"/>
    </row>
    <row r="634" spans="1:6" ht="20.100000000000001" customHeight="1">
      <c r="A634" s="5">
        <v>1213</v>
      </c>
      <c r="B634" s="5">
        <v>153</v>
      </c>
      <c r="C634" s="5" t="s">
        <v>463</v>
      </c>
      <c r="D634" s="5"/>
      <c r="E634" s="5"/>
      <c r="F634" s="5"/>
    </row>
    <row r="635" spans="1:6" ht="20.100000000000001" customHeight="1">
      <c r="A635" s="5">
        <v>1213</v>
      </c>
      <c r="B635" s="5">
        <v>161</v>
      </c>
      <c r="C635" s="5" t="s">
        <v>464</v>
      </c>
      <c r="D635" s="5"/>
      <c r="E635" s="5"/>
      <c r="F635" s="5"/>
    </row>
    <row r="636" spans="1:6" ht="20.100000000000001" customHeight="1">
      <c r="A636" s="5">
        <v>1213</v>
      </c>
      <c r="B636" s="5">
        <v>152</v>
      </c>
      <c r="C636" s="5" t="s">
        <v>465</v>
      </c>
      <c r="D636" s="5"/>
      <c r="E636" s="5"/>
      <c r="F636" s="5"/>
    </row>
    <row r="637" spans="1:6" ht="20.100000000000001" customHeight="1">
      <c r="A637" s="5">
        <v>1213</v>
      </c>
      <c r="B637" s="5">
        <v>162</v>
      </c>
      <c r="C637" s="5" t="s">
        <v>466</v>
      </c>
      <c r="D637" s="5"/>
      <c r="E637" s="5"/>
      <c r="F637" s="5"/>
    </row>
    <row r="638" spans="1:6" ht="20.100000000000001" customHeight="1">
      <c r="A638" s="17"/>
      <c r="B638" s="10"/>
      <c r="C638" s="10"/>
      <c r="D638" s="10"/>
      <c r="E638" s="10"/>
      <c r="F638" s="121"/>
    </row>
    <row r="639" spans="1:6" ht="20.100000000000001" customHeight="1">
      <c r="A639" s="17"/>
      <c r="B639" s="10"/>
      <c r="C639" s="10"/>
      <c r="D639" s="10"/>
      <c r="E639" s="10"/>
      <c r="F639" s="121"/>
    </row>
    <row r="640" spans="1:6" ht="20.100000000000001" customHeight="1">
      <c r="A640" s="17"/>
      <c r="B640" s="10"/>
      <c r="C640" s="10"/>
      <c r="D640" s="10"/>
      <c r="E640" s="10"/>
      <c r="F640" s="121"/>
    </row>
    <row r="641" spans="1:6" ht="17.25" customHeight="1">
      <c r="A641" s="80"/>
      <c r="B641" s="81"/>
      <c r="C641" s="81"/>
      <c r="D641" s="81"/>
      <c r="E641" s="81"/>
      <c r="F641" s="111"/>
    </row>
    <row r="642" spans="1:6" ht="20.100000000000001" customHeight="1">
      <c r="A642" s="112"/>
      <c r="B642" s="113"/>
      <c r="C642" s="114" t="s">
        <v>687</v>
      </c>
      <c r="D642" s="81"/>
      <c r="E642" s="113"/>
      <c r="F642" s="111"/>
    </row>
    <row r="643" spans="1:6" ht="20.100000000000001" customHeight="1">
      <c r="A643" s="112"/>
      <c r="B643" s="113"/>
      <c r="C643" s="114" t="s">
        <v>688</v>
      </c>
      <c r="D643" s="81"/>
      <c r="E643" s="113"/>
      <c r="F643" s="111"/>
    </row>
    <row r="644" spans="1:6" ht="20.100000000000001" customHeight="1">
      <c r="A644" s="80"/>
      <c r="B644" s="81"/>
      <c r="C644" s="115" t="s">
        <v>689</v>
      </c>
      <c r="D644" s="81"/>
      <c r="E644" s="81"/>
      <c r="F644" s="111"/>
    </row>
    <row r="645" spans="1:6" ht="20.100000000000001" customHeight="1">
      <c r="A645" s="116" t="s">
        <v>690</v>
      </c>
      <c r="B645" s="117"/>
      <c r="C645" s="117"/>
      <c r="D645" s="117"/>
      <c r="E645" s="117"/>
      <c r="F645" s="111"/>
    </row>
    <row r="646" spans="1:6" ht="20.100000000000001" customHeight="1">
      <c r="A646" s="118" t="s">
        <v>691</v>
      </c>
      <c r="B646" s="117"/>
      <c r="C646" s="117"/>
      <c r="D646" s="117"/>
      <c r="E646" s="117"/>
      <c r="F646" s="111"/>
    </row>
    <row r="647" spans="1:6" ht="20.100000000000001" customHeight="1">
      <c r="A647" s="118" t="s">
        <v>692</v>
      </c>
      <c r="B647" s="117"/>
      <c r="C647" s="117"/>
      <c r="D647" s="117"/>
      <c r="E647" s="117"/>
      <c r="F647" s="111"/>
    </row>
    <row r="648" spans="1:6" ht="20.100000000000001" customHeight="1">
      <c r="A648" s="119"/>
      <c r="B648" s="120"/>
      <c r="C648" s="120"/>
      <c r="D648" s="120"/>
      <c r="E648" s="120"/>
      <c r="F648" s="83"/>
    </row>
    <row r="649" spans="1:6" ht="20.100000000000001" customHeight="1">
      <c r="A649" s="5">
        <v>1213</v>
      </c>
      <c r="B649" s="5">
        <v>319</v>
      </c>
      <c r="C649" s="5" t="s">
        <v>468</v>
      </c>
      <c r="D649" s="5"/>
      <c r="E649" s="5"/>
      <c r="F649" s="5"/>
    </row>
    <row r="650" spans="1:6" ht="20.100000000000001" customHeight="1">
      <c r="A650" s="5">
        <v>1213</v>
      </c>
      <c r="B650" s="5">
        <v>49</v>
      </c>
      <c r="C650" s="5" t="s">
        <v>469</v>
      </c>
      <c r="D650" s="5"/>
      <c r="E650" s="5"/>
      <c r="F650" s="5"/>
    </row>
    <row r="651" spans="1:6" ht="20.100000000000001" customHeight="1">
      <c r="A651" s="5">
        <v>1213</v>
      </c>
      <c r="B651" s="5">
        <v>291</v>
      </c>
      <c r="C651" s="5" t="s">
        <v>470</v>
      </c>
      <c r="D651" s="5"/>
      <c r="E651" s="5"/>
      <c r="F651" s="5"/>
    </row>
    <row r="652" spans="1:6" ht="20.100000000000001" customHeight="1">
      <c r="A652" s="5">
        <v>1213</v>
      </c>
      <c r="B652" s="5">
        <v>301</v>
      </c>
      <c r="C652" s="5" t="s">
        <v>471</v>
      </c>
      <c r="D652" s="5"/>
      <c r="E652" s="5"/>
      <c r="F652" s="5"/>
    </row>
    <row r="653" spans="1:6" ht="20.100000000000001" customHeight="1">
      <c r="A653" s="5">
        <v>1213</v>
      </c>
      <c r="B653" s="5">
        <v>59</v>
      </c>
      <c r="C653" s="5" t="s">
        <v>472</v>
      </c>
      <c r="D653" s="5"/>
      <c r="E653" s="5"/>
      <c r="F653" s="5"/>
    </row>
    <row r="654" spans="1:6" ht="20.100000000000001" customHeight="1">
      <c r="A654" s="5">
        <v>1213</v>
      </c>
      <c r="B654" s="5">
        <v>60</v>
      </c>
      <c r="C654" s="5" t="s">
        <v>472</v>
      </c>
      <c r="D654" s="5"/>
      <c r="E654" s="5"/>
      <c r="F654" s="5"/>
    </row>
    <row r="655" spans="1:6" ht="20.100000000000001" customHeight="1">
      <c r="A655" s="5">
        <v>1213</v>
      </c>
      <c r="B655" s="5">
        <v>61</v>
      </c>
      <c r="C655" s="5" t="s">
        <v>473</v>
      </c>
      <c r="D655" s="5"/>
      <c r="E655" s="5"/>
      <c r="F655" s="5"/>
    </row>
    <row r="656" spans="1:6" ht="20.100000000000001" customHeight="1">
      <c r="A656" s="5">
        <v>1213</v>
      </c>
      <c r="B656" s="5">
        <v>190</v>
      </c>
      <c r="C656" s="5" t="s">
        <v>474</v>
      </c>
      <c r="D656" s="5"/>
      <c r="E656" s="5"/>
      <c r="F656" s="5"/>
    </row>
    <row r="657" spans="1:6" ht="20.100000000000001" customHeight="1">
      <c r="A657" s="5">
        <v>1213</v>
      </c>
      <c r="B657" s="5">
        <v>298</v>
      </c>
      <c r="C657" s="5" t="s">
        <v>475</v>
      </c>
      <c r="D657" s="5"/>
      <c r="E657" s="5"/>
      <c r="F657" s="5"/>
    </row>
    <row r="658" spans="1:6" ht="20.100000000000001" customHeight="1">
      <c r="A658" s="5">
        <v>1213</v>
      </c>
      <c r="B658" s="5">
        <v>299</v>
      </c>
      <c r="C658" s="5" t="s">
        <v>475</v>
      </c>
      <c r="D658" s="5"/>
      <c r="E658" s="5"/>
      <c r="F658" s="5"/>
    </row>
    <row r="659" spans="1:6" ht="20.100000000000001" customHeight="1">
      <c r="A659" s="5">
        <v>1213</v>
      </c>
      <c r="B659" s="5">
        <v>202</v>
      </c>
      <c r="C659" s="5" t="s">
        <v>476</v>
      </c>
      <c r="D659" s="5"/>
      <c r="E659" s="5"/>
      <c r="F659" s="5"/>
    </row>
    <row r="660" spans="1:6" ht="20.100000000000001" customHeight="1">
      <c r="A660" s="5">
        <v>1213</v>
      </c>
      <c r="B660" s="5">
        <v>206</v>
      </c>
      <c r="C660" s="5" t="s">
        <v>477</v>
      </c>
      <c r="D660" s="5"/>
      <c r="E660" s="5"/>
      <c r="F660" s="5"/>
    </row>
    <row r="661" spans="1:6" ht="20.100000000000001" customHeight="1">
      <c r="A661" s="5">
        <v>1213</v>
      </c>
      <c r="B661" s="5">
        <v>66</v>
      </c>
      <c r="C661" s="5" t="s">
        <v>718</v>
      </c>
      <c r="D661" s="5"/>
      <c r="E661" s="5"/>
      <c r="F661" s="5"/>
    </row>
    <row r="662" spans="1:6" ht="20.100000000000001" customHeight="1">
      <c r="A662" s="5">
        <v>1213</v>
      </c>
      <c r="B662" s="5">
        <v>314</v>
      </c>
      <c r="C662" s="5" t="s">
        <v>480</v>
      </c>
      <c r="D662" s="5"/>
      <c r="E662" s="5"/>
      <c r="F662" s="5"/>
    </row>
    <row r="663" spans="1:6" ht="20.100000000000001" customHeight="1">
      <c r="A663" s="5">
        <v>1213</v>
      </c>
      <c r="B663" s="5">
        <v>315</v>
      </c>
      <c r="C663" s="5" t="s">
        <v>480</v>
      </c>
      <c r="D663" s="5"/>
      <c r="E663" s="5"/>
      <c r="F663" s="5"/>
    </row>
    <row r="664" spans="1:6" ht="20.100000000000001" customHeight="1">
      <c r="A664" s="5">
        <v>1213</v>
      </c>
      <c r="B664" s="5">
        <v>316</v>
      </c>
      <c r="C664" s="5" t="s">
        <v>480</v>
      </c>
      <c r="D664" s="5"/>
      <c r="E664" s="5"/>
      <c r="F664" s="5"/>
    </row>
    <row r="665" spans="1:6" ht="20.100000000000001" customHeight="1">
      <c r="A665" s="5">
        <v>1213</v>
      </c>
      <c r="B665" s="5">
        <v>317</v>
      </c>
      <c r="C665" s="5" t="s">
        <v>480</v>
      </c>
      <c r="D665" s="5"/>
      <c r="E665" s="5"/>
      <c r="F665" s="5"/>
    </row>
    <row r="666" spans="1:6" ht="20.100000000000001" customHeight="1">
      <c r="A666" s="5">
        <v>1213</v>
      </c>
      <c r="B666" s="5">
        <v>168</v>
      </c>
      <c r="C666" s="5" t="s">
        <v>481</v>
      </c>
      <c r="D666" s="5"/>
      <c r="E666" s="5"/>
      <c r="F666" s="5"/>
    </row>
    <row r="667" spans="1:6" ht="20.100000000000001" customHeight="1">
      <c r="A667" s="17"/>
      <c r="B667" s="10"/>
      <c r="C667" s="10"/>
      <c r="D667" s="10"/>
      <c r="E667" s="10"/>
      <c r="F667" s="121"/>
    </row>
    <row r="668" spans="1:6" ht="20.100000000000001" customHeight="1">
      <c r="A668" s="17"/>
      <c r="B668" s="10"/>
      <c r="C668" s="10"/>
      <c r="D668" s="10"/>
      <c r="E668" s="10"/>
      <c r="F668" s="121"/>
    </row>
    <row r="669" spans="1:6" ht="20.100000000000001" customHeight="1">
      <c r="A669" s="17"/>
      <c r="B669" s="10"/>
      <c r="C669" s="10"/>
      <c r="D669" s="10"/>
      <c r="E669" s="10"/>
      <c r="F669" s="121"/>
    </row>
    <row r="670" spans="1:6" ht="17.25" customHeight="1">
      <c r="A670" s="80"/>
      <c r="B670" s="81"/>
      <c r="C670" s="81"/>
      <c r="D670" s="81"/>
      <c r="E670" s="81"/>
      <c r="F670" s="111"/>
    </row>
    <row r="671" spans="1:6" ht="20.100000000000001" customHeight="1">
      <c r="A671" s="112"/>
      <c r="B671" s="113"/>
      <c r="C671" s="114" t="s">
        <v>687</v>
      </c>
      <c r="D671" s="81"/>
      <c r="E671" s="113"/>
      <c r="F671" s="111"/>
    </row>
    <row r="672" spans="1:6" ht="20.100000000000001" customHeight="1">
      <c r="A672" s="112"/>
      <c r="B672" s="113"/>
      <c r="C672" s="114" t="s">
        <v>688</v>
      </c>
      <c r="D672" s="81"/>
      <c r="E672" s="113"/>
      <c r="F672" s="111"/>
    </row>
    <row r="673" spans="1:6" ht="20.100000000000001" customHeight="1">
      <c r="A673" s="80"/>
      <c r="B673" s="81"/>
      <c r="C673" s="115" t="s">
        <v>689</v>
      </c>
      <c r="D673" s="81"/>
      <c r="E673" s="81"/>
      <c r="F673" s="111"/>
    </row>
    <row r="674" spans="1:6" ht="20.100000000000001" customHeight="1">
      <c r="A674" s="116" t="s">
        <v>690</v>
      </c>
      <c r="B674" s="117"/>
      <c r="C674" s="117"/>
      <c r="D674" s="117"/>
      <c r="E674" s="117"/>
      <c r="F674" s="111"/>
    </row>
    <row r="675" spans="1:6" ht="20.100000000000001" customHeight="1">
      <c r="A675" s="118" t="s">
        <v>691</v>
      </c>
      <c r="B675" s="117"/>
      <c r="C675" s="117"/>
      <c r="D675" s="117"/>
      <c r="E675" s="117"/>
      <c r="F675" s="111"/>
    </row>
    <row r="676" spans="1:6" ht="20.100000000000001" customHeight="1">
      <c r="A676" s="118" t="s">
        <v>692</v>
      </c>
      <c r="B676" s="117"/>
      <c r="C676" s="117"/>
      <c r="D676" s="117"/>
      <c r="E676" s="117"/>
      <c r="F676" s="111"/>
    </row>
    <row r="677" spans="1:6" ht="20.100000000000001" customHeight="1">
      <c r="A677" s="119"/>
      <c r="B677" s="120"/>
      <c r="C677" s="120"/>
      <c r="D677" s="120"/>
      <c r="E677" s="120"/>
      <c r="F677" s="83"/>
    </row>
    <row r="678" spans="1:6" ht="20.100000000000001" customHeight="1">
      <c r="A678" s="5">
        <v>1213</v>
      </c>
      <c r="B678" s="5">
        <v>28</v>
      </c>
      <c r="C678" s="5" t="s">
        <v>438</v>
      </c>
      <c r="D678" s="5"/>
      <c r="E678" s="5"/>
      <c r="F678" s="5"/>
    </row>
    <row r="679" spans="1:6" ht="20.100000000000001" customHeight="1">
      <c r="A679" s="5">
        <v>1213</v>
      </c>
      <c r="B679" s="5">
        <v>29</v>
      </c>
      <c r="C679" s="5" t="s">
        <v>483</v>
      </c>
      <c r="D679" s="5"/>
      <c r="E679" s="5"/>
      <c r="F679" s="5"/>
    </row>
    <row r="680" spans="1:6" ht="20.100000000000001" customHeight="1">
      <c r="A680" s="5">
        <v>1213</v>
      </c>
      <c r="B680" s="5">
        <v>19</v>
      </c>
      <c r="C680" s="5" t="s">
        <v>484</v>
      </c>
      <c r="D680" s="5"/>
      <c r="E680" s="5"/>
      <c r="F680" s="5"/>
    </row>
    <row r="681" spans="1:6" ht="20.100000000000001" customHeight="1">
      <c r="A681" s="5">
        <v>1213</v>
      </c>
      <c r="B681" s="5">
        <v>233</v>
      </c>
      <c r="C681" s="5" t="s">
        <v>485</v>
      </c>
      <c r="D681" s="5"/>
      <c r="E681" s="5"/>
      <c r="F681" s="5"/>
    </row>
    <row r="682" spans="1:6" ht="20.100000000000001" customHeight="1">
      <c r="A682" s="5">
        <v>1213</v>
      </c>
      <c r="B682" s="5">
        <v>331</v>
      </c>
      <c r="C682" s="5" t="s">
        <v>486</v>
      </c>
      <c r="D682" s="5"/>
      <c r="E682" s="5"/>
      <c r="F682" s="5"/>
    </row>
    <row r="683" spans="1:6" ht="20.100000000000001" customHeight="1">
      <c r="A683" s="5">
        <v>1213</v>
      </c>
      <c r="B683" s="5">
        <v>321</v>
      </c>
      <c r="C683" s="5" t="s">
        <v>487</v>
      </c>
      <c r="D683" s="5"/>
      <c r="E683" s="5"/>
      <c r="F683" s="5"/>
    </row>
    <row r="684" spans="1:6" ht="20.100000000000001" customHeight="1">
      <c r="A684" s="5">
        <v>1213</v>
      </c>
      <c r="B684" s="5">
        <v>320</v>
      </c>
      <c r="C684" s="5" t="s">
        <v>488</v>
      </c>
      <c r="D684" s="5"/>
      <c r="E684" s="5"/>
      <c r="F684" s="5"/>
    </row>
    <row r="685" spans="1:6" ht="20.100000000000001" customHeight="1">
      <c r="A685" s="5">
        <v>1213</v>
      </c>
      <c r="B685" s="5">
        <v>324</v>
      </c>
      <c r="C685" s="5" t="s">
        <v>490</v>
      </c>
      <c r="D685" s="48"/>
      <c r="E685" s="5"/>
      <c r="F685" s="5"/>
    </row>
    <row r="686" spans="1:6" ht="20.100000000000001" customHeight="1">
      <c r="A686" s="5">
        <v>1213</v>
      </c>
      <c r="B686" s="5">
        <v>325</v>
      </c>
      <c r="C686" s="5" t="s">
        <v>490</v>
      </c>
      <c r="D686" s="48"/>
      <c r="E686" s="5"/>
      <c r="F686" s="5"/>
    </row>
    <row r="687" spans="1:6" ht="20.100000000000001" customHeight="1">
      <c r="A687" s="5">
        <v>1213</v>
      </c>
      <c r="B687" s="5">
        <v>241</v>
      </c>
      <c r="C687" s="5" t="s">
        <v>491</v>
      </c>
      <c r="D687" s="5"/>
      <c r="E687" s="5"/>
      <c r="F687" s="5"/>
    </row>
    <row r="688" spans="1:6" ht="20.100000000000001" customHeight="1">
      <c r="A688" s="5">
        <v>1213</v>
      </c>
      <c r="B688" s="5">
        <v>253</v>
      </c>
      <c r="C688" s="5" t="s">
        <v>492</v>
      </c>
      <c r="D688" s="5"/>
      <c r="E688" s="5"/>
      <c r="F688" s="5"/>
    </row>
    <row r="689" spans="1:6" ht="20.100000000000001" customHeight="1">
      <c r="A689" s="5">
        <v>1213</v>
      </c>
      <c r="B689" s="5">
        <v>242</v>
      </c>
      <c r="C689" s="5" t="s">
        <v>493</v>
      </c>
      <c r="D689" s="5"/>
      <c r="E689" s="5"/>
      <c r="F689" s="5"/>
    </row>
    <row r="690" spans="1:6" ht="20.100000000000001" customHeight="1">
      <c r="A690" s="5">
        <v>1213</v>
      </c>
      <c r="B690" s="5">
        <v>245</v>
      </c>
      <c r="C690" s="5" t="s">
        <v>494</v>
      </c>
      <c r="D690" s="5"/>
      <c r="E690" s="5"/>
      <c r="F690" s="5"/>
    </row>
    <row r="691" spans="1:6" ht="20.100000000000001" customHeight="1">
      <c r="A691" s="5">
        <v>1213</v>
      </c>
      <c r="B691" s="5">
        <v>272</v>
      </c>
      <c r="C691" s="5" t="s">
        <v>495</v>
      </c>
      <c r="D691" s="5"/>
      <c r="E691" s="5"/>
      <c r="F691" s="5"/>
    </row>
    <row r="692" spans="1:6" s="78" customFormat="1" ht="20.100000000000001" customHeight="1">
      <c r="A692" s="5">
        <v>1213</v>
      </c>
      <c r="B692" s="5">
        <v>116</v>
      </c>
      <c r="C692" s="5" t="s">
        <v>496</v>
      </c>
      <c r="D692" s="5"/>
      <c r="E692" s="5"/>
      <c r="F692" s="5"/>
    </row>
    <row r="693" spans="1:6" ht="20.100000000000001" customHeight="1">
      <c r="A693" s="5">
        <v>1213</v>
      </c>
      <c r="B693" s="5">
        <v>117</v>
      </c>
      <c r="C693" s="5" t="s">
        <v>497</v>
      </c>
      <c r="D693" s="5"/>
      <c r="E693" s="5"/>
      <c r="F693" s="5"/>
    </row>
    <row r="694" spans="1:6" ht="20.100000000000001" customHeight="1">
      <c r="A694" s="5">
        <v>1213</v>
      </c>
      <c r="B694" s="5">
        <v>118</v>
      </c>
      <c r="C694" s="5" t="s">
        <v>498</v>
      </c>
      <c r="D694" s="5"/>
      <c r="E694" s="5"/>
      <c r="F694" s="5"/>
    </row>
    <row r="695" spans="1:6" ht="20.100000000000001" customHeight="1">
      <c r="A695" s="5">
        <v>1213</v>
      </c>
      <c r="B695" s="5">
        <v>239</v>
      </c>
      <c r="C695" s="5" t="s">
        <v>499</v>
      </c>
      <c r="D695" s="5"/>
      <c r="E695" s="5"/>
      <c r="F695" s="5"/>
    </row>
    <row r="696" spans="1:6" ht="20.100000000000001" customHeight="1">
      <c r="A696" s="5">
        <v>1213</v>
      </c>
      <c r="B696" s="5">
        <v>284</v>
      </c>
      <c r="C696" s="5" t="s">
        <v>719</v>
      </c>
      <c r="D696" s="5"/>
      <c r="E696" s="5"/>
      <c r="F696" s="5"/>
    </row>
    <row r="697" spans="1:6" ht="20.100000000000001" customHeight="1">
      <c r="A697" s="5">
        <v>1213</v>
      </c>
      <c r="B697" s="5" t="s">
        <v>720</v>
      </c>
      <c r="C697" s="5" t="s">
        <v>501</v>
      </c>
      <c r="D697" s="5"/>
      <c r="E697" s="5"/>
      <c r="F697" s="5"/>
    </row>
    <row r="698" spans="1:6" ht="20.100000000000001" customHeight="1">
      <c r="A698" s="5">
        <v>1213</v>
      </c>
      <c r="B698" s="5">
        <v>271</v>
      </c>
      <c r="C698" s="5" t="s">
        <v>503</v>
      </c>
      <c r="D698" s="5"/>
      <c r="E698" s="5"/>
      <c r="F698" s="5"/>
    </row>
    <row r="699" spans="1:6" ht="17.25" customHeight="1">
      <c r="A699" s="80"/>
      <c r="B699" s="81"/>
      <c r="C699" s="81"/>
      <c r="D699" s="81"/>
      <c r="E699" s="81"/>
      <c r="F699" s="111"/>
    </row>
    <row r="700" spans="1:6" ht="20.100000000000001" customHeight="1">
      <c r="A700" s="112"/>
      <c r="B700" s="113"/>
      <c r="C700" s="114" t="s">
        <v>687</v>
      </c>
      <c r="D700" s="81"/>
      <c r="E700" s="113"/>
      <c r="F700" s="111"/>
    </row>
    <row r="701" spans="1:6" ht="20.100000000000001" customHeight="1">
      <c r="A701" s="112"/>
      <c r="B701" s="113"/>
      <c r="C701" s="114" t="s">
        <v>688</v>
      </c>
      <c r="D701" s="81"/>
      <c r="E701" s="113"/>
      <c r="F701" s="111"/>
    </row>
    <row r="702" spans="1:6" ht="20.100000000000001" customHeight="1">
      <c r="A702" s="80"/>
      <c r="B702" s="81"/>
      <c r="C702" s="115" t="s">
        <v>689</v>
      </c>
      <c r="D702" s="81"/>
      <c r="E702" s="81"/>
      <c r="F702" s="111"/>
    </row>
    <row r="703" spans="1:6" ht="20.100000000000001" customHeight="1">
      <c r="A703" s="116" t="s">
        <v>690</v>
      </c>
      <c r="B703" s="117"/>
      <c r="C703" s="117"/>
      <c r="D703" s="117"/>
      <c r="E703" s="117"/>
      <c r="F703" s="111"/>
    </row>
    <row r="704" spans="1:6" ht="20.100000000000001" customHeight="1">
      <c r="A704" s="118" t="s">
        <v>691</v>
      </c>
      <c r="B704" s="117"/>
      <c r="C704" s="117"/>
      <c r="D704" s="117"/>
      <c r="E704" s="117"/>
      <c r="F704" s="111"/>
    </row>
    <row r="705" spans="1:6" ht="20.100000000000001" customHeight="1">
      <c r="A705" s="118" t="s">
        <v>692</v>
      </c>
      <c r="B705" s="117"/>
      <c r="C705" s="117"/>
      <c r="D705" s="117"/>
      <c r="E705" s="117"/>
      <c r="F705" s="111"/>
    </row>
    <row r="706" spans="1:6" ht="20.100000000000001" customHeight="1">
      <c r="A706" s="119"/>
      <c r="B706" s="120"/>
      <c r="C706" s="120"/>
      <c r="D706" s="120"/>
      <c r="E706" s="120"/>
      <c r="F706" s="83"/>
    </row>
    <row r="707" spans="1:6" ht="20.100000000000001" customHeight="1">
      <c r="A707" s="5">
        <v>1213</v>
      </c>
      <c r="B707" s="5">
        <v>13</v>
      </c>
      <c r="C707" s="5" t="s">
        <v>504</v>
      </c>
      <c r="D707" s="48"/>
      <c r="E707" s="5"/>
      <c r="F707" s="5"/>
    </row>
    <row r="708" spans="1:6" ht="20.100000000000001" customHeight="1">
      <c r="A708" s="5">
        <v>1213</v>
      </c>
      <c r="B708" s="5">
        <v>131</v>
      </c>
      <c r="C708" s="5" t="s">
        <v>451</v>
      </c>
      <c r="D708" s="5"/>
      <c r="E708" s="5"/>
      <c r="F708" s="5"/>
    </row>
    <row r="709" spans="1:6" ht="20.100000000000001" customHeight="1">
      <c r="A709" s="76">
        <v>1213</v>
      </c>
      <c r="B709" s="76">
        <v>198</v>
      </c>
      <c r="C709" s="76" t="s">
        <v>505</v>
      </c>
      <c r="D709" s="76"/>
      <c r="E709" s="76"/>
      <c r="F709" s="76"/>
    </row>
    <row r="710" spans="1:6" ht="20.100000000000001" customHeight="1">
      <c r="A710" s="5">
        <v>1213</v>
      </c>
      <c r="B710" s="5">
        <v>134</v>
      </c>
      <c r="C710" s="5" t="s">
        <v>506</v>
      </c>
      <c r="D710" s="5"/>
      <c r="E710" s="5"/>
      <c r="F710" s="5"/>
    </row>
    <row r="711" spans="1:6" ht="20.100000000000001" customHeight="1">
      <c r="A711" s="5">
        <v>1213</v>
      </c>
      <c r="B711" s="5">
        <v>289</v>
      </c>
      <c r="C711" s="5" t="s">
        <v>507</v>
      </c>
      <c r="D711" s="5"/>
      <c r="E711" s="5"/>
      <c r="F711" s="5"/>
    </row>
    <row r="712" spans="1:6" ht="20.100000000000001" customHeight="1">
      <c r="A712" s="5">
        <v>1213</v>
      </c>
      <c r="B712" s="5">
        <v>176</v>
      </c>
      <c r="C712" s="5" t="s">
        <v>508</v>
      </c>
      <c r="D712" s="5"/>
      <c r="E712" s="5"/>
      <c r="F712" s="5"/>
    </row>
    <row r="713" spans="1:6" ht="20.100000000000001" customHeight="1">
      <c r="A713" s="5">
        <v>1213</v>
      </c>
      <c r="B713" s="5">
        <v>124</v>
      </c>
      <c r="C713" s="5" t="s">
        <v>509</v>
      </c>
      <c r="D713" s="5"/>
      <c r="E713" s="5"/>
      <c r="F713" s="5"/>
    </row>
    <row r="714" spans="1:6" ht="20.100000000000001" customHeight="1">
      <c r="A714" s="5">
        <v>1213</v>
      </c>
      <c r="B714" s="5">
        <v>125</v>
      </c>
      <c r="C714" s="5" t="s">
        <v>510</v>
      </c>
      <c r="D714" s="5"/>
      <c r="E714" s="5"/>
      <c r="F714" s="5"/>
    </row>
    <row r="715" spans="1:6" ht="20.100000000000001" customHeight="1">
      <c r="A715" s="5">
        <v>1213</v>
      </c>
      <c r="B715" s="5">
        <v>127</v>
      </c>
      <c r="C715" s="5" t="s">
        <v>511</v>
      </c>
      <c r="D715" s="5"/>
      <c r="E715" s="5"/>
      <c r="F715" s="5"/>
    </row>
    <row r="716" spans="1:6" ht="20.100000000000001" customHeight="1">
      <c r="A716" s="5">
        <v>1213</v>
      </c>
      <c r="B716" s="5">
        <v>129</v>
      </c>
      <c r="C716" s="5" t="s">
        <v>510</v>
      </c>
      <c r="D716" s="5"/>
      <c r="E716" s="5"/>
      <c r="F716" s="5"/>
    </row>
    <row r="717" spans="1:6" ht="20.100000000000001" customHeight="1">
      <c r="A717" s="5">
        <v>1213</v>
      </c>
      <c r="B717" s="5">
        <v>211</v>
      </c>
      <c r="C717" s="5" t="s">
        <v>512</v>
      </c>
      <c r="D717" s="5"/>
      <c r="E717" s="5"/>
      <c r="F717" s="5"/>
    </row>
    <row r="718" spans="1:6" ht="20.100000000000001" customHeight="1">
      <c r="A718" s="5">
        <v>1213</v>
      </c>
      <c r="B718" s="5">
        <v>123</v>
      </c>
      <c r="C718" s="5" t="s">
        <v>513</v>
      </c>
      <c r="D718" s="5"/>
      <c r="E718" s="5"/>
      <c r="F718" s="5"/>
    </row>
    <row r="719" spans="1:6" ht="20.100000000000001" customHeight="1">
      <c r="A719" s="5">
        <v>1213</v>
      </c>
      <c r="B719" s="5">
        <v>102</v>
      </c>
      <c r="C719" s="5" t="s">
        <v>514</v>
      </c>
      <c r="D719" s="5"/>
      <c r="E719" s="5"/>
      <c r="F719" s="5"/>
    </row>
    <row r="720" spans="1:6" ht="20.100000000000001" customHeight="1">
      <c r="A720" s="5">
        <v>1213</v>
      </c>
      <c r="B720" s="5">
        <v>126</v>
      </c>
      <c r="C720" s="5" t="s">
        <v>515</v>
      </c>
      <c r="D720" s="5"/>
      <c r="E720" s="5"/>
      <c r="F720" s="5"/>
    </row>
    <row r="721" spans="1:6" ht="20.100000000000001" customHeight="1">
      <c r="A721" s="5">
        <v>1213</v>
      </c>
      <c r="B721" s="5">
        <v>135</v>
      </c>
      <c r="C721" s="5" t="s">
        <v>514</v>
      </c>
      <c r="D721" s="5"/>
      <c r="E721" s="5"/>
      <c r="F721" s="5"/>
    </row>
    <row r="722" spans="1:6" ht="20.100000000000001" customHeight="1">
      <c r="A722" s="5">
        <v>1213</v>
      </c>
      <c r="B722" s="5">
        <v>138</v>
      </c>
      <c r="C722" s="5" t="s">
        <v>515</v>
      </c>
      <c r="D722" s="5"/>
      <c r="E722" s="5"/>
      <c r="F722" s="5"/>
    </row>
    <row r="723" spans="1:6" ht="20.100000000000001" customHeight="1">
      <c r="A723" s="5">
        <v>1213</v>
      </c>
      <c r="B723" s="5">
        <v>170</v>
      </c>
      <c r="C723" s="5" t="s">
        <v>515</v>
      </c>
      <c r="D723" s="5"/>
      <c r="E723" s="5"/>
      <c r="F723" s="5"/>
    </row>
    <row r="724" spans="1:6" ht="20.100000000000001" customHeight="1">
      <c r="A724" s="5">
        <v>1213</v>
      </c>
      <c r="B724" s="5">
        <v>256</v>
      </c>
      <c r="C724" s="5" t="s">
        <v>515</v>
      </c>
      <c r="D724" s="5"/>
      <c r="E724" s="5"/>
      <c r="F724" s="5"/>
    </row>
    <row r="725" spans="1:6" ht="20.100000000000001" customHeight="1">
      <c r="A725" s="5">
        <v>1213</v>
      </c>
      <c r="B725" s="5">
        <v>121</v>
      </c>
      <c r="C725" s="5" t="s">
        <v>516</v>
      </c>
      <c r="D725" s="5"/>
      <c r="E725" s="5"/>
      <c r="F725" s="5"/>
    </row>
    <row r="726" spans="1:6" ht="20.100000000000001" customHeight="1">
      <c r="A726" s="5">
        <v>1213</v>
      </c>
      <c r="B726" s="5">
        <v>130</v>
      </c>
      <c r="C726" s="5" t="s">
        <v>517</v>
      </c>
      <c r="D726" s="5"/>
      <c r="E726" s="5"/>
      <c r="F726" s="5"/>
    </row>
    <row r="727" spans="1:6" ht="20.100000000000001" customHeight="1">
      <c r="A727" s="5">
        <v>1213</v>
      </c>
      <c r="B727" s="5">
        <v>45</v>
      </c>
      <c r="C727" s="5" t="s">
        <v>721</v>
      </c>
      <c r="D727" s="5"/>
      <c r="E727" s="5"/>
      <c r="F727" s="5"/>
    </row>
    <row r="728" spans="1:6" ht="17.25" customHeight="1">
      <c r="A728" s="80"/>
      <c r="B728" s="81"/>
      <c r="C728" s="81"/>
      <c r="D728" s="81"/>
      <c r="E728" s="81"/>
      <c r="F728" s="111"/>
    </row>
    <row r="729" spans="1:6" ht="20.100000000000001" customHeight="1">
      <c r="A729" s="112"/>
      <c r="B729" s="113"/>
      <c r="C729" s="114" t="s">
        <v>687</v>
      </c>
      <c r="D729" s="81"/>
      <c r="E729" s="113"/>
      <c r="F729" s="111"/>
    </row>
    <row r="730" spans="1:6" ht="20.100000000000001" customHeight="1">
      <c r="A730" s="112"/>
      <c r="B730" s="113"/>
      <c r="C730" s="114" t="s">
        <v>688</v>
      </c>
      <c r="D730" s="81"/>
      <c r="E730" s="113"/>
      <c r="F730" s="111"/>
    </row>
    <row r="731" spans="1:6" ht="20.100000000000001" customHeight="1">
      <c r="A731" s="80"/>
      <c r="B731" s="81"/>
      <c r="C731" s="115" t="s">
        <v>689</v>
      </c>
      <c r="D731" s="81"/>
      <c r="E731" s="81"/>
      <c r="F731" s="111"/>
    </row>
    <row r="732" spans="1:6" ht="20.100000000000001" customHeight="1">
      <c r="A732" s="116" t="s">
        <v>690</v>
      </c>
      <c r="B732" s="117"/>
      <c r="C732" s="117"/>
      <c r="D732" s="117"/>
      <c r="E732" s="117"/>
      <c r="F732" s="111"/>
    </row>
    <row r="733" spans="1:6" ht="20.100000000000001" customHeight="1">
      <c r="A733" s="118" t="s">
        <v>691</v>
      </c>
      <c r="B733" s="117"/>
      <c r="C733" s="117"/>
      <c r="D733" s="117"/>
      <c r="E733" s="117"/>
      <c r="F733" s="111"/>
    </row>
    <row r="734" spans="1:6" ht="20.100000000000001" customHeight="1">
      <c r="A734" s="118" t="s">
        <v>692</v>
      </c>
      <c r="B734" s="117"/>
      <c r="C734" s="117"/>
      <c r="D734" s="117"/>
      <c r="E734" s="117"/>
      <c r="F734" s="111"/>
    </row>
    <row r="735" spans="1:6" ht="20.100000000000001" customHeight="1">
      <c r="A735" s="119"/>
      <c r="B735" s="120"/>
      <c r="C735" s="120"/>
      <c r="D735" s="120"/>
      <c r="E735" s="120"/>
      <c r="F735" s="83"/>
    </row>
    <row r="736" spans="1:6" ht="20.100000000000001" customHeight="1">
      <c r="A736" s="5">
        <v>1213</v>
      </c>
      <c r="B736" s="5">
        <v>36</v>
      </c>
      <c r="C736" s="5" t="s">
        <v>520</v>
      </c>
      <c r="D736" s="5"/>
      <c r="E736" s="5"/>
      <c r="F736" s="5"/>
    </row>
    <row r="737" spans="1:6" ht="20.100000000000001" customHeight="1">
      <c r="A737" s="5">
        <v>1213</v>
      </c>
      <c r="B737" s="5">
        <v>276</v>
      </c>
      <c r="C737" s="5" t="s">
        <v>520</v>
      </c>
      <c r="D737" s="5"/>
      <c r="E737" s="5"/>
      <c r="F737" s="5"/>
    </row>
    <row r="738" spans="1:6" ht="20.100000000000001" customHeight="1">
      <c r="A738" s="5">
        <v>1213</v>
      </c>
      <c r="B738" s="5">
        <v>333</v>
      </c>
      <c r="C738" s="5" t="s">
        <v>520</v>
      </c>
      <c r="D738" s="5"/>
      <c r="E738" s="5"/>
      <c r="F738" s="5"/>
    </row>
    <row r="739" spans="1:6" ht="20.100000000000001" customHeight="1">
      <c r="A739" s="5">
        <v>1213</v>
      </c>
      <c r="B739" s="5">
        <v>334</v>
      </c>
      <c r="C739" s="5" t="s">
        <v>520</v>
      </c>
      <c r="D739" s="5"/>
      <c r="E739" s="5"/>
      <c r="F739" s="5"/>
    </row>
    <row r="740" spans="1:6" ht="20.100000000000001" customHeight="1">
      <c r="A740" s="5">
        <v>1213</v>
      </c>
      <c r="B740" s="5">
        <v>277</v>
      </c>
      <c r="C740" s="5" t="s">
        <v>520</v>
      </c>
      <c r="D740" s="5"/>
      <c r="E740" s="5"/>
      <c r="F740" s="5"/>
    </row>
    <row r="741" spans="1:6" ht="20.100000000000001" customHeight="1">
      <c r="A741" s="5">
        <v>1213</v>
      </c>
      <c r="B741" s="5">
        <v>270</v>
      </c>
      <c r="C741" s="5" t="s">
        <v>521</v>
      </c>
      <c r="D741" s="5"/>
      <c r="E741" s="5"/>
      <c r="F741" s="5"/>
    </row>
    <row r="742" spans="1:6" ht="20.100000000000001" customHeight="1">
      <c r="A742" s="5">
        <v>1213</v>
      </c>
      <c r="B742" s="5">
        <v>252</v>
      </c>
      <c r="C742" s="5" t="s">
        <v>722</v>
      </c>
      <c r="D742" s="5"/>
      <c r="E742" s="5"/>
      <c r="F742" s="5"/>
    </row>
    <row r="743" spans="1:6" ht="20.100000000000001" customHeight="1">
      <c r="A743" s="5">
        <v>1213</v>
      </c>
      <c r="B743" s="5">
        <v>332</v>
      </c>
      <c r="C743" s="5" t="s">
        <v>486</v>
      </c>
      <c r="D743" s="5"/>
      <c r="E743" s="5"/>
      <c r="F743" s="5"/>
    </row>
    <row r="744" spans="1:6" ht="20.100000000000001" customHeight="1">
      <c r="A744" s="5">
        <v>1213</v>
      </c>
      <c r="B744" s="5">
        <v>331</v>
      </c>
      <c r="C744" s="5" t="s">
        <v>486</v>
      </c>
      <c r="D744" s="5"/>
      <c r="E744" s="5"/>
      <c r="F744" s="5"/>
    </row>
    <row r="745" spans="1:6" ht="20.100000000000001" customHeight="1">
      <c r="A745" s="5">
        <v>1213</v>
      </c>
      <c r="B745" s="5">
        <v>40</v>
      </c>
      <c r="C745" s="5" t="s">
        <v>523</v>
      </c>
      <c r="D745" s="5"/>
      <c r="E745" s="5"/>
      <c r="F745" s="5"/>
    </row>
    <row r="746" spans="1:6" ht="20.100000000000001" customHeight="1">
      <c r="A746" s="5">
        <v>1213</v>
      </c>
      <c r="B746" s="5">
        <v>51</v>
      </c>
      <c r="C746" s="5" t="s">
        <v>471</v>
      </c>
      <c r="D746" s="5"/>
      <c r="E746" s="5"/>
      <c r="F746" s="5"/>
    </row>
    <row r="747" spans="1:6" ht="20.100000000000001" customHeight="1">
      <c r="A747" s="5">
        <v>1213</v>
      </c>
      <c r="B747" s="5">
        <v>52</v>
      </c>
      <c r="C747" s="5" t="s">
        <v>723</v>
      </c>
      <c r="D747" s="5"/>
      <c r="E747" s="5"/>
      <c r="F747" s="5"/>
    </row>
    <row r="748" spans="1:6" ht="20.100000000000001" customHeight="1">
      <c r="A748" s="5">
        <v>1213</v>
      </c>
      <c r="B748" s="5">
        <v>53</v>
      </c>
      <c r="C748" s="5" t="s">
        <v>525</v>
      </c>
      <c r="D748" s="5"/>
      <c r="E748" s="5"/>
      <c r="F748" s="5"/>
    </row>
    <row r="749" spans="1:6" ht="20.100000000000001" customHeight="1">
      <c r="A749" s="5">
        <v>1213</v>
      </c>
      <c r="B749" s="5">
        <v>64</v>
      </c>
      <c r="C749" s="5" t="s">
        <v>526</v>
      </c>
      <c r="D749" s="5"/>
      <c r="E749" s="5"/>
      <c r="F749" s="5"/>
    </row>
    <row r="750" spans="1:6" ht="20.100000000000001" customHeight="1">
      <c r="A750" s="5">
        <v>1213</v>
      </c>
      <c r="B750" s="5">
        <v>62</v>
      </c>
      <c r="C750" s="5" t="s">
        <v>527</v>
      </c>
      <c r="D750" s="5"/>
      <c r="E750" s="5"/>
      <c r="F750" s="5"/>
    </row>
    <row r="751" spans="1:6" ht="20.100000000000001" customHeight="1">
      <c r="A751" s="5">
        <v>1213</v>
      </c>
      <c r="B751" s="5">
        <v>35</v>
      </c>
      <c r="C751" s="5" t="s">
        <v>528</v>
      </c>
      <c r="D751" s="5"/>
      <c r="E751" s="5"/>
      <c r="F751" s="5"/>
    </row>
    <row r="752" spans="1:6" ht="20.100000000000001" customHeight="1">
      <c r="A752" s="5">
        <v>1213</v>
      </c>
      <c r="B752" s="5">
        <v>91</v>
      </c>
      <c r="C752" s="5" t="s">
        <v>529</v>
      </c>
      <c r="D752" s="5"/>
      <c r="E752" s="5"/>
      <c r="F752" s="5"/>
    </row>
    <row r="753" spans="1:6" ht="20.100000000000001" customHeight="1">
      <c r="A753" s="5">
        <v>1213</v>
      </c>
      <c r="B753" s="5">
        <v>37</v>
      </c>
      <c r="C753" s="5" t="s">
        <v>530</v>
      </c>
      <c r="D753" s="5"/>
      <c r="E753" s="5"/>
      <c r="F753" s="5"/>
    </row>
    <row r="754" spans="1:6" ht="20.100000000000001" customHeight="1">
      <c r="A754" s="5">
        <v>1213</v>
      </c>
      <c r="B754" s="5">
        <v>323</v>
      </c>
      <c r="C754" s="5" t="s">
        <v>531</v>
      </c>
      <c r="D754" s="5"/>
      <c r="E754" s="5"/>
      <c r="F754" s="5"/>
    </row>
    <row r="755" spans="1:6" ht="20.100000000000001" customHeight="1">
      <c r="A755" s="5">
        <v>1213</v>
      </c>
      <c r="B755" s="5">
        <v>50</v>
      </c>
      <c r="C755" s="5" t="s">
        <v>532</v>
      </c>
      <c r="D755" s="5"/>
      <c r="E755" s="5"/>
      <c r="F755" s="5"/>
    </row>
    <row r="756" spans="1:6" ht="20.100000000000001" customHeight="1">
      <c r="A756" s="5">
        <v>1213</v>
      </c>
      <c r="B756" s="5">
        <v>67</v>
      </c>
      <c r="C756" s="5" t="s">
        <v>533</v>
      </c>
      <c r="D756" s="5"/>
      <c r="E756" s="5"/>
      <c r="F756" s="5"/>
    </row>
    <row r="757" spans="1:6" ht="17.25" customHeight="1">
      <c r="A757" s="80"/>
      <c r="B757" s="81"/>
      <c r="C757" s="81"/>
      <c r="D757" s="81"/>
      <c r="E757" s="81"/>
      <c r="F757" s="111"/>
    </row>
    <row r="758" spans="1:6" ht="20.100000000000001" customHeight="1">
      <c r="A758" s="112"/>
      <c r="B758" s="113"/>
      <c r="C758" s="114" t="s">
        <v>687</v>
      </c>
      <c r="D758" s="81"/>
      <c r="E758" s="113"/>
      <c r="F758" s="111"/>
    </row>
    <row r="759" spans="1:6" ht="20.100000000000001" customHeight="1">
      <c r="A759" s="112"/>
      <c r="B759" s="113"/>
      <c r="C759" s="114" t="s">
        <v>688</v>
      </c>
      <c r="D759" s="81"/>
      <c r="E759" s="113"/>
      <c r="F759" s="111"/>
    </row>
    <row r="760" spans="1:6" ht="20.100000000000001" customHeight="1">
      <c r="A760" s="80"/>
      <c r="B760" s="81"/>
      <c r="C760" s="115" t="s">
        <v>689</v>
      </c>
      <c r="D760" s="81"/>
      <c r="E760" s="81"/>
      <c r="F760" s="111"/>
    </row>
    <row r="761" spans="1:6" ht="20.100000000000001" customHeight="1">
      <c r="A761" s="116" t="s">
        <v>690</v>
      </c>
      <c r="B761" s="117"/>
      <c r="C761" s="117"/>
      <c r="D761" s="117"/>
      <c r="E761" s="117"/>
      <c r="F761" s="111"/>
    </row>
    <row r="762" spans="1:6" ht="20.100000000000001" customHeight="1">
      <c r="A762" s="118" t="s">
        <v>691</v>
      </c>
      <c r="B762" s="117"/>
      <c r="C762" s="117"/>
      <c r="D762" s="117"/>
      <c r="E762" s="117"/>
      <c r="F762" s="111"/>
    </row>
    <row r="763" spans="1:6" ht="20.100000000000001" customHeight="1">
      <c r="A763" s="118" t="s">
        <v>692</v>
      </c>
      <c r="B763" s="117"/>
      <c r="C763" s="117"/>
      <c r="D763" s="117"/>
      <c r="E763" s="117"/>
      <c r="F763" s="111"/>
    </row>
    <row r="764" spans="1:6" ht="20.100000000000001" customHeight="1">
      <c r="A764" s="119"/>
      <c r="B764" s="120"/>
      <c r="C764" s="120"/>
      <c r="D764" s="120"/>
      <c r="E764" s="120"/>
      <c r="F764" s="83"/>
    </row>
    <row r="765" spans="1:6" ht="20.100000000000001" customHeight="1">
      <c r="A765" s="5">
        <v>1213</v>
      </c>
      <c r="B765" s="5">
        <v>54</v>
      </c>
      <c r="C765" s="5" t="s">
        <v>534</v>
      </c>
      <c r="D765" s="5"/>
      <c r="E765" s="5"/>
      <c r="F765" s="5"/>
    </row>
    <row r="766" spans="1:6" ht="20.100000000000001" customHeight="1">
      <c r="A766" s="5">
        <v>1213</v>
      </c>
      <c r="B766" s="5">
        <v>31</v>
      </c>
      <c r="C766" s="5" t="s">
        <v>535</v>
      </c>
      <c r="D766" s="5"/>
      <c r="E766" s="5"/>
      <c r="F766" s="5"/>
    </row>
    <row r="767" spans="1:6" ht="20.100000000000001" customHeight="1">
      <c r="A767" s="5">
        <v>1213</v>
      </c>
      <c r="B767" s="5">
        <v>309</v>
      </c>
      <c r="C767" s="5" t="s">
        <v>535</v>
      </c>
      <c r="D767" s="5"/>
      <c r="E767" s="5"/>
      <c r="F767" s="5"/>
    </row>
    <row r="768" spans="1:6" s="78" customFormat="1" ht="20.100000000000001" customHeight="1">
      <c r="A768" s="5">
        <v>1213</v>
      </c>
      <c r="B768" s="5">
        <v>311</v>
      </c>
      <c r="C768" s="5" t="s">
        <v>536</v>
      </c>
      <c r="D768" s="5"/>
      <c r="E768" s="5"/>
      <c r="F768" s="5"/>
    </row>
    <row r="769" spans="1:6" ht="20.100000000000001" customHeight="1">
      <c r="A769" s="5">
        <v>1213</v>
      </c>
      <c r="B769" s="5">
        <v>189</v>
      </c>
      <c r="C769" s="5" t="s">
        <v>537</v>
      </c>
      <c r="D769" s="5"/>
      <c r="E769" s="5"/>
      <c r="F769" s="5"/>
    </row>
    <row r="770" spans="1:6" ht="20.100000000000001" customHeight="1">
      <c r="A770" s="5">
        <v>1213</v>
      </c>
      <c r="B770" s="5">
        <v>269</v>
      </c>
      <c r="C770" s="5" t="s">
        <v>724</v>
      </c>
      <c r="D770" s="5"/>
      <c r="E770" s="5"/>
      <c r="F770" s="5"/>
    </row>
    <row r="771" spans="1:6" ht="20.100000000000001" customHeight="1">
      <c r="A771" s="17"/>
      <c r="B771" s="10"/>
      <c r="C771" s="10"/>
      <c r="D771" s="10"/>
      <c r="E771" s="10"/>
      <c r="F771" s="121"/>
    </row>
    <row r="772" spans="1:6" ht="20.100000000000001" customHeight="1">
      <c r="A772" s="17"/>
      <c r="B772" s="10"/>
      <c r="C772" s="10"/>
      <c r="D772" s="10"/>
      <c r="E772" s="10"/>
      <c r="F772" s="121"/>
    </row>
    <row r="773" spans="1:6" ht="20.100000000000001" customHeight="1">
      <c r="A773" s="17"/>
      <c r="B773" s="10"/>
      <c r="C773" s="10"/>
      <c r="D773" s="10"/>
      <c r="E773" s="10"/>
      <c r="F773" s="121"/>
    </row>
    <row r="774" spans="1:6" ht="20.100000000000001" customHeight="1">
      <c r="A774" s="17"/>
      <c r="B774" s="10"/>
      <c r="C774" s="10"/>
      <c r="D774" s="10"/>
      <c r="E774" s="10"/>
      <c r="F774" s="121"/>
    </row>
    <row r="775" spans="1:6" ht="20.100000000000001" customHeight="1">
      <c r="A775" s="17"/>
      <c r="B775" s="10"/>
      <c r="C775" s="10"/>
      <c r="D775" s="10"/>
      <c r="E775" s="10"/>
      <c r="F775" s="121"/>
    </row>
    <row r="776" spans="1:6" ht="20.100000000000001" customHeight="1">
      <c r="A776" s="17"/>
      <c r="B776" s="10"/>
      <c r="C776" s="10"/>
      <c r="D776" s="10"/>
      <c r="E776" s="10"/>
      <c r="F776" s="121"/>
    </row>
    <row r="777" spans="1:6" ht="20.100000000000001" customHeight="1">
      <c r="A777" s="17"/>
      <c r="B777" s="10"/>
      <c r="C777" s="10"/>
      <c r="D777" s="10"/>
      <c r="E777" s="10"/>
      <c r="F777" s="121"/>
    </row>
    <row r="778" spans="1:6" ht="20.100000000000001" customHeight="1">
      <c r="A778" s="17"/>
      <c r="B778" s="10"/>
      <c r="C778" s="10"/>
      <c r="D778" s="10"/>
      <c r="E778" s="10"/>
      <c r="F778" s="121"/>
    </row>
    <row r="779" spans="1:6" ht="20.100000000000001" customHeight="1">
      <c r="A779" s="17"/>
      <c r="B779" s="10"/>
      <c r="C779" s="10"/>
      <c r="D779" s="10"/>
      <c r="E779" s="10"/>
      <c r="F779" s="121"/>
    </row>
    <row r="780" spans="1:6" ht="20.100000000000001" customHeight="1">
      <c r="A780" s="17"/>
      <c r="B780" s="10"/>
      <c r="C780" s="10"/>
      <c r="D780" s="10"/>
      <c r="E780" s="10"/>
      <c r="F780" s="121"/>
    </row>
    <row r="781" spans="1:6" ht="20.100000000000001" customHeight="1">
      <c r="A781" s="17"/>
      <c r="B781" s="10"/>
      <c r="C781" s="10"/>
      <c r="D781" s="10"/>
      <c r="E781" s="10"/>
      <c r="F781" s="121"/>
    </row>
    <row r="782" spans="1:6" ht="20.100000000000001" customHeight="1">
      <c r="A782" s="17"/>
      <c r="B782" s="10"/>
      <c r="C782" s="10"/>
      <c r="D782" s="10"/>
      <c r="E782" s="10"/>
      <c r="F782" s="121"/>
    </row>
    <row r="783" spans="1:6" ht="20.100000000000001" customHeight="1">
      <c r="A783" s="17"/>
      <c r="B783" s="10"/>
      <c r="C783" s="10"/>
      <c r="D783" s="10"/>
      <c r="E783" s="10"/>
      <c r="F783" s="121"/>
    </row>
    <row r="784" spans="1:6" ht="20.100000000000001" customHeight="1">
      <c r="A784" s="17"/>
      <c r="B784" s="10"/>
      <c r="C784" s="10"/>
      <c r="D784" s="10"/>
      <c r="E784" s="10"/>
      <c r="F784" s="121"/>
    </row>
    <row r="785" spans="1:6" ht="20.100000000000001" customHeight="1">
      <c r="A785" s="17"/>
      <c r="B785" s="10"/>
      <c r="C785" s="10"/>
      <c r="D785" s="10"/>
      <c r="E785" s="10"/>
      <c r="F785" s="121"/>
    </row>
    <row r="786" spans="1:6" ht="17.25" customHeight="1">
      <c r="A786" s="80"/>
      <c r="B786" s="81"/>
      <c r="C786" s="81"/>
      <c r="D786" s="81"/>
      <c r="E786" s="81"/>
      <c r="F786" s="111"/>
    </row>
    <row r="787" spans="1:6" ht="20.100000000000001" customHeight="1">
      <c r="A787" s="112"/>
      <c r="B787" s="113"/>
      <c r="C787" s="114" t="s">
        <v>687</v>
      </c>
      <c r="D787" s="81"/>
      <c r="E787" s="113"/>
      <c r="F787" s="111"/>
    </row>
    <row r="788" spans="1:6" ht="20.100000000000001" customHeight="1">
      <c r="A788" s="112"/>
      <c r="B788" s="113"/>
      <c r="C788" s="114" t="s">
        <v>688</v>
      </c>
      <c r="D788" s="81"/>
      <c r="E788" s="113"/>
      <c r="F788" s="111"/>
    </row>
    <row r="789" spans="1:6" ht="20.100000000000001" customHeight="1">
      <c r="A789" s="80"/>
      <c r="B789" s="81"/>
      <c r="C789" s="115" t="s">
        <v>689</v>
      </c>
      <c r="D789" s="81"/>
      <c r="E789" s="81"/>
      <c r="F789" s="111"/>
    </row>
    <row r="790" spans="1:6" ht="20.100000000000001" customHeight="1">
      <c r="A790" s="116" t="s">
        <v>690</v>
      </c>
      <c r="B790" s="117"/>
      <c r="C790" s="117"/>
      <c r="D790" s="117"/>
      <c r="E790" s="117"/>
      <c r="F790" s="111"/>
    </row>
    <row r="791" spans="1:6" ht="20.100000000000001" customHeight="1">
      <c r="A791" s="118" t="s">
        <v>691</v>
      </c>
      <c r="B791" s="117"/>
      <c r="C791" s="117"/>
      <c r="D791" s="117"/>
      <c r="E791" s="117"/>
      <c r="F791" s="111"/>
    </row>
    <row r="792" spans="1:6" ht="20.100000000000001" customHeight="1">
      <c r="A792" s="118" t="s">
        <v>692</v>
      </c>
      <c r="B792" s="117"/>
      <c r="C792" s="117"/>
      <c r="D792" s="117"/>
      <c r="E792" s="117"/>
      <c r="F792" s="111"/>
    </row>
    <row r="793" spans="1:6" ht="20.100000000000001" customHeight="1">
      <c r="A793" s="119"/>
      <c r="B793" s="120"/>
      <c r="C793" s="120"/>
      <c r="D793" s="120"/>
      <c r="E793" s="120"/>
      <c r="F793" s="83"/>
    </row>
    <row r="794" spans="1:6" ht="20.100000000000001" customHeight="1">
      <c r="A794" s="5">
        <v>1214</v>
      </c>
      <c r="B794" s="5">
        <v>265</v>
      </c>
      <c r="C794" s="5" t="s">
        <v>661</v>
      </c>
      <c r="D794" s="86"/>
      <c r="E794" s="5"/>
      <c r="F794" s="5"/>
    </row>
    <row r="795" spans="1:6" ht="20.100000000000001" customHeight="1">
      <c r="A795" s="5">
        <v>1214</v>
      </c>
      <c r="B795" s="5">
        <v>91</v>
      </c>
      <c r="C795" s="5" t="s">
        <v>662</v>
      </c>
      <c r="D795" s="86"/>
      <c r="E795" s="5"/>
      <c r="F795" s="5"/>
    </row>
    <row r="796" spans="1:6" ht="20.100000000000001" customHeight="1">
      <c r="A796" s="5">
        <v>1214</v>
      </c>
      <c r="B796" s="5">
        <v>76</v>
      </c>
      <c r="C796" s="5" t="s">
        <v>375</v>
      </c>
      <c r="D796" s="86"/>
      <c r="E796" s="5"/>
      <c r="F796" s="5"/>
    </row>
    <row r="797" spans="1:6" ht="20.100000000000001" customHeight="1">
      <c r="A797" s="5">
        <v>1214</v>
      </c>
      <c r="B797" s="5">
        <v>79</v>
      </c>
      <c r="C797" s="5" t="s">
        <v>663</v>
      </c>
      <c r="D797" s="86"/>
      <c r="E797" s="5"/>
      <c r="F797" s="5"/>
    </row>
    <row r="798" spans="1:6" ht="20.100000000000001" customHeight="1">
      <c r="A798" s="5">
        <v>1214</v>
      </c>
      <c r="B798" s="5">
        <v>27</v>
      </c>
      <c r="C798" s="5" t="s">
        <v>664</v>
      </c>
      <c r="D798" s="86"/>
      <c r="E798" s="5"/>
      <c r="F798" s="5"/>
    </row>
    <row r="799" spans="1:6" ht="20.100000000000001" customHeight="1">
      <c r="A799" s="76">
        <v>1214</v>
      </c>
      <c r="B799" s="76">
        <v>2</v>
      </c>
      <c r="C799" s="76" t="s">
        <v>665</v>
      </c>
      <c r="D799" s="94"/>
      <c r="E799" s="76"/>
      <c r="F799" s="76"/>
    </row>
    <row r="800" spans="1:6" ht="20.100000000000001" customHeight="1">
      <c r="A800" s="5">
        <v>1214</v>
      </c>
      <c r="B800" s="5">
        <v>152</v>
      </c>
      <c r="C800" s="5" t="s">
        <v>666</v>
      </c>
      <c r="D800" s="86"/>
      <c r="E800" s="5"/>
      <c r="F800" s="5"/>
    </row>
    <row r="801" spans="1:6" ht="20.100000000000001" customHeight="1">
      <c r="A801" s="5">
        <v>1214</v>
      </c>
      <c r="B801" s="5">
        <v>207</v>
      </c>
      <c r="C801" s="5" t="s">
        <v>571</v>
      </c>
      <c r="D801" s="86"/>
      <c r="E801" s="5"/>
      <c r="F801" s="5"/>
    </row>
    <row r="802" spans="1:6" ht="20.100000000000001" customHeight="1">
      <c r="A802" s="5">
        <v>1214</v>
      </c>
      <c r="B802" s="5">
        <v>155</v>
      </c>
      <c r="C802" s="5" t="s">
        <v>572</v>
      </c>
      <c r="D802" s="86"/>
      <c r="E802" s="5"/>
      <c r="F802" s="5"/>
    </row>
    <row r="803" spans="1:6" ht="20.100000000000001" customHeight="1">
      <c r="A803" s="5">
        <v>1214</v>
      </c>
      <c r="B803" s="5">
        <v>52</v>
      </c>
      <c r="C803" s="5" t="s">
        <v>573</v>
      </c>
      <c r="D803" s="86"/>
      <c r="E803" s="5"/>
      <c r="F803" s="5"/>
    </row>
    <row r="804" spans="1:6" ht="20.100000000000001" customHeight="1">
      <c r="A804" s="5">
        <v>1214</v>
      </c>
      <c r="B804" s="5">
        <v>55</v>
      </c>
      <c r="C804" s="5" t="s">
        <v>574</v>
      </c>
      <c r="D804" s="86"/>
      <c r="E804" s="5"/>
      <c r="F804" s="5"/>
    </row>
    <row r="805" spans="1:6" ht="20.100000000000001" customHeight="1">
      <c r="A805" s="5">
        <v>1214</v>
      </c>
      <c r="B805" s="5">
        <v>209</v>
      </c>
      <c r="C805" s="5" t="s">
        <v>575</v>
      </c>
      <c r="D805" s="86"/>
      <c r="E805" s="5"/>
      <c r="F805" s="5"/>
    </row>
    <row r="806" spans="1:6" ht="20.100000000000001" customHeight="1">
      <c r="A806" s="5">
        <v>1214</v>
      </c>
      <c r="B806" s="5">
        <v>258</v>
      </c>
      <c r="C806" s="5" t="s">
        <v>575</v>
      </c>
      <c r="D806" s="86"/>
      <c r="E806" s="5"/>
      <c r="F806" s="5"/>
    </row>
    <row r="807" spans="1:6" ht="20.100000000000001" customHeight="1">
      <c r="A807" s="5">
        <v>1214</v>
      </c>
      <c r="B807" s="5">
        <v>259</v>
      </c>
      <c r="C807" s="5" t="s">
        <v>576</v>
      </c>
      <c r="D807" s="86"/>
      <c r="E807" s="5"/>
      <c r="F807" s="5"/>
    </row>
    <row r="808" spans="1:6" ht="20.100000000000001" customHeight="1">
      <c r="A808" s="5">
        <v>1214</v>
      </c>
      <c r="B808" s="5">
        <v>260</v>
      </c>
      <c r="C808" s="5" t="s">
        <v>575</v>
      </c>
      <c r="D808" s="86"/>
      <c r="E808" s="5"/>
      <c r="F808" s="5"/>
    </row>
    <row r="809" spans="1:6" ht="20.100000000000001" customHeight="1">
      <c r="A809" s="5">
        <v>1214</v>
      </c>
      <c r="B809" s="5">
        <v>261</v>
      </c>
      <c r="C809" s="5" t="s">
        <v>575</v>
      </c>
      <c r="D809" s="86"/>
      <c r="E809" s="5"/>
      <c r="F809" s="5"/>
    </row>
    <row r="810" spans="1:6" ht="20.100000000000001" customHeight="1">
      <c r="A810" s="5">
        <v>1214</v>
      </c>
      <c r="B810" s="5">
        <v>60</v>
      </c>
      <c r="C810" s="5" t="s">
        <v>505</v>
      </c>
      <c r="D810" s="86"/>
      <c r="E810" s="5"/>
      <c r="F810" s="5"/>
    </row>
    <row r="811" spans="1:6" ht="20.100000000000001" customHeight="1">
      <c r="A811" s="5">
        <v>1214</v>
      </c>
      <c r="B811" s="5">
        <v>69</v>
      </c>
      <c r="C811" s="5" t="s">
        <v>505</v>
      </c>
      <c r="D811" s="86"/>
      <c r="E811" s="5"/>
      <c r="F811" s="5"/>
    </row>
    <row r="812" spans="1:6" ht="20.100000000000001" customHeight="1">
      <c r="A812" s="5">
        <v>1214</v>
      </c>
      <c r="B812" s="5">
        <v>64</v>
      </c>
      <c r="C812" s="5" t="s">
        <v>577</v>
      </c>
      <c r="D812" s="86"/>
      <c r="E812" s="5"/>
      <c r="F812" s="5"/>
    </row>
    <row r="813" spans="1:6" ht="20.100000000000001" customHeight="1">
      <c r="A813" s="5">
        <v>1214</v>
      </c>
      <c r="B813" s="5">
        <v>87</v>
      </c>
      <c r="C813" s="5" t="s">
        <v>577</v>
      </c>
      <c r="D813" s="86"/>
      <c r="E813" s="5"/>
      <c r="F813" s="5"/>
    </row>
    <row r="814" spans="1:6" ht="20.100000000000001" customHeight="1">
      <c r="A814" s="5">
        <v>1214</v>
      </c>
      <c r="B814" s="5">
        <v>263</v>
      </c>
      <c r="C814" s="5" t="s">
        <v>578</v>
      </c>
      <c r="D814" s="86"/>
      <c r="E814" s="5"/>
      <c r="F814" s="5"/>
    </row>
    <row r="815" spans="1:6" ht="17.25" customHeight="1">
      <c r="A815" s="80"/>
      <c r="B815" s="81"/>
      <c r="C815" s="81"/>
      <c r="D815" s="81"/>
      <c r="E815" s="81"/>
      <c r="F815" s="111"/>
    </row>
    <row r="816" spans="1:6" ht="20.100000000000001" customHeight="1">
      <c r="A816" s="112"/>
      <c r="B816" s="113"/>
      <c r="C816" s="114" t="s">
        <v>687</v>
      </c>
      <c r="D816" s="81"/>
      <c r="E816" s="113"/>
      <c r="F816" s="111"/>
    </row>
    <row r="817" spans="1:6" ht="20.100000000000001" customHeight="1">
      <c r="A817" s="112"/>
      <c r="B817" s="113"/>
      <c r="C817" s="114" t="s">
        <v>688</v>
      </c>
      <c r="D817" s="81"/>
      <c r="E817" s="113"/>
      <c r="F817" s="111"/>
    </row>
    <row r="818" spans="1:6" ht="20.100000000000001" customHeight="1">
      <c r="A818" s="80"/>
      <c r="B818" s="81"/>
      <c r="C818" s="115" t="s">
        <v>689</v>
      </c>
      <c r="D818" s="81"/>
      <c r="E818" s="81"/>
      <c r="F818" s="111"/>
    </row>
    <row r="819" spans="1:6" ht="20.100000000000001" customHeight="1">
      <c r="A819" s="116" t="s">
        <v>690</v>
      </c>
      <c r="B819" s="117"/>
      <c r="C819" s="117"/>
      <c r="D819" s="117"/>
      <c r="E819" s="117"/>
      <c r="F819" s="111"/>
    </row>
    <row r="820" spans="1:6" ht="20.100000000000001" customHeight="1">
      <c r="A820" s="118" t="s">
        <v>691</v>
      </c>
      <c r="B820" s="117"/>
      <c r="C820" s="117"/>
      <c r="D820" s="117"/>
      <c r="E820" s="117"/>
      <c r="F820" s="111"/>
    </row>
    <row r="821" spans="1:6" ht="20.100000000000001" customHeight="1">
      <c r="A821" s="118" t="s">
        <v>692</v>
      </c>
      <c r="B821" s="117"/>
      <c r="C821" s="117"/>
      <c r="D821" s="117"/>
      <c r="E821" s="117"/>
      <c r="F821" s="111"/>
    </row>
    <row r="822" spans="1:6" ht="20.100000000000001" customHeight="1">
      <c r="A822" s="119"/>
      <c r="B822" s="120"/>
      <c r="C822" s="120"/>
      <c r="D822" s="120"/>
      <c r="E822" s="120"/>
      <c r="F822" s="83"/>
    </row>
    <row r="823" spans="1:6" ht="20.100000000000001" customHeight="1">
      <c r="A823" s="5">
        <v>1214</v>
      </c>
      <c r="B823" s="5">
        <v>264</v>
      </c>
      <c r="C823" s="5" t="s">
        <v>578</v>
      </c>
      <c r="D823" s="86"/>
      <c r="E823" s="5"/>
      <c r="F823" s="5"/>
    </row>
    <row r="824" spans="1:6" ht="20.100000000000001" customHeight="1">
      <c r="A824" s="5"/>
      <c r="B824" s="5"/>
      <c r="C824" s="5"/>
      <c r="D824" s="5"/>
      <c r="E824" s="5"/>
      <c r="F824" s="5"/>
    </row>
    <row r="825" spans="1:6" ht="20.100000000000001" customHeight="1">
      <c r="A825" s="92"/>
      <c r="B825" s="92"/>
      <c r="C825" s="92"/>
      <c r="D825" s="122"/>
      <c r="E825" s="92"/>
      <c r="F825" s="92"/>
    </row>
    <row r="826" spans="1:6" s="10" customFormat="1" ht="20.100000000000001" customHeight="1">
      <c r="D826" s="97"/>
    </row>
    <row r="827" spans="1:6" s="10" customFormat="1" ht="20.100000000000001" customHeight="1">
      <c r="D827" s="97"/>
    </row>
    <row r="828" spans="1:6" s="10" customFormat="1" ht="20.100000000000001" customHeight="1">
      <c r="D828" s="97"/>
    </row>
    <row r="829" spans="1:6" s="10" customFormat="1" ht="20.100000000000001" customHeight="1">
      <c r="D829" s="97"/>
    </row>
    <row r="830" spans="1:6" s="10" customFormat="1" ht="20.100000000000001" customHeight="1">
      <c r="D830" s="97"/>
    </row>
    <row r="831" spans="1:6" s="10" customFormat="1" ht="20.100000000000001" customHeight="1">
      <c r="D831" s="97"/>
    </row>
    <row r="832" spans="1:6" s="10" customFormat="1" ht="20.100000000000001" customHeight="1">
      <c r="D832" s="97"/>
    </row>
    <row r="833" spans="1:6" s="10" customFormat="1" ht="20.100000000000001" customHeight="1">
      <c r="D833" s="97"/>
    </row>
    <row r="834" spans="1:6" s="10" customFormat="1" ht="20.100000000000001" customHeight="1">
      <c r="D834" s="97"/>
    </row>
    <row r="835" spans="1:6" s="10" customFormat="1" ht="20.100000000000001" customHeight="1">
      <c r="D835" s="97"/>
    </row>
    <row r="836" spans="1:6" s="10" customFormat="1" ht="20.100000000000001" customHeight="1">
      <c r="D836" s="97"/>
    </row>
    <row r="837" spans="1:6" s="10" customFormat="1" ht="20.100000000000001" customHeight="1">
      <c r="D837" s="97"/>
    </row>
    <row r="838" spans="1:6" s="10" customFormat="1" ht="20.100000000000001" customHeight="1">
      <c r="D838" s="97"/>
    </row>
    <row r="839" spans="1:6" s="10" customFormat="1" ht="20.100000000000001" customHeight="1">
      <c r="D839" s="97"/>
    </row>
    <row r="840" spans="1:6" s="10" customFormat="1" ht="20.100000000000001" customHeight="1">
      <c r="D840" s="97"/>
    </row>
    <row r="841" spans="1:6" s="10" customFormat="1" ht="20.100000000000001" customHeight="1">
      <c r="D841" s="97"/>
    </row>
    <row r="842" spans="1:6" s="10" customFormat="1" ht="20.100000000000001" customHeight="1">
      <c r="D842" s="97"/>
    </row>
    <row r="843" spans="1:6" s="10" customFormat="1" ht="20.100000000000001" customHeight="1">
      <c r="D843" s="97"/>
    </row>
    <row r="844" spans="1:6" ht="17.25" customHeight="1">
      <c r="A844" s="80"/>
      <c r="B844" s="81"/>
      <c r="C844" s="81"/>
      <c r="D844" s="81"/>
      <c r="E844" s="81"/>
      <c r="F844" s="111"/>
    </row>
    <row r="845" spans="1:6" ht="20.100000000000001" customHeight="1">
      <c r="A845" s="112"/>
      <c r="B845" s="113"/>
      <c r="C845" s="114" t="s">
        <v>687</v>
      </c>
      <c r="D845" s="81"/>
      <c r="E845" s="113"/>
      <c r="F845" s="111"/>
    </row>
    <row r="846" spans="1:6" ht="20.100000000000001" customHeight="1">
      <c r="A846" s="112"/>
      <c r="B846" s="113"/>
      <c r="C846" s="114" t="s">
        <v>688</v>
      </c>
      <c r="D846" s="81"/>
      <c r="E846" s="113"/>
      <c r="F846" s="111"/>
    </row>
    <row r="847" spans="1:6" ht="20.100000000000001" customHeight="1">
      <c r="A847" s="80"/>
      <c r="B847" s="81"/>
      <c r="C847" s="115" t="s">
        <v>689</v>
      </c>
      <c r="D847" s="81"/>
      <c r="E847" s="81"/>
      <c r="F847" s="111"/>
    </row>
    <row r="848" spans="1:6" ht="20.100000000000001" customHeight="1">
      <c r="A848" s="116" t="s">
        <v>690</v>
      </c>
      <c r="B848" s="117"/>
      <c r="C848" s="117"/>
      <c r="D848" s="117"/>
      <c r="E848" s="117"/>
      <c r="F848" s="111"/>
    </row>
    <row r="849" spans="1:6" ht="20.100000000000001" customHeight="1">
      <c r="A849" s="118" t="s">
        <v>691</v>
      </c>
      <c r="B849" s="117"/>
      <c r="C849" s="117"/>
      <c r="D849" s="117"/>
      <c r="E849" s="117"/>
      <c r="F849" s="111"/>
    </row>
    <row r="850" spans="1:6" ht="20.100000000000001" customHeight="1">
      <c r="A850" s="118" t="s">
        <v>692</v>
      </c>
      <c r="B850" s="117"/>
      <c r="C850" s="117"/>
      <c r="D850" s="117"/>
      <c r="E850" s="117"/>
      <c r="F850" s="111"/>
    </row>
    <row r="851" spans="1:6" ht="20.100000000000001" customHeight="1">
      <c r="A851" s="119"/>
      <c r="B851" s="120"/>
      <c r="C851" s="120"/>
      <c r="D851" s="120"/>
      <c r="E851" s="120"/>
      <c r="F851" s="83"/>
    </row>
    <row r="852" spans="1:6" ht="20.100000000000001" customHeight="1">
      <c r="A852" s="52">
        <v>1214</v>
      </c>
      <c r="B852" s="52">
        <v>152</v>
      </c>
      <c r="C852" s="52" t="s">
        <v>603</v>
      </c>
      <c r="D852" s="123"/>
      <c r="E852" s="52"/>
      <c r="F852" s="52"/>
    </row>
    <row r="853" spans="1:6" ht="20.100000000000001" customHeight="1">
      <c r="A853" s="5">
        <v>1214</v>
      </c>
      <c r="B853" s="5">
        <v>185</v>
      </c>
      <c r="C853" s="5" t="s">
        <v>725</v>
      </c>
      <c r="D853" s="86"/>
      <c r="E853" s="5"/>
      <c r="F853" s="5"/>
    </row>
    <row r="854" spans="1:6" ht="20.100000000000001" customHeight="1">
      <c r="A854" s="5">
        <v>1214</v>
      </c>
      <c r="B854" s="5">
        <v>186</v>
      </c>
      <c r="C854" s="5" t="s">
        <v>725</v>
      </c>
      <c r="D854" s="86"/>
      <c r="E854" s="5"/>
      <c r="F854" s="5"/>
    </row>
    <row r="855" spans="1:6" ht="20.100000000000001" customHeight="1">
      <c r="A855" s="5">
        <v>1214</v>
      </c>
      <c r="B855" s="5">
        <v>246</v>
      </c>
      <c r="C855" s="5" t="s">
        <v>726</v>
      </c>
      <c r="D855" s="95"/>
      <c r="E855" s="5"/>
      <c r="F855" s="5"/>
    </row>
    <row r="856" spans="1:6" ht="20.100000000000001" customHeight="1">
      <c r="A856" s="5">
        <v>1214</v>
      </c>
      <c r="B856" s="5">
        <v>252</v>
      </c>
      <c r="C856" s="5" t="s">
        <v>727</v>
      </c>
      <c r="D856" s="86"/>
      <c r="E856" s="5"/>
      <c r="F856" s="5"/>
    </row>
    <row r="857" spans="1:6" ht="20.100000000000001" customHeight="1">
      <c r="A857" s="5">
        <v>1214</v>
      </c>
      <c r="B857" s="5">
        <v>255</v>
      </c>
      <c r="C857" s="5" t="s">
        <v>727</v>
      </c>
      <c r="D857" s="86"/>
      <c r="E857" s="5"/>
      <c r="F857" s="5"/>
    </row>
    <row r="858" spans="1:6" ht="20.100000000000001" customHeight="1">
      <c r="A858" s="5">
        <v>1214</v>
      </c>
      <c r="B858" s="5">
        <v>75</v>
      </c>
      <c r="C858" s="5" t="s">
        <v>727</v>
      </c>
      <c r="D858" s="86"/>
      <c r="E858" s="5"/>
      <c r="F858" s="5"/>
    </row>
    <row r="859" spans="1:6" ht="20.100000000000001" customHeight="1">
      <c r="A859" s="5">
        <v>1214</v>
      </c>
      <c r="B859" s="5">
        <v>113</v>
      </c>
      <c r="C859" s="5" t="s">
        <v>418</v>
      </c>
      <c r="D859" s="86"/>
      <c r="E859" s="5"/>
      <c r="F859" s="5"/>
    </row>
    <row r="860" spans="1:6" ht="20.100000000000001" customHeight="1">
      <c r="A860" s="5">
        <v>1214</v>
      </c>
      <c r="B860" s="5">
        <v>102</v>
      </c>
      <c r="C860" s="5" t="s">
        <v>604</v>
      </c>
      <c r="D860" s="86"/>
      <c r="E860" s="5"/>
      <c r="F860" s="5"/>
    </row>
    <row r="861" spans="1:6" ht="20.100000000000001" customHeight="1">
      <c r="A861" s="5">
        <v>1214</v>
      </c>
      <c r="B861" s="5">
        <v>163</v>
      </c>
      <c r="C861" s="5" t="s">
        <v>605</v>
      </c>
      <c r="D861" s="86"/>
      <c r="E861" s="5"/>
      <c r="F861" s="5"/>
    </row>
    <row r="862" spans="1:6" ht="20.100000000000001" customHeight="1">
      <c r="A862" s="5">
        <v>1214</v>
      </c>
      <c r="B862" s="5">
        <v>162</v>
      </c>
      <c r="C862" s="5" t="s">
        <v>606</v>
      </c>
      <c r="D862" s="86"/>
      <c r="E862" s="5"/>
      <c r="F862" s="5"/>
    </row>
    <row r="863" spans="1:6" ht="20.100000000000001" customHeight="1">
      <c r="A863" s="5">
        <v>1214</v>
      </c>
      <c r="B863" s="5">
        <v>275</v>
      </c>
      <c r="C863" s="5" t="s">
        <v>607</v>
      </c>
      <c r="D863" s="86"/>
      <c r="E863" s="5"/>
      <c r="F863" s="5"/>
    </row>
    <row r="864" spans="1:6" ht="20.100000000000001" customHeight="1">
      <c r="A864" s="5">
        <v>1214</v>
      </c>
      <c r="B864" s="5">
        <v>194</v>
      </c>
      <c r="C864" s="5" t="s">
        <v>608</v>
      </c>
      <c r="D864" s="86"/>
      <c r="E864" s="5"/>
      <c r="F864" s="5"/>
    </row>
    <row r="865" spans="1:6" ht="20.100000000000001" customHeight="1">
      <c r="A865" s="5">
        <v>1214</v>
      </c>
      <c r="B865" s="5">
        <v>195</v>
      </c>
      <c r="C865" s="5" t="s">
        <v>608</v>
      </c>
      <c r="D865" s="86"/>
      <c r="E865" s="5"/>
      <c r="F865" s="5"/>
    </row>
    <row r="866" spans="1:6" ht="20.100000000000001" customHeight="1">
      <c r="A866" s="5">
        <v>1214</v>
      </c>
      <c r="B866" s="5">
        <v>192</v>
      </c>
      <c r="C866" s="5" t="s">
        <v>609</v>
      </c>
      <c r="D866" s="86"/>
      <c r="E866" s="5"/>
      <c r="F866" s="5"/>
    </row>
    <row r="867" spans="1:6" ht="20.100000000000001" customHeight="1">
      <c r="A867" s="5">
        <v>1214</v>
      </c>
      <c r="B867" s="5">
        <v>191</v>
      </c>
      <c r="C867" s="5" t="s">
        <v>610</v>
      </c>
      <c r="D867" s="86"/>
      <c r="E867" s="5"/>
      <c r="F867" s="5"/>
    </row>
    <row r="868" spans="1:6" ht="20.100000000000001" customHeight="1">
      <c r="A868" s="5">
        <v>1214</v>
      </c>
      <c r="B868" s="5">
        <v>38</v>
      </c>
      <c r="C868" s="5" t="s">
        <v>611</v>
      </c>
      <c r="D868" s="86"/>
      <c r="E868" s="5"/>
      <c r="F868" s="5"/>
    </row>
    <row r="869" spans="1:6" ht="20.100000000000001" customHeight="1">
      <c r="A869" s="5">
        <v>1214</v>
      </c>
      <c r="B869" s="5">
        <v>282</v>
      </c>
      <c r="C869" s="5" t="s">
        <v>612</v>
      </c>
      <c r="D869" s="86"/>
      <c r="E869" s="5"/>
      <c r="F869" s="5"/>
    </row>
    <row r="870" spans="1:6" ht="20.100000000000001" customHeight="1">
      <c r="A870" s="5">
        <v>1214</v>
      </c>
      <c r="B870" s="5" t="s">
        <v>728</v>
      </c>
      <c r="C870" s="5" t="s">
        <v>613</v>
      </c>
      <c r="D870" s="86"/>
      <c r="E870" s="5"/>
      <c r="F870" s="5"/>
    </row>
    <row r="871" spans="1:6" ht="20.100000000000001" customHeight="1">
      <c r="A871" s="5">
        <v>1214</v>
      </c>
      <c r="B871" s="5">
        <v>190</v>
      </c>
      <c r="C871" s="5" t="s">
        <v>615</v>
      </c>
      <c r="D871" s="86"/>
      <c r="E871" s="5"/>
      <c r="F871" s="5"/>
    </row>
    <row r="872" spans="1:6" ht="20.100000000000001" customHeight="1">
      <c r="A872" s="5">
        <v>1214</v>
      </c>
      <c r="B872" s="5">
        <v>213</v>
      </c>
      <c r="C872" s="5" t="s">
        <v>611</v>
      </c>
      <c r="D872" s="86"/>
      <c r="E872" s="5"/>
      <c r="F872" s="5"/>
    </row>
    <row r="873" spans="1:6" ht="17.25" customHeight="1">
      <c r="A873" s="80"/>
      <c r="B873" s="81"/>
      <c r="C873" s="81"/>
      <c r="D873" s="81"/>
      <c r="E873" s="81"/>
      <c r="F873" s="111"/>
    </row>
    <row r="874" spans="1:6" ht="20.100000000000001" customHeight="1">
      <c r="A874" s="112"/>
      <c r="B874" s="113"/>
      <c r="C874" s="114" t="s">
        <v>687</v>
      </c>
      <c r="D874" s="81"/>
      <c r="E874" s="113"/>
      <c r="F874" s="111"/>
    </row>
    <row r="875" spans="1:6" ht="20.100000000000001" customHeight="1">
      <c r="A875" s="112"/>
      <c r="B875" s="113"/>
      <c r="C875" s="114" t="s">
        <v>688</v>
      </c>
      <c r="D875" s="81"/>
      <c r="E875" s="113"/>
      <c r="F875" s="111"/>
    </row>
    <row r="876" spans="1:6" ht="20.100000000000001" customHeight="1">
      <c r="A876" s="80"/>
      <c r="B876" s="81"/>
      <c r="C876" s="115" t="s">
        <v>689</v>
      </c>
      <c r="D876" s="81"/>
      <c r="E876" s="81"/>
      <c r="F876" s="111"/>
    </row>
    <row r="877" spans="1:6" ht="20.100000000000001" customHeight="1">
      <c r="A877" s="116" t="s">
        <v>690</v>
      </c>
      <c r="B877" s="117"/>
      <c r="C877" s="117"/>
      <c r="D877" s="117"/>
      <c r="E877" s="117"/>
      <c r="F877" s="111"/>
    </row>
    <row r="878" spans="1:6" ht="20.100000000000001" customHeight="1">
      <c r="A878" s="118" t="s">
        <v>691</v>
      </c>
      <c r="B878" s="117"/>
      <c r="C878" s="117"/>
      <c r="D878" s="117"/>
      <c r="E878" s="117"/>
      <c r="F878" s="111"/>
    </row>
    <row r="879" spans="1:6" ht="20.100000000000001" customHeight="1">
      <c r="A879" s="118" t="s">
        <v>692</v>
      </c>
      <c r="B879" s="117"/>
      <c r="C879" s="117"/>
      <c r="D879" s="117"/>
      <c r="E879" s="117"/>
      <c r="F879" s="111"/>
    </row>
    <row r="880" spans="1:6" ht="20.100000000000001" customHeight="1">
      <c r="A880" s="119"/>
      <c r="B880" s="120"/>
      <c r="C880" s="120"/>
      <c r="D880" s="120"/>
      <c r="E880" s="120"/>
      <c r="F880" s="83"/>
    </row>
    <row r="881" spans="1:6" ht="20.100000000000001" customHeight="1">
      <c r="A881" s="5">
        <v>1214</v>
      </c>
      <c r="B881" s="5">
        <v>24</v>
      </c>
      <c r="C881" s="5" t="s">
        <v>259</v>
      </c>
      <c r="D881" s="86"/>
      <c r="E881" s="5"/>
      <c r="F881" s="5"/>
    </row>
    <row r="882" spans="1:6" ht="20.100000000000001" customHeight="1">
      <c r="A882" s="92"/>
      <c r="B882" s="92"/>
      <c r="C882" s="92"/>
      <c r="D882" s="92"/>
      <c r="E882" s="92"/>
      <c r="F882" s="92"/>
    </row>
    <row r="883" spans="1:6" s="10" customFormat="1" ht="20.100000000000001" customHeight="1"/>
    <row r="884" spans="1:6" s="10" customFormat="1" ht="20.100000000000001" customHeight="1"/>
    <row r="885" spans="1:6" s="10" customFormat="1" ht="20.100000000000001" customHeight="1"/>
    <row r="886" spans="1:6" s="10" customFormat="1" ht="20.100000000000001" customHeight="1"/>
    <row r="887" spans="1:6" s="10" customFormat="1" ht="20.100000000000001" customHeight="1"/>
    <row r="888" spans="1:6" s="10" customFormat="1" ht="20.100000000000001" customHeight="1"/>
    <row r="889" spans="1:6" s="10" customFormat="1" ht="20.100000000000001" customHeight="1"/>
    <row r="890" spans="1:6" s="10" customFormat="1" ht="20.100000000000001" customHeight="1"/>
    <row r="891" spans="1:6" s="10" customFormat="1" ht="20.100000000000001" customHeight="1"/>
    <row r="892" spans="1:6" s="10" customFormat="1" ht="20.100000000000001" customHeight="1"/>
    <row r="893" spans="1:6" s="10" customFormat="1" ht="20.100000000000001" customHeight="1"/>
    <row r="894" spans="1:6" s="10" customFormat="1" ht="20.100000000000001" customHeight="1"/>
    <row r="895" spans="1:6" s="10" customFormat="1" ht="20.100000000000001" customHeight="1"/>
    <row r="896" spans="1:6" s="10" customFormat="1" ht="20.100000000000001" customHeight="1"/>
    <row r="897" spans="1:6" s="10" customFormat="1" ht="20.100000000000001" customHeight="1"/>
    <row r="898" spans="1:6" s="10" customFormat="1" ht="20.100000000000001" customHeight="1"/>
    <row r="899" spans="1:6" s="10" customFormat="1" ht="20.100000000000001" customHeight="1"/>
    <row r="900" spans="1:6" s="10" customFormat="1" ht="20.100000000000001" customHeight="1"/>
    <row r="901" spans="1:6" s="10" customFormat="1" ht="20.100000000000001" customHeight="1"/>
    <row r="902" spans="1:6" ht="17.25" customHeight="1">
      <c r="A902" s="80"/>
      <c r="B902" s="81"/>
      <c r="C902" s="81"/>
      <c r="D902" s="81"/>
      <c r="E902" s="81"/>
      <c r="F902" s="111"/>
    </row>
    <row r="903" spans="1:6" ht="20.100000000000001" customHeight="1">
      <c r="A903" s="112"/>
      <c r="B903" s="113"/>
      <c r="C903" s="114" t="s">
        <v>687</v>
      </c>
      <c r="D903" s="81"/>
      <c r="E903" s="113"/>
      <c r="F903" s="111"/>
    </row>
    <row r="904" spans="1:6" ht="20.100000000000001" customHeight="1">
      <c r="A904" s="112"/>
      <c r="B904" s="113"/>
      <c r="C904" s="114" t="s">
        <v>688</v>
      </c>
      <c r="D904" s="81"/>
      <c r="E904" s="113"/>
      <c r="F904" s="111"/>
    </row>
    <row r="905" spans="1:6" ht="20.100000000000001" customHeight="1">
      <c r="A905" s="80"/>
      <c r="B905" s="81"/>
      <c r="C905" s="115" t="s">
        <v>689</v>
      </c>
      <c r="D905" s="81"/>
      <c r="E905" s="81"/>
      <c r="F905" s="111"/>
    </row>
    <row r="906" spans="1:6" ht="20.100000000000001" customHeight="1">
      <c r="A906" s="116" t="s">
        <v>690</v>
      </c>
      <c r="B906" s="117"/>
      <c r="C906" s="117"/>
      <c r="D906" s="117"/>
      <c r="E906" s="117"/>
      <c r="F906" s="111"/>
    </row>
    <row r="907" spans="1:6" ht="20.100000000000001" customHeight="1">
      <c r="A907" s="118" t="s">
        <v>691</v>
      </c>
      <c r="B907" s="117"/>
      <c r="C907" s="117"/>
      <c r="D907" s="117"/>
      <c r="E907" s="117"/>
      <c r="F907" s="111"/>
    </row>
    <row r="908" spans="1:6" ht="20.100000000000001" customHeight="1">
      <c r="A908" s="118" t="s">
        <v>692</v>
      </c>
      <c r="B908" s="117"/>
      <c r="C908" s="117"/>
      <c r="D908" s="117"/>
      <c r="E908" s="117"/>
      <c r="F908" s="111"/>
    </row>
    <row r="909" spans="1:6" ht="20.100000000000001" customHeight="1">
      <c r="A909" s="119"/>
      <c r="B909" s="120"/>
      <c r="C909" s="120"/>
      <c r="D909" s="120"/>
      <c r="E909" s="120"/>
      <c r="F909" s="83"/>
    </row>
    <row r="910" spans="1:6" ht="20.100000000000001" customHeight="1">
      <c r="A910" s="52">
        <v>1214</v>
      </c>
      <c r="B910" s="52">
        <v>10</v>
      </c>
      <c r="C910" s="52" t="s">
        <v>617</v>
      </c>
      <c r="D910" s="93"/>
      <c r="E910" s="52"/>
      <c r="F910" s="52"/>
    </row>
    <row r="911" spans="1:6" ht="20.100000000000001" customHeight="1">
      <c r="A911" s="5">
        <v>1214</v>
      </c>
      <c r="B911" s="5">
        <v>177</v>
      </c>
      <c r="C911" s="5" t="s">
        <v>618</v>
      </c>
      <c r="D911" s="27"/>
      <c r="E911" s="5"/>
      <c r="F911" s="5"/>
    </row>
    <row r="912" spans="1:6" ht="20.100000000000001" customHeight="1">
      <c r="A912" s="5">
        <v>1214</v>
      </c>
      <c r="B912" s="5">
        <v>271</v>
      </c>
      <c r="C912" s="5" t="s">
        <v>619</v>
      </c>
      <c r="D912" s="27"/>
      <c r="E912" s="5"/>
      <c r="F912" s="5"/>
    </row>
    <row r="913" spans="1:6" ht="20.100000000000001" customHeight="1">
      <c r="A913" s="5">
        <v>1214</v>
      </c>
      <c r="B913" s="5">
        <v>11</v>
      </c>
      <c r="C913" s="5" t="s">
        <v>729</v>
      </c>
      <c r="D913" s="27"/>
      <c r="E913" s="5"/>
      <c r="F913" s="5"/>
    </row>
    <row r="914" spans="1:6" ht="20.100000000000001" customHeight="1">
      <c r="A914" s="5">
        <v>1214</v>
      </c>
      <c r="B914" s="5">
        <v>257</v>
      </c>
      <c r="C914" s="5" t="s">
        <v>621</v>
      </c>
      <c r="D914" s="27"/>
      <c r="E914" s="5"/>
      <c r="F914" s="5"/>
    </row>
    <row r="915" spans="1:6" ht="20.100000000000001" customHeight="1">
      <c r="A915" s="5">
        <v>1214</v>
      </c>
      <c r="B915" s="5">
        <v>12</v>
      </c>
      <c r="C915" s="5" t="s">
        <v>730</v>
      </c>
      <c r="D915" s="27"/>
      <c r="E915" s="5"/>
      <c r="F915" s="5"/>
    </row>
    <row r="916" spans="1:6" ht="20.100000000000001" customHeight="1">
      <c r="A916" s="5">
        <v>1214</v>
      </c>
      <c r="B916" s="5">
        <v>181</v>
      </c>
      <c r="C916" s="5" t="s">
        <v>730</v>
      </c>
      <c r="D916" s="27"/>
      <c r="E916" s="5"/>
      <c r="F916" s="5"/>
    </row>
    <row r="917" spans="1:6" ht="20.100000000000001" customHeight="1">
      <c r="A917" s="5">
        <v>1214</v>
      </c>
      <c r="B917" s="5">
        <v>13</v>
      </c>
      <c r="C917" s="5" t="s">
        <v>623</v>
      </c>
      <c r="D917" s="27"/>
      <c r="E917" s="5"/>
      <c r="F917" s="5"/>
    </row>
    <row r="918" spans="1:6" ht="20.100000000000001" customHeight="1">
      <c r="A918" s="5">
        <v>1214</v>
      </c>
      <c r="B918" s="5">
        <v>281</v>
      </c>
      <c r="C918" s="5" t="s">
        <v>623</v>
      </c>
      <c r="D918" s="27"/>
      <c r="E918" s="5"/>
      <c r="F918" s="5"/>
    </row>
    <row r="919" spans="1:6" ht="20.100000000000001" customHeight="1">
      <c r="A919" s="5">
        <v>1214</v>
      </c>
      <c r="B919" s="5">
        <v>14</v>
      </c>
      <c r="C919" s="5" t="s">
        <v>624</v>
      </c>
      <c r="D919" s="27"/>
      <c r="E919" s="5"/>
      <c r="F919" s="5"/>
    </row>
    <row r="920" spans="1:6" ht="20.100000000000001" customHeight="1">
      <c r="A920" s="5">
        <v>1214</v>
      </c>
      <c r="B920" s="5">
        <v>15</v>
      </c>
      <c r="C920" s="5" t="s">
        <v>625</v>
      </c>
      <c r="D920" s="27"/>
      <c r="E920" s="5"/>
      <c r="F920" s="5"/>
    </row>
    <row r="921" spans="1:6" ht="20.100000000000001" customHeight="1">
      <c r="A921" s="5">
        <v>1214</v>
      </c>
      <c r="B921" s="5">
        <v>166</v>
      </c>
      <c r="C921" s="5" t="s">
        <v>624</v>
      </c>
      <c r="D921" s="27"/>
      <c r="E921" s="5"/>
      <c r="F921" s="5"/>
    </row>
    <row r="922" spans="1:6" ht="20.100000000000001" customHeight="1">
      <c r="A922" s="5">
        <v>1214</v>
      </c>
      <c r="B922" s="5">
        <v>182</v>
      </c>
      <c r="C922" s="5" t="s">
        <v>625</v>
      </c>
      <c r="D922" s="27"/>
      <c r="E922" s="5"/>
      <c r="F922" s="5"/>
    </row>
    <row r="923" spans="1:6" ht="20.100000000000001" customHeight="1">
      <c r="A923" s="5"/>
      <c r="B923" s="5"/>
      <c r="C923" s="5"/>
      <c r="D923" s="5"/>
      <c r="E923" s="5"/>
      <c r="F923" s="5"/>
    </row>
    <row r="924" spans="1:6" ht="20.100000000000001" customHeight="1">
      <c r="A924" s="17"/>
      <c r="B924" s="10"/>
      <c r="C924" s="10"/>
      <c r="D924" s="10"/>
      <c r="E924" s="10"/>
      <c r="F924" s="121"/>
    </row>
    <row r="925" spans="1:6" ht="20.100000000000001" customHeight="1">
      <c r="A925" s="17"/>
      <c r="B925" s="10"/>
      <c r="C925" s="10"/>
      <c r="D925" s="10"/>
      <c r="E925" s="10"/>
      <c r="F925" s="121"/>
    </row>
    <row r="926" spans="1:6" ht="20.100000000000001" customHeight="1">
      <c r="A926" s="17"/>
      <c r="B926" s="10"/>
      <c r="C926" s="10"/>
      <c r="D926" s="10"/>
      <c r="E926" s="10"/>
      <c r="F926" s="121"/>
    </row>
    <row r="927" spans="1:6" ht="20.100000000000001" customHeight="1">
      <c r="A927" s="17"/>
      <c r="B927" s="10"/>
      <c r="C927" s="10"/>
      <c r="D927" s="10"/>
      <c r="E927" s="10"/>
      <c r="F927" s="121"/>
    </row>
    <row r="928" spans="1:6" ht="20.100000000000001" customHeight="1">
      <c r="A928" s="17"/>
      <c r="B928" s="10"/>
      <c r="C928" s="10"/>
      <c r="D928" s="10"/>
      <c r="E928" s="10"/>
      <c r="F928" s="121"/>
    </row>
    <row r="929" spans="1:6" ht="20.100000000000001" customHeight="1">
      <c r="A929" s="17"/>
      <c r="B929" s="10"/>
      <c r="C929" s="10"/>
      <c r="D929" s="10"/>
      <c r="E929" s="10"/>
      <c r="F929" s="121"/>
    </row>
    <row r="930" spans="1:6" ht="20.100000000000001" customHeight="1">
      <c r="A930" s="17"/>
      <c r="B930" s="10"/>
      <c r="C930" s="10"/>
      <c r="D930" s="10"/>
      <c r="E930" s="10"/>
      <c r="F930" s="121"/>
    </row>
    <row r="931" spans="1:6" ht="17.25" customHeight="1">
      <c r="A931" s="80"/>
      <c r="B931" s="81"/>
      <c r="C931" s="81"/>
      <c r="D931" s="81"/>
      <c r="E931" s="81"/>
      <c r="F931" s="111"/>
    </row>
    <row r="932" spans="1:6" ht="20.100000000000001" customHeight="1">
      <c r="A932" s="112"/>
      <c r="B932" s="113"/>
      <c r="C932" s="114" t="s">
        <v>687</v>
      </c>
      <c r="D932" s="81"/>
      <c r="E932" s="113"/>
      <c r="F932" s="111"/>
    </row>
    <row r="933" spans="1:6" ht="20.100000000000001" customHeight="1">
      <c r="A933" s="112"/>
      <c r="B933" s="113"/>
      <c r="C933" s="114" t="s">
        <v>688</v>
      </c>
      <c r="D933" s="81"/>
      <c r="E933" s="113"/>
      <c r="F933" s="111"/>
    </row>
    <row r="934" spans="1:6" ht="20.100000000000001" customHeight="1">
      <c r="A934" s="80"/>
      <c r="B934" s="81"/>
      <c r="C934" s="115" t="s">
        <v>689</v>
      </c>
      <c r="D934" s="81"/>
      <c r="E934" s="81"/>
      <c r="F934" s="111"/>
    </row>
    <row r="935" spans="1:6" ht="20.100000000000001" customHeight="1">
      <c r="A935" s="116" t="s">
        <v>690</v>
      </c>
      <c r="B935" s="117"/>
      <c r="C935" s="117"/>
      <c r="D935" s="117"/>
      <c r="E935" s="117"/>
      <c r="F935" s="111"/>
    </row>
    <row r="936" spans="1:6" ht="20.100000000000001" customHeight="1">
      <c r="A936" s="118" t="s">
        <v>691</v>
      </c>
      <c r="B936" s="117"/>
      <c r="C936" s="117"/>
      <c r="D936" s="117"/>
      <c r="E936" s="117"/>
      <c r="F936" s="111"/>
    </row>
    <row r="937" spans="1:6" ht="20.100000000000001" customHeight="1">
      <c r="A937" s="118" t="s">
        <v>692</v>
      </c>
      <c r="B937" s="117"/>
      <c r="C937" s="117"/>
      <c r="D937" s="117"/>
      <c r="E937" s="117"/>
      <c r="F937" s="111"/>
    </row>
    <row r="938" spans="1:6" ht="20.100000000000001" customHeight="1">
      <c r="A938" s="119"/>
      <c r="B938" s="120"/>
      <c r="C938" s="120"/>
      <c r="D938" s="120"/>
      <c r="E938" s="120"/>
      <c r="F938" s="83"/>
    </row>
    <row r="939" spans="1:6" ht="20.100000000000001" customHeight="1">
      <c r="A939" s="5">
        <v>1214</v>
      </c>
      <c r="B939" s="5">
        <v>103</v>
      </c>
      <c r="C939" s="5" t="s">
        <v>627</v>
      </c>
      <c r="D939" s="27"/>
      <c r="E939" s="5"/>
      <c r="F939" s="5"/>
    </row>
    <row r="940" spans="1:6" ht="20.100000000000001" customHeight="1">
      <c r="A940" s="5">
        <v>1214</v>
      </c>
      <c r="B940" s="5">
        <v>93</v>
      </c>
      <c r="C940" s="5" t="s">
        <v>628</v>
      </c>
      <c r="D940" s="27"/>
      <c r="E940" s="5"/>
      <c r="F940" s="5"/>
    </row>
    <row r="941" spans="1:6" ht="20.100000000000001" customHeight="1">
      <c r="A941" s="5">
        <v>1214</v>
      </c>
      <c r="B941" s="5">
        <v>119</v>
      </c>
      <c r="C941" s="5" t="s">
        <v>629</v>
      </c>
      <c r="D941" s="27"/>
      <c r="E941" s="5"/>
      <c r="F941" s="5"/>
    </row>
    <row r="942" spans="1:6" ht="20.100000000000001" customHeight="1">
      <c r="A942" s="5">
        <v>1214</v>
      </c>
      <c r="B942" s="5">
        <v>101</v>
      </c>
      <c r="C942" s="5" t="s">
        <v>630</v>
      </c>
      <c r="D942" s="27"/>
      <c r="E942" s="5"/>
      <c r="F942" s="5"/>
    </row>
    <row r="943" spans="1:6" ht="20.100000000000001" customHeight="1">
      <c r="A943" s="5">
        <v>1214</v>
      </c>
      <c r="B943" s="5">
        <v>112</v>
      </c>
      <c r="C943" s="5" t="s">
        <v>631</v>
      </c>
      <c r="D943" s="27"/>
      <c r="E943" s="5"/>
      <c r="F943" s="5"/>
    </row>
    <row r="944" spans="1:6" ht="20.100000000000001" customHeight="1">
      <c r="A944" s="5">
        <v>1214</v>
      </c>
      <c r="B944" s="5">
        <v>167</v>
      </c>
      <c r="C944" s="5" t="s">
        <v>607</v>
      </c>
      <c r="D944" s="27"/>
      <c r="E944" s="5"/>
      <c r="F944" s="5"/>
    </row>
    <row r="945" spans="1:6" ht="20.100000000000001" customHeight="1">
      <c r="A945" s="5">
        <v>1214</v>
      </c>
      <c r="B945" s="5">
        <v>169</v>
      </c>
      <c r="C945" s="5" t="s">
        <v>630</v>
      </c>
      <c r="D945" s="27"/>
      <c r="E945" s="5"/>
      <c r="F945" s="5"/>
    </row>
    <row r="946" spans="1:6" ht="20.100000000000001" customHeight="1">
      <c r="A946" s="5">
        <v>1214</v>
      </c>
      <c r="B946" s="5">
        <v>262</v>
      </c>
      <c r="C946" s="5" t="s">
        <v>632</v>
      </c>
      <c r="D946" s="27"/>
      <c r="E946" s="5"/>
      <c r="F946" s="5"/>
    </row>
    <row r="947" spans="1:6" ht="20.100000000000001" customHeight="1">
      <c r="A947" s="5">
        <v>1214</v>
      </c>
      <c r="B947" s="5">
        <v>95</v>
      </c>
      <c r="C947" s="5" t="s">
        <v>598</v>
      </c>
      <c r="D947" s="27"/>
      <c r="E947" s="5"/>
      <c r="F947" s="5"/>
    </row>
    <row r="948" spans="1:6" ht="20.100000000000001" customHeight="1">
      <c r="A948" s="5">
        <v>1214</v>
      </c>
      <c r="B948" s="5">
        <v>104</v>
      </c>
      <c r="C948" s="5" t="s">
        <v>632</v>
      </c>
      <c r="D948" s="27"/>
      <c r="E948" s="5"/>
      <c r="F948" s="5"/>
    </row>
    <row r="949" spans="1:6" ht="20.100000000000001" customHeight="1">
      <c r="A949" s="5">
        <v>1214</v>
      </c>
      <c r="B949" s="5">
        <v>280</v>
      </c>
      <c r="C949" s="5" t="s">
        <v>633</v>
      </c>
      <c r="D949" s="86"/>
      <c r="E949" s="5"/>
      <c r="F949" s="5"/>
    </row>
    <row r="950" spans="1:6" ht="20.100000000000001" customHeight="1">
      <c r="A950" s="5">
        <v>1214</v>
      </c>
      <c r="B950" s="5">
        <v>127</v>
      </c>
      <c r="C950" s="5" t="s">
        <v>634</v>
      </c>
      <c r="D950" s="27"/>
      <c r="E950" s="5"/>
      <c r="F950" s="5"/>
    </row>
    <row r="951" spans="1:6" ht="20.100000000000001" customHeight="1">
      <c r="A951" s="5">
        <v>1214</v>
      </c>
      <c r="B951" s="5">
        <v>128</v>
      </c>
      <c r="C951" s="5" t="s">
        <v>627</v>
      </c>
      <c r="D951" s="27"/>
      <c r="E951" s="5"/>
      <c r="F951" s="5"/>
    </row>
    <row r="952" spans="1:6" ht="20.100000000000001" customHeight="1">
      <c r="A952" s="5">
        <v>1214</v>
      </c>
      <c r="B952" s="5">
        <v>100</v>
      </c>
      <c r="C952" s="5" t="s">
        <v>624</v>
      </c>
      <c r="D952" s="27"/>
      <c r="E952" s="5"/>
      <c r="F952" s="5"/>
    </row>
    <row r="953" spans="1:6" ht="20.100000000000001" customHeight="1">
      <c r="A953" s="5">
        <v>1214</v>
      </c>
      <c r="B953" s="5">
        <v>170</v>
      </c>
      <c r="C953" s="5" t="s">
        <v>625</v>
      </c>
      <c r="D953" s="27"/>
      <c r="E953" s="5"/>
      <c r="F953" s="5"/>
    </row>
    <row r="954" spans="1:6" ht="20.100000000000001" customHeight="1">
      <c r="A954" s="5">
        <v>1214</v>
      </c>
      <c r="B954" s="5">
        <v>211</v>
      </c>
      <c r="C954" s="5" t="s">
        <v>635</v>
      </c>
      <c r="D954" s="27"/>
      <c r="E954" s="5"/>
      <c r="F954" s="5"/>
    </row>
    <row r="955" spans="1:6" ht="20.100000000000001" customHeight="1">
      <c r="A955" s="5">
        <v>1214</v>
      </c>
      <c r="B955" s="5">
        <v>9</v>
      </c>
      <c r="C955" s="5" t="s">
        <v>636</v>
      </c>
      <c r="D955" s="27"/>
      <c r="E955" s="5"/>
      <c r="F955" s="5"/>
    </row>
    <row r="956" spans="1:6" ht="20.100000000000001" customHeight="1">
      <c r="A956" s="5">
        <v>1214</v>
      </c>
      <c r="B956" s="5">
        <v>20</v>
      </c>
      <c r="C956" s="5" t="s">
        <v>636</v>
      </c>
      <c r="D956" s="27"/>
      <c r="E956" s="5"/>
      <c r="F956" s="5"/>
    </row>
    <row r="957" spans="1:6" ht="20.100000000000001" customHeight="1">
      <c r="A957" s="5">
        <v>1214</v>
      </c>
      <c r="B957" s="5">
        <v>21</v>
      </c>
      <c r="C957" s="5" t="s">
        <v>278</v>
      </c>
      <c r="D957" s="27"/>
      <c r="E957" s="5"/>
      <c r="F957" s="5"/>
    </row>
    <row r="958" spans="1:6" ht="20.100000000000001" customHeight="1">
      <c r="A958" s="5"/>
      <c r="B958" s="5"/>
      <c r="C958" s="5"/>
      <c r="D958" s="5"/>
      <c r="E958" s="5"/>
      <c r="F958" s="5"/>
    </row>
    <row r="959" spans="1:6" ht="17.25" customHeight="1">
      <c r="A959" s="80"/>
      <c r="B959" s="81"/>
      <c r="C959" s="81"/>
      <c r="D959" s="81"/>
      <c r="E959" s="81"/>
      <c r="F959" s="111"/>
    </row>
    <row r="960" spans="1:6" ht="20.100000000000001" customHeight="1">
      <c r="A960" s="112"/>
      <c r="B960" s="113"/>
      <c r="C960" s="114" t="s">
        <v>687</v>
      </c>
      <c r="D960" s="81"/>
      <c r="E960" s="113"/>
      <c r="F960" s="111"/>
    </row>
    <row r="961" spans="1:6" ht="20.100000000000001" customHeight="1">
      <c r="A961" s="112"/>
      <c r="B961" s="113"/>
      <c r="C961" s="114" t="s">
        <v>688</v>
      </c>
      <c r="D961" s="81"/>
      <c r="E961" s="113"/>
      <c r="F961" s="111"/>
    </row>
    <row r="962" spans="1:6" ht="20.100000000000001" customHeight="1">
      <c r="A962" s="80"/>
      <c r="B962" s="81"/>
      <c r="C962" s="115" t="s">
        <v>689</v>
      </c>
      <c r="D962" s="81"/>
      <c r="E962" s="81"/>
      <c r="F962" s="111"/>
    </row>
    <row r="963" spans="1:6" ht="20.100000000000001" customHeight="1">
      <c r="A963" s="116" t="s">
        <v>690</v>
      </c>
      <c r="B963" s="117"/>
      <c r="C963" s="117"/>
      <c r="D963" s="117"/>
      <c r="E963" s="117"/>
      <c r="F963" s="111"/>
    </row>
    <row r="964" spans="1:6" ht="20.100000000000001" customHeight="1">
      <c r="A964" s="118" t="s">
        <v>691</v>
      </c>
      <c r="B964" s="117"/>
      <c r="C964" s="117"/>
      <c r="D964" s="117"/>
      <c r="E964" s="117"/>
      <c r="F964" s="111"/>
    </row>
    <row r="965" spans="1:6" ht="20.100000000000001" customHeight="1">
      <c r="A965" s="118" t="s">
        <v>692</v>
      </c>
      <c r="B965" s="117"/>
      <c r="C965" s="117"/>
      <c r="D965" s="117"/>
      <c r="E965" s="117"/>
      <c r="F965" s="111"/>
    </row>
    <row r="966" spans="1:6" ht="20.100000000000001" customHeight="1">
      <c r="A966" s="119"/>
      <c r="B966" s="120"/>
      <c r="C966" s="120"/>
      <c r="D966" s="120"/>
      <c r="E966" s="120"/>
      <c r="F966" s="83"/>
    </row>
    <row r="967" spans="1:6" ht="20.100000000000001" customHeight="1">
      <c r="A967" s="5">
        <v>1214</v>
      </c>
      <c r="B967" s="5">
        <v>26</v>
      </c>
      <c r="C967" s="5" t="s">
        <v>731</v>
      </c>
      <c r="D967" s="27"/>
      <c r="E967" s="5"/>
      <c r="F967" s="5"/>
    </row>
    <row r="968" spans="1:6" ht="20.100000000000001" customHeight="1">
      <c r="A968" s="5">
        <v>1214</v>
      </c>
      <c r="B968" s="5">
        <v>31</v>
      </c>
      <c r="C968" s="5" t="s">
        <v>639</v>
      </c>
      <c r="D968" s="27"/>
      <c r="E968" s="5"/>
      <c r="F968" s="5"/>
    </row>
    <row r="969" spans="1:6" ht="20.100000000000001" customHeight="1">
      <c r="A969" s="5">
        <v>1214</v>
      </c>
      <c r="B969" s="5">
        <v>42</v>
      </c>
      <c r="C969" s="5" t="s">
        <v>640</v>
      </c>
      <c r="D969" s="27"/>
      <c r="E969" s="5"/>
      <c r="F969" s="5"/>
    </row>
    <row r="970" spans="1:6" ht="20.100000000000001" customHeight="1">
      <c r="A970" s="5">
        <v>1214</v>
      </c>
      <c r="B970" s="5">
        <v>117</v>
      </c>
      <c r="C970" s="5" t="s">
        <v>631</v>
      </c>
      <c r="D970" s="27"/>
      <c r="E970" s="5"/>
      <c r="F970" s="5"/>
    </row>
    <row r="971" spans="1:6" ht="20.100000000000001" customHeight="1">
      <c r="A971" s="5">
        <v>1214</v>
      </c>
      <c r="B971" s="5">
        <v>175</v>
      </c>
      <c r="C971" s="5" t="s">
        <v>641</v>
      </c>
      <c r="D971" s="27"/>
      <c r="E971" s="5"/>
      <c r="F971" s="5"/>
    </row>
    <row r="972" spans="1:6" ht="20.100000000000001" customHeight="1">
      <c r="A972" s="5">
        <v>1214</v>
      </c>
      <c r="B972" s="5">
        <v>202</v>
      </c>
      <c r="C972" s="5" t="s">
        <v>367</v>
      </c>
      <c r="D972" s="27"/>
      <c r="E972" s="5"/>
      <c r="F972" s="5"/>
    </row>
    <row r="973" spans="1:6" ht="20.100000000000001" customHeight="1">
      <c r="A973" s="5">
        <v>1214</v>
      </c>
      <c r="B973" s="5">
        <v>158</v>
      </c>
      <c r="C973" s="5" t="s">
        <v>642</v>
      </c>
      <c r="D973" s="27"/>
      <c r="E973" s="5"/>
      <c r="F973" s="5"/>
    </row>
    <row r="974" spans="1:6" ht="20.100000000000001" customHeight="1">
      <c r="A974" s="5">
        <v>1214</v>
      </c>
      <c r="B974" s="5">
        <v>176</v>
      </c>
      <c r="C974" s="5" t="s">
        <v>643</v>
      </c>
      <c r="D974" s="27"/>
      <c r="E974" s="5"/>
      <c r="F974" s="5"/>
    </row>
    <row r="975" spans="1:6" ht="20.100000000000001" customHeight="1">
      <c r="A975" s="5">
        <v>1214</v>
      </c>
      <c r="B975" s="5">
        <v>180</v>
      </c>
      <c r="C975" s="5" t="s">
        <v>644</v>
      </c>
      <c r="D975" s="27"/>
      <c r="E975" s="5"/>
      <c r="F975" s="5"/>
    </row>
    <row r="976" spans="1:6" ht="20.100000000000001" customHeight="1">
      <c r="A976" s="5">
        <v>1214</v>
      </c>
      <c r="B976" s="5">
        <v>233</v>
      </c>
      <c r="C976" s="5" t="s">
        <v>645</v>
      </c>
      <c r="D976" s="27"/>
      <c r="E976" s="5"/>
      <c r="F976" s="5"/>
    </row>
    <row r="977" spans="1:6" ht="20.100000000000001" customHeight="1">
      <c r="A977" s="5">
        <v>1214</v>
      </c>
      <c r="B977" s="5">
        <v>234</v>
      </c>
      <c r="C977" s="5" t="s">
        <v>644</v>
      </c>
      <c r="D977" s="27"/>
      <c r="E977" s="5"/>
      <c r="F977" s="5"/>
    </row>
    <row r="978" spans="1:6" ht="20.100000000000001" customHeight="1">
      <c r="A978" s="5">
        <v>1214</v>
      </c>
      <c r="B978" s="5">
        <v>235</v>
      </c>
      <c r="C978" s="5" t="s">
        <v>644</v>
      </c>
      <c r="D978" s="27"/>
      <c r="E978" s="5"/>
      <c r="F978" s="5"/>
    </row>
    <row r="979" spans="1:6" ht="20.100000000000001" customHeight="1">
      <c r="A979" s="5">
        <v>1214</v>
      </c>
      <c r="B979" s="5">
        <v>269</v>
      </c>
      <c r="C979" s="5" t="s">
        <v>646</v>
      </c>
      <c r="D979" s="27"/>
      <c r="E979" s="5"/>
      <c r="F979" s="5"/>
    </row>
    <row r="980" spans="1:6" ht="20.100000000000001" customHeight="1">
      <c r="A980" s="5">
        <v>1214</v>
      </c>
      <c r="B980" s="5">
        <v>270</v>
      </c>
      <c r="C980" s="5" t="s">
        <v>646</v>
      </c>
      <c r="D980" s="27"/>
      <c r="E980" s="5"/>
      <c r="F980" s="5"/>
    </row>
    <row r="981" spans="1:6" ht="20.100000000000001" customHeight="1">
      <c r="A981" s="5">
        <v>1214</v>
      </c>
      <c r="B981" s="5">
        <v>51</v>
      </c>
      <c r="C981" s="5" t="s">
        <v>647</v>
      </c>
      <c r="D981" s="27"/>
      <c r="E981" s="5"/>
      <c r="F981" s="5"/>
    </row>
    <row r="982" spans="1:6" ht="20.100000000000001" customHeight="1">
      <c r="A982" s="5">
        <v>1214</v>
      </c>
      <c r="B982" s="5">
        <v>86</v>
      </c>
      <c r="C982" s="5" t="s">
        <v>732</v>
      </c>
      <c r="D982" s="27"/>
      <c r="E982" s="5"/>
      <c r="F982" s="5"/>
    </row>
    <row r="983" spans="1:6" ht="20.100000000000001" customHeight="1">
      <c r="A983" s="5">
        <v>1214</v>
      </c>
      <c r="B983" s="5">
        <v>268</v>
      </c>
      <c r="C983" s="5" t="s">
        <v>649</v>
      </c>
      <c r="D983" s="21"/>
      <c r="E983" s="5"/>
      <c r="F983" s="5"/>
    </row>
    <row r="984" spans="1:6" ht="20.100000000000001" customHeight="1">
      <c r="A984" s="5">
        <v>1214</v>
      </c>
      <c r="B984" s="5">
        <v>59</v>
      </c>
      <c r="C984" s="5" t="s">
        <v>650</v>
      </c>
      <c r="D984" s="27"/>
      <c r="E984" s="5"/>
      <c r="F984" s="5"/>
    </row>
    <row r="985" spans="1:6" ht="20.100000000000001" customHeight="1">
      <c r="A985" s="17"/>
      <c r="B985" s="10"/>
      <c r="C985" s="10"/>
      <c r="D985" s="73"/>
      <c r="E985" s="10"/>
      <c r="F985" s="121"/>
    </row>
    <row r="986" spans="1:6" ht="20.100000000000001" customHeight="1">
      <c r="A986" s="17"/>
      <c r="B986" s="10"/>
      <c r="C986" s="10"/>
      <c r="D986" s="73"/>
      <c r="E986" s="10"/>
      <c r="F986" s="121"/>
    </row>
    <row r="987" spans="1:6" ht="20.100000000000001" customHeight="1">
      <c r="A987" s="17"/>
      <c r="B987" s="10"/>
      <c r="C987" s="10"/>
      <c r="D987" s="73"/>
      <c r="E987" s="10"/>
      <c r="F987" s="121"/>
    </row>
    <row r="988" spans="1:6" ht="20.100000000000001" customHeight="1">
      <c r="A988" s="17"/>
      <c r="B988" s="10"/>
      <c r="C988" s="10"/>
      <c r="D988" s="73"/>
      <c r="E988" s="10"/>
      <c r="F988" s="121"/>
    </row>
    <row r="989" spans="1:6" ht="20.100000000000001" customHeight="1">
      <c r="A989" s="112"/>
      <c r="B989" s="113"/>
      <c r="C989" s="114" t="s">
        <v>687</v>
      </c>
      <c r="D989" s="81"/>
      <c r="E989" s="113"/>
      <c r="F989" s="111"/>
    </row>
    <row r="990" spans="1:6" ht="20.100000000000001" customHeight="1">
      <c r="A990" s="112"/>
      <c r="B990" s="113"/>
      <c r="C990" s="114" t="s">
        <v>688</v>
      </c>
      <c r="D990" s="81"/>
      <c r="E990" s="113"/>
      <c r="F990" s="111"/>
    </row>
    <row r="991" spans="1:6" ht="20.100000000000001" customHeight="1">
      <c r="A991" s="80"/>
      <c r="B991" s="81"/>
      <c r="C991" s="115" t="s">
        <v>689</v>
      </c>
      <c r="D991" s="81"/>
      <c r="E991" s="81"/>
      <c r="F991" s="111"/>
    </row>
    <row r="992" spans="1:6" ht="20.100000000000001" customHeight="1">
      <c r="A992" s="116" t="s">
        <v>690</v>
      </c>
      <c r="B992" s="117"/>
      <c r="C992" s="117"/>
      <c r="D992" s="117"/>
      <c r="E992" s="117"/>
      <c r="F992" s="111"/>
    </row>
    <row r="993" spans="1:6" ht="20.100000000000001" customHeight="1">
      <c r="A993" s="118" t="s">
        <v>691</v>
      </c>
      <c r="B993" s="117"/>
      <c r="C993" s="117"/>
      <c r="D993" s="117"/>
      <c r="E993" s="117"/>
      <c r="F993" s="111"/>
    </row>
    <row r="994" spans="1:6" ht="20.100000000000001" customHeight="1">
      <c r="A994" s="118" t="s">
        <v>692</v>
      </c>
      <c r="B994" s="117"/>
      <c r="C994" s="117"/>
      <c r="D994" s="117"/>
      <c r="E994" s="117"/>
      <c r="F994" s="111"/>
    </row>
    <row r="995" spans="1:6" ht="20.100000000000001" customHeight="1">
      <c r="A995" s="119"/>
      <c r="B995" s="120"/>
      <c r="C995" s="120"/>
      <c r="D995" s="120"/>
      <c r="E995" s="120"/>
      <c r="F995" s="83"/>
    </row>
    <row r="996" spans="1:6" ht="20.100000000000001" customHeight="1">
      <c r="A996" s="5">
        <v>1214</v>
      </c>
      <c r="B996" s="5">
        <v>193</v>
      </c>
      <c r="C996" s="5" t="s">
        <v>608</v>
      </c>
      <c r="D996" s="86"/>
      <c r="E996" s="5"/>
      <c r="F996" s="5"/>
    </row>
    <row r="997" spans="1:6" ht="20.100000000000001" customHeight="1">
      <c r="A997" s="5">
        <v>1214</v>
      </c>
      <c r="B997" s="5">
        <v>197</v>
      </c>
      <c r="C997" s="5" t="s">
        <v>652</v>
      </c>
      <c r="D997" s="27"/>
      <c r="E997" s="5"/>
      <c r="F997" s="5"/>
    </row>
    <row r="998" spans="1:6" ht="20.100000000000001" customHeight="1">
      <c r="A998" s="5">
        <v>1214</v>
      </c>
      <c r="B998" s="5">
        <v>196</v>
      </c>
      <c r="C998" s="5" t="s">
        <v>653</v>
      </c>
      <c r="D998" s="27"/>
      <c r="E998" s="5"/>
      <c r="F998" s="5"/>
    </row>
    <row r="999" spans="1:6" ht="20.100000000000001" customHeight="1">
      <c r="A999" s="5">
        <v>1214</v>
      </c>
      <c r="B999" s="5">
        <v>278</v>
      </c>
      <c r="C999" s="5" t="s">
        <v>654</v>
      </c>
      <c r="D999" s="27"/>
      <c r="E999" s="5"/>
      <c r="F999" s="5"/>
    </row>
    <row r="1000" spans="1:6" ht="20.100000000000001" customHeight="1">
      <c r="A1000" s="5">
        <v>1214</v>
      </c>
      <c r="B1000" s="5">
        <v>175</v>
      </c>
      <c r="C1000" s="5" t="s">
        <v>641</v>
      </c>
      <c r="D1000" s="27"/>
      <c r="E1000" s="5"/>
      <c r="F1000" s="5"/>
    </row>
    <row r="1001" spans="1:6" ht="20.100000000000001" customHeight="1">
      <c r="A1001" s="5">
        <v>1214</v>
      </c>
      <c r="B1001" s="5">
        <v>220</v>
      </c>
      <c r="C1001" s="5" t="s">
        <v>733</v>
      </c>
      <c r="D1001" s="27"/>
      <c r="E1001" s="5"/>
      <c r="F1001" s="5"/>
    </row>
    <row r="1002" spans="1:6" ht="20.100000000000001" customHeight="1">
      <c r="A1002" s="5">
        <v>1214</v>
      </c>
      <c r="B1002" s="5">
        <v>221</v>
      </c>
      <c r="C1002" s="5" t="s">
        <v>656</v>
      </c>
      <c r="D1002" s="27"/>
      <c r="E1002" s="5"/>
      <c r="F1002" s="5"/>
    </row>
    <row r="1003" spans="1:6" ht="20.100000000000001" customHeight="1">
      <c r="A1003" s="5">
        <v>1214</v>
      </c>
      <c r="B1003" s="5">
        <v>222</v>
      </c>
      <c r="C1003" s="5" t="s">
        <v>656</v>
      </c>
      <c r="D1003" s="27"/>
      <c r="E1003" s="5"/>
      <c r="F1003" s="5"/>
    </row>
    <row r="1004" spans="1:6" ht="20.100000000000001" customHeight="1">
      <c r="A1004" s="5">
        <v>1214</v>
      </c>
      <c r="B1004" s="5">
        <v>223</v>
      </c>
      <c r="C1004" s="5" t="s">
        <v>657</v>
      </c>
      <c r="D1004" s="27"/>
      <c r="E1004" s="5"/>
      <c r="F1004" s="5"/>
    </row>
    <row r="1005" spans="1:6" ht="20.100000000000001" customHeight="1">
      <c r="A1005" s="5">
        <v>1214</v>
      </c>
      <c r="B1005" s="5">
        <v>153</v>
      </c>
      <c r="C1005" s="5" t="s">
        <v>658</v>
      </c>
      <c r="D1005" s="27"/>
      <c r="E1005" s="5"/>
      <c r="F1005" s="5"/>
    </row>
    <row r="1006" spans="1:6" ht="20.100000000000001" customHeight="1">
      <c r="A1006" s="5">
        <v>1214</v>
      </c>
      <c r="B1006" s="5">
        <v>156</v>
      </c>
      <c r="C1006" s="5" t="s">
        <v>659</v>
      </c>
      <c r="D1006" s="27"/>
      <c r="E1006" s="5"/>
      <c r="F1006" s="5"/>
    </row>
    <row r="1007" spans="1:6" ht="20.100000000000001" customHeight="1">
      <c r="A1007" s="5">
        <v>1214</v>
      </c>
      <c r="B1007" s="5">
        <v>226</v>
      </c>
      <c r="C1007" s="5" t="s">
        <v>580</v>
      </c>
      <c r="D1007" s="86" t="str">
        <f>C1007</f>
        <v>TEJERO MOLINA, ELISEO</v>
      </c>
      <c r="E1007" s="5"/>
      <c r="F1007" s="5"/>
    </row>
    <row r="1008" spans="1:6" ht="20.100000000000001" customHeight="1">
      <c r="A1008" s="5">
        <v>1214</v>
      </c>
      <c r="B1008" s="5">
        <v>277</v>
      </c>
      <c r="C1008" s="5" t="s">
        <v>581</v>
      </c>
      <c r="D1008" s="27" t="str">
        <f>C1008</f>
        <v>LOPEZ, SERAFIN</v>
      </c>
      <c r="E1008" s="5"/>
      <c r="F1008" s="5"/>
    </row>
    <row r="1009" spans="1:6" ht="20.100000000000001" customHeight="1">
      <c r="A1009" s="5">
        <v>1214</v>
      </c>
      <c r="B1009" s="5">
        <v>25</v>
      </c>
      <c r="C1009" s="5" t="s">
        <v>582</v>
      </c>
      <c r="D1009" s="27" t="str">
        <f>C1009</f>
        <v>FAMA, JOSE</v>
      </c>
      <c r="E1009" s="5"/>
      <c r="F1009" s="5"/>
    </row>
    <row r="1010" spans="1:6" ht="20.100000000000001" customHeight="1">
      <c r="A1010" s="5">
        <v>1214</v>
      </c>
      <c r="B1010" s="5">
        <v>19</v>
      </c>
      <c r="C1010" s="5" t="s">
        <v>583</v>
      </c>
      <c r="D1010" s="27" t="str">
        <f>C1010</f>
        <v>TARIFA, JUAN Y DE LA TORRES DE TARIFA, ELENA</v>
      </c>
      <c r="E1010" s="5"/>
      <c r="F1010" s="5"/>
    </row>
    <row r="1011" spans="1:6" ht="20.100000000000001" customHeight="1">
      <c r="A1011" s="5">
        <v>1214</v>
      </c>
      <c r="B1011" s="5">
        <v>151</v>
      </c>
      <c r="C1011" s="5" t="s">
        <v>584</v>
      </c>
      <c r="D1011" s="27" t="str">
        <f>C1011</f>
        <v>TARIFA DE PELEGRINA, GLADYS ELENA</v>
      </c>
      <c r="E1011" s="5"/>
      <c r="F1011" s="5"/>
    </row>
    <row r="1012" spans="1:6" ht="20.100000000000001" customHeight="1">
      <c r="A1012" s="5">
        <v>1214</v>
      </c>
      <c r="B1012" s="100" t="s">
        <v>734</v>
      </c>
      <c r="C1012" s="5" t="s">
        <v>584</v>
      </c>
      <c r="D1012" s="27">
        <v>3.4377</v>
      </c>
      <c r="E1012" s="5"/>
      <c r="F1012" s="5"/>
    </row>
    <row r="1013" spans="1:6" ht="20.100000000000001" customHeight="1">
      <c r="A1013" s="5">
        <v>1214</v>
      </c>
      <c r="B1013" s="5">
        <v>115</v>
      </c>
      <c r="C1013" s="5" t="s">
        <v>585</v>
      </c>
      <c r="D1013" s="27" t="str">
        <f>C1013</f>
        <v>WOLFAR, ENRIQUE</v>
      </c>
      <c r="E1013" s="5"/>
      <c r="F1013" s="5"/>
    </row>
    <row r="1014" spans="1:6" ht="20.100000000000001" customHeight="1">
      <c r="A1014" s="5">
        <v>1214</v>
      </c>
      <c r="B1014" s="5">
        <v>274</v>
      </c>
      <c r="C1014" s="5" t="s">
        <v>586</v>
      </c>
      <c r="D1014" s="27" t="str">
        <f>C1014</f>
        <v>HITA, ROBERTO FERMIN</v>
      </c>
      <c r="E1014" s="5"/>
      <c r="F1014" s="5"/>
    </row>
    <row r="1015" spans="1:6" ht="20.100000000000001" customHeight="1">
      <c r="A1015" s="5">
        <v>1214</v>
      </c>
      <c r="B1015" s="5">
        <v>267</v>
      </c>
      <c r="C1015" s="5" t="s">
        <v>587</v>
      </c>
      <c r="D1015" s="27" t="str">
        <f>C1015</f>
        <v>GOMEZ ROMAN, MANUELA</v>
      </c>
      <c r="E1015" s="5"/>
      <c r="F1015" s="5"/>
    </row>
    <row r="1016" spans="1:6" ht="20.100000000000001" customHeight="1">
      <c r="A1016" s="5">
        <v>1214</v>
      </c>
      <c r="B1016" s="5">
        <v>219</v>
      </c>
      <c r="C1016" s="5" t="s">
        <v>417</v>
      </c>
      <c r="D1016" s="27" t="str">
        <f>C1016</f>
        <v>GOMEZ, DIEGO</v>
      </c>
      <c r="E1016" s="5"/>
      <c r="F1016" s="5"/>
    </row>
    <row r="1017" spans="1:6" ht="20.100000000000001" customHeight="1">
      <c r="A1017" s="5">
        <v>1214</v>
      </c>
      <c r="B1017" s="5">
        <v>187</v>
      </c>
      <c r="C1017" s="5" t="s">
        <v>735</v>
      </c>
      <c r="D1017" s="96" t="str">
        <f>C1017</f>
        <v>RODRIGUEZ DE GONZALEZ, GERONIMA Y RODRIGUEZ, S</v>
      </c>
      <c r="E1017" s="5"/>
      <c r="F1017" s="5"/>
    </row>
    <row r="1018" spans="1:6" ht="20.100000000000001" customHeight="1">
      <c r="A1018" s="112"/>
      <c r="B1018" s="113"/>
      <c r="C1018" s="114" t="s">
        <v>687</v>
      </c>
      <c r="D1018" s="81"/>
      <c r="E1018" s="113"/>
      <c r="F1018" s="111"/>
    </row>
    <row r="1019" spans="1:6" ht="20.100000000000001" customHeight="1">
      <c r="A1019" s="112"/>
      <c r="B1019" s="113"/>
      <c r="C1019" s="114" t="s">
        <v>688</v>
      </c>
      <c r="D1019" s="81"/>
      <c r="E1019" s="113"/>
      <c r="F1019" s="111"/>
    </row>
    <row r="1020" spans="1:6" ht="20.100000000000001" customHeight="1">
      <c r="A1020" s="80"/>
      <c r="B1020" s="81"/>
      <c r="C1020" s="115" t="s">
        <v>689</v>
      </c>
      <c r="D1020" s="81"/>
      <c r="E1020" s="81"/>
      <c r="F1020" s="111"/>
    </row>
    <row r="1021" spans="1:6" ht="20.100000000000001" customHeight="1">
      <c r="A1021" s="116" t="s">
        <v>690</v>
      </c>
      <c r="B1021" s="117"/>
      <c r="C1021" s="117"/>
      <c r="D1021" s="117"/>
      <c r="E1021" s="117"/>
      <c r="F1021" s="111"/>
    </row>
    <row r="1022" spans="1:6" ht="20.100000000000001" customHeight="1">
      <c r="A1022" s="118" t="s">
        <v>691</v>
      </c>
      <c r="B1022" s="117"/>
      <c r="C1022" s="117"/>
      <c r="D1022" s="117"/>
      <c r="E1022" s="117"/>
      <c r="F1022" s="111"/>
    </row>
    <row r="1023" spans="1:6" ht="20.100000000000001" customHeight="1">
      <c r="A1023" s="118" t="s">
        <v>692</v>
      </c>
      <c r="B1023" s="117"/>
      <c r="C1023" s="117"/>
      <c r="D1023" s="117"/>
      <c r="E1023" s="117"/>
      <c r="F1023" s="111"/>
    </row>
    <row r="1024" spans="1:6" ht="20.100000000000001" customHeight="1">
      <c r="A1024" s="119"/>
      <c r="B1024" s="120"/>
      <c r="C1024" s="120"/>
      <c r="D1024" s="120"/>
      <c r="E1024" s="120"/>
      <c r="F1024" s="83"/>
    </row>
    <row r="1025" spans="1:6" ht="20.100000000000001" customHeight="1">
      <c r="A1025" s="5">
        <v>1214</v>
      </c>
      <c r="B1025" s="5">
        <v>32</v>
      </c>
      <c r="C1025" s="5" t="s">
        <v>589</v>
      </c>
      <c r="D1025" s="27" t="str">
        <f>C1025</f>
        <v>GIMENEZ ALONSO, IGNACIO</v>
      </c>
      <c r="E1025" s="5"/>
      <c r="F1025" s="5"/>
    </row>
    <row r="1026" spans="1:6" ht="20.100000000000001" customHeight="1">
      <c r="A1026" s="5">
        <v>1214</v>
      </c>
      <c r="B1026" s="5">
        <v>126</v>
      </c>
      <c r="C1026" s="5" t="s">
        <v>590</v>
      </c>
      <c r="D1026" s="21"/>
      <c r="E1026" s="5"/>
      <c r="F1026" s="5"/>
    </row>
    <row r="1027" spans="1:6" ht="20.100000000000001" customHeight="1">
      <c r="A1027" s="5">
        <v>1214</v>
      </c>
      <c r="B1027" s="5">
        <v>40</v>
      </c>
      <c r="C1027" s="5" t="s">
        <v>592</v>
      </c>
      <c r="D1027" s="101"/>
      <c r="E1027" s="5"/>
      <c r="F1027" s="5"/>
    </row>
    <row r="1028" spans="1:6" ht="20.100000000000001" customHeight="1">
      <c r="A1028" s="5">
        <v>1214</v>
      </c>
      <c r="B1028" s="5">
        <v>224</v>
      </c>
      <c r="C1028" s="5" t="s">
        <v>593</v>
      </c>
      <c r="D1028" s="101"/>
      <c r="E1028" s="5"/>
      <c r="F1028" s="5"/>
    </row>
    <row r="1029" spans="1:6" ht="20.100000000000001" customHeight="1">
      <c r="A1029" s="5">
        <v>1214</v>
      </c>
      <c r="B1029" s="5">
        <v>225</v>
      </c>
      <c r="C1029" s="5" t="s">
        <v>593</v>
      </c>
      <c r="D1029" s="101"/>
      <c r="E1029" s="5"/>
      <c r="F1029" s="5"/>
    </row>
    <row r="1030" spans="1:6" ht="20.100000000000001" customHeight="1">
      <c r="A1030" s="5">
        <v>1214</v>
      </c>
      <c r="B1030" s="5">
        <v>227</v>
      </c>
      <c r="C1030" s="5" t="s">
        <v>593</v>
      </c>
      <c r="D1030" s="101"/>
      <c r="E1030" s="5"/>
      <c r="F1030" s="5"/>
    </row>
    <row r="1031" spans="1:6" ht="20.100000000000001" customHeight="1">
      <c r="A1031" s="5">
        <v>1214</v>
      </c>
      <c r="B1031" s="5">
        <v>228</v>
      </c>
      <c r="C1031" s="5" t="s">
        <v>593</v>
      </c>
      <c r="D1031" s="101"/>
      <c r="E1031" s="5"/>
      <c r="F1031" s="5"/>
    </row>
    <row r="1032" spans="1:6" ht="20.100000000000001" customHeight="1">
      <c r="A1032" s="5">
        <v>1214</v>
      </c>
      <c r="B1032" s="5">
        <v>229</v>
      </c>
      <c r="C1032" s="5" t="s">
        <v>593</v>
      </c>
      <c r="D1032" s="101"/>
      <c r="E1032" s="5"/>
      <c r="F1032" s="5"/>
    </row>
    <row r="1033" spans="1:6" ht="20.100000000000001" customHeight="1">
      <c r="A1033" s="5">
        <v>1214</v>
      </c>
      <c r="B1033" s="5">
        <v>203</v>
      </c>
      <c r="C1033" s="5" t="s">
        <v>594</v>
      </c>
      <c r="D1033" s="101"/>
      <c r="E1033" s="5"/>
      <c r="F1033" s="5"/>
    </row>
    <row r="1034" spans="1:6" ht="20.100000000000001" customHeight="1">
      <c r="A1034" s="5">
        <v>1214</v>
      </c>
      <c r="B1034" s="5">
        <v>204</v>
      </c>
      <c r="C1034" s="5" t="s">
        <v>259</v>
      </c>
      <c r="D1034" s="101"/>
      <c r="E1034" s="5"/>
      <c r="F1034" s="5"/>
    </row>
    <row r="1035" spans="1:6" ht="20.100000000000001" customHeight="1">
      <c r="A1035" s="5">
        <v>1214</v>
      </c>
      <c r="B1035" s="5">
        <v>206</v>
      </c>
      <c r="C1035" s="5" t="s">
        <v>595</v>
      </c>
      <c r="D1035" s="101"/>
      <c r="E1035" s="5"/>
      <c r="F1035" s="5"/>
    </row>
    <row r="1036" spans="1:6" ht="20.100000000000001" customHeight="1">
      <c r="A1036" s="5">
        <v>1214</v>
      </c>
      <c r="B1036" s="5">
        <v>205</v>
      </c>
      <c r="C1036" s="5" t="s">
        <v>596</v>
      </c>
      <c r="D1036" s="101"/>
      <c r="E1036" s="5"/>
      <c r="F1036" s="5"/>
    </row>
    <row r="1037" spans="1:6" ht="20.100000000000001" customHeight="1">
      <c r="A1037" s="5">
        <v>1214</v>
      </c>
      <c r="B1037" s="5">
        <v>44</v>
      </c>
      <c r="C1037" s="5" t="s">
        <v>259</v>
      </c>
      <c r="D1037" s="9"/>
      <c r="E1037" s="5"/>
      <c r="F1037" s="5"/>
    </row>
    <row r="1038" spans="1:6" ht="20.100000000000001" customHeight="1">
      <c r="A1038" s="5">
        <v>1214</v>
      </c>
      <c r="B1038" s="5">
        <v>201</v>
      </c>
      <c r="C1038" s="5" t="s">
        <v>597</v>
      </c>
      <c r="D1038" s="101"/>
      <c r="E1038" s="5"/>
      <c r="F1038" s="5"/>
    </row>
    <row r="1039" spans="1:6" ht="20.100000000000001" customHeight="1">
      <c r="A1039" s="5">
        <v>1214</v>
      </c>
      <c r="B1039" s="5">
        <v>165</v>
      </c>
      <c r="C1039" s="5" t="s">
        <v>598</v>
      </c>
      <c r="D1039" s="9"/>
      <c r="E1039" s="5"/>
      <c r="F1039" s="5"/>
    </row>
    <row r="1040" spans="1:6" ht="20.100000000000001" customHeight="1">
      <c r="A1040" s="5">
        <v>1214</v>
      </c>
      <c r="B1040" s="5">
        <v>266</v>
      </c>
      <c r="C1040" s="5" t="s">
        <v>581</v>
      </c>
      <c r="D1040" s="9"/>
      <c r="E1040" s="5"/>
      <c r="F1040" s="5"/>
    </row>
    <row r="1041" spans="1:6" ht="20.100000000000001" customHeight="1">
      <c r="A1041" s="5">
        <v>1214</v>
      </c>
      <c r="B1041" s="5">
        <v>272</v>
      </c>
      <c r="C1041" s="5" t="s">
        <v>582</v>
      </c>
      <c r="D1041" s="9"/>
      <c r="E1041" s="5"/>
      <c r="F1041" s="5"/>
    </row>
    <row r="1042" spans="1:6" ht="20.100000000000001" customHeight="1">
      <c r="A1042" s="5">
        <v>1214</v>
      </c>
      <c r="B1042" s="5">
        <v>123</v>
      </c>
      <c r="C1042" s="5" t="s">
        <v>599</v>
      </c>
      <c r="D1042" s="9"/>
      <c r="E1042" s="5"/>
      <c r="F1042" s="5"/>
    </row>
    <row r="1043" spans="1:6" ht="20.100000000000001" customHeight="1">
      <c r="A1043" s="5">
        <v>1214</v>
      </c>
      <c r="B1043" s="5">
        <v>124</v>
      </c>
      <c r="C1043" s="5" t="s">
        <v>600</v>
      </c>
      <c r="D1043" s="9"/>
      <c r="E1043" s="5"/>
      <c r="F1043" s="5"/>
    </row>
    <row r="1044" spans="1:6" ht="20.100000000000001" customHeight="1">
      <c r="A1044" s="5">
        <v>1214</v>
      </c>
      <c r="B1044" s="5">
        <v>273</v>
      </c>
      <c r="C1044" s="5" t="s">
        <v>601</v>
      </c>
      <c r="D1044" s="9"/>
      <c r="E1044" s="5"/>
      <c r="F1044" s="5"/>
    </row>
  </sheetData>
  <phoneticPr fontId="0" type="noConversion"/>
  <pageMargins left="0.75" right="0.75" top="1" bottom="1" header="0" footer="0"/>
  <pageSetup paperSize="9" orientation="landscape" horizontalDpi="300" verticalDpi="300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25"/>
  <dimension ref="A1:I395"/>
  <sheetViews>
    <sheetView workbookViewId="0" xr3:uid="{701D7CAA-229E-5CB1-96B2-8F6C91020655}">
      <selection activeCell="C13" sqref="C13"/>
    </sheetView>
  </sheetViews>
  <sheetFormatPr defaultColWidth="11.42578125" defaultRowHeight="12.75"/>
  <cols>
    <col min="1" max="1" width="5.140625" customWidth="1"/>
    <col min="2" max="2" width="6.7109375" customWidth="1"/>
    <col min="4" max="4" width="9.85546875" customWidth="1"/>
    <col min="5" max="5" width="20" customWidth="1"/>
    <col min="6" max="6" width="17.5703125" customWidth="1"/>
    <col min="7" max="7" width="9.140625" customWidth="1"/>
    <col min="8" max="8" width="11.5703125" bestFit="1" customWidth="1"/>
  </cols>
  <sheetData>
    <row r="1" spans="1:7">
      <c r="A1" s="47" t="s">
        <v>736</v>
      </c>
      <c r="D1" s="15"/>
    </row>
    <row r="3" spans="1:7">
      <c r="C3" s="1" t="s">
        <v>737</v>
      </c>
    </row>
    <row r="6" spans="1:7">
      <c r="A6" t="s">
        <v>738</v>
      </c>
      <c r="B6">
        <v>3133</v>
      </c>
      <c r="C6" t="s">
        <v>739</v>
      </c>
      <c r="D6" s="12">
        <f>D25</f>
        <v>52.739200000000004</v>
      </c>
      <c r="E6" s="643" t="s">
        <v>740</v>
      </c>
      <c r="F6" s="15">
        <f>+B6/D6</f>
        <v>59.405527577210115</v>
      </c>
    </row>
    <row r="7" spans="1:7" ht="13.5" thickBot="1"/>
    <row r="8" spans="1:7" s="58" customFormat="1" ht="25.5" customHeight="1" thickBot="1">
      <c r="A8" s="542" t="s">
        <v>741</v>
      </c>
      <c r="B8" s="542" t="s">
        <v>103</v>
      </c>
      <c r="C8" s="542" t="s">
        <v>104</v>
      </c>
      <c r="D8" s="542" t="s">
        <v>106</v>
      </c>
      <c r="E8" s="543" t="s">
        <v>108</v>
      </c>
      <c r="F8" s="544"/>
      <c r="G8" s="542" t="s">
        <v>304</v>
      </c>
    </row>
    <row r="9" spans="1:7">
      <c r="A9" s="51">
        <v>1</v>
      </c>
      <c r="B9" s="52">
        <v>1201</v>
      </c>
      <c r="C9" s="52">
        <v>24</v>
      </c>
      <c r="D9" s="103">
        <v>2.4624999999999999</v>
      </c>
      <c r="E9" s="52" t="s">
        <v>232</v>
      </c>
      <c r="F9" s="52"/>
      <c r="G9" s="541">
        <f t="shared" ref="G9:G24" si="0">+D9*$F$6</f>
        <v>146.28611165887992</v>
      </c>
    </row>
    <row r="10" spans="1:7" ht="13.5" thickBot="1">
      <c r="A10" s="35">
        <v>3</v>
      </c>
      <c r="B10" s="29">
        <v>1201</v>
      </c>
      <c r="C10" s="29">
        <v>6</v>
      </c>
      <c r="D10" s="40">
        <v>0</v>
      </c>
      <c r="E10" s="624" t="s">
        <v>233</v>
      </c>
      <c r="F10" s="5"/>
      <c r="G10" s="541">
        <f t="shared" si="0"/>
        <v>0</v>
      </c>
    </row>
    <row r="11" spans="1:7">
      <c r="A11" s="35">
        <v>3</v>
      </c>
      <c r="B11" s="5">
        <v>1201</v>
      </c>
      <c r="C11" s="5">
        <v>13</v>
      </c>
      <c r="D11" s="9">
        <v>8</v>
      </c>
      <c r="E11" s="5" t="s">
        <v>234</v>
      </c>
      <c r="F11" s="5"/>
      <c r="G11" s="541">
        <f t="shared" si="0"/>
        <v>475.24422061768092</v>
      </c>
    </row>
    <row r="12" spans="1:7">
      <c r="A12" s="35">
        <v>4</v>
      </c>
      <c r="B12" s="5">
        <v>1201</v>
      </c>
      <c r="C12" s="5">
        <v>10</v>
      </c>
      <c r="D12" s="9">
        <v>3.9325000000000001</v>
      </c>
      <c r="E12" s="5" t="s">
        <v>235</v>
      </c>
      <c r="F12" s="5"/>
      <c r="G12" s="541">
        <f t="shared" si="0"/>
        <v>233.61223719737879</v>
      </c>
    </row>
    <row r="13" spans="1:7">
      <c r="A13" s="35">
        <v>7</v>
      </c>
      <c r="B13" s="76">
        <v>1201</v>
      </c>
      <c r="C13" s="76">
        <v>39</v>
      </c>
      <c r="D13" s="20">
        <v>3.6461000000000001</v>
      </c>
      <c r="E13" s="76" t="s">
        <v>245</v>
      </c>
      <c r="F13" s="5"/>
      <c r="G13" s="541">
        <f t="shared" si="0"/>
        <v>216.59849409926582</v>
      </c>
    </row>
    <row r="14" spans="1:7">
      <c r="A14" s="35">
        <v>8</v>
      </c>
      <c r="B14" s="5">
        <v>1201</v>
      </c>
      <c r="C14" s="5">
        <v>38</v>
      </c>
      <c r="D14" s="6">
        <v>0.7742</v>
      </c>
      <c r="E14" s="5" t="s">
        <v>236</v>
      </c>
      <c r="F14" s="5"/>
      <c r="G14" s="541">
        <f t="shared" si="0"/>
        <v>45.991759450276071</v>
      </c>
    </row>
    <row r="15" spans="1:7">
      <c r="A15" s="35">
        <v>9</v>
      </c>
      <c r="B15" s="5">
        <v>1201</v>
      </c>
      <c r="C15" s="5">
        <v>42</v>
      </c>
      <c r="D15" s="9">
        <v>7.2805999999999997</v>
      </c>
      <c r="E15" s="5" t="s">
        <v>237</v>
      </c>
      <c r="F15" s="5"/>
      <c r="G15" s="541">
        <f t="shared" si="0"/>
        <v>432.50788407863593</v>
      </c>
    </row>
    <row r="16" spans="1:7">
      <c r="A16" s="35">
        <v>9</v>
      </c>
      <c r="B16" s="5">
        <v>1201</v>
      </c>
      <c r="C16" s="5">
        <v>37</v>
      </c>
      <c r="D16" s="9">
        <v>2.4994000000000001</v>
      </c>
      <c r="E16" s="5" t="s">
        <v>238</v>
      </c>
      <c r="F16" s="5"/>
      <c r="G16" s="541">
        <f t="shared" si="0"/>
        <v>148.47817562647896</v>
      </c>
    </row>
    <row r="17" spans="1:7">
      <c r="A17" s="35">
        <v>10</v>
      </c>
      <c r="B17" s="5">
        <v>1201</v>
      </c>
      <c r="C17" s="5">
        <v>34</v>
      </c>
      <c r="D17" s="6">
        <v>0</v>
      </c>
      <c r="E17" s="5" t="s">
        <v>239</v>
      </c>
      <c r="F17" s="5"/>
      <c r="G17" s="541">
        <f t="shared" si="0"/>
        <v>0</v>
      </c>
    </row>
    <row r="18" spans="1:7">
      <c r="A18" s="35">
        <v>11</v>
      </c>
      <c r="B18" s="5">
        <v>1201</v>
      </c>
      <c r="C18" s="5">
        <v>8</v>
      </c>
      <c r="D18" s="6">
        <v>5.6665000000000001</v>
      </c>
      <c r="E18" s="5" t="s">
        <v>240</v>
      </c>
      <c r="F18" s="5"/>
      <c r="G18" s="541">
        <f t="shared" si="0"/>
        <v>336.62142201626114</v>
      </c>
    </row>
    <row r="19" spans="1:7">
      <c r="A19" s="35">
        <v>12</v>
      </c>
      <c r="B19" s="5">
        <v>1201</v>
      </c>
      <c r="C19" s="5">
        <v>20</v>
      </c>
      <c r="D19" s="9">
        <v>2</v>
      </c>
      <c r="E19" s="5" t="s">
        <v>241</v>
      </c>
      <c r="F19" s="5"/>
      <c r="G19" s="541">
        <f t="shared" si="0"/>
        <v>118.81105515442023</v>
      </c>
    </row>
    <row r="20" spans="1:7">
      <c r="A20" s="35">
        <v>12</v>
      </c>
      <c r="B20" s="5">
        <v>1201</v>
      </c>
      <c r="C20" s="5">
        <v>40</v>
      </c>
      <c r="D20" s="6">
        <v>4.0065</v>
      </c>
      <c r="E20" s="5" t="s">
        <v>242</v>
      </c>
      <c r="F20" s="5"/>
      <c r="G20" s="541">
        <f t="shared" si="0"/>
        <v>238.00824623809231</v>
      </c>
    </row>
    <row r="21" spans="1:7">
      <c r="A21" s="35">
        <v>12</v>
      </c>
      <c r="B21" s="5">
        <v>1201</v>
      </c>
      <c r="C21" s="5">
        <v>7</v>
      </c>
      <c r="D21" s="9">
        <v>0</v>
      </c>
      <c r="E21" s="5" t="s">
        <v>243</v>
      </c>
      <c r="F21" s="5"/>
      <c r="G21" s="541">
        <f t="shared" si="0"/>
        <v>0</v>
      </c>
    </row>
    <row r="22" spans="1:7">
      <c r="A22" s="35">
        <v>12</v>
      </c>
      <c r="B22" s="5">
        <v>1201</v>
      </c>
      <c r="C22" s="5">
        <v>5</v>
      </c>
      <c r="D22" s="6">
        <v>4.5831999999999997</v>
      </c>
      <c r="E22" s="5" t="s">
        <v>244</v>
      </c>
      <c r="F22" s="5"/>
      <c r="G22" s="541">
        <f t="shared" si="0"/>
        <v>272.26741399186938</v>
      </c>
    </row>
    <row r="23" spans="1:7">
      <c r="A23" s="35">
        <v>12</v>
      </c>
      <c r="B23" s="5">
        <v>1201</v>
      </c>
      <c r="C23" s="5">
        <v>30</v>
      </c>
      <c r="D23" s="6">
        <v>6.8876999999999997</v>
      </c>
      <c r="E23" s="5" t="s">
        <v>702</v>
      </c>
      <c r="F23" s="5"/>
      <c r="G23" s="541">
        <f t="shared" si="0"/>
        <v>409.16745229355007</v>
      </c>
    </row>
    <row r="24" spans="1:7" ht="13.5" thickBot="1">
      <c r="A24" s="36">
        <v>13</v>
      </c>
      <c r="B24" s="5">
        <v>1201</v>
      </c>
      <c r="C24" s="5">
        <v>16</v>
      </c>
      <c r="D24" s="9">
        <v>1</v>
      </c>
      <c r="E24" s="5" t="s">
        <v>247</v>
      </c>
      <c r="F24" s="29"/>
      <c r="G24" s="541">
        <f t="shared" si="0"/>
        <v>59.405527577210115</v>
      </c>
    </row>
    <row r="25" spans="1:7">
      <c r="D25" s="15">
        <f>SUM(D9:D24)</f>
        <v>52.739200000000004</v>
      </c>
      <c r="G25" s="4">
        <f>SUM(G9:G24)</f>
        <v>3132.9999999999995</v>
      </c>
    </row>
    <row r="54" spans="1:8">
      <c r="C54" s="1" t="s">
        <v>737</v>
      </c>
    </row>
    <row r="57" spans="1:8">
      <c r="B57" s="12"/>
      <c r="C57" t="s">
        <v>738</v>
      </c>
      <c r="D57">
        <v>3013</v>
      </c>
      <c r="E57" t="s">
        <v>739</v>
      </c>
      <c r="F57" s="12">
        <f>D95</f>
        <v>117.05329999999999</v>
      </c>
      <c r="G57" s="643" t="s">
        <v>740</v>
      </c>
      <c r="H57" s="15">
        <f>D57/F57</f>
        <v>25.740410565101541</v>
      </c>
    </row>
    <row r="59" spans="1:8" ht="13.5" thickBot="1">
      <c r="A59" s="47" t="s">
        <v>742</v>
      </c>
    </row>
    <row r="60" spans="1:8" ht="38.25">
      <c r="A60" s="55" t="s">
        <v>741</v>
      </c>
      <c r="B60" s="55" t="s">
        <v>103</v>
      </c>
      <c r="C60" s="55" t="s">
        <v>104</v>
      </c>
      <c r="D60" s="55" t="s">
        <v>106</v>
      </c>
      <c r="E60" s="56" t="s">
        <v>108</v>
      </c>
      <c r="F60" s="57"/>
      <c r="G60" s="55" t="s">
        <v>743</v>
      </c>
      <c r="H60" s="58"/>
    </row>
    <row r="61" spans="1:8">
      <c r="A61" s="5">
        <v>1</v>
      </c>
      <c r="B61" s="5">
        <v>1213</v>
      </c>
      <c r="C61" s="5">
        <v>1</v>
      </c>
      <c r="D61" s="21">
        <v>10.5</v>
      </c>
      <c r="E61" s="5" t="s">
        <v>416</v>
      </c>
      <c r="F61" s="48"/>
      <c r="G61" s="43">
        <f t="shared" ref="G61:G94" si="1">D61*$H$57</f>
        <v>270.2743109335662</v>
      </c>
    </row>
    <row r="62" spans="1:8">
      <c r="A62" s="5">
        <v>1</v>
      </c>
      <c r="B62" s="5">
        <v>1213</v>
      </c>
      <c r="C62" s="5">
        <v>2</v>
      </c>
      <c r="D62" s="21">
        <v>11.535600000000001</v>
      </c>
      <c r="E62" s="5" t="s">
        <v>416</v>
      </c>
      <c r="F62" s="48"/>
      <c r="G62" s="43">
        <f t="shared" si="1"/>
        <v>296.93108011478535</v>
      </c>
    </row>
    <row r="63" spans="1:8">
      <c r="A63" s="5">
        <v>1</v>
      </c>
      <c r="B63" s="5">
        <v>1213</v>
      </c>
      <c r="C63" s="5">
        <v>3</v>
      </c>
      <c r="D63" s="21">
        <v>6.6398999999999999</v>
      </c>
      <c r="E63" s="5" t="s">
        <v>416</v>
      </c>
      <c r="F63" s="48"/>
      <c r="G63" s="43">
        <f t="shared" si="1"/>
        <v>170.91375211121772</v>
      </c>
    </row>
    <row r="64" spans="1:8">
      <c r="A64" s="5">
        <v>2</v>
      </c>
      <c r="B64" s="5">
        <v>1213</v>
      </c>
      <c r="C64" s="5">
        <v>140</v>
      </c>
      <c r="D64" s="21">
        <v>0.14330000000000001</v>
      </c>
      <c r="E64" s="5" t="s">
        <v>417</v>
      </c>
      <c r="F64" s="48"/>
      <c r="G64" s="43">
        <f t="shared" si="1"/>
        <v>3.6886008339790513</v>
      </c>
    </row>
    <row r="65" spans="1:7">
      <c r="A65" s="5">
        <v>2</v>
      </c>
      <c r="B65" s="5">
        <v>1213</v>
      </c>
      <c r="C65" s="5">
        <v>184</v>
      </c>
      <c r="D65" s="21">
        <v>0.79900000000000004</v>
      </c>
      <c r="E65" s="5" t="s">
        <v>417</v>
      </c>
      <c r="F65" s="48"/>
      <c r="G65" s="43">
        <f t="shared" si="1"/>
        <v>20.566588041516134</v>
      </c>
    </row>
    <row r="66" spans="1:7">
      <c r="A66" s="5">
        <v>4</v>
      </c>
      <c r="B66" s="5">
        <v>1213</v>
      </c>
      <c r="C66" s="5">
        <v>141</v>
      </c>
      <c r="D66" s="21">
        <v>1.0466</v>
      </c>
      <c r="E66" s="5" t="s">
        <v>418</v>
      </c>
      <c r="F66" s="48"/>
      <c r="G66" s="43">
        <f t="shared" si="1"/>
        <v>26.939913697435273</v>
      </c>
    </row>
    <row r="67" spans="1:7">
      <c r="A67" s="5">
        <v>5</v>
      </c>
      <c r="B67" s="5">
        <v>1213</v>
      </c>
      <c r="C67" s="5">
        <v>143</v>
      </c>
      <c r="D67" s="21">
        <v>0.05</v>
      </c>
      <c r="E67" s="5" t="s">
        <v>419</v>
      </c>
      <c r="F67" s="48"/>
      <c r="G67" s="43">
        <f t="shared" si="1"/>
        <v>1.2870205282550771</v>
      </c>
    </row>
    <row r="68" spans="1:7">
      <c r="A68" s="5">
        <v>6</v>
      </c>
      <c r="B68" s="5">
        <v>1213</v>
      </c>
      <c r="C68" s="5">
        <v>151</v>
      </c>
      <c r="D68" s="21">
        <v>0.92059999999999997</v>
      </c>
      <c r="E68" s="5" t="s">
        <v>420</v>
      </c>
      <c r="F68" s="48"/>
      <c r="G68" s="43">
        <f t="shared" si="1"/>
        <v>23.696621966232478</v>
      </c>
    </row>
    <row r="69" spans="1:7">
      <c r="A69" s="5">
        <v>8</v>
      </c>
      <c r="B69" s="5">
        <v>1213</v>
      </c>
      <c r="C69" s="5">
        <v>305</v>
      </c>
      <c r="D69" s="21">
        <v>32.580100000000002</v>
      </c>
      <c r="E69" s="5" t="s">
        <v>395</v>
      </c>
      <c r="F69" s="48"/>
      <c r="G69" s="43">
        <f t="shared" si="1"/>
        <v>838.62515025206471</v>
      </c>
    </row>
    <row r="70" spans="1:7">
      <c r="A70" s="5">
        <v>10</v>
      </c>
      <c r="B70" s="5">
        <v>1213</v>
      </c>
      <c r="C70" s="5">
        <v>304</v>
      </c>
      <c r="D70" s="21">
        <v>9.5116999999999994</v>
      </c>
      <c r="E70" s="5" t="s">
        <v>421</v>
      </c>
      <c r="F70" s="48"/>
      <c r="G70" s="43">
        <f t="shared" si="1"/>
        <v>244.8350631720763</v>
      </c>
    </row>
    <row r="71" spans="1:7">
      <c r="A71" s="5">
        <v>11</v>
      </c>
      <c r="B71" s="5">
        <v>1213</v>
      </c>
      <c r="C71" s="5">
        <v>194</v>
      </c>
      <c r="D71" s="21">
        <v>6.1170999999999998</v>
      </c>
      <c r="E71" s="5" t="s">
        <v>422</v>
      </c>
      <c r="F71" s="48"/>
      <c r="G71" s="43">
        <f t="shared" si="1"/>
        <v>157.45666546778264</v>
      </c>
    </row>
    <row r="72" spans="1:7">
      <c r="A72" s="5">
        <v>12</v>
      </c>
      <c r="B72" s="5">
        <v>1213</v>
      </c>
      <c r="C72" s="5">
        <v>259</v>
      </c>
      <c r="D72" s="21">
        <v>0.80359999999999998</v>
      </c>
      <c r="E72" s="5" t="s">
        <v>423</v>
      </c>
      <c r="F72" s="48"/>
      <c r="G72" s="43">
        <f t="shared" si="1"/>
        <v>20.684993930115599</v>
      </c>
    </row>
    <row r="73" spans="1:7">
      <c r="A73" s="5">
        <v>13</v>
      </c>
      <c r="B73" s="5">
        <v>1213</v>
      </c>
      <c r="C73" s="5">
        <v>260</v>
      </c>
      <c r="D73" s="21">
        <v>0.69989999999999997</v>
      </c>
      <c r="E73" s="5" t="s">
        <v>424</v>
      </c>
      <c r="F73" s="48"/>
      <c r="G73" s="43">
        <f t="shared" si="1"/>
        <v>18.015713354514567</v>
      </c>
    </row>
    <row r="74" spans="1:7">
      <c r="A74" s="5">
        <v>14</v>
      </c>
      <c r="B74" s="5">
        <v>1213</v>
      </c>
      <c r="C74" s="5">
        <v>261</v>
      </c>
      <c r="D74" s="21">
        <v>0.68989999999999996</v>
      </c>
      <c r="E74" s="5" t="s">
        <v>425</v>
      </c>
      <c r="F74" s="48"/>
      <c r="G74" s="43">
        <f t="shared" si="1"/>
        <v>17.758309248863551</v>
      </c>
    </row>
    <row r="75" spans="1:7">
      <c r="A75" s="5">
        <v>15</v>
      </c>
      <c r="B75" s="5">
        <v>1213</v>
      </c>
      <c r="C75" s="5">
        <v>262</v>
      </c>
      <c r="D75" s="21">
        <v>0.67989999999999995</v>
      </c>
      <c r="E75" s="5" t="s">
        <v>426</v>
      </c>
      <c r="F75" s="48"/>
      <c r="G75" s="43">
        <f t="shared" si="1"/>
        <v>17.500905143212538</v>
      </c>
    </row>
    <row r="76" spans="1:7">
      <c r="A76" s="5">
        <v>16</v>
      </c>
      <c r="B76" s="5">
        <v>1213</v>
      </c>
      <c r="C76" s="5">
        <v>17</v>
      </c>
      <c r="D76" s="21">
        <v>0.35780000000000001</v>
      </c>
      <c r="E76" s="5" t="s">
        <v>427</v>
      </c>
      <c r="F76" s="48"/>
      <c r="G76" s="43">
        <f t="shared" si="1"/>
        <v>9.2099189001933315</v>
      </c>
    </row>
    <row r="77" spans="1:7">
      <c r="A77" s="5">
        <v>17</v>
      </c>
      <c r="B77" s="5">
        <v>1213</v>
      </c>
      <c r="C77" s="5">
        <v>164</v>
      </c>
      <c r="D77" s="21">
        <v>0.17349999999999999</v>
      </c>
      <c r="E77" s="5" t="s">
        <v>428</v>
      </c>
      <c r="F77" s="48"/>
      <c r="G77" s="43">
        <f t="shared" si="1"/>
        <v>4.4659612330451175</v>
      </c>
    </row>
    <row r="78" spans="1:7">
      <c r="A78" s="5">
        <v>19</v>
      </c>
      <c r="B78" s="5">
        <v>1213</v>
      </c>
      <c r="C78" s="5">
        <v>214</v>
      </c>
      <c r="D78" s="21">
        <v>0.17030000000000001</v>
      </c>
      <c r="E78" s="5" t="s">
        <v>429</v>
      </c>
      <c r="F78" s="5"/>
      <c r="G78" s="43">
        <f t="shared" si="1"/>
        <v>4.3835919192367925</v>
      </c>
    </row>
    <row r="79" spans="1:7">
      <c r="A79" s="5">
        <v>20</v>
      </c>
      <c r="B79" s="5">
        <v>1213</v>
      </c>
      <c r="C79" s="5">
        <v>81</v>
      </c>
      <c r="D79" s="21">
        <v>0.7</v>
      </c>
      <c r="E79" s="5" t="s">
        <v>430</v>
      </c>
      <c r="F79" s="48"/>
      <c r="G79" s="43">
        <f t="shared" si="1"/>
        <v>18.018287395571079</v>
      </c>
    </row>
    <row r="80" spans="1:7">
      <c r="A80" s="5">
        <v>21</v>
      </c>
      <c r="B80" s="5">
        <v>1213</v>
      </c>
      <c r="C80" s="5">
        <v>80</v>
      </c>
      <c r="D80" s="21">
        <v>0.32269999999999999</v>
      </c>
      <c r="E80" s="5" t="s">
        <v>431</v>
      </c>
      <c r="F80" s="48"/>
      <c r="G80" s="43">
        <f t="shared" si="1"/>
        <v>8.3064304893582666</v>
      </c>
    </row>
    <row r="81" spans="1:7">
      <c r="A81" s="5">
        <v>23</v>
      </c>
      <c r="B81" s="5">
        <v>1213</v>
      </c>
      <c r="C81" s="5">
        <v>82</v>
      </c>
      <c r="D81" s="21">
        <v>0.65</v>
      </c>
      <c r="E81" s="5" t="s">
        <v>432</v>
      </c>
      <c r="F81" s="48"/>
      <c r="G81" s="43">
        <f t="shared" si="1"/>
        <v>16.731266867316002</v>
      </c>
    </row>
    <row r="82" spans="1:7">
      <c r="A82" s="5">
        <v>24</v>
      </c>
      <c r="B82" s="5">
        <v>1213</v>
      </c>
      <c r="C82" s="5">
        <v>83</v>
      </c>
      <c r="D82" s="21">
        <v>6.4714</v>
      </c>
      <c r="E82" s="5" t="s">
        <v>433</v>
      </c>
      <c r="F82" s="48"/>
      <c r="G82" s="43">
        <f t="shared" si="1"/>
        <v>166.57649293099811</v>
      </c>
    </row>
    <row r="83" spans="1:7">
      <c r="A83" s="5">
        <v>25</v>
      </c>
      <c r="B83" s="5">
        <v>1213</v>
      </c>
      <c r="C83" s="5">
        <v>243</v>
      </c>
      <c r="D83" s="21">
        <v>0.1162</v>
      </c>
      <c r="E83" s="5" t="s">
        <v>367</v>
      </c>
      <c r="F83" s="5"/>
      <c r="G83" s="43">
        <f t="shared" si="1"/>
        <v>2.9910357076647989</v>
      </c>
    </row>
    <row r="84" spans="1:7">
      <c r="A84" s="5">
        <v>26</v>
      </c>
      <c r="B84" s="5">
        <v>1213</v>
      </c>
      <c r="C84" s="5">
        <v>248</v>
      </c>
      <c r="D84" s="21">
        <v>1</v>
      </c>
      <c r="E84" s="5" t="s">
        <v>367</v>
      </c>
      <c r="F84" s="5"/>
      <c r="G84" s="43">
        <f t="shared" si="1"/>
        <v>25.740410565101541</v>
      </c>
    </row>
    <row r="85" spans="1:7">
      <c r="A85" s="5">
        <v>27</v>
      </c>
      <c r="B85" s="5">
        <v>1213</v>
      </c>
      <c r="C85" s="5">
        <v>283</v>
      </c>
      <c r="D85" s="21">
        <v>0.1162</v>
      </c>
      <c r="E85" s="5" t="s">
        <v>367</v>
      </c>
      <c r="F85" s="5"/>
      <c r="G85" s="43">
        <f t="shared" si="1"/>
        <v>2.9910357076647989</v>
      </c>
    </row>
    <row r="86" spans="1:7">
      <c r="A86" s="5">
        <v>28</v>
      </c>
      <c r="B86" s="5">
        <v>1213</v>
      </c>
      <c r="C86" s="5">
        <v>247</v>
      </c>
      <c r="D86" s="21">
        <v>11.038</v>
      </c>
      <c r="E86" s="5" t="s">
        <v>367</v>
      </c>
      <c r="F86" s="48"/>
      <c r="G86" s="43">
        <f t="shared" si="1"/>
        <v>284.12265181759079</v>
      </c>
    </row>
    <row r="87" spans="1:7">
      <c r="A87" s="5">
        <v>29</v>
      </c>
      <c r="B87" s="5">
        <v>1213</v>
      </c>
      <c r="C87" s="5">
        <v>246</v>
      </c>
      <c r="D87" s="21">
        <v>3.5491000000000001</v>
      </c>
      <c r="E87" s="5" t="s">
        <v>434</v>
      </c>
      <c r="F87" s="48"/>
      <c r="G87" s="43">
        <f t="shared" si="1"/>
        <v>91.355291136601878</v>
      </c>
    </row>
    <row r="88" spans="1:7">
      <c r="A88" s="5">
        <v>30</v>
      </c>
      <c r="B88" s="5">
        <v>1213</v>
      </c>
      <c r="C88" s="5">
        <v>290</v>
      </c>
      <c r="D88" s="21">
        <v>0.55720000000000003</v>
      </c>
      <c r="E88" s="5" t="s">
        <v>435</v>
      </c>
      <c r="F88" s="5"/>
      <c r="G88" s="43">
        <f t="shared" si="1"/>
        <v>14.34255676687458</v>
      </c>
    </row>
    <row r="89" spans="1:7">
      <c r="A89" s="5">
        <v>31</v>
      </c>
      <c r="B89" s="5">
        <v>1213</v>
      </c>
      <c r="C89" s="5">
        <v>21</v>
      </c>
      <c r="D89" s="21">
        <v>1.1616</v>
      </c>
      <c r="E89" s="5" t="s">
        <v>435</v>
      </c>
      <c r="F89" s="48"/>
      <c r="G89" s="43">
        <f t="shared" si="1"/>
        <v>29.900060912421949</v>
      </c>
    </row>
    <row r="90" spans="1:7">
      <c r="A90" s="5">
        <v>32</v>
      </c>
      <c r="B90" s="5">
        <v>1213</v>
      </c>
      <c r="C90" s="5">
        <v>75</v>
      </c>
      <c r="D90" s="21">
        <v>0.65669999999999995</v>
      </c>
      <c r="E90" s="5" t="s">
        <v>436</v>
      </c>
      <c r="F90" s="48"/>
      <c r="G90" s="43">
        <f t="shared" si="1"/>
        <v>16.903727618102181</v>
      </c>
    </row>
    <row r="91" spans="1:7">
      <c r="A91" s="5">
        <v>33</v>
      </c>
      <c r="B91" s="5">
        <v>1213</v>
      </c>
      <c r="C91" s="5">
        <v>292</v>
      </c>
      <c r="D91" s="21">
        <v>0.22500000000000001</v>
      </c>
      <c r="E91" s="5" t="s">
        <v>437</v>
      </c>
      <c r="F91" s="5"/>
      <c r="G91" s="43">
        <f t="shared" si="1"/>
        <v>5.7915923771478468</v>
      </c>
    </row>
    <row r="92" spans="1:7">
      <c r="A92" s="5">
        <v>34</v>
      </c>
      <c r="B92" s="5">
        <v>1213</v>
      </c>
      <c r="C92" s="5">
        <v>293</v>
      </c>
      <c r="D92" s="21">
        <v>3.4775999999999998</v>
      </c>
      <c r="E92" s="5" t="s">
        <v>437</v>
      </c>
      <c r="F92" s="5"/>
      <c r="G92" s="43">
        <f t="shared" si="1"/>
        <v>89.514851781197109</v>
      </c>
    </row>
    <row r="93" spans="1:7">
      <c r="A93" s="5">
        <v>36</v>
      </c>
      <c r="B93" s="5">
        <v>1213</v>
      </c>
      <c r="C93" s="5">
        <v>297</v>
      </c>
      <c r="D93" s="21">
        <v>3.5628000000000002</v>
      </c>
      <c r="E93" s="5" t="s">
        <v>437</v>
      </c>
      <c r="F93" s="5"/>
      <c r="G93" s="43">
        <f t="shared" si="1"/>
        <v>91.707934761343779</v>
      </c>
    </row>
    <row r="94" spans="1:7">
      <c r="A94" s="5">
        <v>37</v>
      </c>
      <c r="B94" s="5">
        <v>1213</v>
      </c>
      <c r="C94" s="5">
        <v>322</v>
      </c>
      <c r="D94" s="21">
        <v>0.03</v>
      </c>
      <c r="E94" s="5" t="s">
        <v>438</v>
      </c>
      <c r="F94" s="5"/>
      <c r="G94" s="43">
        <f t="shared" si="1"/>
        <v>0.77221231695304626</v>
      </c>
    </row>
    <row r="95" spans="1:7">
      <c r="A95" s="5"/>
      <c r="B95" s="5"/>
      <c r="C95" s="5"/>
      <c r="D95" s="27">
        <f>SUM(D61:D94)</f>
        <v>117.05329999999999</v>
      </c>
      <c r="E95" s="5"/>
      <c r="F95" s="5"/>
      <c r="G95" s="43">
        <f>SUM(G61:G94)</f>
        <v>3013.0000000000005</v>
      </c>
    </row>
    <row r="96" spans="1:7">
      <c r="A96" s="10"/>
      <c r="B96" s="10"/>
      <c r="C96" s="10"/>
      <c r="D96" s="73"/>
      <c r="E96" s="10"/>
      <c r="F96" s="10"/>
      <c r="G96" s="10"/>
    </row>
    <row r="97" spans="1:9">
      <c r="A97" s="10"/>
      <c r="B97" s="10"/>
      <c r="C97" s="10"/>
      <c r="D97" s="73"/>
      <c r="E97" s="10"/>
      <c r="F97" s="10"/>
      <c r="G97" s="10"/>
    </row>
    <row r="98" spans="1:9">
      <c r="A98" s="10"/>
      <c r="B98" s="10"/>
      <c r="C98" s="10"/>
      <c r="D98" s="73"/>
      <c r="E98" s="10"/>
      <c r="F98" s="10"/>
      <c r="G98" s="10"/>
    </row>
    <row r="99" spans="1:9">
      <c r="A99" s="10"/>
      <c r="B99" s="10"/>
      <c r="C99" s="10"/>
      <c r="D99" s="73"/>
      <c r="E99" s="10"/>
      <c r="F99" s="10"/>
      <c r="G99" s="10"/>
    </row>
    <row r="100" spans="1:9">
      <c r="A100" s="10"/>
      <c r="B100" s="10"/>
      <c r="C100" s="10"/>
      <c r="D100" s="73"/>
      <c r="E100" s="10"/>
      <c r="F100" s="10"/>
      <c r="G100" s="10"/>
      <c r="I100" s="58"/>
    </row>
    <row r="101" spans="1:9">
      <c r="A101" s="10"/>
      <c r="B101" s="10"/>
      <c r="C101" s="10"/>
      <c r="D101" s="73"/>
      <c r="E101" s="10"/>
      <c r="F101" s="10"/>
      <c r="G101" s="10"/>
    </row>
    <row r="102" spans="1:9">
      <c r="A102" s="10"/>
      <c r="B102" s="10"/>
      <c r="C102" s="10"/>
      <c r="D102" s="73"/>
      <c r="E102" s="10"/>
      <c r="F102" s="10"/>
      <c r="G102" s="10"/>
    </row>
    <row r="103" spans="1:9">
      <c r="A103" s="10"/>
      <c r="B103" s="10"/>
      <c r="C103" s="10"/>
      <c r="D103" s="73"/>
      <c r="E103" s="10"/>
      <c r="F103" s="10"/>
      <c r="G103" s="10"/>
    </row>
    <row r="104" spans="1:9">
      <c r="A104" s="10"/>
      <c r="B104" s="10"/>
      <c r="C104" s="10"/>
      <c r="D104" s="73"/>
      <c r="E104" s="10"/>
      <c r="F104" s="10"/>
      <c r="G104" s="10"/>
    </row>
    <row r="105" spans="1:9">
      <c r="A105" s="10"/>
      <c r="B105" s="10"/>
      <c r="C105" s="10"/>
      <c r="D105" s="73"/>
      <c r="E105" s="10"/>
      <c r="F105" s="10"/>
      <c r="G105" s="10"/>
    </row>
    <row r="106" spans="1:9">
      <c r="A106" s="10"/>
      <c r="B106" s="10"/>
      <c r="C106" s="10"/>
      <c r="D106" s="73"/>
      <c r="E106" s="10"/>
      <c r="F106" s="10"/>
      <c r="G106" s="10"/>
    </row>
    <row r="107" spans="1:9">
      <c r="A107" s="10"/>
      <c r="B107" s="10"/>
      <c r="C107" s="10"/>
      <c r="D107" s="73"/>
      <c r="E107" s="10"/>
      <c r="F107" s="10"/>
      <c r="G107" s="10"/>
    </row>
    <row r="108" spans="1:9">
      <c r="A108" s="10"/>
      <c r="B108" s="10"/>
      <c r="C108" s="10"/>
      <c r="D108" s="73"/>
      <c r="E108" s="10"/>
      <c r="F108" s="10"/>
      <c r="G108" s="10"/>
    </row>
    <row r="109" spans="1:9">
      <c r="A109" s="10"/>
      <c r="B109" s="10"/>
      <c r="C109" s="10"/>
      <c r="D109" s="73"/>
      <c r="E109" s="10"/>
      <c r="F109" s="10"/>
      <c r="G109" s="10"/>
    </row>
    <row r="110" spans="1:9">
      <c r="A110" s="10"/>
      <c r="B110" s="10"/>
      <c r="C110" s="10"/>
      <c r="D110" s="73"/>
      <c r="E110" s="10"/>
      <c r="F110" s="10"/>
      <c r="G110" s="10"/>
    </row>
    <row r="111" spans="1:9">
      <c r="A111" s="10"/>
      <c r="B111" s="10"/>
      <c r="C111" s="10"/>
      <c r="D111" s="73"/>
      <c r="E111" s="10"/>
      <c r="F111" s="10"/>
      <c r="G111" s="10"/>
    </row>
    <row r="112" spans="1:9">
      <c r="A112" s="10"/>
      <c r="B112" s="10"/>
      <c r="C112" s="10"/>
      <c r="D112" s="73"/>
      <c r="E112" s="10"/>
      <c r="F112" s="10"/>
      <c r="G112" s="10"/>
    </row>
    <row r="113" spans="1:9">
      <c r="A113" s="10"/>
      <c r="B113" s="10"/>
      <c r="C113" s="10"/>
      <c r="D113" s="73"/>
      <c r="E113" s="10"/>
      <c r="F113" s="10"/>
      <c r="G113" s="10"/>
    </row>
    <row r="114" spans="1:9">
      <c r="A114" s="10"/>
      <c r="B114" s="10"/>
      <c r="C114" s="10"/>
      <c r="D114" s="73"/>
      <c r="E114" s="10"/>
      <c r="F114" s="10"/>
      <c r="G114" s="10"/>
    </row>
    <row r="115" spans="1:9">
      <c r="A115" s="10"/>
      <c r="B115" s="10"/>
      <c r="C115" s="10"/>
      <c r="D115" s="73"/>
      <c r="E115" s="10"/>
      <c r="F115" s="10"/>
      <c r="G115" s="10"/>
    </row>
    <row r="116" spans="1:9">
      <c r="A116" s="10"/>
      <c r="B116" s="10"/>
      <c r="C116" s="10"/>
      <c r="D116" s="73"/>
      <c r="E116" s="10"/>
      <c r="F116" s="10"/>
      <c r="G116" s="10"/>
    </row>
    <row r="117" spans="1:9">
      <c r="A117" s="10"/>
      <c r="B117" s="10"/>
      <c r="C117" s="10"/>
      <c r="D117" s="73"/>
      <c r="E117" s="10"/>
      <c r="F117" s="10"/>
      <c r="G117" s="10"/>
    </row>
    <row r="118" spans="1:9">
      <c r="A118" s="10"/>
      <c r="B118" s="10"/>
      <c r="C118" s="10"/>
      <c r="D118" s="73"/>
      <c r="E118" s="10"/>
      <c r="F118" s="10"/>
      <c r="G118" s="10"/>
    </row>
    <row r="119" spans="1:9">
      <c r="A119" s="74" t="s">
        <v>407</v>
      </c>
      <c r="B119" s="10"/>
      <c r="C119" s="10"/>
      <c r="D119" s="73"/>
      <c r="E119" s="10"/>
      <c r="F119" s="10"/>
      <c r="G119" s="10"/>
    </row>
    <row r="120" spans="1:9">
      <c r="C120" s="1" t="s">
        <v>737</v>
      </c>
    </row>
    <row r="121" spans="1:9" s="58" customFormat="1" ht="25.5" customHeight="1">
      <c r="A121"/>
      <c r="B121"/>
      <c r="C121"/>
      <c r="D121"/>
      <c r="E121"/>
      <c r="F121"/>
      <c r="G121"/>
      <c r="H121"/>
      <c r="I121"/>
    </row>
    <row r="123" spans="1:9">
      <c r="B123" s="12"/>
      <c r="C123" t="s">
        <v>738</v>
      </c>
      <c r="D123">
        <v>2350</v>
      </c>
      <c r="E123" t="s">
        <v>739</v>
      </c>
      <c r="F123" s="12">
        <f>D165</f>
        <v>96.999600000000001</v>
      </c>
      <c r="G123" s="643" t="s">
        <v>740</v>
      </c>
      <c r="H123" s="15">
        <f>D123/F123</f>
        <v>24.226904028470219</v>
      </c>
    </row>
    <row r="125" spans="1:9" ht="13.5" thickBot="1"/>
    <row r="126" spans="1:9" ht="39" thickBot="1">
      <c r="A126" s="55" t="s">
        <v>741</v>
      </c>
      <c r="B126" s="55" t="s">
        <v>103</v>
      </c>
      <c r="C126" s="55" t="s">
        <v>104</v>
      </c>
      <c r="D126" s="55" t="s">
        <v>106</v>
      </c>
      <c r="E126" s="56" t="s">
        <v>108</v>
      </c>
      <c r="F126" s="57"/>
      <c r="G126" s="55" t="s">
        <v>304</v>
      </c>
      <c r="H126" s="58"/>
    </row>
    <row r="127" spans="1:9">
      <c r="A127" s="34">
        <v>1</v>
      </c>
      <c r="B127" s="25">
        <v>1213</v>
      </c>
      <c r="C127" s="25">
        <v>84</v>
      </c>
      <c r="D127" s="37">
        <v>2.6511999999999998</v>
      </c>
      <c r="E127" s="25" t="s">
        <v>440</v>
      </c>
      <c r="F127" s="25"/>
      <c r="G127" s="79">
        <f>D127*$H$123</f>
        <v>64.230367960280233</v>
      </c>
    </row>
    <row r="128" spans="1:9">
      <c r="A128" s="35">
        <v>2</v>
      </c>
      <c r="B128" s="5">
        <v>1213</v>
      </c>
      <c r="C128" s="5">
        <v>312</v>
      </c>
      <c r="D128" s="9">
        <v>11.285500000000001</v>
      </c>
      <c r="E128" s="5" t="s">
        <v>441</v>
      </c>
      <c r="F128" s="5"/>
      <c r="G128" s="79">
        <f t="shared" ref="G128:G164" si="2">D128*$H$123</f>
        <v>273.41272541330068</v>
      </c>
    </row>
    <row r="129" spans="1:7">
      <c r="A129" s="35">
        <v>4</v>
      </c>
      <c r="B129" s="5">
        <v>1213</v>
      </c>
      <c r="C129" s="5">
        <v>76</v>
      </c>
      <c r="D129" s="9">
        <v>0.67669999999999997</v>
      </c>
      <c r="E129" s="5" t="s">
        <v>442</v>
      </c>
      <c r="F129" s="5"/>
      <c r="G129" s="79">
        <f t="shared" si="2"/>
        <v>16.394345956065795</v>
      </c>
    </row>
    <row r="130" spans="1:7">
      <c r="A130" s="35">
        <v>5</v>
      </c>
      <c r="B130" s="5">
        <v>1213</v>
      </c>
      <c r="C130" s="5">
        <v>7</v>
      </c>
      <c r="D130" s="9">
        <v>0.183</v>
      </c>
      <c r="E130" s="5" t="s">
        <v>443</v>
      </c>
      <c r="F130" s="5"/>
      <c r="G130" s="79">
        <f t="shared" si="2"/>
        <v>4.4335234372100496</v>
      </c>
    </row>
    <row r="131" spans="1:7">
      <c r="A131" s="35">
        <v>7</v>
      </c>
      <c r="B131" s="5">
        <v>1213</v>
      </c>
      <c r="C131" s="5">
        <v>71</v>
      </c>
      <c r="D131" s="9">
        <v>9.2989999999999995</v>
      </c>
      <c r="E131" s="5" t="s">
        <v>444</v>
      </c>
      <c r="F131" s="5"/>
      <c r="G131" s="79">
        <f t="shared" si="2"/>
        <v>225.28598056074455</v>
      </c>
    </row>
    <row r="132" spans="1:7">
      <c r="A132" s="35">
        <v>7</v>
      </c>
      <c r="B132" s="5">
        <v>1213</v>
      </c>
      <c r="C132" s="5">
        <v>137</v>
      </c>
      <c r="D132" s="9">
        <v>1.2117</v>
      </c>
      <c r="E132" s="5" t="s">
        <v>445</v>
      </c>
      <c r="F132" s="5"/>
      <c r="G132" s="79">
        <f t="shared" si="2"/>
        <v>29.355739611297366</v>
      </c>
    </row>
    <row r="133" spans="1:7">
      <c r="A133" s="35">
        <v>7</v>
      </c>
      <c r="B133" s="5">
        <v>1213</v>
      </c>
      <c r="C133" s="5">
        <v>300</v>
      </c>
      <c r="D133" s="9">
        <v>9.1499999999999998E-2</v>
      </c>
      <c r="E133" s="5" t="s">
        <v>446</v>
      </c>
      <c r="F133" s="5"/>
      <c r="G133" s="79">
        <f t="shared" si="2"/>
        <v>2.2167617186050248</v>
      </c>
    </row>
    <row r="134" spans="1:7">
      <c r="A134" s="35">
        <v>8</v>
      </c>
      <c r="B134" s="5">
        <v>1213</v>
      </c>
      <c r="C134" s="5">
        <v>303</v>
      </c>
      <c r="D134" s="9">
        <v>3.2759999999999998</v>
      </c>
      <c r="E134" s="5" t="s">
        <v>447</v>
      </c>
      <c r="F134" s="5"/>
      <c r="G134" s="79">
        <f t="shared" si="2"/>
        <v>79.367337597268431</v>
      </c>
    </row>
    <row r="135" spans="1:7">
      <c r="A135" s="35">
        <v>8</v>
      </c>
      <c r="B135" s="5">
        <v>1213</v>
      </c>
      <c r="C135" s="5">
        <v>308</v>
      </c>
      <c r="D135" s="9">
        <v>7.9882999999999997</v>
      </c>
      <c r="E135" s="5" t="s">
        <v>447</v>
      </c>
      <c r="F135" s="5"/>
      <c r="G135" s="79">
        <f t="shared" si="2"/>
        <v>193.53177745062865</v>
      </c>
    </row>
    <row r="136" spans="1:7">
      <c r="A136" s="35">
        <v>19</v>
      </c>
      <c r="B136" s="5">
        <v>1213</v>
      </c>
      <c r="C136" s="5">
        <v>88</v>
      </c>
      <c r="D136" s="9">
        <v>14.723599999999999</v>
      </c>
      <c r="E136" s="5" t="s">
        <v>447</v>
      </c>
      <c r="F136" s="5"/>
      <c r="G136" s="79">
        <f t="shared" si="2"/>
        <v>356.7072441535841</v>
      </c>
    </row>
    <row r="137" spans="1:7">
      <c r="A137" s="35">
        <v>19</v>
      </c>
      <c r="B137" s="5">
        <v>1213</v>
      </c>
      <c r="C137" s="5">
        <v>159</v>
      </c>
      <c r="D137" s="9">
        <v>4.6924999999999999</v>
      </c>
      <c r="E137" s="5" t="s">
        <v>447</v>
      </c>
      <c r="F137" s="5"/>
      <c r="G137" s="79">
        <f t="shared" si="2"/>
        <v>113.6847471535965</v>
      </c>
    </row>
    <row r="138" spans="1:7">
      <c r="A138" s="35">
        <v>9</v>
      </c>
      <c r="B138" s="5">
        <v>1213</v>
      </c>
      <c r="C138" s="5">
        <v>91</v>
      </c>
      <c r="D138" s="9">
        <v>4.6063999999999998</v>
      </c>
      <c r="E138" s="5" t="s">
        <v>448</v>
      </c>
      <c r="F138" s="5"/>
      <c r="G138" s="79">
        <f t="shared" si="2"/>
        <v>111.59881071674522</v>
      </c>
    </row>
    <row r="139" spans="1:7">
      <c r="A139" s="35">
        <v>9</v>
      </c>
      <c r="B139" s="5">
        <v>1213</v>
      </c>
      <c r="C139" s="5">
        <v>92</v>
      </c>
      <c r="D139" s="9">
        <v>0.60699999999999998</v>
      </c>
      <c r="E139" s="5" t="s">
        <v>449</v>
      </c>
      <c r="F139" s="5"/>
      <c r="G139" s="79">
        <f t="shared" si="2"/>
        <v>14.705730745281423</v>
      </c>
    </row>
    <row r="140" spans="1:7">
      <c r="A140" s="35">
        <v>9</v>
      </c>
      <c r="B140" s="5">
        <v>1213</v>
      </c>
      <c r="C140" s="5">
        <v>93</v>
      </c>
      <c r="D140" s="9">
        <v>2.2999999999999998</v>
      </c>
      <c r="E140" s="5" t="s">
        <v>450</v>
      </c>
      <c r="F140" s="5"/>
      <c r="G140" s="79">
        <f t="shared" si="2"/>
        <v>55.721879265481498</v>
      </c>
    </row>
    <row r="141" spans="1:7">
      <c r="A141" s="35">
        <v>10</v>
      </c>
      <c r="B141" s="5">
        <v>1213</v>
      </c>
      <c r="C141" s="5">
        <v>306</v>
      </c>
      <c r="D141" s="9">
        <v>4.5285000000000002</v>
      </c>
      <c r="E141" s="5" t="s">
        <v>451</v>
      </c>
      <c r="F141" s="5"/>
      <c r="G141" s="79">
        <f t="shared" si="2"/>
        <v>109.71153489292739</v>
      </c>
    </row>
    <row r="142" spans="1:7">
      <c r="A142" s="35">
        <v>11</v>
      </c>
      <c r="B142" s="5">
        <v>1213</v>
      </c>
      <c r="C142" s="5">
        <v>200</v>
      </c>
      <c r="D142" s="9">
        <v>0.7883</v>
      </c>
      <c r="E142" s="5" t="s">
        <v>452</v>
      </c>
      <c r="F142" s="5"/>
      <c r="G142" s="79">
        <f t="shared" si="2"/>
        <v>19.098068445643072</v>
      </c>
    </row>
    <row r="143" spans="1:7">
      <c r="A143" s="35">
        <v>12</v>
      </c>
      <c r="B143" s="5">
        <v>1213</v>
      </c>
      <c r="C143" s="5">
        <v>94</v>
      </c>
      <c r="D143" s="9">
        <v>0.7228</v>
      </c>
      <c r="E143" s="5" t="s">
        <v>453</v>
      </c>
      <c r="F143" s="5"/>
      <c r="G143" s="79">
        <f t="shared" si="2"/>
        <v>17.511206231778274</v>
      </c>
    </row>
    <row r="144" spans="1:7">
      <c r="A144" s="35">
        <v>13</v>
      </c>
      <c r="B144" s="5">
        <v>1213</v>
      </c>
      <c r="C144" s="5">
        <v>95</v>
      </c>
      <c r="D144" s="9">
        <v>0.5</v>
      </c>
      <c r="E144" s="5" t="s">
        <v>454</v>
      </c>
      <c r="F144" s="5"/>
      <c r="G144" s="79">
        <f t="shared" si="2"/>
        <v>12.11345201423511</v>
      </c>
    </row>
    <row r="145" spans="1:7">
      <c r="A145" s="35">
        <v>14</v>
      </c>
      <c r="B145" s="5">
        <v>1213</v>
      </c>
      <c r="C145" s="5">
        <v>101</v>
      </c>
      <c r="D145" s="9">
        <v>6.9199999999999998E-2</v>
      </c>
      <c r="E145" s="5" t="s">
        <v>455</v>
      </c>
      <c r="F145" s="5"/>
      <c r="G145" s="79">
        <f t="shared" si="2"/>
        <v>1.6765017587701392</v>
      </c>
    </row>
    <row r="146" spans="1:7">
      <c r="A146" s="35">
        <v>14</v>
      </c>
      <c r="B146" s="5">
        <v>1213</v>
      </c>
      <c r="C146" s="5">
        <v>209</v>
      </c>
      <c r="D146" s="9">
        <v>0.27300000000000002</v>
      </c>
      <c r="E146" s="5" t="s">
        <v>456</v>
      </c>
      <c r="F146" s="5"/>
      <c r="G146" s="79">
        <f t="shared" si="2"/>
        <v>6.6139447997723702</v>
      </c>
    </row>
    <row r="147" spans="1:7">
      <c r="A147" s="35">
        <v>15</v>
      </c>
      <c r="B147" s="5">
        <v>1213</v>
      </c>
      <c r="C147" s="5">
        <v>212</v>
      </c>
      <c r="D147" s="9">
        <v>0.1381</v>
      </c>
      <c r="E147" s="5" t="s">
        <v>457</v>
      </c>
      <c r="F147" s="5"/>
      <c r="G147" s="79">
        <f t="shared" si="2"/>
        <v>3.3457354463317373</v>
      </c>
    </row>
    <row r="148" spans="1:7">
      <c r="A148" s="35">
        <v>16</v>
      </c>
      <c r="B148" s="5">
        <v>1213</v>
      </c>
      <c r="C148" s="5">
        <v>105</v>
      </c>
      <c r="D148" s="9">
        <v>0.27229999999999999</v>
      </c>
      <c r="E148" s="5" t="s">
        <v>458</v>
      </c>
      <c r="F148" s="5"/>
      <c r="G148" s="79">
        <f t="shared" si="2"/>
        <v>6.59698596695244</v>
      </c>
    </row>
    <row r="149" spans="1:7">
      <c r="A149" s="35">
        <v>17</v>
      </c>
      <c r="B149" s="5">
        <v>1213</v>
      </c>
      <c r="C149" s="5">
        <v>216</v>
      </c>
      <c r="D149" s="9">
        <v>6.9000000000000006E-2</v>
      </c>
      <c r="E149" s="5" t="s">
        <v>459</v>
      </c>
      <c r="F149" s="5"/>
      <c r="G149" s="79">
        <f t="shared" si="2"/>
        <v>1.6716563779644453</v>
      </c>
    </row>
    <row r="150" spans="1:7">
      <c r="A150" s="35">
        <v>18</v>
      </c>
      <c r="B150" s="5">
        <v>1213</v>
      </c>
      <c r="C150" s="5">
        <v>103</v>
      </c>
      <c r="D150" s="9">
        <v>0.11849999999999999</v>
      </c>
      <c r="E150" s="5" t="s">
        <v>460</v>
      </c>
      <c r="F150" s="5"/>
      <c r="G150" s="79">
        <f t="shared" si="2"/>
        <v>2.8708881273737208</v>
      </c>
    </row>
    <row r="151" spans="1:7">
      <c r="A151" s="35">
        <v>20</v>
      </c>
      <c r="B151" s="5">
        <v>1213</v>
      </c>
      <c r="C151" s="5">
        <v>89</v>
      </c>
      <c r="D151" s="9">
        <v>3.8035000000000001</v>
      </c>
      <c r="E151" s="5" t="s">
        <v>461</v>
      </c>
      <c r="F151" s="5"/>
      <c r="G151" s="79">
        <f t="shared" si="2"/>
        <v>92.147029472286476</v>
      </c>
    </row>
    <row r="152" spans="1:7">
      <c r="A152" s="35">
        <v>20</v>
      </c>
      <c r="B152" s="5">
        <v>1213</v>
      </c>
      <c r="C152" s="5">
        <v>104</v>
      </c>
      <c r="D152" s="9">
        <v>4</v>
      </c>
      <c r="E152" s="5" t="s">
        <v>461</v>
      </c>
      <c r="F152" s="5"/>
      <c r="G152" s="79">
        <f t="shared" si="2"/>
        <v>96.907616113880877</v>
      </c>
    </row>
    <row r="153" spans="1:7">
      <c r="A153" s="35">
        <v>20</v>
      </c>
      <c r="B153" s="5">
        <v>1213</v>
      </c>
      <c r="C153" s="5">
        <v>106</v>
      </c>
      <c r="D153" s="9">
        <v>4.2218999999999998</v>
      </c>
      <c r="E153" s="5" t="s">
        <v>462</v>
      </c>
      <c r="F153" s="5"/>
      <c r="G153" s="79">
        <f t="shared" si="2"/>
        <v>102.28356611779842</v>
      </c>
    </row>
    <row r="154" spans="1:7">
      <c r="A154" s="35">
        <v>20</v>
      </c>
      <c r="B154" s="5">
        <v>1213</v>
      </c>
      <c r="C154" s="5">
        <v>108</v>
      </c>
      <c r="D154" s="9">
        <v>0.82730000000000004</v>
      </c>
      <c r="E154" s="5" t="s">
        <v>461</v>
      </c>
      <c r="F154" s="5"/>
      <c r="G154" s="79">
        <f t="shared" si="2"/>
        <v>20.042917702753414</v>
      </c>
    </row>
    <row r="155" spans="1:7">
      <c r="A155" s="35">
        <v>20</v>
      </c>
      <c r="B155" s="5">
        <v>1213</v>
      </c>
      <c r="C155" s="5">
        <v>109</v>
      </c>
      <c r="D155" s="9">
        <v>0.2419</v>
      </c>
      <c r="E155" s="5" t="s">
        <v>462</v>
      </c>
      <c r="F155" s="5"/>
      <c r="G155" s="79">
        <f t="shared" si="2"/>
        <v>5.8604880844869465</v>
      </c>
    </row>
    <row r="156" spans="1:7">
      <c r="A156" s="35">
        <v>20</v>
      </c>
      <c r="B156" s="5">
        <v>1213</v>
      </c>
      <c r="C156" s="5">
        <v>110</v>
      </c>
      <c r="D156" s="9">
        <v>0.2419</v>
      </c>
      <c r="E156" s="5" t="s">
        <v>461</v>
      </c>
      <c r="F156" s="5"/>
      <c r="G156" s="79">
        <f t="shared" si="2"/>
        <v>5.8604880844869465</v>
      </c>
    </row>
    <row r="157" spans="1:7">
      <c r="A157" s="35">
        <v>20</v>
      </c>
      <c r="B157" s="5">
        <v>1213</v>
      </c>
      <c r="C157" s="5">
        <v>111</v>
      </c>
      <c r="D157" s="9">
        <v>0.2419</v>
      </c>
      <c r="E157" s="5" t="s">
        <v>461</v>
      </c>
      <c r="F157" s="5"/>
      <c r="G157" s="79">
        <f t="shared" si="2"/>
        <v>5.8604880844869465</v>
      </c>
    </row>
    <row r="158" spans="1:7">
      <c r="A158" s="35">
        <v>20</v>
      </c>
      <c r="B158" s="5">
        <v>1213</v>
      </c>
      <c r="C158" s="5">
        <v>112</v>
      </c>
      <c r="D158" s="9">
        <v>0.2419</v>
      </c>
      <c r="E158" s="5" t="s">
        <v>461</v>
      </c>
      <c r="F158" s="5"/>
      <c r="G158" s="79">
        <f t="shared" si="2"/>
        <v>5.8604880844869465</v>
      </c>
    </row>
    <row r="159" spans="1:7">
      <c r="A159" s="35">
        <v>20</v>
      </c>
      <c r="B159" s="5">
        <v>1213</v>
      </c>
      <c r="C159" s="5">
        <v>113</v>
      </c>
      <c r="D159" s="9">
        <v>0.2419</v>
      </c>
      <c r="E159" s="5" t="s">
        <v>461</v>
      </c>
      <c r="F159" s="5"/>
      <c r="G159" s="79">
        <f t="shared" si="2"/>
        <v>5.8604880844869465</v>
      </c>
    </row>
    <row r="160" spans="1:7">
      <c r="A160" s="35">
        <v>20</v>
      </c>
      <c r="B160" s="5">
        <v>1213</v>
      </c>
      <c r="C160" s="5">
        <v>122</v>
      </c>
      <c r="D160" s="9">
        <v>7.7</v>
      </c>
      <c r="E160" s="5" t="s">
        <v>461</v>
      </c>
      <c r="F160" s="5"/>
      <c r="G160" s="79">
        <f t="shared" si="2"/>
        <v>186.54716101922068</v>
      </c>
    </row>
    <row r="161" spans="1:9">
      <c r="A161" s="35">
        <v>21</v>
      </c>
      <c r="B161" s="5">
        <v>1213</v>
      </c>
      <c r="C161" s="5">
        <v>153</v>
      </c>
      <c r="D161" s="9">
        <v>0.71870000000000001</v>
      </c>
      <c r="E161" s="5" t="s">
        <v>463</v>
      </c>
      <c r="F161" s="5"/>
      <c r="G161" s="79">
        <f t="shared" si="2"/>
        <v>17.411875925261548</v>
      </c>
      <c r="I161" s="58"/>
    </row>
    <row r="162" spans="1:9">
      <c r="A162" s="35">
        <v>22</v>
      </c>
      <c r="B162" s="5">
        <v>1213</v>
      </c>
      <c r="C162" s="5">
        <v>161</v>
      </c>
      <c r="D162" s="9">
        <v>1.1927000000000001</v>
      </c>
      <c r="E162" s="5" t="s">
        <v>464</v>
      </c>
      <c r="F162" s="5"/>
      <c r="G162" s="79">
        <f t="shared" si="2"/>
        <v>28.895428434756433</v>
      </c>
    </row>
    <row r="163" spans="1:9">
      <c r="A163" s="35">
        <v>23</v>
      </c>
      <c r="B163" s="5">
        <v>1213</v>
      </c>
      <c r="C163" s="5">
        <v>152</v>
      </c>
      <c r="D163" s="9">
        <v>1.7895000000000001</v>
      </c>
      <c r="E163" s="5" t="s">
        <v>465</v>
      </c>
      <c r="F163" s="5"/>
      <c r="G163" s="79">
        <f t="shared" si="2"/>
        <v>43.35404475894746</v>
      </c>
    </row>
    <row r="164" spans="1:9" ht="13.5" thickBot="1">
      <c r="A164" s="36">
        <v>24</v>
      </c>
      <c r="B164" s="29">
        <v>1213</v>
      </c>
      <c r="C164" s="29">
        <v>162</v>
      </c>
      <c r="D164" s="40">
        <v>0.46439999999999998</v>
      </c>
      <c r="E164" s="29" t="s">
        <v>466</v>
      </c>
      <c r="F164" s="29"/>
      <c r="G164" s="79">
        <f t="shared" si="2"/>
        <v>11.250974230821569</v>
      </c>
    </row>
    <row r="165" spans="1:9">
      <c r="D165" s="15">
        <f>SUM(D127:D164)</f>
        <v>96.999600000000001</v>
      </c>
      <c r="G165" s="4">
        <f>SUM(G127:G164)</f>
        <v>2349.9999999999995</v>
      </c>
    </row>
    <row r="166" spans="1:9">
      <c r="D166" s="15"/>
      <c r="G166" s="4"/>
    </row>
    <row r="167" spans="1:9">
      <c r="A167" t="s">
        <v>101</v>
      </c>
      <c r="D167" s="15"/>
      <c r="G167" s="4"/>
    </row>
    <row r="168" spans="1:9">
      <c r="D168" s="15"/>
      <c r="G168" s="4"/>
    </row>
    <row r="169" spans="1:9">
      <c r="D169" s="15"/>
      <c r="G169" s="4"/>
    </row>
    <row r="170" spans="1:9">
      <c r="D170" s="15"/>
      <c r="G170" s="4"/>
    </row>
    <row r="171" spans="1:9">
      <c r="D171" s="15"/>
      <c r="G171" s="4"/>
    </row>
    <row r="172" spans="1:9">
      <c r="D172" s="15"/>
      <c r="G172" s="4"/>
    </row>
    <row r="173" spans="1:9">
      <c r="D173" s="15"/>
      <c r="G173" s="4"/>
    </row>
    <row r="174" spans="1:9">
      <c r="D174" s="15"/>
      <c r="G174" s="4"/>
    </row>
    <row r="175" spans="1:9">
      <c r="D175" s="15"/>
      <c r="G175" s="4"/>
    </row>
    <row r="176" spans="1:9">
      <c r="D176" s="15"/>
      <c r="G176" s="4"/>
    </row>
    <row r="177" spans="1:8">
      <c r="D177" s="15"/>
      <c r="G177" s="4"/>
    </row>
    <row r="178" spans="1:8">
      <c r="D178" s="15"/>
      <c r="G178" s="4"/>
    </row>
    <row r="179" spans="1:8">
      <c r="D179" s="15"/>
      <c r="G179" s="4"/>
    </row>
    <row r="180" spans="1:8">
      <c r="A180" s="47" t="s">
        <v>744</v>
      </c>
      <c r="D180" s="15"/>
    </row>
    <row r="182" spans="1:8">
      <c r="C182" s="1" t="s">
        <v>737</v>
      </c>
    </row>
    <row r="185" spans="1:8">
      <c r="B185" s="12"/>
      <c r="C185" t="s">
        <v>738</v>
      </c>
      <c r="D185">
        <v>1710.3</v>
      </c>
      <c r="E185" t="s">
        <v>739</v>
      </c>
      <c r="F185" s="12">
        <f>D205</f>
        <v>37.416049999999998</v>
      </c>
      <c r="G185" s="643" t="s">
        <v>740</v>
      </c>
      <c r="H185" s="15">
        <f>D185/F185</f>
        <v>45.710330192524331</v>
      </c>
    </row>
    <row r="186" spans="1:8" ht="13.5" thickBot="1"/>
    <row r="187" spans="1:8" ht="39" thickBot="1">
      <c r="A187" s="55" t="s">
        <v>741</v>
      </c>
      <c r="B187" s="55" t="s">
        <v>103</v>
      </c>
      <c r="C187" s="55" t="s">
        <v>104</v>
      </c>
      <c r="D187" s="55" t="s">
        <v>106</v>
      </c>
      <c r="E187" s="56" t="s">
        <v>108</v>
      </c>
      <c r="F187" s="57"/>
      <c r="G187" s="55" t="s">
        <v>304</v>
      </c>
      <c r="H187" s="58"/>
    </row>
    <row r="188" spans="1:8">
      <c r="A188" s="34">
        <v>1</v>
      </c>
      <c r="B188" s="25">
        <v>1213</v>
      </c>
      <c r="C188" s="25">
        <v>319</v>
      </c>
      <c r="D188" s="37">
        <v>0.44359999999999999</v>
      </c>
      <c r="E188" s="25" t="s">
        <v>468</v>
      </c>
      <c r="F188" s="25"/>
      <c r="G188" s="43">
        <f>D188*$H$185</f>
        <v>20.277102473403794</v>
      </c>
    </row>
    <row r="189" spans="1:8">
      <c r="A189" s="35">
        <v>3</v>
      </c>
      <c r="B189" s="5">
        <v>1213</v>
      </c>
      <c r="C189" s="5">
        <v>49</v>
      </c>
      <c r="D189" s="9">
        <v>3.1314000000000002</v>
      </c>
      <c r="E189" s="5" t="s">
        <v>469</v>
      </c>
      <c r="F189" s="5"/>
      <c r="G189" s="43">
        <f t="shared" ref="G189:G204" si="3">D189*$H$185</f>
        <v>143.13732796487071</v>
      </c>
    </row>
    <row r="190" spans="1:8">
      <c r="A190" s="35">
        <v>3</v>
      </c>
      <c r="B190" s="5">
        <v>1213</v>
      </c>
      <c r="C190" s="5">
        <v>291</v>
      </c>
      <c r="D190" s="9">
        <v>4.0974000000000004</v>
      </c>
      <c r="E190" s="5" t="s">
        <v>470</v>
      </c>
      <c r="F190" s="5"/>
      <c r="G190" s="43">
        <f t="shared" si="3"/>
        <v>187.29350693084922</v>
      </c>
    </row>
    <row r="191" spans="1:8">
      <c r="A191" s="35">
        <v>4</v>
      </c>
      <c r="B191" s="5">
        <v>1213</v>
      </c>
      <c r="C191" s="5">
        <v>301</v>
      </c>
      <c r="D191" s="9">
        <v>4.9087500000000004</v>
      </c>
      <c r="E191" s="5" t="s">
        <v>471</v>
      </c>
      <c r="F191" s="5"/>
      <c r="G191" s="43">
        <f t="shared" si="3"/>
        <v>224.38058333255384</v>
      </c>
    </row>
    <row r="192" spans="1:8">
      <c r="A192" s="35">
        <v>6</v>
      </c>
      <c r="B192" s="5">
        <v>1213</v>
      </c>
      <c r="C192" s="5">
        <v>336</v>
      </c>
      <c r="D192" s="9">
        <v>1.8263</v>
      </c>
      <c r="E192" s="5" t="s">
        <v>472</v>
      </c>
      <c r="F192" s="5"/>
      <c r="G192" s="43">
        <f t="shared" si="3"/>
        <v>83.480776030607188</v>
      </c>
    </row>
    <row r="193" spans="1:9">
      <c r="A193" s="35">
        <v>7</v>
      </c>
      <c r="B193" s="5">
        <v>1213</v>
      </c>
      <c r="C193" s="5">
        <v>61</v>
      </c>
      <c r="D193" s="9">
        <v>0.92049999999999998</v>
      </c>
      <c r="E193" s="5" t="s">
        <v>473</v>
      </c>
      <c r="F193" s="5"/>
      <c r="G193" s="43">
        <f t="shared" si="3"/>
        <v>42.076358942218647</v>
      </c>
      <c r="I193" s="58"/>
    </row>
    <row r="194" spans="1:9">
      <c r="A194" s="35">
        <v>8</v>
      </c>
      <c r="B194" s="5">
        <v>1213</v>
      </c>
      <c r="C194" s="5">
        <v>190</v>
      </c>
      <c r="D194" s="9">
        <v>0.47660000000000002</v>
      </c>
      <c r="E194" s="5" t="s">
        <v>474</v>
      </c>
      <c r="F194" s="5"/>
      <c r="G194" s="43">
        <f t="shared" si="3"/>
        <v>21.785543369757097</v>
      </c>
    </row>
    <row r="195" spans="1:9">
      <c r="A195" s="35">
        <v>9</v>
      </c>
      <c r="B195" s="5">
        <v>1213</v>
      </c>
      <c r="C195" s="5">
        <v>298</v>
      </c>
      <c r="D195" s="9">
        <v>2.1753</v>
      </c>
      <c r="E195" s="5" t="s">
        <v>475</v>
      </c>
      <c r="F195" s="5"/>
      <c r="G195" s="43">
        <f t="shared" si="3"/>
        <v>99.433681267798178</v>
      </c>
    </row>
    <row r="196" spans="1:9">
      <c r="A196" s="35">
        <v>9</v>
      </c>
      <c r="B196" s="5">
        <v>1213</v>
      </c>
      <c r="C196" s="5">
        <v>299</v>
      </c>
      <c r="D196" s="9">
        <v>4.9768999999999997</v>
      </c>
      <c r="E196" s="5" t="s">
        <v>475</v>
      </c>
      <c r="F196" s="5"/>
      <c r="G196" s="43">
        <f t="shared" si="3"/>
        <v>227.49574233517433</v>
      </c>
    </row>
    <row r="197" spans="1:9">
      <c r="A197" s="35">
        <v>10</v>
      </c>
      <c r="B197" s="5">
        <v>1213</v>
      </c>
      <c r="C197" s="5">
        <v>202</v>
      </c>
      <c r="D197" s="9">
        <v>0.11269999999999999</v>
      </c>
      <c r="E197" s="5" t="s">
        <v>476</v>
      </c>
      <c r="F197" s="5"/>
      <c r="G197" s="43">
        <f t="shared" si="3"/>
        <v>5.1515542126974916</v>
      </c>
    </row>
    <row r="198" spans="1:9">
      <c r="A198" s="35">
        <v>11</v>
      </c>
      <c r="B198" s="5">
        <v>1213</v>
      </c>
      <c r="C198" s="5">
        <v>206</v>
      </c>
      <c r="D198" s="9">
        <v>7.6100000000000001E-2</v>
      </c>
      <c r="E198" s="5" t="s">
        <v>477</v>
      </c>
      <c r="F198" s="5"/>
      <c r="G198" s="43">
        <f t="shared" si="3"/>
        <v>3.4785561276511019</v>
      </c>
    </row>
    <row r="199" spans="1:9">
      <c r="A199" s="35">
        <v>12</v>
      </c>
      <c r="B199" s="5">
        <v>1213</v>
      </c>
      <c r="C199" s="5">
        <v>66</v>
      </c>
      <c r="D199" s="9" t="s">
        <v>478</v>
      </c>
      <c r="E199" s="5" t="s">
        <v>479</v>
      </c>
      <c r="F199" s="5"/>
      <c r="G199" s="43" t="e">
        <f t="shared" si="3"/>
        <v>#VALUE!</v>
      </c>
    </row>
    <row r="200" spans="1:9">
      <c r="A200" s="35">
        <v>12</v>
      </c>
      <c r="B200" s="5">
        <v>1213</v>
      </c>
      <c r="C200" s="5">
        <v>314</v>
      </c>
      <c r="D200" s="9">
        <v>0.33069999999999999</v>
      </c>
      <c r="E200" s="5" t="s">
        <v>480</v>
      </c>
      <c r="F200" s="5"/>
      <c r="G200" s="43">
        <f t="shared" si="3"/>
        <v>15.116406194667796</v>
      </c>
    </row>
    <row r="201" spans="1:9">
      <c r="A201" s="35">
        <v>12</v>
      </c>
      <c r="B201" s="5">
        <v>1213</v>
      </c>
      <c r="C201" s="5">
        <v>315</v>
      </c>
      <c r="D201" s="9">
        <v>0.59699999999999998</v>
      </c>
      <c r="E201" s="5" t="s">
        <v>480</v>
      </c>
      <c r="F201" s="5"/>
      <c r="G201" s="43">
        <f t="shared" si="3"/>
        <v>27.289067124937024</v>
      </c>
    </row>
    <row r="202" spans="1:9">
      <c r="A202" s="35">
        <v>12</v>
      </c>
      <c r="B202" s="5">
        <v>1213</v>
      </c>
      <c r="C202" s="5">
        <v>316</v>
      </c>
      <c r="D202" s="9">
        <v>0.59699999999999998</v>
      </c>
      <c r="E202" s="5" t="s">
        <v>480</v>
      </c>
      <c r="F202" s="5"/>
      <c r="G202" s="43">
        <f t="shared" si="3"/>
        <v>27.289067124937024</v>
      </c>
    </row>
    <row r="203" spans="1:9">
      <c r="A203" s="35">
        <v>12</v>
      </c>
      <c r="B203" s="5">
        <v>1213</v>
      </c>
      <c r="C203" s="5">
        <v>317</v>
      </c>
      <c r="D203" s="9">
        <v>2.5825</v>
      </c>
      <c r="E203" s="5" t="s">
        <v>480</v>
      </c>
      <c r="F203" s="5"/>
      <c r="G203" s="43">
        <f t="shared" si="3"/>
        <v>118.04692772219408</v>
      </c>
    </row>
    <row r="204" spans="1:9" ht="13.5" thickBot="1">
      <c r="A204" s="36">
        <v>13</v>
      </c>
      <c r="B204" s="29">
        <v>1213</v>
      </c>
      <c r="C204" s="29">
        <v>168</v>
      </c>
      <c r="D204" s="40">
        <v>10.1633</v>
      </c>
      <c r="E204" s="29" t="s">
        <v>481</v>
      </c>
      <c r="F204" s="29"/>
      <c r="G204" s="43">
        <f t="shared" si="3"/>
        <v>464.56779884568255</v>
      </c>
    </row>
    <row r="205" spans="1:9" s="58" customFormat="1" ht="25.5" customHeight="1">
      <c r="A205"/>
      <c r="B205"/>
      <c r="C205"/>
      <c r="D205" s="15">
        <f>SUM(D188:D204)</f>
        <v>37.416049999999998</v>
      </c>
      <c r="E205"/>
      <c r="F205"/>
      <c r="G205" s="4" t="e">
        <f>SUM(G188:G204)</f>
        <v>#VALUE!</v>
      </c>
      <c r="H205"/>
      <c r="I205"/>
    </row>
    <row r="206" spans="1:9">
      <c r="D206" s="15"/>
      <c r="G206" s="4"/>
    </row>
    <row r="207" spans="1:9">
      <c r="D207" s="15"/>
      <c r="G207" s="4"/>
    </row>
    <row r="208" spans="1:9">
      <c r="D208" s="15"/>
      <c r="G208" s="4"/>
    </row>
    <row r="209" spans="1:9">
      <c r="D209" s="15"/>
      <c r="G209" s="4"/>
    </row>
    <row r="210" spans="1:9">
      <c r="D210" s="15"/>
      <c r="G210" s="4"/>
    </row>
    <row r="211" spans="1:9">
      <c r="D211" s="15"/>
      <c r="G211" s="4"/>
    </row>
    <row r="212" spans="1:9">
      <c r="D212" s="15"/>
      <c r="G212" s="4"/>
    </row>
    <row r="213" spans="1:9">
      <c r="D213" s="15"/>
      <c r="G213" s="4"/>
    </row>
    <row r="214" spans="1:9">
      <c r="C214" s="1" t="s">
        <v>737</v>
      </c>
    </row>
    <row r="217" spans="1:9">
      <c r="B217" s="12"/>
      <c r="C217" t="s">
        <v>738</v>
      </c>
      <c r="D217">
        <v>464</v>
      </c>
      <c r="E217" t="s">
        <v>739</v>
      </c>
      <c r="F217" s="12">
        <f>D227</f>
        <v>16.245499999999996</v>
      </c>
      <c r="G217" s="643" t="s">
        <v>740</v>
      </c>
      <c r="H217" s="15">
        <f>D217/F217</f>
        <v>28.561755563079014</v>
      </c>
    </row>
    <row r="218" spans="1:9" ht="13.5" thickBot="1">
      <c r="A218" s="47" t="s">
        <v>745</v>
      </c>
      <c r="D218" s="15"/>
    </row>
    <row r="219" spans="1:9" ht="39" thickBot="1">
      <c r="A219" s="55" t="s">
        <v>741</v>
      </c>
      <c r="B219" s="55" t="s">
        <v>103</v>
      </c>
      <c r="C219" s="55" t="s">
        <v>104</v>
      </c>
      <c r="D219" s="55" t="s">
        <v>106</v>
      </c>
      <c r="E219" s="56" t="s">
        <v>108</v>
      </c>
      <c r="F219" s="57"/>
      <c r="G219" s="55" t="s">
        <v>304</v>
      </c>
      <c r="H219" s="58"/>
    </row>
    <row r="220" spans="1:9">
      <c r="A220" s="34">
        <v>1</v>
      </c>
      <c r="B220" s="25">
        <v>1213</v>
      </c>
      <c r="C220" s="25">
        <v>28</v>
      </c>
      <c r="D220" s="37">
        <v>3.8839000000000001</v>
      </c>
      <c r="E220" s="25" t="s">
        <v>438</v>
      </c>
      <c r="F220" s="25"/>
      <c r="G220" s="43">
        <f>D220*$H$217</f>
        <v>110.93100243144259</v>
      </c>
    </row>
    <row r="221" spans="1:9">
      <c r="A221" s="35">
        <v>2</v>
      </c>
      <c r="B221" s="5">
        <v>1213</v>
      </c>
      <c r="C221" s="5">
        <v>29</v>
      </c>
      <c r="D221" s="9">
        <v>0.16980000000000001</v>
      </c>
      <c r="E221" s="5" t="s">
        <v>483</v>
      </c>
      <c r="F221" s="5"/>
      <c r="G221" s="43">
        <f t="shared" ref="G221:G227" si="4">D221*$H$217</f>
        <v>4.8497860946108169</v>
      </c>
    </row>
    <row r="222" spans="1:9">
      <c r="A222" s="35">
        <v>3</v>
      </c>
      <c r="B222" s="5">
        <v>1213</v>
      </c>
      <c r="C222" s="5">
        <v>19</v>
      </c>
      <c r="D222" s="9">
        <v>1.7969999999999999</v>
      </c>
      <c r="E222" s="5" t="s">
        <v>484</v>
      </c>
      <c r="F222" s="5"/>
      <c r="G222" s="43">
        <f t="shared" si="4"/>
        <v>51.32547474685299</v>
      </c>
    </row>
    <row r="223" spans="1:9">
      <c r="A223" s="35">
        <v>4</v>
      </c>
      <c r="B223" s="5">
        <v>1213</v>
      </c>
      <c r="C223" s="5">
        <v>233</v>
      </c>
      <c r="D223" s="9">
        <v>2.1351</v>
      </c>
      <c r="E223" s="5" t="s">
        <v>485</v>
      </c>
      <c r="F223" s="5"/>
      <c r="G223" s="43">
        <f t="shared" si="4"/>
        <v>60.982204302730004</v>
      </c>
      <c r="I223" s="58"/>
    </row>
    <row r="224" spans="1:9">
      <c r="A224" s="35">
        <v>5</v>
      </c>
      <c r="B224" s="5">
        <v>1213</v>
      </c>
      <c r="C224" s="5">
        <v>331</v>
      </c>
      <c r="D224" s="9">
        <v>4.9919000000000002</v>
      </c>
      <c r="E224" s="5" t="s">
        <v>486</v>
      </c>
      <c r="F224" s="5"/>
      <c r="G224" s="43">
        <f t="shared" si="4"/>
        <v>142.57742759533414</v>
      </c>
    </row>
    <row r="225" spans="1:9">
      <c r="A225" s="35">
        <v>6</v>
      </c>
      <c r="B225" s="5">
        <v>1213</v>
      </c>
      <c r="C225" s="5">
        <v>321</v>
      </c>
      <c r="D225" s="9">
        <v>1.5629</v>
      </c>
      <c r="E225" s="5" t="s">
        <v>487</v>
      </c>
      <c r="F225" s="5"/>
      <c r="G225" s="43">
        <f t="shared" si="4"/>
        <v>44.639167769536193</v>
      </c>
    </row>
    <row r="226" spans="1:9" ht="13.5" thickBot="1">
      <c r="A226" s="36">
        <v>7</v>
      </c>
      <c r="B226" s="29">
        <v>1213</v>
      </c>
      <c r="C226" s="29">
        <v>320</v>
      </c>
      <c r="D226" s="40">
        <v>1.7049000000000001</v>
      </c>
      <c r="E226" s="29" t="s">
        <v>488</v>
      </c>
      <c r="F226" s="29"/>
      <c r="G226" s="43">
        <f t="shared" si="4"/>
        <v>48.694937059493412</v>
      </c>
    </row>
    <row r="227" spans="1:9">
      <c r="D227" s="15">
        <f>SUM(D220:D226)</f>
        <v>16.245499999999996</v>
      </c>
      <c r="G227" s="43">
        <f t="shared" si="4"/>
        <v>464</v>
      </c>
    </row>
    <row r="228" spans="1:9">
      <c r="D228" s="15"/>
      <c r="G228" s="88"/>
    </row>
    <row r="229" spans="1:9">
      <c r="D229" s="15"/>
      <c r="G229" s="88"/>
    </row>
    <row r="230" spans="1:9">
      <c r="D230" s="15"/>
      <c r="G230" s="88"/>
    </row>
    <row r="231" spans="1:9">
      <c r="D231" s="15"/>
      <c r="G231" s="88"/>
    </row>
    <row r="232" spans="1:9">
      <c r="D232" s="15"/>
      <c r="G232" s="88"/>
    </row>
    <row r="233" spans="1:9">
      <c r="D233" s="15"/>
      <c r="G233" s="88"/>
    </row>
    <row r="234" spans="1:9">
      <c r="D234" s="15"/>
      <c r="G234" s="88"/>
    </row>
    <row r="235" spans="1:9">
      <c r="D235" s="15"/>
      <c r="G235" s="88"/>
    </row>
    <row r="236" spans="1:9">
      <c r="D236" s="15"/>
      <c r="G236" s="88"/>
    </row>
    <row r="237" spans="1:9" s="58" customFormat="1" ht="25.5" customHeight="1">
      <c r="A237"/>
      <c r="B237"/>
      <c r="C237"/>
      <c r="D237" s="15"/>
      <c r="E237"/>
      <c r="F237"/>
      <c r="G237" s="88"/>
      <c r="H237"/>
      <c r="I237"/>
    </row>
    <row r="238" spans="1:9">
      <c r="D238" s="15"/>
      <c r="G238" s="88"/>
    </row>
    <row r="239" spans="1:9">
      <c r="D239" s="15"/>
      <c r="G239" s="88"/>
    </row>
    <row r="240" spans="1:9">
      <c r="D240" s="15"/>
      <c r="G240" s="88"/>
      <c r="I240" s="78"/>
    </row>
    <row r="241" spans="1:8">
      <c r="A241" s="47" t="s">
        <v>746</v>
      </c>
      <c r="D241" s="15"/>
    </row>
    <row r="242" spans="1:8">
      <c r="C242" s="1" t="s">
        <v>413</v>
      </c>
    </row>
    <row r="246" spans="1:8">
      <c r="B246" s="12"/>
      <c r="C246" t="s">
        <v>747</v>
      </c>
      <c r="D246">
        <v>2300</v>
      </c>
      <c r="E246" t="s">
        <v>739</v>
      </c>
      <c r="F246" s="12">
        <f>D284</f>
        <v>98.739900000000006</v>
      </c>
      <c r="G246" s="643" t="s">
        <v>748</v>
      </c>
      <c r="H246">
        <f>D246/F246</f>
        <v>23.293521666519815</v>
      </c>
    </row>
    <row r="248" spans="1:8" ht="13.5" thickBot="1">
      <c r="A248" s="47"/>
    </row>
    <row r="249" spans="1:8" ht="38.25">
      <c r="A249" s="55" t="s">
        <v>741</v>
      </c>
      <c r="B249" s="55" t="s">
        <v>103</v>
      </c>
      <c r="C249" s="55" t="s">
        <v>104</v>
      </c>
      <c r="D249" s="55" t="s">
        <v>106</v>
      </c>
      <c r="E249" s="56" t="s">
        <v>108</v>
      </c>
      <c r="F249" s="57"/>
      <c r="G249" s="55" t="s">
        <v>304</v>
      </c>
      <c r="H249" s="58"/>
    </row>
    <row r="250" spans="1:8">
      <c r="A250" s="5">
        <v>1</v>
      </c>
      <c r="B250" s="5">
        <v>1213</v>
      </c>
      <c r="C250" s="5">
        <v>324</v>
      </c>
      <c r="D250" s="21">
        <v>2.4005999999999998</v>
      </c>
      <c r="E250" s="5" t="s">
        <v>490</v>
      </c>
      <c r="F250" s="48"/>
      <c r="G250" s="43">
        <f>D250*$H$246</f>
        <v>55.918428112647469</v>
      </c>
    </row>
    <row r="251" spans="1:8">
      <c r="A251" s="5">
        <v>1</v>
      </c>
      <c r="B251" s="5">
        <v>1213</v>
      </c>
      <c r="C251" s="5">
        <v>325</v>
      </c>
      <c r="D251" s="21">
        <v>3.0775999999999999</v>
      </c>
      <c r="E251" s="5" t="s">
        <v>490</v>
      </c>
      <c r="F251" s="48"/>
      <c r="G251" s="43">
        <f t="shared" ref="G251:G284" si="5">D251*$H$246</f>
        <v>71.68814228088138</v>
      </c>
    </row>
    <row r="252" spans="1:8">
      <c r="A252" s="51">
        <v>2</v>
      </c>
      <c r="B252" s="52">
        <v>1213</v>
      </c>
      <c r="C252" s="52">
        <v>241</v>
      </c>
      <c r="D252" s="44">
        <v>3.8921000000000001</v>
      </c>
      <c r="E252" s="52" t="s">
        <v>491</v>
      </c>
      <c r="F252" s="52"/>
      <c r="G252" s="43">
        <f t="shared" si="5"/>
        <v>90.660715678261781</v>
      </c>
    </row>
    <row r="253" spans="1:8">
      <c r="A253" s="35">
        <v>3</v>
      </c>
      <c r="B253" s="5">
        <v>1213</v>
      </c>
      <c r="C253" s="5">
        <v>253</v>
      </c>
      <c r="D253" s="21">
        <v>0.14380000000000001</v>
      </c>
      <c r="E253" s="5" t="s">
        <v>492</v>
      </c>
      <c r="F253" s="5"/>
      <c r="G253" s="43">
        <f t="shared" si="5"/>
        <v>3.3496084156455499</v>
      </c>
    </row>
    <row r="254" spans="1:8">
      <c r="A254" s="35">
        <v>4</v>
      </c>
      <c r="B254" s="5">
        <v>1213</v>
      </c>
      <c r="C254" s="5">
        <v>242</v>
      </c>
      <c r="D254" s="21">
        <v>2.6025</v>
      </c>
      <c r="E254" s="5" t="s">
        <v>493</v>
      </c>
      <c r="F254" s="5"/>
      <c r="G254" s="43">
        <f t="shared" si="5"/>
        <v>60.621390137117821</v>
      </c>
    </row>
    <row r="255" spans="1:8">
      <c r="A255" s="35">
        <v>5</v>
      </c>
      <c r="B255" s="5">
        <v>1213</v>
      </c>
      <c r="C255" s="5">
        <v>245</v>
      </c>
      <c r="D255" s="21">
        <v>0.21820000000000001</v>
      </c>
      <c r="E255" s="5" t="s">
        <v>494</v>
      </c>
      <c r="F255" s="5"/>
      <c r="G255" s="43">
        <f t="shared" si="5"/>
        <v>5.0826464276346242</v>
      </c>
    </row>
    <row r="256" spans="1:8">
      <c r="A256" s="35">
        <v>6</v>
      </c>
      <c r="B256" s="5">
        <v>1213</v>
      </c>
      <c r="C256" s="5">
        <v>272</v>
      </c>
      <c r="D256" s="21">
        <v>1.3748</v>
      </c>
      <c r="E256" s="5" t="s">
        <v>495</v>
      </c>
      <c r="F256" s="5"/>
      <c r="G256" s="43">
        <f t="shared" si="5"/>
        <v>32.023933587131445</v>
      </c>
    </row>
    <row r="257" spans="1:8">
      <c r="A257" s="35">
        <v>7</v>
      </c>
      <c r="B257" s="5">
        <v>1213</v>
      </c>
      <c r="C257" s="5">
        <v>116</v>
      </c>
      <c r="D257" s="21">
        <v>3.1474000000000002</v>
      </c>
      <c r="E257" s="5" t="s">
        <v>496</v>
      </c>
      <c r="F257" s="5"/>
      <c r="G257" s="43">
        <f t="shared" si="5"/>
        <v>73.314030093204465</v>
      </c>
    </row>
    <row r="258" spans="1:8">
      <c r="A258" s="35">
        <v>8</v>
      </c>
      <c r="B258" s="5">
        <v>1213</v>
      </c>
      <c r="C258" s="5">
        <v>117</v>
      </c>
      <c r="D258" s="21">
        <v>6.4078999999999997</v>
      </c>
      <c r="E258" s="5" t="s">
        <v>497</v>
      </c>
      <c r="F258" s="5"/>
      <c r="G258" s="43">
        <f t="shared" si="5"/>
        <v>149.26255748689232</v>
      </c>
    </row>
    <row r="259" spans="1:8">
      <c r="A259" s="35">
        <v>9</v>
      </c>
      <c r="B259" s="5">
        <v>1213</v>
      </c>
      <c r="C259" s="5">
        <v>118</v>
      </c>
      <c r="D259" s="21">
        <v>0.4098</v>
      </c>
      <c r="E259" s="5" t="s">
        <v>498</v>
      </c>
      <c r="F259" s="5"/>
      <c r="G259" s="43">
        <f t="shared" si="5"/>
        <v>9.54568517893982</v>
      </c>
    </row>
    <row r="260" spans="1:8">
      <c r="A260" s="35">
        <v>10</v>
      </c>
      <c r="B260" s="5">
        <v>1213</v>
      </c>
      <c r="C260" s="5">
        <v>239</v>
      </c>
      <c r="D260" s="21">
        <v>6.8400000000000002E-2</v>
      </c>
      <c r="E260" s="5" t="s">
        <v>499</v>
      </c>
      <c r="F260" s="5"/>
      <c r="G260" s="43">
        <f t="shared" si="5"/>
        <v>1.5932768819899554</v>
      </c>
    </row>
    <row r="261" spans="1:8">
      <c r="A261" s="35">
        <v>11</v>
      </c>
      <c r="B261" s="5">
        <v>1213</v>
      </c>
      <c r="C261" s="5">
        <v>284</v>
      </c>
      <c r="D261" s="21">
        <v>0.3286</v>
      </c>
      <c r="E261" s="5" t="s">
        <v>500</v>
      </c>
      <c r="F261" s="5"/>
      <c r="G261" s="43">
        <f t="shared" si="5"/>
        <v>7.6542512196184118</v>
      </c>
    </row>
    <row r="262" spans="1:8">
      <c r="A262" s="35">
        <v>13</v>
      </c>
      <c r="B262" s="5">
        <v>1213</v>
      </c>
      <c r="C262" s="5" t="s">
        <v>720</v>
      </c>
      <c r="D262" s="21">
        <v>8.0380000000000003</v>
      </c>
      <c r="E262" s="5" t="s">
        <v>501</v>
      </c>
      <c r="F262" s="5"/>
      <c r="G262" s="43">
        <f t="shared" si="5"/>
        <v>187.23332715548628</v>
      </c>
    </row>
    <row r="263" spans="1:8">
      <c r="A263" s="35">
        <v>14</v>
      </c>
      <c r="B263" s="5">
        <v>1213</v>
      </c>
      <c r="C263" s="5">
        <v>271</v>
      </c>
      <c r="D263" s="21">
        <v>7.6840000000000002</v>
      </c>
      <c r="E263" s="5" t="s">
        <v>503</v>
      </c>
      <c r="F263" s="5"/>
      <c r="G263" s="43">
        <f t="shared" si="5"/>
        <v>178.98742048553828</v>
      </c>
    </row>
    <row r="264" spans="1:8">
      <c r="A264" s="6">
        <v>15</v>
      </c>
      <c r="B264" s="5">
        <v>1213</v>
      </c>
      <c r="C264" s="5">
        <v>13</v>
      </c>
      <c r="D264" s="21">
        <v>2.6294</v>
      </c>
      <c r="E264" s="5" t="s">
        <v>504</v>
      </c>
      <c r="F264" s="48"/>
      <c r="G264" s="43">
        <f t="shared" si="5"/>
        <v>61.2479858699472</v>
      </c>
    </row>
    <row r="265" spans="1:8">
      <c r="A265" s="35">
        <v>16</v>
      </c>
      <c r="B265" s="5">
        <v>1213</v>
      </c>
      <c r="C265" s="5">
        <v>131</v>
      </c>
      <c r="D265" s="21">
        <v>3.9478</v>
      </c>
      <c r="E265" s="5" t="s">
        <v>451</v>
      </c>
      <c r="F265" s="5"/>
      <c r="G265" s="43">
        <f t="shared" si="5"/>
        <v>91.958164835086933</v>
      </c>
    </row>
    <row r="266" spans="1:8">
      <c r="A266" s="75">
        <v>17</v>
      </c>
      <c r="B266" s="76">
        <v>1213</v>
      </c>
      <c r="C266" s="76">
        <v>198</v>
      </c>
      <c r="D266" s="77">
        <v>10</v>
      </c>
      <c r="E266" s="76" t="s">
        <v>505</v>
      </c>
      <c r="F266" s="76"/>
      <c r="G266" s="43">
        <f t="shared" si="5"/>
        <v>232.93521666519814</v>
      </c>
      <c r="H266" s="78"/>
    </row>
    <row r="267" spans="1:8">
      <c r="A267" s="35">
        <v>18</v>
      </c>
      <c r="B267" s="5">
        <v>1213</v>
      </c>
      <c r="C267" s="5">
        <v>134</v>
      </c>
      <c r="D267" s="21">
        <v>0.83489999999999998</v>
      </c>
      <c r="E267" s="5" t="s">
        <v>506</v>
      </c>
      <c r="F267" s="5"/>
      <c r="G267" s="43">
        <f t="shared" si="5"/>
        <v>19.447761239377392</v>
      </c>
    </row>
    <row r="268" spans="1:8">
      <c r="A268" s="35">
        <v>19</v>
      </c>
      <c r="B268" s="5">
        <v>1213</v>
      </c>
      <c r="C268" s="5">
        <v>289</v>
      </c>
      <c r="D268" s="21">
        <v>0.43369999999999997</v>
      </c>
      <c r="E268" s="5" t="s">
        <v>507</v>
      </c>
      <c r="F268" s="5"/>
      <c r="G268" s="43">
        <f t="shared" si="5"/>
        <v>10.102400346769643</v>
      </c>
    </row>
    <row r="269" spans="1:8">
      <c r="A269" s="35">
        <v>20</v>
      </c>
      <c r="B269" s="5">
        <v>1213</v>
      </c>
      <c r="C269" s="5">
        <v>176</v>
      </c>
      <c r="D269" s="21">
        <v>0.43359999999999999</v>
      </c>
      <c r="E269" s="5" t="s">
        <v>508</v>
      </c>
      <c r="F269" s="5"/>
      <c r="G269" s="43">
        <f t="shared" si="5"/>
        <v>10.100070994602993</v>
      </c>
    </row>
    <row r="270" spans="1:8">
      <c r="A270" s="35">
        <v>21</v>
      </c>
      <c r="B270" s="5">
        <v>1213</v>
      </c>
      <c r="C270" s="5">
        <v>124</v>
      </c>
      <c r="D270" s="21">
        <v>0.8</v>
      </c>
      <c r="E270" s="5" t="s">
        <v>509</v>
      </c>
      <c r="F270" s="5"/>
      <c r="G270" s="43">
        <f t="shared" si="5"/>
        <v>18.634817333215853</v>
      </c>
    </row>
    <row r="271" spans="1:8">
      <c r="A271" s="35">
        <v>22</v>
      </c>
      <c r="B271" s="5">
        <v>1213</v>
      </c>
      <c r="C271" s="5">
        <v>125</v>
      </c>
      <c r="D271" s="21">
        <v>1.1506000000000001</v>
      </c>
      <c r="E271" s="5" t="s">
        <v>510</v>
      </c>
      <c r="F271" s="5"/>
      <c r="G271" s="43">
        <f t="shared" si="5"/>
        <v>26.801526029497701</v>
      </c>
    </row>
    <row r="272" spans="1:8">
      <c r="A272" s="35">
        <v>23</v>
      </c>
      <c r="B272" s="5">
        <v>1213</v>
      </c>
      <c r="C272" s="5">
        <v>127</v>
      </c>
      <c r="D272" s="21">
        <v>2</v>
      </c>
      <c r="E272" s="5" t="s">
        <v>511</v>
      </c>
      <c r="F272" s="5"/>
      <c r="G272" s="43">
        <f t="shared" si="5"/>
        <v>46.587043333039631</v>
      </c>
    </row>
    <row r="273" spans="1:9">
      <c r="A273" s="35">
        <v>24</v>
      </c>
      <c r="B273" s="5">
        <v>1213</v>
      </c>
      <c r="C273" s="5">
        <v>129</v>
      </c>
      <c r="D273" s="21">
        <v>0.46500000000000002</v>
      </c>
      <c r="E273" s="5" t="s">
        <v>510</v>
      </c>
      <c r="F273" s="5"/>
      <c r="G273" s="43">
        <f t="shared" si="5"/>
        <v>10.831487574931716</v>
      </c>
    </row>
    <row r="274" spans="1:9">
      <c r="A274" s="35">
        <v>25</v>
      </c>
      <c r="B274" s="5">
        <v>1213</v>
      </c>
      <c r="C274" s="5">
        <v>211</v>
      </c>
      <c r="D274" s="21">
        <v>0.53500000000000003</v>
      </c>
      <c r="E274" s="5" t="s">
        <v>512</v>
      </c>
      <c r="F274" s="5"/>
      <c r="G274" s="43">
        <f t="shared" si="5"/>
        <v>12.462034091588102</v>
      </c>
    </row>
    <row r="275" spans="1:9">
      <c r="A275" s="35">
        <v>26</v>
      </c>
      <c r="B275" s="5">
        <v>1213</v>
      </c>
      <c r="C275" s="5">
        <v>123</v>
      </c>
      <c r="D275" s="21">
        <v>1</v>
      </c>
      <c r="E275" s="5" t="s">
        <v>513</v>
      </c>
      <c r="F275" s="5"/>
      <c r="G275" s="43">
        <f t="shared" si="5"/>
        <v>23.293521666519815</v>
      </c>
    </row>
    <row r="276" spans="1:9">
      <c r="A276" s="35">
        <v>28</v>
      </c>
      <c r="B276" s="5">
        <v>1213</v>
      </c>
      <c r="C276" s="5">
        <v>102</v>
      </c>
      <c r="D276" s="21">
        <v>3.9841000000000002</v>
      </c>
      <c r="E276" s="5" t="s">
        <v>514</v>
      </c>
      <c r="F276" s="5"/>
      <c r="G276" s="43">
        <f t="shared" si="5"/>
        <v>92.803719671581604</v>
      </c>
    </row>
    <row r="277" spans="1:9">
      <c r="A277" s="35">
        <v>29</v>
      </c>
      <c r="B277" s="5">
        <v>1213</v>
      </c>
      <c r="C277" s="5">
        <v>126</v>
      </c>
      <c r="D277" s="21">
        <v>1.9307000000000001</v>
      </c>
      <c r="E277" s="5" t="s">
        <v>515</v>
      </c>
      <c r="F277" s="5"/>
      <c r="G277" s="43">
        <f t="shared" si="5"/>
        <v>44.972802281549811</v>
      </c>
    </row>
    <row r="278" spans="1:9" s="58" customFormat="1" ht="25.5" customHeight="1">
      <c r="A278" s="35">
        <v>30</v>
      </c>
      <c r="B278" s="5">
        <v>1213</v>
      </c>
      <c r="C278" s="5">
        <v>135</v>
      </c>
      <c r="D278" s="21">
        <v>4.8075000000000001</v>
      </c>
      <c r="E278" s="5" t="s">
        <v>514</v>
      </c>
      <c r="F278" s="5"/>
      <c r="G278" s="43">
        <f t="shared" si="5"/>
        <v>111.98360541179402</v>
      </c>
      <c r="H278"/>
      <c r="I278"/>
    </row>
    <row r="279" spans="1:9">
      <c r="A279" s="35">
        <v>31</v>
      </c>
      <c r="B279" s="5">
        <v>1213</v>
      </c>
      <c r="C279" s="5">
        <v>138</v>
      </c>
      <c r="D279" s="21">
        <v>4.476</v>
      </c>
      <c r="E279" s="5" t="s">
        <v>515</v>
      </c>
      <c r="F279" s="5"/>
      <c r="G279" s="43">
        <f t="shared" si="5"/>
        <v>104.26180297934269</v>
      </c>
    </row>
    <row r="280" spans="1:9">
      <c r="A280" s="35">
        <v>32</v>
      </c>
      <c r="B280" s="5">
        <v>1213</v>
      </c>
      <c r="C280" s="5">
        <v>170</v>
      </c>
      <c r="D280" s="21">
        <v>8.1974</v>
      </c>
      <c r="E280" s="5" t="s">
        <v>515</v>
      </c>
      <c r="F280" s="5"/>
      <c r="G280" s="43">
        <f t="shared" si="5"/>
        <v>190.94631450912954</v>
      </c>
    </row>
    <row r="281" spans="1:9">
      <c r="A281" s="91">
        <v>33</v>
      </c>
      <c r="B281" s="92">
        <v>1213</v>
      </c>
      <c r="C281" s="92">
        <v>256</v>
      </c>
      <c r="D281" s="87">
        <v>1.8493999999999999</v>
      </c>
      <c r="E281" s="92" t="s">
        <v>515</v>
      </c>
      <c r="F281" s="92"/>
      <c r="G281" s="43">
        <f t="shared" si="5"/>
        <v>43.079038970061745</v>
      </c>
    </row>
    <row r="282" spans="1:9">
      <c r="A282" s="51">
        <v>34</v>
      </c>
      <c r="B282" s="52">
        <v>1213</v>
      </c>
      <c r="C282" s="52">
        <v>121</v>
      </c>
      <c r="D282" s="44">
        <v>6.8625999999999996</v>
      </c>
      <c r="E282" s="52" t="s">
        <v>516</v>
      </c>
      <c r="F282" s="52"/>
      <c r="G282" s="43">
        <f t="shared" si="5"/>
        <v>159.85412178865889</v>
      </c>
    </row>
    <row r="283" spans="1:9" ht="13.5" thickBot="1">
      <c r="A283" s="36">
        <v>35</v>
      </c>
      <c r="B283" s="29">
        <v>1213</v>
      </c>
      <c r="C283" s="29">
        <v>130</v>
      </c>
      <c r="D283" s="46">
        <v>2.6084999999999998</v>
      </c>
      <c r="E283" s="29" t="s">
        <v>517</v>
      </c>
      <c r="F283" s="29"/>
      <c r="G283" s="43">
        <f t="shared" si="5"/>
        <v>60.761151267116936</v>
      </c>
    </row>
    <row r="284" spans="1:9">
      <c r="D284" s="15">
        <f>SUM(D250:D283)</f>
        <v>98.739900000000006</v>
      </c>
      <c r="G284" s="43">
        <f t="shared" si="5"/>
        <v>2300</v>
      </c>
    </row>
    <row r="285" spans="1:9">
      <c r="D285" s="15"/>
      <c r="G285" s="88"/>
    </row>
    <row r="286" spans="1:9">
      <c r="D286" s="15"/>
      <c r="G286" s="88"/>
      <c r="I286" s="58"/>
    </row>
    <row r="287" spans="1:9">
      <c r="D287" s="15"/>
      <c r="G287" s="88"/>
    </row>
    <row r="288" spans="1:9">
      <c r="D288" s="15"/>
      <c r="G288" s="88"/>
    </row>
    <row r="289" spans="1:9">
      <c r="D289" s="15"/>
      <c r="G289" s="88"/>
    </row>
    <row r="290" spans="1:9">
      <c r="D290" s="15"/>
      <c r="G290" s="88"/>
    </row>
    <row r="291" spans="1:9" ht="24.75" customHeight="1">
      <c r="D291" s="15"/>
      <c r="G291" s="88"/>
    </row>
    <row r="292" spans="1:9">
      <c r="D292" s="15"/>
      <c r="G292" s="88"/>
    </row>
    <row r="293" spans="1:9">
      <c r="D293" s="15"/>
      <c r="G293" s="88"/>
    </row>
    <row r="294" spans="1:9">
      <c r="D294" s="15"/>
      <c r="G294" s="88"/>
    </row>
    <row r="295" spans="1:9" s="78" customFormat="1">
      <c r="A295"/>
      <c r="B295"/>
      <c r="C295"/>
      <c r="D295" s="15"/>
      <c r="E295"/>
      <c r="F295"/>
      <c r="G295" s="88"/>
      <c r="H295"/>
      <c r="I295"/>
    </row>
    <row r="296" spans="1:9">
      <c r="D296" s="15"/>
      <c r="G296" s="88"/>
    </row>
    <row r="297" spans="1:9">
      <c r="D297" s="15"/>
      <c r="G297" s="88"/>
    </row>
    <row r="298" spans="1:9">
      <c r="D298" s="15"/>
      <c r="G298" s="88"/>
    </row>
    <row r="299" spans="1:9">
      <c r="D299" s="15"/>
      <c r="G299" s="88"/>
    </row>
    <row r="300" spans="1:9">
      <c r="D300" s="15"/>
      <c r="G300" s="88"/>
    </row>
    <row r="301" spans="1:9">
      <c r="D301" s="15"/>
      <c r="G301" s="88"/>
    </row>
    <row r="302" spans="1:9">
      <c r="A302" s="47" t="s">
        <v>749</v>
      </c>
      <c r="D302" s="15"/>
    </row>
    <row r="303" spans="1:9">
      <c r="C303" s="1" t="s">
        <v>413</v>
      </c>
    </row>
    <row r="306" spans="1:8">
      <c r="C306" s="2"/>
    </row>
    <row r="307" spans="1:8">
      <c r="C307" s="2"/>
    </row>
    <row r="310" spans="1:8">
      <c r="B310" s="12"/>
      <c r="C310" t="s">
        <v>750</v>
      </c>
      <c r="D310">
        <v>3100</v>
      </c>
      <c r="E310" t="s">
        <v>739</v>
      </c>
      <c r="F310" s="643">
        <f>D341</f>
        <v>104.24575</v>
      </c>
      <c r="G310" s="643" t="s">
        <v>748</v>
      </c>
      <c r="H310">
        <f>D310/F310</f>
        <v>29.737423348194049</v>
      </c>
    </row>
    <row r="311" spans="1:8" ht="13.5" thickBot="1">
      <c r="A311" s="47"/>
      <c r="D311" s="15"/>
    </row>
    <row r="312" spans="1:8" ht="38.25">
      <c r="A312" s="55" t="s">
        <v>741</v>
      </c>
      <c r="B312" s="55" t="s">
        <v>103</v>
      </c>
      <c r="C312" s="55" t="s">
        <v>104</v>
      </c>
      <c r="D312" s="55" t="s">
        <v>106</v>
      </c>
      <c r="E312" s="56" t="s">
        <v>108</v>
      </c>
      <c r="F312" s="57"/>
      <c r="G312" s="55" t="s">
        <v>304</v>
      </c>
      <c r="H312" s="58"/>
    </row>
    <row r="313" spans="1:8">
      <c r="A313" s="6">
        <v>1</v>
      </c>
      <c r="B313" s="5">
        <v>1213</v>
      </c>
      <c r="C313" s="5">
        <v>45</v>
      </c>
      <c r="D313" s="9">
        <v>4.8022</v>
      </c>
      <c r="E313" s="5" t="s">
        <v>519</v>
      </c>
      <c r="F313" s="5"/>
      <c r="G313" s="43">
        <f>D313*$H$310</f>
        <v>142.80505440269746</v>
      </c>
    </row>
    <row r="314" spans="1:8">
      <c r="A314" s="6">
        <v>2</v>
      </c>
      <c r="B314" s="5">
        <v>1213</v>
      </c>
      <c r="C314" s="5">
        <v>36</v>
      </c>
      <c r="D314" s="9">
        <v>0</v>
      </c>
      <c r="E314" s="5" t="s">
        <v>520</v>
      </c>
      <c r="F314" s="5"/>
      <c r="G314" s="43">
        <v>0</v>
      </c>
    </row>
    <row r="315" spans="1:8">
      <c r="A315" s="6">
        <v>2</v>
      </c>
      <c r="B315" s="5">
        <v>1213</v>
      </c>
      <c r="C315" s="5">
        <v>276</v>
      </c>
      <c r="D315" s="9">
        <v>0</v>
      </c>
      <c r="E315" s="5" t="s">
        <v>520</v>
      </c>
      <c r="F315" s="5"/>
      <c r="G315" s="43">
        <v>0</v>
      </c>
    </row>
    <row r="316" spans="1:8">
      <c r="A316" s="6">
        <v>2</v>
      </c>
      <c r="B316" s="5">
        <v>1213</v>
      </c>
      <c r="C316" s="5">
        <v>333</v>
      </c>
      <c r="D316" s="9">
        <v>0</v>
      </c>
      <c r="E316" s="5" t="s">
        <v>520</v>
      </c>
      <c r="F316" s="5"/>
      <c r="G316" s="43">
        <v>0</v>
      </c>
    </row>
    <row r="317" spans="1:8">
      <c r="A317" s="6">
        <v>2</v>
      </c>
      <c r="B317" s="5">
        <v>1213</v>
      </c>
      <c r="C317" s="5">
        <v>334</v>
      </c>
      <c r="D317" s="9">
        <v>0</v>
      </c>
      <c r="E317" s="5" t="s">
        <v>520</v>
      </c>
      <c r="F317" s="5"/>
      <c r="G317" s="43">
        <v>0</v>
      </c>
    </row>
    <row r="318" spans="1:8">
      <c r="A318" s="6">
        <v>2</v>
      </c>
      <c r="B318" s="5">
        <v>1213</v>
      </c>
      <c r="C318" s="5">
        <v>277</v>
      </c>
      <c r="D318" s="9">
        <v>0</v>
      </c>
      <c r="E318" s="5" t="s">
        <v>520</v>
      </c>
      <c r="F318" s="5"/>
      <c r="G318" s="43">
        <v>0</v>
      </c>
    </row>
    <row r="319" spans="1:8">
      <c r="A319" s="6">
        <v>3</v>
      </c>
      <c r="B319" s="5">
        <v>1213</v>
      </c>
      <c r="C319" s="5">
        <v>270</v>
      </c>
      <c r="D319" s="9">
        <v>0</v>
      </c>
      <c r="E319" s="5" t="s">
        <v>521</v>
      </c>
      <c r="F319" s="5"/>
      <c r="G319" s="43">
        <v>0</v>
      </c>
    </row>
    <row r="320" spans="1:8" ht="14.25" customHeight="1">
      <c r="A320" s="6">
        <v>4</v>
      </c>
      <c r="B320" s="5">
        <v>1213</v>
      </c>
      <c r="C320" s="5">
        <v>252</v>
      </c>
      <c r="D320" s="9">
        <v>2.2267999999999999</v>
      </c>
      <c r="E320" s="5" t="s">
        <v>522</v>
      </c>
      <c r="F320" s="5"/>
      <c r="G320" s="43">
        <f t="shared" ref="G320:G341" si="6">D320*$H$310</f>
        <v>66.219294311758503</v>
      </c>
    </row>
    <row r="321" spans="1:7">
      <c r="A321" s="6">
        <v>5</v>
      </c>
      <c r="B321" s="5">
        <v>1213</v>
      </c>
      <c r="C321" s="5">
        <v>332</v>
      </c>
      <c r="D321" s="9">
        <v>2.3932000000000002</v>
      </c>
      <c r="E321" s="5" t="s">
        <v>486</v>
      </c>
      <c r="F321" s="5"/>
      <c r="G321" s="43">
        <f t="shared" si="6"/>
        <v>71.167601556898006</v>
      </c>
    </row>
    <row r="322" spans="1:7">
      <c r="A322" s="6">
        <v>6</v>
      </c>
      <c r="B322" s="5">
        <v>1213</v>
      </c>
      <c r="C322" s="5">
        <v>331</v>
      </c>
      <c r="D322" s="9">
        <v>9</v>
      </c>
      <c r="E322" s="5" t="s">
        <v>486</v>
      </c>
      <c r="F322" s="5"/>
      <c r="G322" s="43">
        <f t="shared" si="6"/>
        <v>267.63681013374645</v>
      </c>
    </row>
    <row r="323" spans="1:7">
      <c r="A323" s="6">
        <v>7</v>
      </c>
      <c r="B323" s="5">
        <v>1213</v>
      </c>
      <c r="C323" s="5">
        <v>40</v>
      </c>
      <c r="D323" s="9">
        <v>7.1605999999999996</v>
      </c>
      <c r="E323" s="5" t="s">
        <v>523</v>
      </c>
      <c r="F323" s="5"/>
      <c r="G323" s="43">
        <f t="shared" si="6"/>
        <v>212.93779362707829</v>
      </c>
    </row>
    <row r="324" spans="1:7">
      <c r="A324" s="6">
        <v>8</v>
      </c>
      <c r="B324" s="5">
        <v>1213</v>
      </c>
      <c r="C324" s="5">
        <v>51</v>
      </c>
      <c r="D324" s="9">
        <v>4.9087500000000004</v>
      </c>
      <c r="E324" s="5" t="s">
        <v>471</v>
      </c>
      <c r="F324" s="5"/>
      <c r="G324" s="43">
        <f t="shared" si="6"/>
        <v>145.97357686044757</v>
      </c>
    </row>
    <row r="325" spans="1:7">
      <c r="A325" s="35">
        <v>5</v>
      </c>
      <c r="B325" s="5">
        <v>1213</v>
      </c>
      <c r="C325" s="5">
        <v>52</v>
      </c>
      <c r="D325" s="9">
        <v>2</v>
      </c>
      <c r="E325" s="5" t="s">
        <v>524</v>
      </c>
      <c r="F325" s="5"/>
      <c r="G325" s="43">
        <f t="shared" si="6"/>
        <v>59.474846696388099</v>
      </c>
    </row>
    <row r="326" spans="1:7">
      <c r="A326" s="6">
        <v>9</v>
      </c>
      <c r="B326" s="5">
        <v>1213</v>
      </c>
      <c r="C326" s="5">
        <v>53</v>
      </c>
      <c r="D326" s="9">
        <v>5.4569999999999999</v>
      </c>
      <c r="E326" s="5" t="s">
        <v>525</v>
      </c>
      <c r="F326" s="5"/>
      <c r="G326" s="43">
        <f t="shared" si="6"/>
        <v>162.27711921109491</v>
      </c>
    </row>
    <row r="327" spans="1:7">
      <c r="A327" s="6">
        <v>10</v>
      </c>
      <c r="B327" s="5">
        <v>1213</v>
      </c>
      <c r="C327" s="5">
        <v>64</v>
      </c>
      <c r="D327" s="9">
        <v>6.2915999999999999</v>
      </c>
      <c r="E327" s="5" t="s">
        <v>526</v>
      </c>
      <c r="F327" s="5"/>
      <c r="G327" s="43">
        <f t="shared" si="6"/>
        <v>187.09597273749768</v>
      </c>
    </row>
    <row r="328" spans="1:7">
      <c r="A328" s="6">
        <v>11</v>
      </c>
      <c r="B328" s="5">
        <v>1213</v>
      </c>
      <c r="C328" s="5">
        <v>62</v>
      </c>
      <c r="D328" s="9">
        <v>5.8545999999999996</v>
      </c>
      <c r="E328" s="5" t="s">
        <v>527</v>
      </c>
      <c r="F328" s="5"/>
      <c r="G328" s="43">
        <f t="shared" si="6"/>
        <v>174.10071873433688</v>
      </c>
    </row>
    <row r="329" spans="1:7">
      <c r="A329" s="6">
        <v>12</v>
      </c>
      <c r="B329" s="5">
        <v>1213</v>
      </c>
      <c r="C329" s="5">
        <v>35</v>
      </c>
      <c r="D329" s="9">
        <v>14.1714</v>
      </c>
      <c r="E329" s="5" t="s">
        <v>528</v>
      </c>
      <c r="F329" s="5"/>
      <c r="G329" s="43">
        <f t="shared" si="6"/>
        <v>421.42092123659717</v>
      </c>
    </row>
    <row r="330" spans="1:7">
      <c r="A330" s="6">
        <v>13</v>
      </c>
      <c r="B330" s="5">
        <v>1213</v>
      </c>
      <c r="C330" s="5">
        <v>91</v>
      </c>
      <c r="D330" s="9">
        <v>4.6063999999999998</v>
      </c>
      <c r="E330" s="5" t="s">
        <v>529</v>
      </c>
      <c r="F330" s="5"/>
      <c r="G330" s="43">
        <f t="shared" si="6"/>
        <v>136.98246691112107</v>
      </c>
    </row>
    <row r="331" spans="1:7">
      <c r="A331" s="6">
        <v>14</v>
      </c>
      <c r="B331" s="5">
        <v>1213</v>
      </c>
      <c r="C331" s="5">
        <v>37</v>
      </c>
      <c r="D331" s="9">
        <v>14.486700000000001</v>
      </c>
      <c r="E331" s="5" t="s">
        <v>530</v>
      </c>
      <c r="F331" s="5"/>
      <c r="G331" s="43">
        <f t="shared" si="6"/>
        <v>430.79713081828277</v>
      </c>
    </row>
    <row r="332" spans="1:7">
      <c r="A332" s="6">
        <v>14</v>
      </c>
      <c r="B332" s="5">
        <v>1213</v>
      </c>
      <c r="C332" s="5">
        <v>323</v>
      </c>
      <c r="D332" s="9">
        <v>0.36330000000000001</v>
      </c>
      <c r="E332" s="5" t="s">
        <v>531</v>
      </c>
      <c r="F332" s="5"/>
      <c r="G332" s="43">
        <f t="shared" si="6"/>
        <v>10.803605902398898</v>
      </c>
    </row>
    <row r="333" spans="1:7">
      <c r="A333" s="6">
        <v>15</v>
      </c>
      <c r="B333" s="5">
        <v>1213</v>
      </c>
      <c r="C333" s="5">
        <v>50</v>
      </c>
      <c r="D333" s="9">
        <v>6.625</v>
      </c>
      <c r="E333" s="5" t="s">
        <v>532</v>
      </c>
      <c r="F333" s="5"/>
      <c r="G333" s="43">
        <f t="shared" si="6"/>
        <v>197.01042968178558</v>
      </c>
    </row>
    <row r="334" spans="1:7">
      <c r="A334" s="6">
        <v>16</v>
      </c>
      <c r="B334" s="5">
        <v>1213</v>
      </c>
      <c r="C334" s="5">
        <v>67</v>
      </c>
      <c r="D334" s="9">
        <v>3.1457999999999999</v>
      </c>
      <c r="E334" s="5" t="s">
        <v>533</v>
      </c>
      <c r="F334" s="5"/>
      <c r="G334" s="43">
        <f t="shared" si="6"/>
        <v>93.547986368748838</v>
      </c>
    </row>
    <row r="335" spans="1:7">
      <c r="A335" s="6">
        <v>17</v>
      </c>
      <c r="B335" s="5">
        <v>1213</v>
      </c>
      <c r="C335" s="5">
        <v>54</v>
      </c>
      <c r="D335" s="9">
        <v>1.4839</v>
      </c>
      <c r="E335" s="5" t="s">
        <v>534</v>
      </c>
      <c r="F335" s="5"/>
      <c r="G335" s="43">
        <f t="shared" si="6"/>
        <v>44.127362506385147</v>
      </c>
    </row>
    <row r="336" spans="1:7">
      <c r="A336" s="6">
        <v>18</v>
      </c>
      <c r="B336" s="5">
        <v>1213</v>
      </c>
      <c r="C336" s="5">
        <v>31</v>
      </c>
      <c r="D336" s="9">
        <v>1.7303999999999999</v>
      </c>
      <c r="E336" s="5" t="s">
        <v>535</v>
      </c>
      <c r="F336" s="5"/>
      <c r="G336" s="43">
        <f t="shared" si="6"/>
        <v>51.45763736171498</v>
      </c>
    </row>
    <row r="337" spans="1:7">
      <c r="A337" s="6">
        <v>18</v>
      </c>
      <c r="B337" s="5">
        <v>1213</v>
      </c>
      <c r="C337" s="5">
        <v>309</v>
      </c>
      <c r="D337" s="9">
        <v>2.5293000000000001</v>
      </c>
      <c r="E337" s="5" t="s">
        <v>535</v>
      </c>
      <c r="F337" s="5"/>
      <c r="G337" s="43">
        <f t="shared" si="6"/>
        <v>75.214864874587207</v>
      </c>
    </row>
    <row r="338" spans="1:7">
      <c r="A338" s="6">
        <v>19</v>
      </c>
      <c r="B338" s="5">
        <v>1213</v>
      </c>
      <c r="C338" s="5">
        <v>311</v>
      </c>
      <c r="D338" s="9">
        <v>1.4438</v>
      </c>
      <c r="E338" s="5" t="s">
        <v>536</v>
      </c>
      <c r="F338" s="5"/>
      <c r="G338" s="43">
        <f t="shared" si="6"/>
        <v>42.934891830122567</v>
      </c>
    </row>
    <row r="339" spans="1:7">
      <c r="A339" s="6">
        <v>20</v>
      </c>
      <c r="B339" s="5">
        <v>1213</v>
      </c>
      <c r="C339" s="5">
        <v>189</v>
      </c>
      <c r="D339" s="9">
        <v>2.5165000000000002</v>
      </c>
      <c r="E339" s="5" t="s">
        <v>537</v>
      </c>
      <c r="F339" s="5"/>
      <c r="G339" s="43">
        <f t="shared" si="6"/>
        <v>74.834225855730324</v>
      </c>
    </row>
    <row r="340" spans="1:7">
      <c r="A340" s="6">
        <v>21</v>
      </c>
      <c r="B340" s="5">
        <v>1213</v>
      </c>
      <c r="C340" s="5">
        <v>269</v>
      </c>
      <c r="D340" s="9">
        <v>1.0485</v>
      </c>
      <c r="E340" s="5" t="s">
        <v>538</v>
      </c>
      <c r="F340" s="5"/>
      <c r="G340" s="43">
        <f t="shared" si="6"/>
        <v>31.17968838058146</v>
      </c>
    </row>
    <row r="341" spans="1:7">
      <c r="A341" s="11"/>
      <c r="D341" s="16">
        <f>SUM(D313:D340)</f>
        <v>104.24575</v>
      </c>
      <c r="G341" s="43">
        <f t="shared" si="6"/>
        <v>3100</v>
      </c>
    </row>
    <row r="348" spans="1:7">
      <c r="C348" s="1"/>
    </row>
    <row r="351" spans="1:7">
      <c r="D351" s="2"/>
    </row>
    <row r="352" spans="1:7">
      <c r="D352" s="2"/>
    </row>
    <row r="353" spans="1:9">
      <c r="D353" s="2"/>
    </row>
    <row r="356" spans="1:9">
      <c r="A356" t="s">
        <v>751</v>
      </c>
      <c r="B356" s="12" t="e">
        <f>#REF!-(#REF!+#REF!)</f>
        <v>#REF!</v>
      </c>
      <c r="D356" t="s">
        <v>752</v>
      </c>
      <c r="E356" t="s">
        <v>739</v>
      </c>
      <c r="F356" s="12" t="e">
        <f>#REF!</f>
        <v>#REF!</v>
      </c>
      <c r="G356" s="12" t="e">
        <f>#REF!/F356</f>
        <v>#REF!</v>
      </c>
    </row>
    <row r="358" spans="1:9" ht="13.5" thickBot="1">
      <c r="A358" s="47"/>
    </row>
    <row r="359" spans="1:9">
      <c r="A359" s="49" t="s">
        <v>741</v>
      </c>
      <c r="B359" s="59" t="s">
        <v>403</v>
      </c>
      <c r="C359" s="50"/>
      <c r="D359" s="54" t="s">
        <v>106</v>
      </c>
      <c r="E359" s="49" t="s">
        <v>108</v>
      </c>
      <c r="F359" s="54"/>
      <c r="G359" s="53" t="s">
        <v>304</v>
      </c>
    </row>
    <row r="360" spans="1:9">
      <c r="A360" s="5">
        <v>1</v>
      </c>
      <c r="B360" s="62" t="s">
        <v>406</v>
      </c>
      <c r="C360" s="62"/>
      <c r="D360" s="27">
        <f>D95</f>
        <v>117.05329999999999</v>
      </c>
      <c r="E360" s="66"/>
      <c r="F360" s="67"/>
      <c r="G360" s="43" t="e">
        <f>#REF!*$G$356</f>
        <v>#REF!</v>
      </c>
    </row>
    <row r="361" spans="1:9">
      <c r="A361" s="5">
        <v>1</v>
      </c>
      <c r="B361" s="62" t="s">
        <v>407</v>
      </c>
      <c r="C361" s="62"/>
      <c r="D361" s="27">
        <f>D165</f>
        <v>96.999600000000001</v>
      </c>
      <c r="E361" s="68"/>
      <c r="F361" s="69"/>
      <c r="G361" s="43" t="e">
        <f>#REF!*$G$356</f>
        <v>#REF!</v>
      </c>
    </row>
    <row r="362" spans="1:9">
      <c r="A362" s="5">
        <v>2</v>
      </c>
      <c r="B362" s="64" t="s">
        <v>408</v>
      </c>
      <c r="C362" s="64"/>
      <c r="D362" s="27">
        <f>D227</f>
        <v>16.245499999999996</v>
      </c>
      <c r="E362" s="68"/>
      <c r="F362" s="69"/>
      <c r="G362" s="43" t="e">
        <f>#REF!*$G$356</f>
        <v>#REF!</v>
      </c>
    </row>
    <row r="363" spans="1:9">
      <c r="A363" s="7">
        <v>2</v>
      </c>
      <c r="B363" s="60" t="s">
        <v>409</v>
      </c>
      <c r="C363" s="61"/>
      <c r="D363" s="63" t="e">
        <f>#REF!</f>
        <v>#REF!</v>
      </c>
      <c r="E363" s="68"/>
      <c r="F363" s="69"/>
      <c r="G363" s="43" t="e">
        <f>#REF!*$G$356</f>
        <v>#REF!</v>
      </c>
    </row>
    <row r="364" spans="1:9">
      <c r="A364" s="5">
        <v>2</v>
      </c>
      <c r="B364" s="65" t="s">
        <v>410</v>
      </c>
      <c r="C364" s="65"/>
      <c r="D364" s="27">
        <f>D284</f>
        <v>98.739900000000006</v>
      </c>
      <c r="E364" s="68"/>
      <c r="F364" s="69"/>
      <c r="G364" s="43" t="e">
        <f>#REF!*$G$356</f>
        <v>#REF!</v>
      </c>
    </row>
    <row r="365" spans="1:9">
      <c r="A365" s="5">
        <v>3</v>
      </c>
      <c r="B365" s="62" t="s">
        <v>411</v>
      </c>
      <c r="C365" s="62"/>
      <c r="D365" s="27">
        <f>D341</f>
        <v>104.24575</v>
      </c>
      <c r="E365" s="70"/>
      <c r="F365" s="71"/>
      <c r="G365" s="43" t="e">
        <f>#REF!*$G$356</f>
        <v>#REF!</v>
      </c>
    </row>
    <row r="366" spans="1:9">
      <c r="D366" s="15" t="e">
        <f>SUM(D360:D365)</f>
        <v>#REF!</v>
      </c>
      <c r="G366" s="43" t="e">
        <f>SUM(G360:G365)</f>
        <v>#REF!</v>
      </c>
    </row>
    <row r="367" spans="1:9" s="58" customFormat="1" ht="25.5" customHeight="1">
      <c r="A367"/>
      <c r="B367"/>
      <c r="C367"/>
      <c r="D367"/>
      <c r="E367"/>
      <c r="F367"/>
      <c r="G367"/>
      <c r="H367"/>
      <c r="I367"/>
    </row>
    <row r="368" spans="1:9">
      <c r="B368" s="4"/>
      <c r="D368" s="72"/>
    </row>
    <row r="369" spans="2:4">
      <c r="B369" s="4"/>
      <c r="C369" s="4"/>
      <c r="D369" s="72"/>
    </row>
    <row r="370" spans="2:4">
      <c r="C370" s="4"/>
    </row>
    <row r="395" ht="12.75" customHeight="1"/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26"/>
  <dimension ref="A2:I239"/>
  <sheetViews>
    <sheetView topLeftCell="A519" workbookViewId="0" xr3:uid="{762215AB-03FA-5155-B868-AA11ECFE6524}">
      <selection activeCell="I519" sqref="I519"/>
    </sheetView>
  </sheetViews>
  <sheetFormatPr defaultColWidth="11.42578125" defaultRowHeight="12.75"/>
  <cols>
    <col min="1" max="1" width="5.140625" customWidth="1"/>
    <col min="2" max="2" width="6.7109375" customWidth="1"/>
    <col min="4" max="4" width="9.85546875" customWidth="1"/>
    <col min="6" max="6" width="17.5703125" customWidth="1"/>
    <col min="7" max="7" width="9.140625" customWidth="1"/>
    <col min="8" max="8" width="11.5703125" customWidth="1"/>
  </cols>
  <sheetData>
    <row r="2" spans="1:8">
      <c r="C2" s="1" t="s">
        <v>737</v>
      </c>
    </row>
    <row r="5" spans="1:8">
      <c r="B5" s="12"/>
      <c r="C5" t="s">
        <v>738</v>
      </c>
      <c r="D5" t="s">
        <v>753</v>
      </c>
      <c r="E5" t="s">
        <v>739</v>
      </c>
      <c r="F5" s="12">
        <f>D172</f>
        <v>473.12740000000014</v>
      </c>
      <c r="G5" s="643" t="s">
        <v>740</v>
      </c>
      <c r="H5" s="15" t="e">
        <f>D5/F5</f>
        <v>#VALUE!</v>
      </c>
    </row>
    <row r="7" spans="1:8" ht="13.5" thickBot="1">
      <c r="A7" s="47" t="s">
        <v>742</v>
      </c>
    </row>
    <row r="8" spans="1:8" s="58" customFormat="1" ht="25.5" customHeight="1">
      <c r="A8" s="55" t="s">
        <v>741</v>
      </c>
      <c r="B8" s="55" t="s">
        <v>103</v>
      </c>
      <c r="C8" s="55" t="s">
        <v>104</v>
      </c>
      <c r="D8" s="55" t="s">
        <v>106</v>
      </c>
      <c r="E8" s="56" t="s">
        <v>108</v>
      </c>
      <c r="F8" s="57"/>
      <c r="G8" s="55" t="s">
        <v>743</v>
      </c>
    </row>
    <row r="9" spans="1:8">
      <c r="A9" s="5">
        <v>1</v>
      </c>
      <c r="B9" s="5">
        <v>1213</v>
      </c>
      <c r="C9" s="5">
        <v>1</v>
      </c>
      <c r="D9" s="21">
        <v>10.5</v>
      </c>
      <c r="E9" s="5" t="s">
        <v>416</v>
      </c>
      <c r="F9" s="48"/>
      <c r="G9" s="43" t="e">
        <f>D9*$H$5</f>
        <v>#VALUE!</v>
      </c>
    </row>
    <row r="10" spans="1:8">
      <c r="A10" s="5">
        <v>1</v>
      </c>
      <c r="B10" s="5">
        <v>1213</v>
      </c>
      <c r="C10" s="5">
        <v>2</v>
      </c>
      <c r="D10" s="21">
        <v>11.535600000000001</v>
      </c>
      <c r="E10" s="5" t="s">
        <v>416</v>
      </c>
      <c r="F10" s="48"/>
      <c r="G10" s="43" t="e">
        <f t="shared" ref="G10:G73" si="0">D10*$H$5</f>
        <v>#VALUE!</v>
      </c>
    </row>
    <row r="11" spans="1:8">
      <c r="A11" s="5">
        <v>1</v>
      </c>
      <c r="B11" s="5">
        <v>1213</v>
      </c>
      <c r="C11" s="5">
        <v>3</v>
      </c>
      <c r="D11" s="21">
        <v>6.6398999999999999</v>
      </c>
      <c r="E11" s="5" t="s">
        <v>416</v>
      </c>
      <c r="F11" s="48"/>
      <c r="G11" s="43" t="e">
        <f t="shared" si="0"/>
        <v>#VALUE!</v>
      </c>
    </row>
    <row r="12" spans="1:8">
      <c r="A12" s="5">
        <v>2</v>
      </c>
      <c r="B12" s="5">
        <v>1213</v>
      </c>
      <c r="C12" s="5">
        <v>140</v>
      </c>
      <c r="D12" s="21">
        <v>0.14330000000000001</v>
      </c>
      <c r="E12" s="5" t="s">
        <v>417</v>
      </c>
      <c r="F12" s="48"/>
      <c r="G12" s="43" t="e">
        <f t="shared" si="0"/>
        <v>#VALUE!</v>
      </c>
    </row>
    <row r="13" spans="1:8">
      <c r="A13" s="5">
        <v>2</v>
      </c>
      <c r="B13" s="5">
        <v>1213</v>
      </c>
      <c r="C13" s="5">
        <v>184</v>
      </c>
      <c r="D13" s="21">
        <v>0.79900000000000004</v>
      </c>
      <c r="E13" s="5" t="s">
        <v>417</v>
      </c>
      <c r="F13" s="48"/>
      <c r="G13" s="43" t="e">
        <f t="shared" si="0"/>
        <v>#VALUE!</v>
      </c>
    </row>
    <row r="14" spans="1:8">
      <c r="A14" s="5">
        <v>4</v>
      </c>
      <c r="B14" s="5">
        <v>1213</v>
      </c>
      <c r="C14" s="5">
        <v>141</v>
      </c>
      <c r="D14" s="21">
        <v>1.0466</v>
      </c>
      <c r="E14" s="5" t="s">
        <v>418</v>
      </c>
      <c r="F14" s="48"/>
      <c r="G14" s="43" t="e">
        <f t="shared" si="0"/>
        <v>#VALUE!</v>
      </c>
    </row>
    <row r="15" spans="1:8">
      <c r="A15" s="5">
        <v>5</v>
      </c>
      <c r="B15" s="5">
        <v>1213</v>
      </c>
      <c r="C15" s="5">
        <v>143</v>
      </c>
      <c r="D15" s="21">
        <v>0.05</v>
      </c>
      <c r="E15" s="5" t="s">
        <v>419</v>
      </c>
      <c r="F15" s="48"/>
      <c r="G15" s="43" t="e">
        <f t="shared" si="0"/>
        <v>#VALUE!</v>
      </c>
    </row>
    <row r="16" spans="1:8">
      <c r="A16" s="5">
        <v>6</v>
      </c>
      <c r="B16" s="5">
        <v>1213</v>
      </c>
      <c r="C16" s="5">
        <v>151</v>
      </c>
      <c r="D16" s="21">
        <v>0.92059999999999997</v>
      </c>
      <c r="E16" s="5" t="s">
        <v>420</v>
      </c>
      <c r="F16" s="48"/>
      <c r="G16" s="43" t="e">
        <f t="shared" si="0"/>
        <v>#VALUE!</v>
      </c>
    </row>
    <row r="17" spans="1:7">
      <c r="A17" s="5">
        <v>8</v>
      </c>
      <c r="B17" s="5">
        <v>1213</v>
      </c>
      <c r="C17" s="5">
        <v>305</v>
      </c>
      <c r="D17" s="21">
        <v>32.580100000000002</v>
      </c>
      <c r="E17" s="5" t="s">
        <v>395</v>
      </c>
      <c r="F17" s="48"/>
      <c r="G17" s="43" t="e">
        <f t="shared" si="0"/>
        <v>#VALUE!</v>
      </c>
    </row>
    <row r="18" spans="1:7">
      <c r="A18" s="5">
        <v>10</v>
      </c>
      <c r="B18" s="5">
        <v>1213</v>
      </c>
      <c r="C18" s="5">
        <v>304</v>
      </c>
      <c r="D18" s="21">
        <v>9.5116999999999994</v>
      </c>
      <c r="E18" s="5" t="s">
        <v>421</v>
      </c>
      <c r="F18" s="48"/>
      <c r="G18" s="43" t="e">
        <f t="shared" si="0"/>
        <v>#VALUE!</v>
      </c>
    </row>
    <row r="19" spans="1:7">
      <c r="A19" s="5">
        <v>11</v>
      </c>
      <c r="B19" s="5">
        <v>1213</v>
      </c>
      <c r="C19" s="5">
        <v>194</v>
      </c>
      <c r="D19" s="21">
        <v>6.1170999999999998</v>
      </c>
      <c r="E19" s="5" t="s">
        <v>422</v>
      </c>
      <c r="F19" s="48"/>
      <c r="G19" s="43" t="e">
        <f t="shared" si="0"/>
        <v>#VALUE!</v>
      </c>
    </row>
    <row r="20" spans="1:7">
      <c r="A20" s="5">
        <v>12</v>
      </c>
      <c r="B20" s="5">
        <v>1213</v>
      </c>
      <c r="C20" s="5">
        <v>259</v>
      </c>
      <c r="D20" s="21">
        <v>0.80359999999999998</v>
      </c>
      <c r="E20" s="5" t="s">
        <v>423</v>
      </c>
      <c r="F20" s="48"/>
      <c r="G20" s="43" t="e">
        <f t="shared" si="0"/>
        <v>#VALUE!</v>
      </c>
    </row>
    <row r="21" spans="1:7">
      <c r="A21" s="5">
        <v>13</v>
      </c>
      <c r="B21" s="5">
        <v>1213</v>
      </c>
      <c r="C21" s="5">
        <v>260</v>
      </c>
      <c r="D21" s="21">
        <v>0.69989999999999997</v>
      </c>
      <c r="E21" s="5" t="s">
        <v>424</v>
      </c>
      <c r="F21" s="48"/>
      <c r="G21" s="43" t="e">
        <f t="shared" si="0"/>
        <v>#VALUE!</v>
      </c>
    </row>
    <row r="22" spans="1:7">
      <c r="A22" s="5">
        <v>14</v>
      </c>
      <c r="B22" s="5">
        <v>1213</v>
      </c>
      <c r="C22" s="5">
        <v>261</v>
      </c>
      <c r="D22" s="21">
        <v>0.68989999999999996</v>
      </c>
      <c r="E22" s="5" t="s">
        <v>425</v>
      </c>
      <c r="F22" s="48"/>
      <c r="G22" s="43" t="e">
        <f t="shared" si="0"/>
        <v>#VALUE!</v>
      </c>
    </row>
    <row r="23" spans="1:7">
      <c r="A23" s="5">
        <v>15</v>
      </c>
      <c r="B23" s="5">
        <v>1213</v>
      </c>
      <c r="C23" s="5">
        <v>262</v>
      </c>
      <c r="D23" s="21">
        <v>0.67989999999999995</v>
      </c>
      <c r="E23" s="5" t="s">
        <v>426</v>
      </c>
      <c r="F23" s="48"/>
      <c r="G23" s="43" t="e">
        <f t="shared" si="0"/>
        <v>#VALUE!</v>
      </c>
    </row>
    <row r="24" spans="1:7">
      <c r="A24" s="5">
        <v>16</v>
      </c>
      <c r="B24" s="5">
        <v>1213</v>
      </c>
      <c r="C24" s="5">
        <v>17</v>
      </c>
      <c r="D24" s="21">
        <v>0.35780000000000001</v>
      </c>
      <c r="E24" s="5" t="s">
        <v>427</v>
      </c>
      <c r="F24" s="48"/>
      <c r="G24" s="43" t="e">
        <f t="shared" si="0"/>
        <v>#VALUE!</v>
      </c>
    </row>
    <row r="25" spans="1:7">
      <c r="A25" s="5">
        <v>17</v>
      </c>
      <c r="B25" s="5">
        <v>1213</v>
      </c>
      <c r="C25" s="5">
        <v>164</v>
      </c>
      <c r="D25" s="21">
        <v>0.17349999999999999</v>
      </c>
      <c r="E25" s="5" t="s">
        <v>428</v>
      </c>
      <c r="F25" s="48"/>
      <c r="G25" s="43" t="e">
        <f t="shared" si="0"/>
        <v>#VALUE!</v>
      </c>
    </row>
    <row r="26" spans="1:7">
      <c r="A26" s="5">
        <v>19</v>
      </c>
      <c r="B26" s="5">
        <v>1213</v>
      </c>
      <c r="C26" s="5">
        <v>214</v>
      </c>
      <c r="D26" s="21">
        <v>0.17030000000000001</v>
      </c>
      <c r="E26" s="5" t="s">
        <v>429</v>
      </c>
      <c r="F26" s="5"/>
      <c r="G26" s="43" t="e">
        <f t="shared" si="0"/>
        <v>#VALUE!</v>
      </c>
    </row>
    <row r="27" spans="1:7">
      <c r="A27" s="5">
        <v>20</v>
      </c>
      <c r="B27" s="5">
        <v>1213</v>
      </c>
      <c r="C27" s="5">
        <v>81</v>
      </c>
      <c r="D27" s="21">
        <v>0.7</v>
      </c>
      <c r="E27" s="5" t="s">
        <v>430</v>
      </c>
      <c r="F27" s="48"/>
      <c r="G27" s="43" t="e">
        <f t="shared" si="0"/>
        <v>#VALUE!</v>
      </c>
    </row>
    <row r="28" spans="1:7">
      <c r="A28" s="5">
        <v>21</v>
      </c>
      <c r="B28" s="5">
        <v>1213</v>
      </c>
      <c r="C28" s="5">
        <v>80</v>
      </c>
      <c r="D28" s="21">
        <v>0.32269999999999999</v>
      </c>
      <c r="E28" s="5" t="s">
        <v>431</v>
      </c>
      <c r="F28" s="48"/>
      <c r="G28" s="43" t="e">
        <f t="shared" si="0"/>
        <v>#VALUE!</v>
      </c>
    </row>
    <row r="29" spans="1:7">
      <c r="A29" s="5">
        <v>23</v>
      </c>
      <c r="B29" s="5">
        <v>1213</v>
      </c>
      <c r="C29" s="5">
        <v>82</v>
      </c>
      <c r="D29" s="21">
        <v>0.65</v>
      </c>
      <c r="E29" s="5" t="s">
        <v>432</v>
      </c>
      <c r="F29" s="48"/>
      <c r="G29" s="43" t="e">
        <f t="shared" si="0"/>
        <v>#VALUE!</v>
      </c>
    </row>
    <row r="30" spans="1:7">
      <c r="A30" s="5">
        <v>24</v>
      </c>
      <c r="B30" s="5">
        <v>1213</v>
      </c>
      <c r="C30" s="5">
        <v>83</v>
      </c>
      <c r="D30" s="21">
        <v>6.4714</v>
      </c>
      <c r="E30" s="5" t="s">
        <v>433</v>
      </c>
      <c r="F30" s="48"/>
      <c r="G30" s="43" t="e">
        <f t="shared" si="0"/>
        <v>#VALUE!</v>
      </c>
    </row>
    <row r="31" spans="1:7">
      <c r="A31" s="5">
        <v>25</v>
      </c>
      <c r="B31" s="5">
        <v>1213</v>
      </c>
      <c r="C31" s="5">
        <v>243</v>
      </c>
      <c r="D31" s="21">
        <v>0.1162</v>
      </c>
      <c r="E31" s="5" t="s">
        <v>367</v>
      </c>
      <c r="F31" s="5"/>
      <c r="G31" s="43" t="e">
        <f t="shared" si="0"/>
        <v>#VALUE!</v>
      </c>
    </row>
    <row r="32" spans="1:7">
      <c r="A32" s="5">
        <v>26</v>
      </c>
      <c r="B32" s="5">
        <v>1213</v>
      </c>
      <c r="C32" s="5">
        <v>248</v>
      </c>
      <c r="D32" s="21">
        <v>1</v>
      </c>
      <c r="E32" s="5" t="s">
        <v>367</v>
      </c>
      <c r="F32" s="5"/>
      <c r="G32" s="43" t="e">
        <f t="shared" si="0"/>
        <v>#VALUE!</v>
      </c>
    </row>
    <row r="33" spans="1:7">
      <c r="A33" s="5">
        <v>27</v>
      </c>
      <c r="B33" s="5">
        <v>1213</v>
      </c>
      <c r="C33" s="5">
        <v>283</v>
      </c>
      <c r="D33" s="21">
        <v>0.1162</v>
      </c>
      <c r="E33" s="5" t="s">
        <v>367</v>
      </c>
      <c r="F33" s="5"/>
      <c r="G33" s="43" t="e">
        <f t="shared" si="0"/>
        <v>#VALUE!</v>
      </c>
    </row>
    <row r="34" spans="1:7">
      <c r="A34" s="5">
        <v>28</v>
      </c>
      <c r="B34" s="5">
        <v>1213</v>
      </c>
      <c r="C34" s="5">
        <v>247</v>
      </c>
      <c r="D34" s="21">
        <v>11.038</v>
      </c>
      <c r="E34" s="5" t="s">
        <v>367</v>
      </c>
      <c r="F34" s="48"/>
      <c r="G34" s="43" t="e">
        <f t="shared" si="0"/>
        <v>#VALUE!</v>
      </c>
    </row>
    <row r="35" spans="1:7">
      <c r="A35" s="5">
        <v>29</v>
      </c>
      <c r="B35" s="5">
        <v>1213</v>
      </c>
      <c r="C35" s="5">
        <v>246</v>
      </c>
      <c r="D35" s="21">
        <v>3.5491000000000001</v>
      </c>
      <c r="E35" s="5" t="s">
        <v>434</v>
      </c>
      <c r="F35" s="48"/>
      <c r="G35" s="43" t="e">
        <f t="shared" si="0"/>
        <v>#VALUE!</v>
      </c>
    </row>
    <row r="36" spans="1:7">
      <c r="A36" s="5">
        <v>30</v>
      </c>
      <c r="B36" s="5">
        <v>1213</v>
      </c>
      <c r="C36" s="5">
        <v>290</v>
      </c>
      <c r="D36" s="21">
        <v>0.55720000000000003</v>
      </c>
      <c r="E36" s="5" t="s">
        <v>435</v>
      </c>
      <c r="F36" s="5"/>
      <c r="G36" s="43" t="e">
        <f t="shared" si="0"/>
        <v>#VALUE!</v>
      </c>
    </row>
    <row r="37" spans="1:7">
      <c r="A37" s="5">
        <v>31</v>
      </c>
      <c r="B37" s="5">
        <v>1213</v>
      </c>
      <c r="C37" s="5">
        <v>21</v>
      </c>
      <c r="D37" s="21">
        <v>1.1616</v>
      </c>
      <c r="E37" s="5" t="s">
        <v>435</v>
      </c>
      <c r="F37" s="48"/>
      <c r="G37" s="43" t="e">
        <f t="shared" si="0"/>
        <v>#VALUE!</v>
      </c>
    </row>
    <row r="38" spans="1:7">
      <c r="A38" s="5">
        <v>32</v>
      </c>
      <c r="B38" s="5">
        <v>1213</v>
      </c>
      <c r="C38" s="5">
        <v>75</v>
      </c>
      <c r="D38" s="21">
        <v>0.65669999999999995</v>
      </c>
      <c r="E38" s="5" t="s">
        <v>436</v>
      </c>
      <c r="F38" s="48"/>
      <c r="G38" s="43" t="e">
        <f t="shared" si="0"/>
        <v>#VALUE!</v>
      </c>
    </row>
    <row r="39" spans="1:7">
      <c r="A39" s="5">
        <v>33</v>
      </c>
      <c r="B39" s="5">
        <v>1213</v>
      </c>
      <c r="C39" s="5">
        <v>292</v>
      </c>
      <c r="D39" s="21">
        <v>0.22500000000000001</v>
      </c>
      <c r="E39" s="5" t="s">
        <v>437</v>
      </c>
      <c r="F39" s="5"/>
      <c r="G39" s="43" t="e">
        <f t="shared" si="0"/>
        <v>#VALUE!</v>
      </c>
    </row>
    <row r="40" spans="1:7">
      <c r="A40" s="5">
        <v>34</v>
      </c>
      <c r="B40" s="5">
        <v>1213</v>
      </c>
      <c r="C40" s="5">
        <v>293</v>
      </c>
      <c r="D40" s="21">
        <v>3.4775999999999998</v>
      </c>
      <c r="E40" s="5" t="s">
        <v>437</v>
      </c>
      <c r="F40" s="5"/>
      <c r="G40" s="43" t="e">
        <f t="shared" si="0"/>
        <v>#VALUE!</v>
      </c>
    </row>
    <row r="41" spans="1:7">
      <c r="A41" s="5">
        <v>36</v>
      </c>
      <c r="B41" s="5">
        <v>1213</v>
      </c>
      <c r="C41" s="5">
        <v>297</v>
      </c>
      <c r="D41" s="21">
        <v>3.5628000000000002</v>
      </c>
      <c r="E41" s="5" t="s">
        <v>437</v>
      </c>
      <c r="F41" s="5"/>
      <c r="G41" s="43" t="e">
        <f t="shared" si="0"/>
        <v>#VALUE!</v>
      </c>
    </row>
    <row r="42" spans="1:7">
      <c r="A42" s="5">
        <v>37</v>
      </c>
      <c r="B42" s="5">
        <v>1213</v>
      </c>
      <c r="C42" s="5">
        <v>322</v>
      </c>
      <c r="D42" s="21">
        <v>0.03</v>
      </c>
      <c r="E42" s="5" t="s">
        <v>438</v>
      </c>
      <c r="F42" s="5"/>
      <c r="G42" s="43" t="e">
        <f t="shared" si="0"/>
        <v>#VALUE!</v>
      </c>
    </row>
    <row r="43" spans="1:7" ht="13.5" thickBot="1">
      <c r="A43" s="10"/>
      <c r="B43" s="10"/>
      <c r="C43" s="10"/>
      <c r="D43" s="73"/>
      <c r="E43" s="10"/>
      <c r="F43" s="10"/>
      <c r="G43" s="43" t="e">
        <f t="shared" si="0"/>
        <v>#VALUE!</v>
      </c>
    </row>
    <row r="44" spans="1:7">
      <c r="A44" s="34">
        <v>1</v>
      </c>
      <c r="B44" s="25">
        <v>1213</v>
      </c>
      <c r="C44" s="25">
        <v>84</v>
      </c>
      <c r="D44" s="37">
        <v>2.6511999999999998</v>
      </c>
      <c r="E44" s="25" t="s">
        <v>440</v>
      </c>
      <c r="F44" s="25"/>
      <c r="G44" s="43" t="e">
        <f t="shared" si="0"/>
        <v>#VALUE!</v>
      </c>
    </row>
    <row r="45" spans="1:7">
      <c r="A45" s="35">
        <v>2</v>
      </c>
      <c r="B45" s="5">
        <v>1213</v>
      </c>
      <c r="C45" s="5">
        <v>312</v>
      </c>
      <c r="D45" s="9">
        <v>11.285500000000001</v>
      </c>
      <c r="E45" s="5" t="s">
        <v>441</v>
      </c>
      <c r="F45" s="5"/>
      <c r="G45" s="43" t="e">
        <f t="shared" si="0"/>
        <v>#VALUE!</v>
      </c>
    </row>
    <row r="46" spans="1:7">
      <c r="A46" s="35">
        <v>4</v>
      </c>
      <c r="B46" s="5">
        <v>1213</v>
      </c>
      <c r="C46" s="5">
        <v>76</v>
      </c>
      <c r="D46" s="9">
        <v>0.67669999999999997</v>
      </c>
      <c r="E46" s="5" t="s">
        <v>442</v>
      </c>
      <c r="F46" s="5"/>
      <c r="G46" s="43" t="e">
        <f t="shared" si="0"/>
        <v>#VALUE!</v>
      </c>
    </row>
    <row r="47" spans="1:7">
      <c r="A47" s="35">
        <v>5</v>
      </c>
      <c r="B47" s="5">
        <v>1213</v>
      </c>
      <c r="C47" s="5">
        <v>7</v>
      </c>
      <c r="D47" s="9">
        <v>0.183</v>
      </c>
      <c r="E47" s="5" t="s">
        <v>443</v>
      </c>
      <c r="F47" s="5"/>
      <c r="G47" s="43" t="e">
        <f t="shared" si="0"/>
        <v>#VALUE!</v>
      </c>
    </row>
    <row r="48" spans="1:7">
      <c r="A48" s="35">
        <v>7</v>
      </c>
      <c r="B48" s="5">
        <v>1213</v>
      </c>
      <c r="C48" s="5">
        <v>71</v>
      </c>
      <c r="D48" s="9">
        <v>9.2989999999999995</v>
      </c>
      <c r="E48" s="5" t="s">
        <v>444</v>
      </c>
      <c r="F48" s="5"/>
      <c r="G48" s="43" t="e">
        <f t="shared" si="0"/>
        <v>#VALUE!</v>
      </c>
    </row>
    <row r="49" spans="1:9">
      <c r="A49" s="35">
        <v>7</v>
      </c>
      <c r="B49" s="5">
        <v>1213</v>
      </c>
      <c r="C49" s="5">
        <v>137</v>
      </c>
      <c r="D49" s="9">
        <v>1.2117</v>
      </c>
      <c r="E49" s="5" t="s">
        <v>445</v>
      </c>
      <c r="F49" s="5"/>
      <c r="G49" s="43" t="e">
        <f t="shared" si="0"/>
        <v>#VALUE!</v>
      </c>
    </row>
    <row r="50" spans="1:9">
      <c r="A50" s="35">
        <v>7</v>
      </c>
      <c r="B50" s="5">
        <v>1213</v>
      </c>
      <c r="C50" s="5">
        <v>300</v>
      </c>
      <c r="D50" s="9">
        <v>9.1499999999999998E-2</v>
      </c>
      <c r="E50" s="5" t="s">
        <v>446</v>
      </c>
      <c r="F50" s="5"/>
      <c r="G50" s="43" t="e">
        <f t="shared" si="0"/>
        <v>#VALUE!</v>
      </c>
    </row>
    <row r="51" spans="1:9">
      <c r="A51" s="35">
        <v>8</v>
      </c>
      <c r="B51" s="5">
        <v>1213</v>
      </c>
      <c r="C51" s="5">
        <v>303</v>
      </c>
      <c r="D51" s="9">
        <v>3.2759999999999998</v>
      </c>
      <c r="E51" s="5" t="s">
        <v>447</v>
      </c>
      <c r="F51" s="5"/>
      <c r="G51" s="43" t="e">
        <f t="shared" si="0"/>
        <v>#VALUE!</v>
      </c>
    </row>
    <row r="52" spans="1:9">
      <c r="A52" s="35">
        <v>8</v>
      </c>
      <c r="B52" s="5">
        <v>1213</v>
      </c>
      <c r="C52" s="5">
        <v>308</v>
      </c>
      <c r="D52" s="9">
        <v>7.9882999999999997</v>
      </c>
      <c r="E52" s="5" t="s">
        <v>447</v>
      </c>
      <c r="F52" s="5"/>
      <c r="G52" s="43" t="e">
        <f t="shared" si="0"/>
        <v>#VALUE!</v>
      </c>
    </row>
    <row r="53" spans="1:9">
      <c r="A53" s="35">
        <v>19</v>
      </c>
      <c r="B53" s="5">
        <v>1213</v>
      </c>
      <c r="C53" s="5">
        <v>88</v>
      </c>
      <c r="D53" s="9">
        <v>14.723599999999999</v>
      </c>
      <c r="E53" s="5" t="s">
        <v>447</v>
      </c>
      <c r="F53" s="5"/>
      <c r="G53" s="43" t="e">
        <f t="shared" si="0"/>
        <v>#VALUE!</v>
      </c>
    </row>
    <row r="54" spans="1:9">
      <c r="A54" s="35">
        <v>19</v>
      </c>
      <c r="B54" s="5">
        <v>1213</v>
      </c>
      <c r="C54" s="5">
        <v>159</v>
      </c>
      <c r="D54" s="9">
        <v>4.6924999999999999</v>
      </c>
      <c r="E54" s="5" t="s">
        <v>447</v>
      </c>
      <c r="F54" s="5"/>
      <c r="G54" s="43" t="e">
        <f t="shared" si="0"/>
        <v>#VALUE!</v>
      </c>
    </row>
    <row r="55" spans="1:9">
      <c r="A55" s="35">
        <v>9</v>
      </c>
      <c r="B55" s="5">
        <v>1213</v>
      </c>
      <c r="C55" s="5">
        <v>91</v>
      </c>
      <c r="D55" s="9">
        <v>4.6063999999999998</v>
      </c>
      <c r="E55" s="5" t="s">
        <v>448</v>
      </c>
      <c r="F55" s="5"/>
      <c r="G55" s="43" t="e">
        <f t="shared" si="0"/>
        <v>#VALUE!</v>
      </c>
    </row>
    <row r="56" spans="1:9">
      <c r="A56" s="35">
        <v>9</v>
      </c>
      <c r="B56" s="5">
        <v>1213</v>
      </c>
      <c r="C56" s="5">
        <v>92</v>
      </c>
      <c r="D56" s="9">
        <v>0.60699999999999998</v>
      </c>
      <c r="E56" s="5" t="s">
        <v>449</v>
      </c>
      <c r="F56" s="5"/>
      <c r="G56" s="43" t="e">
        <f t="shared" si="0"/>
        <v>#VALUE!</v>
      </c>
    </row>
    <row r="57" spans="1:9">
      <c r="A57" s="35">
        <v>9</v>
      </c>
      <c r="B57" s="5">
        <v>1213</v>
      </c>
      <c r="C57" s="5">
        <v>93</v>
      </c>
      <c r="D57" s="9">
        <v>2.2999999999999998</v>
      </c>
      <c r="E57" s="5" t="s">
        <v>450</v>
      </c>
      <c r="F57" s="5"/>
      <c r="G57" s="43" t="e">
        <f t="shared" si="0"/>
        <v>#VALUE!</v>
      </c>
    </row>
    <row r="58" spans="1:9">
      <c r="A58" s="35">
        <v>10</v>
      </c>
      <c r="B58" s="5">
        <v>1213</v>
      </c>
      <c r="C58" s="5">
        <v>306</v>
      </c>
      <c r="D58" s="9">
        <v>4.5285000000000002</v>
      </c>
      <c r="E58" s="5" t="s">
        <v>451</v>
      </c>
      <c r="F58" s="5"/>
      <c r="G58" s="43" t="e">
        <f t="shared" si="0"/>
        <v>#VALUE!</v>
      </c>
    </row>
    <row r="59" spans="1:9">
      <c r="A59" s="35">
        <v>11</v>
      </c>
      <c r="B59" s="5">
        <v>1213</v>
      </c>
      <c r="C59" s="5">
        <v>200</v>
      </c>
      <c r="D59" s="9">
        <v>0.7883</v>
      </c>
      <c r="E59" s="5" t="s">
        <v>452</v>
      </c>
      <c r="F59" s="5"/>
      <c r="G59" s="43" t="e">
        <f t="shared" si="0"/>
        <v>#VALUE!</v>
      </c>
    </row>
    <row r="60" spans="1:9">
      <c r="A60" s="35">
        <v>12</v>
      </c>
      <c r="B60" s="5">
        <v>1213</v>
      </c>
      <c r="C60" s="5">
        <v>94</v>
      </c>
      <c r="D60" s="9">
        <v>0.7228</v>
      </c>
      <c r="E60" s="5" t="s">
        <v>453</v>
      </c>
      <c r="F60" s="5"/>
      <c r="G60" s="43" t="e">
        <f t="shared" si="0"/>
        <v>#VALUE!</v>
      </c>
    </row>
    <row r="61" spans="1:9">
      <c r="A61" s="35">
        <v>13</v>
      </c>
      <c r="B61" s="5">
        <v>1213</v>
      </c>
      <c r="C61" s="5">
        <v>95</v>
      </c>
      <c r="D61" s="9">
        <v>0.5</v>
      </c>
      <c r="E61" s="5" t="s">
        <v>454</v>
      </c>
      <c r="F61" s="5"/>
      <c r="G61" s="43" t="e">
        <f t="shared" si="0"/>
        <v>#VALUE!</v>
      </c>
    </row>
    <row r="62" spans="1:9">
      <c r="A62" s="35">
        <v>14</v>
      </c>
      <c r="B62" s="5">
        <v>1213</v>
      </c>
      <c r="C62" s="5">
        <v>101</v>
      </c>
      <c r="D62" s="9">
        <v>6.9199999999999998E-2</v>
      </c>
      <c r="E62" s="5" t="s">
        <v>455</v>
      </c>
      <c r="F62" s="5"/>
      <c r="G62" s="43" t="e">
        <f t="shared" si="0"/>
        <v>#VALUE!</v>
      </c>
    </row>
    <row r="63" spans="1:9">
      <c r="A63" s="35">
        <v>14</v>
      </c>
      <c r="B63" s="5">
        <v>1213</v>
      </c>
      <c r="C63" s="5">
        <v>209</v>
      </c>
      <c r="D63" s="9">
        <v>0.27300000000000002</v>
      </c>
      <c r="E63" s="5" t="s">
        <v>456</v>
      </c>
      <c r="F63" s="5"/>
      <c r="G63" s="43" t="e">
        <f t="shared" si="0"/>
        <v>#VALUE!</v>
      </c>
    </row>
    <row r="64" spans="1:9" s="58" customFormat="1" ht="25.5" customHeight="1">
      <c r="A64" s="35">
        <v>15</v>
      </c>
      <c r="B64" s="5">
        <v>1213</v>
      </c>
      <c r="C64" s="5">
        <v>212</v>
      </c>
      <c r="D64" s="9">
        <v>0.1381</v>
      </c>
      <c r="E64" s="5" t="s">
        <v>457</v>
      </c>
      <c r="F64" s="5"/>
      <c r="G64" s="43" t="e">
        <f t="shared" si="0"/>
        <v>#VALUE!</v>
      </c>
      <c r="H64"/>
      <c r="I64"/>
    </row>
    <row r="65" spans="1:7">
      <c r="A65" s="35">
        <v>16</v>
      </c>
      <c r="B65" s="5">
        <v>1213</v>
      </c>
      <c r="C65" s="5">
        <v>105</v>
      </c>
      <c r="D65" s="9">
        <v>0.27229999999999999</v>
      </c>
      <c r="E65" s="5" t="s">
        <v>458</v>
      </c>
      <c r="F65" s="5"/>
      <c r="G65" s="43" t="e">
        <f t="shared" si="0"/>
        <v>#VALUE!</v>
      </c>
    </row>
    <row r="66" spans="1:7">
      <c r="A66" s="35">
        <v>17</v>
      </c>
      <c r="B66" s="5">
        <v>1213</v>
      </c>
      <c r="C66" s="5">
        <v>216</v>
      </c>
      <c r="D66" s="9">
        <v>6.9000000000000006E-2</v>
      </c>
      <c r="E66" s="5" t="s">
        <v>459</v>
      </c>
      <c r="F66" s="5"/>
      <c r="G66" s="43" t="e">
        <f t="shared" si="0"/>
        <v>#VALUE!</v>
      </c>
    </row>
    <row r="67" spans="1:7">
      <c r="A67" s="35">
        <v>18</v>
      </c>
      <c r="B67" s="5">
        <v>1213</v>
      </c>
      <c r="C67" s="5">
        <v>103</v>
      </c>
      <c r="D67" s="9">
        <v>0.11849999999999999</v>
      </c>
      <c r="E67" s="5" t="s">
        <v>460</v>
      </c>
      <c r="F67" s="5"/>
      <c r="G67" s="43" t="e">
        <f t="shared" si="0"/>
        <v>#VALUE!</v>
      </c>
    </row>
    <row r="68" spans="1:7">
      <c r="A68" s="35">
        <v>20</v>
      </c>
      <c r="B68" s="5">
        <v>1213</v>
      </c>
      <c r="C68" s="5">
        <v>89</v>
      </c>
      <c r="D68" s="9">
        <v>3.8035000000000001</v>
      </c>
      <c r="E68" s="5" t="s">
        <v>461</v>
      </c>
      <c r="F68" s="5"/>
      <c r="G68" s="43" t="e">
        <f t="shared" si="0"/>
        <v>#VALUE!</v>
      </c>
    </row>
    <row r="69" spans="1:7">
      <c r="A69" s="35">
        <v>20</v>
      </c>
      <c r="B69" s="5">
        <v>1213</v>
      </c>
      <c r="C69" s="5">
        <v>104</v>
      </c>
      <c r="D69" s="9">
        <v>4</v>
      </c>
      <c r="E69" s="5" t="s">
        <v>461</v>
      </c>
      <c r="F69" s="5"/>
      <c r="G69" s="43" t="e">
        <f t="shared" si="0"/>
        <v>#VALUE!</v>
      </c>
    </row>
    <row r="70" spans="1:7">
      <c r="A70" s="35">
        <v>20</v>
      </c>
      <c r="B70" s="5">
        <v>1213</v>
      </c>
      <c r="C70" s="5">
        <v>106</v>
      </c>
      <c r="D70" s="9">
        <v>4.2218999999999998</v>
      </c>
      <c r="E70" s="5" t="s">
        <v>462</v>
      </c>
      <c r="F70" s="5"/>
      <c r="G70" s="43" t="e">
        <f t="shared" si="0"/>
        <v>#VALUE!</v>
      </c>
    </row>
    <row r="71" spans="1:7">
      <c r="A71" s="35">
        <v>20</v>
      </c>
      <c r="B71" s="5">
        <v>1213</v>
      </c>
      <c r="C71" s="5">
        <v>108</v>
      </c>
      <c r="D71" s="9">
        <v>0.82730000000000004</v>
      </c>
      <c r="E71" s="5" t="s">
        <v>461</v>
      </c>
      <c r="F71" s="5"/>
      <c r="G71" s="43" t="e">
        <f t="shared" si="0"/>
        <v>#VALUE!</v>
      </c>
    </row>
    <row r="72" spans="1:7">
      <c r="A72" s="35">
        <v>20</v>
      </c>
      <c r="B72" s="5">
        <v>1213</v>
      </c>
      <c r="C72" s="5">
        <v>109</v>
      </c>
      <c r="D72" s="9">
        <v>0.2419</v>
      </c>
      <c r="E72" s="5" t="s">
        <v>462</v>
      </c>
      <c r="F72" s="5"/>
      <c r="G72" s="43" t="e">
        <f t="shared" si="0"/>
        <v>#VALUE!</v>
      </c>
    </row>
    <row r="73" spans="1:7">
      <c r="A73" s="35">
        <v>20</v>
      </c>
      <c r="B73" s="5">
        <v>1213</v>
      </c>
      <c r="C73" s="5">
        <v>110</v>
      </c>
      <c r="D73" s="9">
        <v>0.2419</v>
      </c>
      <c r="E73" s="5" t="s">
        <v>461</v>
      </c>
      <c r="F73" s="5"/>
      <c r="G73" s="43" t="e">
        <f t="shared" si="0"/>
        <v>#VALUE!</v>
      </c>
    </row>
    <row r="74" spans="1:7">
      <c r="A74" s="35">
        <v>20</v>
      </c>
      <c r="B74" s="5">
        <v>1213</v>
      </c>
      <c r="C74" s="5">
        <v>111</v>
      </c>
      <c r="D74" s="9">
        <v>0.2419</v>
      </c>
      <c r="E74" s="5" t="s">
        <v>461</v>
      </c>
      <c r="F74" s="5"/>
      <c r="G74" s="43" t="e">
        <f t="shared" ref="G74:G137" si="1">D74*$H$5</f>
        <v>#VALUE!</v>
      </c>
    </row>
    <row r="75" spans="1:7">
      <c r="A75" s="35">
        <v>20</v>
      </c>
      <c r="B75" s="5">
        <v>1213</v>
      </c>
      <c r="C75" s="5">
        <v>112</v>
      </c>
      <c r="D75" s="9">
        <v>0.2419</v>
      </c>
      <c r="E75" s="5" t="s">
        <v>461</v>
      </c>
      <c r="F75" s="5"/>
      <c r="G75" s="43" t="e">
        <f t="shared" si="1"/>
        <v>#VALUE!</v>
      </c>
    </row>
    <row r="76" spans="1:7">
      <c r="A76" s="35">
        <v>20</v>
      </c>
      <c r="B76" s="5">
        <v>1213</v>
      </c>
      <c r="C76" s="5">
        <v>113</v>
      </c>
      <c r="D76" s="9">
        <v>0.2419</v>
      </c>
      <c r="E76" s="5" t="s">
        <v>461</v>
      </c>
      <c r="F76" s="5"/>
      <c r="G76" s="43" t="e">
        <f t="shared" si="1"/>
        <v>#VALUE!</v>
      </c>
    </row>
    <row r="77" spans="1:7">
      <c r="A77" s="35">
        <v>20</v>
      </c>
      <c r="B77" s="5">
        <v>1213</v>
      </c>
      <c r="C77" s="5">
        <v>122</v>
      </c>
      <c r="D77" s="9">
        <v>7.7</v>
      </c>
      <c r="E77" s="5" t="s">
        <v>461</v>
      </c>
      <c r="F77" s="5"/>
      <c r="G77" s="43" t="e">
        <f t="shared" si="1"/>
        <v>#VALUE!</v>
      </c>
    </row>
    <row r="78" spans="1:7">
      <c r="A78" s="35">
        <v>21</v>
      </c>
      <c r="B78" s="5">
        <v>1213</v>
      </c>
      <c r="C78" s="5">
        <v>153</v>
      </c>
      <c r="D78" s="9">
        <v>0.71870000000000001</v>
      </c>
      <c r="E78" s="5" t="s">
        <v>463</v>
      </c>
      <c r="F78" s="5"/>
      <c r="G78" s="43" t="e">
        <f t="shared" si="1"/>
        <v>#VALUE!</v>
      </c>
    </row>
    <row r="79" spans="1:7">
      <c r="A79" s="35">
        <v>22</v>
      </c>
      <c r="B79" s="5">
        <v>1213</v>
      </c>
      <c r="C79" s="5">
        <v>161</v>
      </c>
      <c r="D79" s="9">
        <v>1.1927000000000001</v>
      </c>
      <c r="E79" s="5" t="s">
        <v>464</v>
      </c>
      <c r="F79" s="5"/>
      <c r="G79" s="43" t="e">
        <f t="shared" si="1"/>
        <v>#VALUE!</v>
      </c>
    </row>
    <row r="80" spans="1:7">
      <c r="A80" s="35">
        <v>23</v>
      </c>
      <c r="B80" s="5">
        <v>1213</v>
      </c>
      <c r="C80" s="5">
        <v>152</v>
      </c>
      <c r="D80" s="9">
        <v>1.7895000000000001</v>
      </c>
      <c r="E80" s="5" t="s">
        <v>465</v>
      </c>
      <c r="F80" s="5"/>
      <c r="G80" s="43" t="e">
        <f t="shared" si="1"/>
        <v>#VALUE!</v>
      </c>
    </row>
    <row r="81" spans="1:7" ht="13.5" thickBot="1">
      <c r="A81" s="36">
        <v>24</v>
      </c>
      <c r="B81" s="29">
        <v>1213</v>
      </c>
      <c r="C81" s="29">
        <v>162</v>
      </c>
      <c r="D81" s="40">
        <v>0.46439999999999998</v>
      </c>
      <c r="E81" s="29" t="s">
        <v>466</v>
      </c>
      <c r="F81" s="29"/>
      <c r="G81" s="43" t="e">
        <f t="shared" si="1"/>
        <v>#VALUE!</v>
      </c>
    </row>
    <row r="82" spans="1:7" ht="13.5" thickBot="1">
      <c r="D82" s="15"/>
      <c r="G82" s="43" t="e">
        <f t="shared" si="1"/>
        <v>#VALUE!</v>
      </c>
    </row>
    <row r="83" spans="1:7">
      <c r="A83" s="34">
        <v>1</v>
      </c>
      <c r="B83" s="25">
        <v>1213</v>
      </c>
      <c r="C83" s="25">
        <v>319</v>
      </c>
      <c r="D83" s="37">
        <v>0.44359999999999999</v>
      </c>
      <c r="E83" s="25" t="s">
        <v>468</v>
      </c>
      <c r="F83" s="25"/>
      <c r="G83" s="43" t="e">
        <f t="shared" si="1"/>
        <v>#VALUE!</v>
      </c>
    </row>
    <row r="84" spans="1:7">
      <c r="A84" s="35">
        <v>3</v>
      </c>
      <c r="B84" s="5">
        <v>1213</v>
      </c>
      <c r="C84" s="5">
        <v>49</v>
      </c>
      <c r="D84" s="9">
        <v>3.1314000000000002</v>
      </c>
      <c r="E84" s="5" t="s">
        <v>469</v>
      </c>
      <c r="F84" s="5"/>
      <c r="G84" s="43" t="e">
        <f t="shared" si="1"/>
        <v>#VALUE!</v>
      </c>
    </row>
    <row r="85" spans="1:7">
      <c r="A85" s="35">
        <v>3</v>
      </c>
      <c r="B85" s="5">
        <v>1213</v>
      </c>
      <c r="C85" s="5">
        <v>291</v>
      </c>
      <c r="D85" s="9">
        <v>4.0974000000000004</v>
      </c>
      <c r="E85" s="5" t="s">
        <v>470</v>
      </c>
      <c r="F85" s="5"/>
      <c r="G85" s="43" t="e">
        <f t="shared" si="1"/>
        <v>#VALUE!</v>
      </c>
    </row>
    <row r="86" spans="1:7">
      <c r="A86" s="35">
        <v>4</v>
      </c>
      <c r="B86" s="5">
        <v>1213</v>
      </c>
      <c r="C86" s="5">
        <v>301</v>
      </c>
      <c r="D86" s="9">
        <v>9.2210000000000001</v>
      </c>
      <c r="E86" s="5" t="s">
        <v>471</v>
      </c>
      <c r="F86" s="5"/>
      <c r="G86" s="43" t="e">
        <f t="shared" si="1"/>
        <v>#VALUE!</v>
      </c>
    </row>
    <row r="87" spans="1:7">
      <c r="A87" s="35">
        <v>6</v>
      </c>
      <c r="B87" s="5">
        <v>1213</v>
      </c>
      <c r="C87" s="5">
        <v>336</v>
      </c>
      <c r="D87" s="9">
        <v>1.8263</v>
      </c>
      <c r="E87" s="5" t="s">
        <v>472</v>
      </c>
      <c r="F87" s="5"/>
      <c r="G87" s="43" t="e">
        <f t="shared" si="1"/>
        <v>#VALUE!</v>
      </c>
    </row>
    <row r="88" spans="1:7">
      <c r="A88" s="35">
        <v>7</v>
      </c>
      <c r="B88" s="5">
        <v>1213</v>
      </c>
      <c r="C88" s="5">
        <v>61</v>
      </c>
      <c r="D88" s="9">
        <v>0.92049999999999998</v>
      </c>
      <c r="E88" s="5" t="s">
        <v>473</v>
      </c>
      <c r="F88" s="5"/>
      <c r="G88" s="43" t="e">
        <f t="shared" si="1"/>
        <v>#VALUE!</v>
      </c>
    </row>
    <row r="89" spans="1:7">
      <c r="A89" s="35">
        <v>8</v>
      </c>
      <c r="B89" s="5">
        <v>1213</v>
      </c>
      <c r="C89" s="5">
        <v>190</v>
      </c>
      <c r="D89" s="9">
        <v>0.47660000000000002</v>
      </c>
      <c r="E89" s="5" t="s">
        <v>474</v>
      </c>
      <c r="F89" s="5"/>
      <c r="G89" s="43" t="e">
        <f t="shared" si="1"/>
        <v>#VALUE!</v>
      </c>
    </row>
    <row r="90" spans="1:7">
      <c r="A90" s="35">
        <v>9</v>
      </c>
      <c r="B90" s="5">
        <v>1213</v>
      </c>
      <c r="C90" s="5">
        <v>298</v>
      </c>
      <c r="D90" s="9">
        <v>2.1753</v>
      </c>
      <c r="E90" s="5" t="s">
        <v>475</v>
      </c>
      <c r="F90" s="5"/>
      <c r="G90" s="43" t="e">
        <f t="shared" si="1"/>
        <v>#VALUE!</v>
      </c>
    </row>
    <row r="91" spans="1:7">
      <c r="A91" s="35">
        <v>9</v>
      </c>
      <c r="B91" s="5">
        <v>1213</v>
      </c>
      <c r="C91" s="5">
        <v>299</v>
      </c>
      <c r="D91" s="9">
        <v>4.9768999999999997</v>
      </c>
      <c r="E91" s="5" t="s">
        <v>475</v>
      </c>
      <c r="F91" s="5"/>
      <c r="G91" s="43" t="e">
        <f t="shared" si="1"/>
        <v>#VALUE!</v>
      </c>
    </row>
    <row r="92" spans="1:7">
      <c r="A92" s="35">
        <v>10</v>
      </c>
      <c r="B92" s="5">
        <v>1213</v>
      </c>
      <c r="C92" s="5">
        <v>202</v>
      </c>
      <c r="D92" s="9">
        <v>0.11269999999999999</v>
      </c>
      <c r="E92" s="5" t="s">
        <v>476</v>
      </c>
      <c r="F92" s="5"/>
      <c r="G92" s="43" t="e">
        <f t="shared" si="1"/>
        <v>#VALUE!</v>
      </c>
    </row>
    <row r="93" spans="1:7">
      <c r="A93" s="35">
        <v>11</v>
      </c>
      <c r="B93" s="5">
        <v>1213</v>
      </c>
      <c r="C93" s="5">
        <v>206</v>
      </c>
      <c r="D93" s="9">
        <v>7.6100000000000001E-2</v>
      </c>
      <c r="E93" s="5" t="s">
        <v>477</v>
      </c>
      <c r="F93" s="5"/>
      <c r="G93" s="43" t="e">
        <f t="shared" si="1"/>
        <v>#VALUE!</v>
      </c>
    </row>
    <row r="94" spans="1:7">
      <c r="A94" s="35">
        <v>12</v>
      </c>
      <c r="B94" s="5">
        <v>1213</v>
      </c>
      <c r="C94" s="5">
        <v>66</v>
      </c>
      <c r="D94" s="9" t="s">
        <v>478</v>
      </c>
      <c r="E94" s="5" t="s">
        <v>479</v>
      </c>
      <c r="F94" s="5"/>
      <c r="G94" s="43" t="e">
        <f t="shared" si="1"/>
        <v>#VALUE!</v>
      </c>
    </row>
    <row r="95" spans="1:7">
      <c r="A95" s="35">
        <v>12</v>
      </c>
      <c r="B95" s="5">
        <v>1213</v>
      </c>
      <c r="C95" s="5">
        <v>314</v>
      </c>
      <c r="D95" s="9">
        <v>0.33069999999999999</v>
      </c>
      <c r="E95" s="5" t="s">
        <v>480</v>
      </c>
      <c r="F95" s="5"/>
      <c r="G95" s="43" t="e">
        <f t="shared" si="1"/>
        <v>#VALUE!</v>
      </c>
    </row>
    <row r="96" spans="1:7">
      <c r="A96" s="35">
        <v>12</v>
      </c>
      <c r="B96" s="5">
        <v>1213</v>
      </c>
      <c r="C96" s="5">
        <v>315</v>
      </c>
      <c r="D96" s="9">
        <v>0.59699999999999998</v>
      </c>
      <c r="E96" s="5" t="s">
        <v>480</v>
      </c>
      <c r="F96" s="5"/>
      <c r="G96" s="43" t="e">
        <f t="shared" si="1"/>
        <v>#VALUE!</v>
      </c>
    </row>
    <row r="97" spans="1:7">
      <c r="A97" s="35">
        <v>12</v>
      </c>
      <c r="B97" s="5">
        <v>1213</v>
      </c>
      <c r="C97" s="5">
        <v>316</v>
      </c>
      <c r="D97" s="9">
        <v>0.59699999999999998</v>
      </c>
      <c r="E97" s="5" t="s">
        <v>480</v>
      </c>
      <c r="F97" s="5"/>
      <c r="G97" s="43" t="e">
        <f t="shared" si="1"/>
        <v>#VALUE!</v>
      </c>
    </row>
    <row r="98" spans="1:7">
      <c r="A98" s="35">
        <v>12</v>
      </c>
      <c r="B98" s="5">
        <v>1213</v>
      </c>
      <c r="C98" s="5">
        <v>317</v>
      </c>
      <c r="D98" s="9">
        <v>2.5825</v>
      </c>
      <c r="E98" s="5" t="s">
        <v>480</v>
      </c>
      <c r="F98" s="5"/>
      <c r="G98" s="43" t="e">
        <f t="shared" si="1"/>
        <v>#VALUE!</v>
      </c>
    </row>
    <row r="99" spans="1:7" ht="13.5" thickBot="1">
      <c r="A99" s="36">
        <v>13</v>
      </c>
      <c r="B99" s="29">
        <v>1213</v>
      </c>
      <c r="C99" s="29">
        <v>168</v>
      </c>
      <c r="D99" s="40">
        <v>10.1633</v>
      </c>
      <c r="E99" s="29" t="s">
        <v>481</v>
      </c>
      <c r="F99" s="29"/>
      <c r="G99" s="43" t="e">
        <f t="shared" si="1"/>
        <v>#VALUE!</v>
      </c>
    </row>
    <row r="100" spans="1:7" ht="13.5" thickBot="1">
      <c r="A100" s="47" t="s">
        <v>745</v>
      </c>
      <c r="D100" s="15"/>
      <c r="G100" s="43" t="e">
        <f t="shared" si="1"/>
        <v>#VALUE!</v>
      </c>
    </row>
    <row r="101" spans="1:7">
      <c r="A101" s="34">
        <v>1</v>
      </c>
      <c r="B101" s="25">
        <v>1213</v>
      </c>
      <c r="C101" s="25">
        <v>28</v>
      </c>
      <c r="D101" s="37">
        <v>3.8839000000000001</v>
      </c>
      <c r="E101" s="25" t="s">
        <v>438</v>
      </c>
      <c r="F101" s="25"/>
      <c r="G101" s="43" t="e">
        <f t="shared" si="1"/>
        <v>#VALUE!</v>
      </c>
    </row>
    <row r="102" spans="1:7">
      <c r="A102" s="35">
        <v>2</v>
      </c>
      <c r="B102" s="5">
        <v>1213</v>
      </c>
      <c r="C102" s="5">
        <v>29</v>
      </c>
      <c r="D102" s="9">
        <v>0.16980000000000001</v>
      </c>
      <c r="E102" s="5" t="s">
        <v>483</v>
      </c>
      <c r="F102" s="5"/>
      <c r="G102" s="43" t="e">
        <f t="shared" si="1"/>
        <v>#VALUE!</v>
      </c>
    </row>
    <row r="103" spans="1:7">
      <c r="A103" s="35">
        <v>3</v>
      </c>
      <c r="B103" s="5">
        <v>1213</v>
      </c>
      <c r="C103" s="5">
        <v>19</v>
      </c>
      <c r="D103" s="9">
        <v>1.7969999999999999</v>
      </c>
      <c r="E103" s="5" t="s">
        <v>484</v>
      </c>
      <c r="F103" s="5"/>
      <c r="G103" s="43" t="e">
        <f t="shared" si="1"/>
        <v>#VALUE!</v>
      </c>
    </row>
    <row r="104" spans="1:7">
      <c r="A104" s="35">
        <v>4</v>
      </c>
      <c r="B104" s="5">
        <v>1213</v>
      </c>
      <c r="C104" s="5">
        <v>233</v>
      </c>
      <c r="D104" s="9">
        <v>2.1351</v>
      </c>
      <c r="E104" s="5" t="s">
        <v>485</v>
      </c>
      <c r="F104" s="5"/>
      <c r="G104" s="43" t="e">
        <f t="shared" si="1"/>
        <v>#VALUE!</v>
      </c>
    </row>
    <row r="105" spans="1:7">
      <c r="A105" s="35">
        <v>5</v>
      </c>
      <c r="B105" s="5">
        <v>1213</v>
      </c>
      <c r="C105" s="5">
        <v>331</v>
      </c>
      <c r="D105" s="9">
        <v>4.9919000000000002</v>
      </c>
      <c r="E105" s="5" t="s">
        <v>486</v>
      </c>
      <c r="F105" s="5"/>
      <c r="G105" s="43" t="e">
        <f t="shared" si="1"/>
        <v>#VALUE!</v>
      </c>
    </row>
    <row r="106" spans="1:7">
      <c r="A106" s="35">
        <v>6</v>
      </c>
      <c r="B106" s="5">
        <v>1213</v>
      </c>
      <c r="C106" s="5">
        <v>321</v>
      </c>
      <c r="D106" s="9">
        <v>1.5629</v>
      </c>
      <c r="E106" s="5" t="s">
        <v>487</v>
      </c>
      <c r="F106" s="5"/>
      <c r="G106" s="43" t="e">
        <f t="shared" si="1"/>
        <v>#VALUE!</v>
      </c>
    </row>
    <row r="107" spans="1:7" ht="13.5" thickBot="1">
      <c r="A107" s="36">
        <v>7</v>
      </c>
      <c r="B107" s="29">
        <v>1213</v>
      </c>
      <c r="C107" s="29">
        <v>320</v>
      </c>
      <c r="D107" s="40">
        <v>1.7049000000000001</v>
      </c>
      <c r="E107" s="29" t="s">
        <v>488</v>
      </c>
      <c r="F107" s="29"/>
      <c r="G107" s="43" t="e">
        <f t="shared" si="1"/>
        <v>#VALUE!</v>
      </c>
    </row>
    <row r="108" spans="1:7">
      <c r="D108" s="15"/>
      <c r="G108" s="43" t="e">
        <f t="shared" si="1"/>
        <v>#VALUE!</v>
      </c>
    </row>
    <row r="109" spans="1:7">
      <c r="A109" s="5">
        <v>1</v>
      </c>
      <c r="B109" s="5">
        <v>1213</v>
      </c>
      <c r="C109" s="5">
        <v>324</v>
      </c>
      <c r="D109" s="21">
        <v>2.4005999999999998</v>
      </c>
      <c r="E109" s="5" t="s">
        <v>490</v>
      </c>
      <c r="F109" s="48"/>
      <c r="G109" s="43" t="e">
        <f t="shared" si="1"/>
        <v>#VALUE!</v>
      </c>
    </row>
    <row r="110" spans="1:7">
      <c r="A110" s="5">
        <v>1</v>
      </c>
      <c r="B110" s="5">
        <v>1213</v>
      </c>
      <c r="C110" s="5">
        <v>325</v>
      </c>
      <c r="D110" s="21">
        <v>3.0775999999999999</v>
      </c>
      <c r="E110" s="5" t="s">
        <v>490</v>
      </c>
      <c r="F110" s="48"/>
      <c r="G110" s="43" t="e">
        <f t="shared" si="1"/>
        <v>#VALUE!</v>
      </c>
    </row>
    <row r="111" spans="1:7">
      <c r="A111" s="51">
        <v>2</v>
      </c>
      <c r="B111" s="52">
        <v>1213</v>
      </c>
      <c r="C111" s="52">
        <v>241</v>
      </c>
      <c r="D111" s="44">
        <v>3.8921000000000001</v>
      </c>
      <c r="E111" s="52" t="s">
        <v>491</v>
      </c>
      <c r="F111" s="52"/>
      <c r="G111" s="43" t="e">
        <f t="shared" si="1"/>
        <v>#VALUE!</v>
      </c>
    </row>
    <row r="112" spans="1:7">
      <c r="A112" s="35">
        <v>3</v>
      </c>
      <c r="B112" s="5">
        <v>1213</v>
      </c>
      <c r="C112" s="5">
        <v>253</v>
      </c>
      <c r="D112" s="21">
        <v>0.14380000000000001</v>
      </c>
      <c r="E112" s="5" t="s">
        <v>492</v>
      </c>
      <c r="F112" s="5"/>
      <c r="G112" s="43" t="e">
        <f t="shared" si="1"/>
        <v>#VALUE!</v>
      </c>
    </row>
    <row r="113" spans="1:9">
      <c r="A113" s="35">
        <v>4</v>
      </c>
      <c r="B113" s="5">
        <v>1213</v>
      </c>
      <c r="C113" s="5">
        <v>242</v>
      </c>
      <c r="D113" s="21">
        <v>2.6025</v>
      </c>
      <c r="E113" s="5" t="s">
        <v>493</v>
      </c>
      <c r="F113" s="5"/>
      <c r="G113" s="43" t="e">
        <f t="shared" si="1"/>
        <v>#VALUE!</v>
      </c>
    </row>
    <row r="114" spans="1:9">
      <c r="A114" s="35">
        <v>5</v>
      </c>
      <c r="B114" s="5">
        <v>1213</v>
      </c>
      <c r="C114" s="5">
        <v>245</v>
      </c>
      <c r="D114" s="21">
        <v>0.21820000000000001</v>
      </c>
      <c r="E114" s="5" t="s">
        <v>494</v>
      </c>
      <c r="F114" s="5"/>
      <c r="G114" s="43" t="e">
        <f t="shared" si="1"/>
        <v>#VALUE!</v>
      </c>
    </row>
    <row r="115" spans="1:9">
      <c r="A115" s="35">
        <v>6</v>
      </c>
      <c r="B115" s="5">
        <v>1213</v>
      </c>
      <c r="C115" s="5">
        <v>272</v>
      </c>
      <c r="D115" s="21">
        <v>1.3748</v>
      </c>
      <c r="E115" s="5" t="s">
        <v>495</v>
      </c>
      <c r="F115" s="5"/>
      <c r="G115" s="43" t="e">
        <f t="shared" si="1"/>
        <v>#VALUE!</v>
      </c>
    </row>
    <row r="116" spans="1:9">
      <c r="A116" s="35">
        <v>7</v>
      </c>
      <c r="B116" s="5">
        <v>1213</v>
      </c>
      <c r="C116" s="5">
        <v>116</v>
      </c>
      <c r="D116" s="21">
        <v>3.1474000000000002</v>
      </c>
      <c r="E116" s="5" t="s">
        <v>496</v>
      </c>
      <c r="F116" s="5"/>
      <c r="G116" s="43" t="e">
        <f t="shared" si="1"/>
        <v>#VALUE!</v>
      </c>
    </row>
    <row r="117" spans="1:9">
      <c r="A117" s="35">
        <v>8</v>
      </c>
      <c r="B117" s="5">
        <v>1213</v>
      </c>
      <c r="C117" s="5">
        <v>117</v>
      </c>
      <c r="D117" s="21">
        <v>6.4078999999999997</v>
      </c>
      <c r="E117" s="5" t="s">
        <v>497</v>
      </c>
      <c r="F117" s="5"/>
      <c r="G117" s="43" t="e">
        <f t="shared" si="1"/>
        <v>#VALUE!</v>
      </c>
    </row>
    <row r="118" spans="1:9">
      <c r="A118" s="35">
        <v>9</v>
      </c>
      <c r="B118" s="5">
        <v>1213</v>
      </c>
      <c r="C118" s="5">
        <v>118</v>
      </c>
      <c r="D118" s="21">
        <v>0.4098</v>
      </c>
      <c r="E118" s="5" t="s">
        <v>498</v>
      </c>
      <c r="F118" s="5"/>
      <c r="G118" s="43" t="e">
        <f t="shared" si="1"/>
        <v>#VALUE!</v>
      </c>
    </row>
    <row r="119" spans="1:9">
      <c r="A119" s="35">
        <v>10</v>
      </c>
      <c r="B119" s="5">
        <v>1213</v>
      </c>
      <c r="C119" s="5">
        <v>239</v>
      </c>
      <c r="D119" s="21">
        <v>6.8400000000000002E-2</v>
      </c>
      <c r="E119" s="5" t="s">
        <v>499</v>
      </c>
      <c r="F119" s="5"/>
      <c r="G119" s="43" t="e">
        <f t="shared" si="1"/>
        <v>#VALUE!</v>
      </c>
    </row>
    <row r="120" spans="1:9">
      <c r="A120" s="35">
        <v>11</v>
      </c>
      <c r="B120" s="5">
        <v>1213</v>
      </c>
      <c r="C120" s="5">
        <v>284</v>
      </c>
      <c r="D120" s="21">
        <v>0.3286</v>
      </c>
      <c r="E120" s="5" t="s">
        <v>500</v>
      </c>
      <c r="F120" s="5"/>
      <c r="G120" s="43" t="e">
        <f t="shared" si="1"/>
        <v>#VALUE!</v>
      </c>
    </row>
    <row r="121" spans="1:9">
      <c r="A121" s="35">
        <v>13</v>
      </c>
      <c r="B121" s="5">
        <v>1213</v>
      </c>
      <c r="C121" s="5" t="s">
        <v>720</v>
      </c>
      <c r="D121" s="21">
        <v>8.0380000000000003</v>
      </c>
      <c r="E121" s="5" t="s">
        <v>501</v>
      </c>
      <c r="F121" s="5"/>
      <c r="G121" s="43" t="e">
        <f t="shared" si="1"/>
        <v>#VALUE!</v>
      </c>
    </row>
    <row r="122" spans="1:9" s="58" customFormat="1" ht="25.5" customHeight="1">
      <c r="A122" s="35">
        <v>14</v>
      </c>
      <c r="B122" s="5">
        <v>1213</v>
      </c>
      <c r="C122" s="5">
        <v>271</v>
      </c>
      <c r="D122" s="21">
        <v>7.6840000000000002</v>
      </c>
      <c r="E122" s="5" t="s">
        <v>503</v>
      </c>
      <c r="F122" s="5"/>
      <c r="G122" s="43" t="e">
        <f t="shared" si="1"/>
        <v>#VALUE!</v>
      </c>
      <c r="H122"/>
      <c r="I122"/>
    </row>
    <row r="123" spans="1:9">
      <c r="A123" s="6">
        <v>15</v>
      </c>
      <c r="B123" s="5">
        <v>1213</v>
      </c>
      <c r="C123" s="5">
        <v>13</v>
      </c>
      <c r="D123" s="21">
        <v>2.6294</v>
      </c>
      <c r="E123" s="5" t="s">
        <v>504</v>
      </c>
      <c r="F123" s="48"/>
      <c r="G123" s="43" t="e">
        <f t="shared" si="1"/>
        <v>#VALUE!</v>
      </c>
    </row>
    <row r="124" spans="1:9">
      <c r="A124" s="35">
        <v>16</v>
      </c>
      <c r="B124" s="5">
        <v>1213</v>
      </c>
      <c r="C124" s="5">
        <v>131</v>
      </c>
      <c r="D124" s="21">
        <v>3.9478</v>
      </c>
      <c r="E124" s="5" t="s">
        <v>451</v>
      </c>
      <c r="F124" s="5"/>
      <c r="G124" s="43" t="e">
        <f t="shared" si="1"/>
        <v>#VALUE!</v>
      </c>
    </row>
    <row r="125" spans="1:9">
      <c r="A125" s="75">
        <v>17</v>
      </c>
      <c r="B125" s="76">
        <v>1213</v>
      </c>
      <c r="C125" s="76">
        <v>198</v>
      </c>
      <c r="D125" s="77">
        <v>10</v>
      </c>
      <c r="E125" s="76" t="s">
        <v>505</v>
      </c>
      <c r="F125" s="76"/>
      <c r="G125" s="43" t="e">
        <f t="shared" si="1"/>
        <v>#VALUE!</v>
      </c>
      <c r="H125" s="78"/>
      <c r="I125" s="78"/>
    </row>
    <row r="126" spans="1:9">
      <c r="A126" s="35">
        <v>18</v>
      </c>
      <c r="B126" s="5">
        <v>1213</v>
      </c>
      <c r="C126" s="5">
        <v>134</v>
      </c>
      <c r="D126" s="21">
        <v>0.83489999999999998</v>
      </c>
      <c r="E126" s="5" t="s">
        <v>506</v>
      </c>
      <c r="F126" s="5"/>
      <c r="G126" s="43" t="e">
        <f t="shared" si="1"/>
        <v>#VALUE!</v>
      </c>
    </row>
    <row r="127" spans="1:9">
      <c r="A127" s="35">
        <v>19</v>
      </c>
      <c r="B127" s="5">
        <v>1213</v>
      </c>
      <c r="C127" s="5">
        <v>289</v>
      </c>
      <c r="D127" s="21">
        <v>0.43369999999999997</v>
      </c>
      <c r="E127" s="5" t="s">
        <v>507</v>
      </c>
      <c r="F127" s="5"/>
      <c r="G127" s="43" t="e">
        <f t="shared" si="1"/>
        <v>#VALUE!</v>
      </c>
    </row>
    <row r="128" spans="1:9">
      <c r="A128" s="35">
        <v>20</v>
      </c>
      <c r="B128" s="5">
        <v>1213</v>
      </c>
      <c r="C128" s="5">
        <v>176</v>
      </c>
      <c r="D128" s="21">
        <v>0.43359999999999999</v>
      </c>
      <c r="E128" s="5" t="s">
        <v>508</v>
      </c>
      <c r="F128" s="5"/>
      <c r="G128" s="43" t="e">
        <f t="shared" si="1"/>
        <v>#VALUE!</v>
      </c>
    </row>
    <row r="129" spans="1:9">
      <c r="A129" s="35">
        <v>21</v>
      </c>
      <c r="B129" s="5">
        <v>1213</v>
      </c>
      <c r="C129" s="5">
        <v>124</v>
      </c>
      <c r="D129" s="21">
        <v>0.8</v>
      </c>
      <c r="E129" s="5" t="s">
        <v>509</v>
      </c>
      <c r="F129" s="5"/>
      <c r="G129" s="43" t="e">
        <f t="shared" si="1"/>
        <v>#VALUE!</v>
      </c>
    </row>
    <row r="130" spans="1:9">
      <c r="A130" s="35">
        <v>22</v>
      </c>
      <c r="B130" s="5">
        <v>1213</v>
      </c>
      <c r="C130" s="5">
        <v>125</v>
      </c>
      <c r="D130" s="21">
        <v>1.1506000000000001</v>
      </c>
      <c r="E130" s="5" t="s">
        <v>510</v>
      </c>
      <c r="F130" s="5"/>
      <c r="G130" s="43" t="e">
        <f t="shared" si="1"/>
        <v>#VALUE!</v>
      </c>
    </row>
    <row r="131" spans="1:9">
      <c r="A131" s="35">
        <v>23</v>
      </c>
      <c r="B131" s="5">
        <v>1213</v>
      </c>
      <c r="C131" s="5">
        <v>127</v>
      </c>
      <c r="D131" s="21">
        <v>2</v>
      </c>
      <c r="E131" s="5" t="s">
        <v>511</v>
      </c>
      <c r="F131" s="5"/>
      <c r="G131" s="43" t="e">
        <f t="shared" si="1"/>
        <v>#VALUE!</v>
      </c>
    </row>
    <row r="132" spans="1:9">
      <c r="A132" s="35">
        <v>24</v>
      </c>
      <c r="B132" s="5">
        <v>1213</v>
      </c>
      <c r="C132" s="5">
        <v>129</v>
      </c>
      <c r="D132" s="21">
        <v>0.46500000000000002</v>
      </c>
      <c r="E132" s="5" t="s">
        <v>510</v>
      </c>
      <c r="F132" s="5"/>
      <c r="G132" s="43" t="e">
        <f t="shared" si="1"/>
        <v>#VALUE!</v>
      </c>
    </row>
    <row r="133" spans="1:9">
      <c r="A133" s="35">
        <v>25</v>
      </c>
      <c r="B133" s="5">
        <v>1213</v>
      </c>
      <c r="C133" s="5">
        <v>211</v>
      </c>
      <c r="D133" s="21">
        <v>0.53500000000000003</v>
      </c>
      <c r="E133" s="5" t="s">
        <v>512</v>
      </c>
      <c r="F133" s="5"/>
      <c r="G133" s="43" t="e">
        <f t="shared" si="1"/>
        <v>#VALUE!</v>
      </c>
    </row>
    <row r="134" spans="1:9">
      <c r="A134" s="35">
        <v>26</v>
      </c>
      <c r="B134" s="5">
        <v>1213</v>
      </c>
      <c r="C134" s="5">
        <v>123</v>
      </c>
      <c r="D134" s="21">
        <v>1</v>
      </c>
      <c r="E134" s="5" t="s">
        <v>513</v>
      </c>
      <c r="F134" s="5"/>
      <c r="G134" s="43" t="e">
        <f t="shared" si="1"/>
        <v>#VALUE!</v>
      </c>
    </row>
    <row r="135" spans="1:9">
      <c r="A135" s="35">
        <v>28</v>
      </c>
      <c r="B135" s="5">
        <v>1213</v>
      </c>
      <c r="C135" s="5">
        <v>102</v>
      </c>
      <c r="D135" s="21">
        <v>3.9841000000000002</v>
      </c>
      <c r="E135" s="5" t="s">
        <v>514</v>
      </c>
      <c r="F135" s="5"/>
      <c r="G135" s="43" t="e">
        <f t="shared" si="1"/>
        <v>#VALUE!</v>
      </c>
    </row>
    <row r="136" spans="1:9">
      <c r="A136" s="35">
        <v>29</v>
      </c>
      <c r="B136" s="5">
        <v>1213</v>
      </c>
      <c r="C136" s="5">
        <v>126</v>
      </c>
      <c r="D136" s="21">
        <v>1.9307000000000001</v>
      </c>
      <c r="E136" s="5" t="s">
        <v>515</v>
      </c>
      <c r="F136" s="5"/>
      <c r="G136" s="43" t="e">
        <f t="shared" si="1"/>
        <v>#VALUE!</v>
      </c>
    </row>
    <row r="137" spans="1:9">
      <c r="A137" s="35">
        <v>30</v>
      </c>
      <c r="B137" s="5">
        <v>1213</v>
      </c>
      <c r="C137" s="5">
        <v>135</v>
      </c>
      <c r="D137" s="21">
        <v>4.8075000000000001</v>
      </c>
      <c r="E137" s="5" t="s">
        <v>514</v>
      </c>
      <c r="F137" s="5"/>
      <c r="G137" s="43" t="e">
        <f t="shared" si="1"/>
        <v>#VALUE!</v>
      </c>
    </row>
    <row r="138" spans="1:9">
      <c r="A138" s="35">
        <v>31</v>
      </c>
      <c r="B138" s="5">
        <v>1213</v>
      </c>
      <c r="C138" s="5">
        <v>138</v>
      </c>
      <c r="D138" s="21">
        <v>4.476</v>
      </c>
      <c r="E138" s="5" t="s">
        <v>515</v>
      </c>
      <c r="F138" s="5"/>
      <c r="G138" s="43" t="e">
        <f t="shared" ref="G138:G172" si="2">D138*$H$5</f>
        <v>#VALUE!</v>
      </c>
    </row>
    <row r="139" spans="1:9">
      <c r="A139" s="35">
        <v>32</v>
      </c>
      <c r="B139" s="5">
        <v>1213</v>
      </c>
      <c r="C139" s="5">
        <v>170</v>
      </c>
      <c r="D139" s="21">
        <v>8.1974</v>
      </c>
      <c r="E139" s="5" t="s">
        <v>515</v>
      </c>
      <c r="F139" s="5"/>
      <c r="G139" s="43" t="e">
        <f t="shared" si="2"/>
        <v>#VALUE!</v>
      </c>
    </row>
    <row r="140" spans="1:9">
      <c r="A140" s="91">
        <v>33</v>
      </c>
      <c r="B140" s="92">
        <v>1213</v>
      </c>
      <c r="C140" s="92">
        <v>256</v>
      </c>
      <c r="D140" s="87">
        <v>1.8493999999999999</v>
      </c>
      <c r="E140" s="92" t="s">
        <v>515</v>
      </c>
      <c r="F140" s="92"/>
      <c r="G140" s="43" t="e">
        <f t="shared" si="2"/>
        <v>#VALUE!</v>
      </c>
    </row>
    <row r="141" spans="1:9">
      <c r="A141" s="51">
        <v>34</v>
      </c>
      <c r="B141" s="52">
        <v>1213</v>
      </c>
      <c r="C141" s="52">
        <v>121</v>
      </c>
      <c r="D141" s="44">
        <v>6.8625999999999996</v>
      </c>
      <c r="E141" s="52" t="s">
        <v>516</v>
      </c>
      <c r="F141" s="52"/>
      <c r="G141" s="43" t="e">
        <f t="shared" si="2"/>
        <v>#VALUE!</v>
      </c>
    </row>
    <row r="142" spans="1:9" ht="13.5" thickBot="1">
      <c r="A142" s="36">
        <v>35</v>
      </c>
      <c r="B142" s="29">
        <v>1213</v>
      </c>
      <c r="C142" s="29">
        <v>130</v>
      </c>
      <c r="D142" s="46">
        <v>2.6084999999999998</v>
      </c>
      <c r="E142" s="29" t="s">
        <v>517</v>
      </c>
      <c r="F142" s="29"/>
      <c r="G142" s="43" t="e">
        <f t="shared" si="2"/>
        <v>#VALUE!</v>
      </c>
    </row>
    <row r="143" spans="1:9" ht="38.25">
      <c r="A143" s="55" t="s">
        <v>741</v>
      </c>
      <c r="B143" s="55" t="s">
        <v>103</v>
      </c>
      <c r="C143" s="55" t="s">
        <v>104</v>
      </c>
      <c r="D143" s="55" t="s">
        <v>106</v>
      </c>
      <c r="E143" s="56" t="s">
        <v>108</v>
      </c>
      <c r="F143" s="57"/>
      <c r="G143" s="43" t="e">
        <f t="shared" si="2"/>
        <v>#VALUE!</v>
      </c>
      <c r="H143" s="58"/>
      <c r="I143" s="58"/>
    </row>
    <row r="144" spans="1:9">
      <c r="A144" s="6">
        <v>1</v>
      </c>
      <c r="B144" s="5">
        <v>1213</v>
      </c>
      <c r="C144" s="5">
        <v>45</v>
      </c>
      <c r="D144" s="9">
        <v>4.8022</v>
      </c>
      <c r="E144" s="5" t="s">
        <v>519</v>
      </c>
      <c r="F144" s="5"/>
      <c r="G144" s="43" t="e">
        <f t="shared" si="2"/>
        <v>#VALUE!</v>
      </c>
    </row>
    <row r="145" spans="1:9">
      <c r="A145" s="6">
        <v>2</v>
      </c>
      <c r="B145" s="5">
        <v>1213</v>
      </c>
      <c r="C145" s="5">
        <v>36</v>
      </c>
      <c r="D145" s="9">
        <v>0.3614</v>
      </c>
      <c r="E145" s="5" t="s">
        <v>520</v>
      </c>
      <c r="F145" s="5"/>
      <c r="G145" s="43">
        <v>0</v>
      </c>
    </row>
    <row r="146" spans="1:9">
      <c r="A146" s="6">
        <v>2</v>
      </c>
      <c r="B146" s="5">
        <v>1213</v>
      </c>
      <c r="C146" s="5">
        <v>276</v>
      </c>
      <c r="D146" s="9">
        <v>3.7600000000000001E-2</v>
      </c>
      <c r="E146" s="5" t="s">
        <v>520</v>
      </c>
      <c r="F146" s="5"/>
      <c r="G146" s="43" t="e">
        <f t="shared" si="2"/>
        <v>#VALUE!</v>
      </c>
    </row>
    <row r="147" spans="1:9">
      <c r="A147" s="6">
        <v>2</v>
      </c>
      <c r="B147" s="5">
        <v>1213</v>
      </c>
      <c r="C147" s="5">
        <v>333</v>
      </c>
      <c r="D147" s="9">
        <v>3.61E-2</v>
      </c>
      <c r="E147" s="5" t="s">
        <v>520</v>
      </c>
      <c r="F147" s="5"/>
      <c r="G147" s="43" t="e">
        <f t="shared" si="2"/>
        <v>#VALUE!</v>
      </c>
    </row>
    <row r="148" spans="1:9" ht="24.75" customHeight="1">
      <c r="A148" s="6">
        <v>2</v>
      </c>
      <c r="B148" s="5">
        <v>1213</v>
      </c>
      <c r="C148" s="5">
        <v>334</v>
      </c>
      <c r="D148" s="9">
        <v>0.40849999999999997</v>
      </c>
      <c r="E148" s="5" t="s">
        <v>520</v>
      </c>
      <c r="F148" s="5"/>
      <c r="G148" s="43">
        <v>0</v>
      </c>
    </row>
    <row r="149" spans="1:9">
      <c r="A149" s="6">
        <v>2</v>
      </c>
      <c r="B149" s="5">
        <v>1213</v>
      </c>
      <c r="C149" s="5">
        <v>277</v>
      </c>
      <c r="D149" s="9">
        <v>0.55369999999999997</v>
      </c>
      <c r="E149" s="5" t="s">
        <v>520</v>
      </c>
      <c r="F149" s="5"/>
      <c r="G149" s="43">
        <v>0</v>
      </c>
    </row>
    <row r="150" spans="1:9">
      <c r="A150" s="6">
        <v>3</v>
      </c>
      <c r="B150" s="5">
        <v>1213</v>
      </c>
      <c r="C150" s="5">
        <v>270</v>
      </c>
      <c r="D150" s="9">
        <v>1.03</v>
      </c>
      <c r="E150" s="5" t="s">
        <v>521</v>
      </c>
      <c r="F150" s="5"/>
      <c r="G150" s="43">
        <v>0</v>
      </c>
    </row>
    <row r="151" spans="1:9">
      <c r="A151" s="6">
        <v>4</v>
      </c>
      <c r="B151" s="5">
        <v>1213</v>
      </c>
      <c r="C151" s="5">
        <v>252</v>
      </c>
      <c r="D151" s="9">
        <v>2.2267999999999999</v>
      </c>
      <c r="E151" s="5" t="s">
        <v>522</v>
      </c>
      <c r="F151" s="5"/>
      <c r="G151" s="43" t="e">
        <f t="shared" si="2"/>
        <v>#VALUE!</v>
      </c>
    </row>
    <row r="152" spans="1:9" s="78" customFormat="1">
      <c r="A152" s="6">
        <v>5</v>
      </c>
      <c r="B152" s="5">
        <v>1213</v>
      </c>
      <c r="C152" s="5">
        <v>332</v>
      </c>
      <c r="D152" s="9">
        <v>2.3932000000000002</v>
      </c>
      <c r="E152" s="5" t="s">
        <v>486</v>
      </c>
      <c r="F152" s="5"/>
      <c r="G152" s="43" t="e">
        <f t="shared" si="2"/>
        <v>#VALUE!</v>
      </c>
      <c r="H152"/>
      <c r="I152"/>
    </row>
    <row r="153" spans="1:9">
      <c r="A153" s="6">
        <v>6</v>
      </c>
      <c r="B153" s="5">
        <v>1213</v>
      </c>
      <c r="C153" s="5">
        <v>331</v>
      </c>
      <c r="D153" s="9">
        <v>9</v>
      </c>
      <c r="E153" s="5" t="s">
        <v>486</v>
      </c>
      <c r="F153" s="5"/>
      <c r="G153" s="43" t="e">
        <f t="shared" si="2"/>
        <v>#VALUE!</v>
      </c>
    </row>
    <row r="154" spans="1:9">
      <c r="A154" s="6">
        <v>7</v>
      </c>
      <c r="B154" s="5">
        <v>1213</v>
      </c>
      <c r="C154" s="5">
        <v>40</v>
      </c>
      <c r="D154" s="9">
        <v>7.1605999999999996</v>
      </c>
      <c r="E154" s="5" t="s">
        <v>523</v>
      </c>
      <c r="F154" s="5"/>
      <c r="G154" s="43" t="e">
        <f t="shared" si="2"/>
        <v>#VALUE!</v>
      </c>
    </row>
    <row r="155" spans="1:9">
      <c r="A155" s="6">
        <v>8</v>
      </c>
      <c r="B155" s="5">
        <v>1213</v>
      </c>
      <c r="C155" s="5">
        <v>51</v>
      </c>
      <c r="D155" s="9">
        <v>0.59650000000000003</v>
      </c>
      <c r="E155" s="5" t="s">
        <v>471</v>
      </c>
      <c r="F155" s="5"/>
      <c r="G155" s="43" t="e">
        <f t="shared" si="2"/>
        <v>#VALUE!</v>
      </c>
    </row>
    <row r="156" spans="1:9">
      <c r="A156" s="35">
        <v>5</v>
      </c>
      <c r="B156" s="5">
        <v>1213</v>
      </c>
      <c r="C156" s="5">
        <v>52</v>
      </c>
      <c r="D156" s="9">
        <v>2</v>
      </c>
      <c r="E156" s="5" t="s">
        <v>524</v>
      </c>
      <c r="F156" s="5"/>
      <c r="G156" s="43" t="e">
        <f t="shared" si="2"/>
        <v>#VALUE!</v>
      </c>
    </row>
    <row r="157" spans="1:9">
      <c r="A157" s="6">
        <v>9</v>
      </c>
      <c r="B157" s="5">
        <v>1213</v>
      </c>
      <c r="C157" s="5">
        <v>53</v>
      </c>
      <c r="D157" s="9">
        <v>5.4569999999999999</v>
      </c>
      <c r="E157" s="5" t="s">
        <v>525</v>
      </c>
      <c r="F157" s="5"/>
      <c r="G157" s="43" t="e">
        <f t="shared" si="2"/>
        <v>#VALUE!</v>
      </c>
    </row>
    <row r="158" spans="1:9">
      <c r="A158" s="6">
        <v>10</v>
      </c>
      <c r="B158" s="5">
        <v>1213</v>
      </c>
      <c r="C158" s="5">
        <v>64</v>
      </c>
      <c r="D158" s="9">
        <v>6.2915999999999999</v>
      </c>
      <c r="E158" s="5" t="s">
        <v>526</v>
      </c>
      <c r="F158" s="5"/>
      <c r="G158" s="43" t="e">
        <f t="shared" si="2"/>
        <v>#VALUE!</v>
      </c>
    </row>
    <row r="159" spans="1:9">
      <c r="A159" s="6">
        <v>11</v>
      </c>
      <c r="B159" s="5">
        <v>1213</v>
      </c>
      <c r="C159" s="5">
        <v>62</v>
      </c>
      <c r="D159" s="9">
        <v>5.8545999999999996</v>
      </c>
      <c r="E159" s="5" t="s">
        <v>527</v>
      </c>
      <c r="F159" s="5"/>
      <c r="G159" s="43" t="e">
        <f t="shared" si="2"/>
        <v>#VALUE!</v>
      </c>
    </row>
    <row r="160" spans="1:9">
      <c r="A160" s="6">
        <v>12</v>
      </c>
      <c r="B160" s="5">
        <v>1213</v>
      </c>
      <c r="C160" s="5">
        <v>35</v>
      </c>
      <c r="D160" s="9">
        <v>14.1714</v>
      </c>
      <c r="E160" s="5" t="s">
        <v>528</v>
      </c>
      <c r="F160" s="5"/>
      <c r="G160" s="43" t="e">
        <f t="shared" si="2"/>
        <v>#VALUE!</v>
      </c>
    </row>
    <row r="161" spans="1:7">
      <c r="A161" s="6">
        <v>13</v>
      </c>
      <c r="B161" s="5">
        <v>1213</v>
      </c>
      <c r="C161" s="5">
        <v>91</v>
      </c>
      <c r="D161" s="9">
        <v>4.6063999999999998</v>
      </c>
      <c r="E161" s="5" t="s">
        <v>529</v>
      </c>
      <c r="F161" s="5"/>
      <c r="G161" s="43" t="e">
        <f t="shared" si="2"/>
        <v>#VALUE!</v>
      </c>
    </row>
    <row r="162" spans="1:7">
      <c r="A162" s="6">
        <v>14</v>
      </c>
      <c r="B162" s="5">
        <v>1213</v>
      </c>
      <c r="C162" s="5">
        <v>37</v>
      </c>
      <c r="D162" s="9">
        <v>14.486700000000001</v>
      </c>
      <c r="E162" s="5" t="s">
        <v>530</v>
      </c>
      <c r="F162" s="5"/>
      <c r="G162" s="43" t="e">
        <f t="shared" si="2"/>
        <v>#VALUE!</v>
      </c>
    </row>
    <row r="163" spans="1:7">
      <c r="A163" s="6">
        <v>14</v>
      </c>
      <c r="B163" s="5">
        <v>1213</v>
      </c>
      <c r="C163" s="5">
        <v>323</v>
      </c>
      <c r="D163" s="9">
        <v>0.36330000000000001</v>
      </c>
      <c r="E163" s="5" t="s">
        <v>531</v>
      </c>
      <c r="F163" s="5"/>
      <c r="G163" s="43" t="e">
        <f t="shared" si="2"/>
        <v>#VALUE!</v>
      </c>
    </row>
    <row r="164" spans="1:7">
      <c r="A164" s="6">
        <v>15</v>
      </c>
      <c r="B164" s="5">
        <v>1213</v>
      </c>
      <c r="C164" s="5">
        <v>50</v>
      </c>
      <c r="D164" s="9">
        <v>6.625</v>
      </c>
      <c r="E164" s="5" t="s">
        <v>532</v>
      </c>
      <c r="F164" s="5"/>
      <c r="G164" s="43" t="e">
        <f t="shared" si="2"/>
        <v>#VALUE!</v>
      </c>
    </row>
    <row r="165" spans="1:7">
      <c r="A165" s="6">
        <v>16</v>
      </c>
      <c r="B165" s="5">
        <v>1213</v>
      </c>
      <c r="C165" s="5">
        <v>67</v>
      </c>
      <c r="D165" s="9">
        <v>3.1457999999999999</v>
      </c>
      <c r="E165" s="5" t="s">
        <v>533</v>
      </c>
      <c r="F165" s="5"/>
      <c r="G165" s="43" t="e">
        <f t="shared" si="2"/>
        <v>#VALUE!</v>
      </c>
    </row>
    <row r="166" spans="1:7">
      <c r="A166" s="6">
        <v>17</v>
      </c>
      <c r="B166" s="5">
        <v>1213</v>
      </c>
      <c r="C166" s="5">
        <v>54</v>
      </c>
      <c r="D166" s="9">
        <v>1.4839</v>
      </c>
      <c r="E166" s="5" t="s">
        <v>534</v>
      </c>
      <c r="F166" s="5"/>
      <c r="G166" s="43" t="e">
        <f t="shared" si="2"/>
        <v>#VALUE!</v>
      </c>
    </row>
    <row r="167" spans="1:7">
      <c r="A167" s="6">
        <v>18</v>
      </c>
      <c r="B167" s="5">
        <v>1213</v>
      </c>
      <c r="C167" s="5">
        <v>31</v>
      </c>
      <c r="D167" s="9">
        <v>1.7303999999999999</v>
      </c>
      <c r="E167" s="5" t="s">
        <v>535</v>
      </c>
      <c r="F167" s="5"/>
      <c r="G167" s="43" t="e">
        <f t="shared" si="2"/>
        <v>#VALUE!</v>
      </c>
    </row>
    <row r="168" spans="1:7">
      <c r="A168" s="6">
        <v>18</v>
      </c>
      <c r="B168" s="5">
        <v>1213</v>
      </c>
      <c r="C168" s="5">
        <v>309</v>
      </c>
      <c r="D168" s="9">
        <v>2.5293000000000001</v>
      </c>
      <c r="E168" s="5" t="s">
        <v>535</v>
      </c>
      <c r="F168" s="5"/>
      <c r="G168" s="43" t="e">
        <f t="shared" si="2"/>
        <v>#VALUE!</v>
      </c>
    </row>
    <row r="169" spans="1:7">
      <c r="A169" s="6">
        <v>19</v>
      </c>
      <c r="B169" s="5">
        <v>1213</v>
      </c>
      <c r="C169" s="5">
        <v>311</v>
      </c>
      <c r="D169" s="9">
        <v>1.4438</v>
      </c>
      <c r="E169" s="5" t="s">
        <v>536</v>
      </c>
      <c r="F169" s="5"/>
      <c r="G169" s="43" t="e">
        <f t="shared" si="2"/>
        <v>#VALUE!</v>
      </c>
    </row>
    <row r="170" spans="1:7">
      <c r="A170" s="6">
        <v>20</v>
      </c>
      <c r="B170" s="5">
        <v>1213</v>
      </c>
      <c r="C170" s="5">
        <v>189</v>
      </c>
      <c r="D170" s="9">
        <v>2.5165000000000002</v>
      </c>
      <c r="E170" s="5" t="s">
        <v>537</v>
      </c>
      <c r="F170" s="5"/>
      <c r="G170" s="43" t="e">
        <f t="shared" si="2"/>
        <v>#VALUE!</v>
      </c>
    </row>
    <row r="171" spans="1:7">
      <c r="A171" s="6">
        <v>21</v>
      </c>
      <c r="B171" s="5">
        <v>1213</v>
      </c>
      <c r="C171" s="5">
        <v>269</v>
      </c>
      <c r="D171" s="9">
        <v>1.0485</v>
      </c>
      <c r="E171" s="5" t="s">
        <v>538</v>
      </c>
      <c r="F171" s="5"/>
      <c r="G171" s="43" t="e">
        <f t="shared" si="2"/>
        <v>#VALUE!</v>
      </c>
    </row>
    <row r="172" spans="1:7">
      <c r="A172" s="11"/>
      <c r="D172" s="16">
        <f>SUM(D9:D171)</f>
        <v>473.12740000000014</v>
      </c>
      <c r="G172" s="43" t="e">
        <f t="shared" si="2"/>
        <v>#VALUE!</v>
      </c>
    </row>
    <row r="173" spans="1:7">
      <c r="D173" s="15" t="e">
        <f>SUM(D172,#REF!,#REF!,#REF!,#REF!,#REF!)</f>
        <v>#REF!</v>
      </c>
    </row>
    <row r="174" spans="1:7">
      <c r="A174" t="s">
        <v>751</v>
      </c>
      <c r="B174" s="12" t="e">
        <f>#REF!-(#REF!+#REF!)</f>
        <v>#REF!</v>
      </c>
      <c r="D174" t="s">
        <v>752</v>
      </c>
      <c r="E174" t="s">
        <v>739</v>
      </c>
      <c r="F174" s="12" t="e">
        <f>#REF!</f>
        <v>#REF!</v>
      </c>
      <c r="G174" s="12" t="e">
        <f>#REF!/F174</f>
        <v>#REF!</v>
      </c>
    </row>
    <row r="176" spans="1:7" ht="13.5" thickBot="1">
      <c r="A176" s="47"/>
    </row>
    <row r="177" spans="1:7">
      <c r="A177" s="49" t="s">
        <v>741</v>
      </c>
      <c r="B177" s="59" t="s">
        <v>403</v>
      </c>
      <c r="C177" s="50"/>
      <c r="D177" s="54" t="s">
        <v>106</v>
      </c>
      <c r="E177" s="49" t="s">
        <v>108</v>
      </c>
      <c r="F177" s="54"/>
      <c r="G177" s="53" t="s">
        <v>304</v>
      </c>
    </row>
    <row r="178" spans="1:7">
      <c r="A178" s="5">
        <v>1</v>
      </c>
      <c r="B178" s="62" t="s">
        <v>406</v>
      </c>
      <c r="C178" s="62"/>
      <c r="D178" s="27" t="e">
        <f>#REF!</f>
        <v>#REF!</v>
      </c>
      <c r="E178" s="66"/>
      <c r="F178" s="67"/>
      <c r="G178" s="43" t="e">
        <f>#REF!*$G$174</f>
        <v>#REF!</v>
      </c>
    </row>
    <row r="179" spans="1:7">
      <c r="A179" s="5">
        <v>1</v>
      </c>
      <c r="B179" s="62" t="s">
        <v>407</v>
      </c>
      <c r="C179" s="62"/>
      <c r="D179" s="27" t="e">
        <f>#REF!</f>
        <v>#REF!</v>
      </c>
      <c r="E179" s="68"/>
      <c r="F179" s="69"/>
      <c r="G179" s="43" t="e">
        <f>#REF!*$G$174</f>
        <v>#REF!</v>
      </c>
    </row>
    <row r="180" spans="1:7">
      <c r="A180" s="5">
        <v>2</v>
      </c>
      <c r="B180" s="64" t="s">
        <v>408</v>
      </c>
      <c r="C180" s="64"/>
      <c r="D180" s="27" t="e">
        <f>#REF!</f>
        <v>#REF!</v>
      </c>
      <c r="E180" s="68"/>
      <c r="F180" s="69"/>
      <c r="G180" s="43" t="e">
        <f>#REF!*$G$174</f>
        <v>#REF!</v>
      </c>
    </row>
    <row r="181" spans="1:7">
      <c r="A181" s="7">
        <v>2</v>
      </c>
      <c r="B181" s="60" t="s">
        <v>409</v>
      </c>
      <c r="C181" s="61"/>
      <c r="D181" s="63" t="e">
        <f>#REF!</f>
        <v>#REF!</v>
      </c>
      <c r="E181" s="68"/>
      <c r="F181" s="69"/>
      <c r="G181" s="43" t="e">
        <f>#REF!*$G$174</f>
        <v>#REF!</v>
      </c>
    </row>
    <row r="182" spans="1:7">
      <c r="A182" s="5">
        <v>2</v>
      </c>
      <c r="B182" s="65" t="s">
        <v>410</v>
      </c>
      <c r="C182" s="65"/>
      <c r="D182" s="27" t="e">
        <f>#REF!</f>
        <v>#REF!</v>
      </c>
      <c r="E182" s="68"/>
      <c r="F182" s="69"/>
      <c r="G182" s="43" t="e">
        <f>#REF!*$G$174</f>
        <v>#REF!</v>
      </c>
    </row>
    <row r="183" spans="1:7">
      <c r="A183" s="5">
        <v>3</v>
      </c>
      <c r="B183" s="62" t="s">
        <v>411</v>
      </c>
      <c r="C183" s="62"/>
      <c r="D183" s="27">
        <f>D172</f>
        <v>473.12740000000014</v>
      </c>
      <c r="E183" s="70"/>
      <c r="F183" s="71"/>
      <c r="G183" s="43" t="e">
        <f>#REF!*$G$174</f>
        <v>#REF!</v>
      </c>
    </row>
    <row r="184" spans="1:7">
      <c r="D184" s="15" t="e">
        <f>SUM(D178:D183)</f>
        <v>#REF!</v>
      </c>
      <c r="G184" s="43" t="e">
        <f>SUM(G178:G183)</f>
        <v>#REF!</v>
      </c>
    </row>
    <row r="186" spans="1:7">
      <c r="B186" s="4"/>
      <c r="D186" s="72"/>
    </row>
    <row r="187" spans="1:7">
      <c r="B187" s="4"/>
      <c r="C187" s="4"/>
      <c r="D187" s="72"/>
    </row>
    <row r="188" spans="1:7">
      <c r="C188" s="4"/>
    </row>
    <row r="211" spans="1:9" s="58" customFormat="1" ht="25.5" customHeight="1">
      <c r="A211"/>
      <c r="B211"/>
      <c r="C211"/>
      <c r="D211"/>
      <c r="E211"/>
      <c r="F211"/>
      <c r="G211"/>
      <c r="H211"/>
      <c r="I211"/>
    </row>
    <row r="239" ht="12.75" customHeight="1"/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dgi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roque</dc:creator>
  <cp:keywords/>
  <dc:description/>
  <cp:lastModifiedBy>Leonardo Araoz</cp:lastModifiedBy>
  <cp:revision/>
  <dcterms:created xsi:type="dcterms:W3CDTF">2004-09-22T20:02:32Z</dcterms:created>
  <dcterms:modified xsi:type="dcterms:W3CDTF">2017-08-27T12:49:38Z</dcterms:modified>
  <cp:category/>
  <cp:contentStatus/>
</cp:coreProperties>
</file>